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jorgeviafara/Documents/No_Mercadeables/Ejercicio_Final/Data/"/>
    </mc:Choice>
  </mc:AlternateContent>
  <xr:revisionPtr revIDLastSave="0" documentId="13_ncr:1_{C31D4C14-C3B4-9F40-AC18-F289CB7A42A9}" xr6:coauthVersionLast="47" xr6:coauthVersionMax="47" xr10:uidLastSave="{00000000-0000-0000-0000-000000000000}"/>
  <bookViews>
    <workbookView xWindow="34680" yWindow="1880" windowWidth="44200" windowHeight="22320" xr2:uid="{00000000-000D-0000-FFFF-FFFF00000000}"/>
  </bookViews>
  <sheets>
    <sheet name="Sheet1" sheetId="4" r:id="rId1"/>
  </sheets>
  <definedNames>
    <definedName name="_xlnm._FilterDatabase" localSheetId="0" hidden="1">Sheet1!$A$1:$BE$1973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D817" i="4" l="1"/>
  <c r="BD717" i="4"/>
  <c r="BD1327" i="4"/>
  <c r="BD30" i="4"/>
  <c r="BD29" i="4"/>
  <c r="BD1440" i="4"/>
  <c r="BD1378" i="4"/>
  <c r="BD1717" i="4"/>
  <c r="BD1716" i="4"/>
  <c r="BD159" i="4"/>
  <c r="BD1374" i="4"/>
  <c r="BD775" i="4"/>
  <c r="BD1720" i="4"/>
  <c r="BD37" i="4"/>
  <c r="BD1879" i="4"/>
  <c r="BD722" i="4"/>
  <c r="BD75" i="4"/>
  <c r="BD1880" i="4"/>
  <c r="BD764" i="4"/>
  <c r="BD788" i="4"/>
  <c r="BD819" i="4"/>
  <c r="BD1556" i="4"/>
  <c r="BD31" i="4"/>
  <c r="BD742" i="4"/>
  <c r="BD64" i="4"/>
  <c r="BD1471" i="4"/>
  <c r="BD728" i="4"/>
  <c r="BD774" i="4"/>
  <c r="BD165" i="4"/>
  <c r="BD1380" i="4"/>
  <c r="BD1881" i="4"/>
  <c r="BD736" i="4"/>
  <c r="BD1897" i="4"/>
  <c r="BD4" i="4"/>
  <c r="BD45" i="4"/>
  <c r="BD791" i="4"/>
  <c r="BD1369" i="4"/>
  <c r="BD41" i="4"/>
  <c r="BD605" i="4"/>
  <c r="BD18" i="4"/>
  <c r="BD19" i="4"/>
  <c r="BD1534" i="4"/>
  <c r="BD101" i="4"/>
  <c r="BD84" i="4"/>
  <c r="BD1878" i="4"/>
  <c r="BD463" i="4"/>
  <c r="BD74" i="4"/>
  <c r="BD106" i="4"/>
  <c r="BD1882" i="4"/>
  <c r="BD794" i="4"/>
  <c r="BD755" i="4"/>
  <c r="BD772" i="4"/>
  <c r="BD66" i="4"/>
  <c r="BD67" i="4"/>
  <c r="BD1569" i="4"/>
  <c r="BD185" i="4"/>
  <c r="BD732" i="4"/>
  <c r="BD53" i="4"/>
  <c r="BD826" i="4"/>
  <c r="BD745" i="4"/>
  <c r="BD27" i="4"/>
  <c r="BD48" i="4"/>
  <c r="BD13" i="4"/>
  <c r="BD32" i="4"/>
  <c r="BD33" i="4"/>
  <c r="BD9" i="4"/>
  <c r="BD735" i="4"/>
  <c r="BD50" i="4"/>
  <c r="BD1712" i="4"/>
  <c r="BD1828" i="4"/>
  <c r="BD1846" i="4"/>
  <c r="BD1883" i="4"/>
  <c r="BD1884" i="4"/>
  <c r="BD54" i="4"/>
  <c r="BD1885" i="4"/>
  <c r="BD1901" i="4"/>
  <c r="BD1668" i="4"/>
  <c r="BD15" i="4"/>
  <c r="BD83" i="4"/>
  <c r="BD1829" i="4"/>
  <c r="BD746" i="4"/>
  <c r="BD709" i="4"/>
  <c r="BD777" i="4"/>
  <c r="BD49" i="4"/>
  <c r="BD733" i="4"/>
  <c r="BD1940" i="4"/>
  <c r="BD645" i="4"/>
  <c r="BD1790" i="4"/>
  <c r="BD1889" i="4"/>
  <c r="BD727" i="4"/>
  <c r="BD762" i="4"/>
  <c r="BD113" i="4"/>
  <c r="BD14" i="4"/>
  <c r="BD20" i="4"/>
  <c r="BD112" i="4"/>
  <c r="BD58" i="4"/>
  <c r="BD1865" i="4"/>
  <c r="BD1456" i="4"/>
  <c r="BD1685" i="4"/>
  <c r="BD5" i="4"/>
  <c r="BD51" i="4"/>
  <c r="BD12" i="4"/>
  <c r="BD39" i="4"/>
  <c r="BD1898" i="4"/>
  <c r="BD1928" i="4"/>
  <c r="BD1929" i="4"/>
  <c r="BD76" i="4"/>
  <c r="BD802" i="4"/>
  <c r="BD1551" i="4"/>
  <c r="BD1935" i="4"/>
  <c r="BD1869" i="4"/>
  <c r="BD1941" i="4"/>
  <c r="BD740" i="4"/>
  <c r="BD756" i="4"/>
  <c r="BD63" i="4"/>
  <c r="BD1949" i="4"/>
  <c r="BD1570" i="4"/>
  <c r="BD36" i="4"/>
  <c r="BD718" i="4"/>
  <c r="BD59" i="4"/>
  <c r="BD708" i="4"/>
  <c r="BD1942" i="4"/>
  <c r="BD1916" i="4"/>
  <c r="BD82" i="4"/>
  <c r="BD7" i="4"/>
  <c r="BD1796" i="4"/>
  <c r="BD1943" i="4"/>
  <c r="BD1944" i="4"/>
  <c r="BD1945" i="4"/>
  <c r="BD60" i="4"/>
  <c r="BD21" i="4"/>
  <c r="BD707" i="4"/>
  <c r="BD1920" i="4"/>
  <c r="BD1934" i="4"/>
  <c r="BD120" i="4"/>
  <c r="BD34" i="4"/>
  <c r="BD1803" i="4"/>
  <c r="BD1670" i="4"/>
  <c r="BD1590" i="4"/>
  <c r="BD1842" i="4"/>
  <c r="BD42" i="4"/>
  <c r="BD134" i="4"/>
  <c r="BD1800" i="4"/>
  <c r="BD77" i="4"/>
  <c r="BD150" i="4"/>
  <c r="BD1801" i="4"/>
  <c r="BD1802" i="4"/>
  <c r="BD144" i="4"/>
  <c r="BD625" i="4"/>
  <c r="BD1680" i="4"/>
  <c r="BD10" i="4"/>
  <c r="BD114" i="4"/>
  <c r="BD46" i="4"/>
  <c r="BD124" i="4"/>
  <c r="BD6" i="4"/>
  <c r="BD131" i="4"/>
  <c r="BD78" i="4"/>
  <c r="BD1870" i="4"/>
  <c r="BD737" i="4"/>
  <c r="BD89" i="4"/>
  <c r="BD1855" i="4"/>
  <c r="BD79" i="4"/>
  <c r="BD172" i="4"/>
  <c r="BD1515" i="4"/>
  <c r="BD169" i="4"/>
  <c r="BD171" i="4"/>
  <c r="BD123" i="4"/>
  <c r="BD713" i="4"/>
  <c r="BD127" i="4"/>
  <c r="BD1797" i="4"/>
  <c r="BD1877" i="4"/>
  <c r="BD780" i="4"/>
  <c r="BD885" i="4"/>
  <c r="BD1384" i="4"/>
  <c r="BD1804" i="4"/>
  <c r="BD62" i="4"/>
  <c r="BD869" i="4"/>
  <c r="BD22" i="4"/>
  <c r="BD23" i="4"/>
  <c r="BD721" i="4"/>
  <c r="BD1477" i="4"/>
  <c r="BD143" i="4"/>
  <c r="BD1777" i="4"/>
  <c r="BD1805" i="4"/>
  <c r="BD1478" i="4"/>
  <c r="BD1778" i="4"/>
  <c r="BD1888" i="4"/>
  <c r="BD715" i="4"/>
  <c r="BD842" i="4"/>
  <c r="BD65" i="4"/>
  <c r="BD55" i="4"/>
  <c r="BD85" i="4"/>
  <c r="BD86" i="4"/>
  <c r="BD887" i="4"/>
  <c r="BD97" i="4"/>
  <c r="BD16" i="4"/>
  <c r="BD17" i="4"/>
  <c r="BD729" i="4"/>
  <c r="BD603" i="4"/>
  <c r="BD1621" i="4"/>
  <c r="BD1655" i="4"/>
  <c r="BD122" i="4"/>
  <c r="BD145" i="4"/>
  <c r="BD1838" i="4"/>
  <c r="BD3" i="4"/>
  <c r="BD1426" i="4"/>
  <c r="BD70" i="4"/>
  <c r="BD741" i="4"/>
  <c r="BD191" i="4"/>
  <c r="BD105" i="4"/>
  <c r="BD8" i="4"/>
  <c r="BD806" i="4"/>
  <c r="BD69" i="4"/>
  <c r="BD44" i="4"/>
  <c r="BD1830" i="4"/>
  <c r="BD619" i="4"/>
  <c r="BD117" i="4"/>
  <c r="BD1891" i="4"/>
  <c r="BD1794" i="4"/>
  <c r="BD1799" i="4"/>
  <c r="BD1789" i="4"/>
  <c r="BD1766" i="4"/>
  <c r="BD72" i="4"/>
  <c r="BD467" i="4"/>
  <c r="BD1795" i="4"/>
  <c r="BD1724" i="4"/>
  <c r="BD752" i="4"/>
  <c r="BD763" i="4"/>
  <c r="BD96" i="4"/>
  <c r="BD1769" i="4"/>
  <c r="BD2" i="4"/>
  <c r="BD118" i="4"/>
  <c r="BD828" i="4"/>
  <c r="BD1770" i="4"/>
  <c r="BD1815" i="4"/>
  <c r="BD509" i="4"/>
  <c r="BD1771" i="4"/>
  <c r="BD214" i="4"/>
  <c r="BD1543" i="4"/>
  <c r="BD1809" i="4"/>
  <c r="BD24" i="4"/>
  <c r="BD135" i="4"/>
  <c r="BD1479" i="4"/>
  <c r="BD710" i="4"/>
  <c r="BD866" i="4"/>
  <c r="BD119" i="4"/>
  <c r="BD252" i="4"/>
  <c r="BD508" i="4"/>
  <c r="BD1646" i="4"/>
  <c r="BD166" i="4"/>
  <c r="BD190" i="4"/>
  <c r="BD1768" i="4"/>
  <c r="BD1429" i="4"/>
  <c r="BD753" i="4"/>
  <c r="BD838" i="4"/>
  <c r="BD766" i="4"/>
  <c r="BD170" i="4"/>
  <c r="BD38" i="4"/>
  <c r="BD757" i="4"/>
  <c r="BD807" i="4"/>
  <c r="BD1587" i="4"/>
  <c r="BD125" i="4"/>
  <c r="BD768" i="4"/>
  <c r="BD1529" i="4"/>
  <c r="BD142" i="4"/>
  <c r="BD287" i="4"/>
  <c r="BD863" i="4"/>
  <c r="BD864" i="4"/>
  <c r="BD825" i="4"/>
  <c r="BD900" i="4"/>
  <c r="BD98" i="4"/>
  <c r="BD40" i="4"/>
  <c r="BD1839" i="4"/>
  <c r="BD1728" i="4"/>
  <c r="BD87" i="4"/>
  <c r="BD747" i="4"/>
  <c r="BD781" i="4"/>
  <c r="BD1370" i="4"/>
  <c r="BD115" i="4"/>
  <c r="BD843" i="4"/>
  <c r="BD91" i="4"/>
  <c r="BD1538" i="4"/>
  <c r="BD210" i="4"/>
  <c r="BD211" i="4"/>
  <c r="BD212" i="4"/>
  <c r="BD1632" i="4"/>
  <c r="BD1544" i="4"/>
  <c r="BD749" i="4"/>
  <c r="BD28" i="4"/>
  <c r="BD714" i="4"/>
  <c r="BD107" i="4"/>
  <c r="BD814" i="4"/>
  <c r="BD815" i="4"/>
  <c r="BD25" i="4"/>
  <c r="BD73" i="4"/>
  <c r="BD95" i="4"/>
  <c r="BD1588" i="4"/>
  <c r="BD1751" i="4"/>
  <c r="BD1827" i="4"/>
  <c r="BD104" i="4"/>
  <c r="BD161" i="4"/>
  <c r="BD778" i="4"/>
  <c r="BD183" i="4"/>
  <c r="BD151" i="4"/>
  <c r="BD56" i="4"/>
  <c r="BD1494" i="4"/>
  <c r="BD90" i="4"/>
  <c r="BD61" i="4"/>
  <c r="BD1675" i="4"/>
  <c r="BD116" i="4"/>
  <c r="BD725" i="4"/>
  <c r="BD47" i="4"/>
  <c r="BD1688" i="4"/>
  <c r="BD109" i="4"/>
  <c r="BD110" i="4"/>
  <c r="BD1677" i="4"/>
  <c r="BD723" i="4"/>
  <c r="BD1678" i="4"/>
  <c r="BD1764" i="4"/>
  <c r="BD754" i="4"/>
  <c r="BD1627" i="4"/>
  <c r="BD1468" i="4"/>
  <c r="BD1584" i="4"/>
  <c r="BD1616" i="4"/>
  <c r="BD162" i="4"/>
  <c r="BD168" i="4"/>
  <c r="BD854" i="4"/>
  <c r="BD274" i="4"/>
  <c r="BD1395" i="4"/>
  <c r="BD862" i="4"/>
  <c r="BD1947" i="4"/>
  <c r="BD712" i="4"/>
  <c r="BD750" i="4"/>
  <c r="BD35" i="4"/>
  <c r="BD216" i="4"/>
  <c r="BD1739" i="4"/>
  <c r="BD1831" i="4"/>
  <c r="BD734" i="4"/>
  <c r="BD198" i="4"/>
  <c r="BD194" i="4"/>
  <c r="BD770" i="4"/>
  <c r="BD1905" i="4"/>
  <c r="BD1772" i="4"/>
  <c r="BD1840" i="4"/>
  <c r="BD80" i="4"/>
  <c r="BD706" i="4"/>
  <c r="BD1906" i="4"/>
  <c r="BD724" i="4"/>
  <c r="BD1958" i="4"/>
  <c r="BD180" i="4"/>
  <c r="BD1580" i="4"/>
  <c r="BD1575" i="4"/>
  <c r="BD236" i="4"/>
  <c r="BD808" i="4"/>
  <c r="BD207" i="4"/>
  <c r="BD769" i="4"/>
  <c r="BD809" i="4"/>
  <c r="BD103" i="4"/>
  <c r="BD898" i="4"/>
  <c r="BD133" i="4"/>
  <c r="BD1391" i="4"/>
  <c r="BD197" i="4"/>
  <c r="BD248" i="4"/>
  <c r="BD1381" i="4"/>
  <c r="BD175" i="4"/>
  <c r="BD829" i="4"/>
  <c r="BD11" i="4"/>
  <c r="BD93" i="4"/>
  <c r="BD126" i="4"/>
  <c r="BD88" i="4"/>
  <c r="BD94" i="4"/>
  <c r="BD1400" i="4"/>
  <c r="BD1367" i="4"/>
  <c r="BD1368" i="4"/>
  <c r="BD779" i="4"/>
  <c r="BD195" i="4"/>
  <c r="BD1969" i="4"/>
  <c r="BD146" i="4"/>
  <c r="BD822" i="4"/>
  <c r="BD184" i="4"/>
  <c r="BD1723" i="4"/>
  <c r="BD1970" i="4"/>
  <c r="BD1408" i="4"/>
  <c r="BD1854" i="4"/>
  <c r="BD232" i="4"/>
  <c r="BD524" i="4"/>
  <c r="BD1946" i="4"/>
  <c r="BD1520" i="4"/>
  <c r="BD136" i="4"/>
  <c r="BD787" i="4"/>
  <c r="BD81" i="4"/>
  <c r="BD810" i="4"/>
  <c r="BD52" i="4"/>
  <c r="BD26" i="4"/>
  <c r="BD839" i="4"/>
  <c r="BD859" i="4"/>
  <c r="BD1623" i="4"/>
  <c r="BD313" i="4"/>
  <c r="BD1458" i="4"/>
  <c r="BD1752" i="4"/>
  <c r="BD1557" i="4"/>
  <c r="BD845" i="4"/>
  <c r="BD1415" i="4"/>
  <c r="BD1785" i="4"/>
  <c r="BD1416" i="4"/>
  <c r="BD876" i="4"/>
  <c r="BD1738" i="4"/>
  <c r="BD147" i="4"/>
  <c r="BD71" i="4"/>
  <c r="BD726" i="4"/>
  <c r="BD1662" i="4"/>
  <c r="BD1541" i="4"/>
  <c r="BD465" i="4"/>
  <c r="BD621" i="4"/>
  <c r="BD173" i="4"/>
  <c r="BD1434" i="4"/>
  <c r="BD849" i="4"/>
  <c r="BD1630" i="4"/>
  <c r="BD1517" i="4"/>
  <c r="BD1613" i="4"/>
  <c r="BD1776" i="4"/>
  <c r="BD121" i="4"/>
  <c r="BD607" i="4"/>
  <c r="BD1937" i="4"/>
  <c r="BD604" i="4"/>
  <c r="BD874" i="4"/>
  <c r="BD1417" i="4"/>
  <c r="BD141" i="4"/>
  <c r="BD798" i="4"/>
  <c r="BD1585" i="4"/>
  <c r="BD1819" i="4"/>
  <c r="BD738" i="4"/>
  <c r="BD1358" i="4"/>
  <c r="BD201" i="4"/>
  <c r="BD1386" i="4"/>
  <c r="BD1513" i="4"/>
  <c r="BD1489" i="4"/>
  <c r="BD857" i="4"/>
  <c r="BD152" i="4"/>
  <c r="BD202" i="4"/>
  <c r="BD1567" i="4"/>
  <c r="BD203" i="4"/>
  <c r="BD1900" i="4"/>
  <c r="BD1924" i="4"/>
  <c r="BD1401" i="4"/>
  <c r="BD237" i="4"/>
  <c r="BD1690" i="4"/>
  <c r="BD189" i="4"/>
  <c r="BD1954" i="4"/>
  <c r="BD1927" i="4"/>
  <c r="BD1960" i="4"/>
  <c r="BD1961" i="4"/>
  <c r="BD1964" i="4"/>
  <c r="BD1671" i="4"/>
  <c r="BD218" i="4"/>
  <c r="BD1679" i="4"/>
  <c r="BD1866" i="4"/>
  <c r="BD43" i="4"/>
  <c r="BD217" i="4"/>
  <c r="BD1824" i="4"/>
  <c r="BD861" i="4"/>
  <c r="BD622" i="4"/>
  <c r="BD128" i="4"/>
  <c r="BD57" i="4"/>
  <c r="BD716" i="4"/>
  <c r="BD873" i="4"/>
  <c r="BD1773" i="4"/>
  <c r="BD174" i="4"/>
  <c r="BD1933" i="4"/>
  <c r="BD1938" i="4"/>
  <c r="BD1424" i="4"/>
  <c r="BD1375" i="4"/>
  <c r="BD525" i="4"/>
  <c r="BD905" i="4"/>
  <c r="BD818" i="4"/>
  <c r="BD1628" i="4"/>
  <c r="BD800" i="4"/>
  <c r="BD196" i="4"/>
  <c r="BD68" i="4"/>
  <c r="BD1708" i="4"/>
  <c r="BD1486" i="4"/>
  <c r="BD1836" i="4"/>
  <c r="BD867" i="4"/>
  <c r="BD1782" i="4"/>
  <c r="BD1689" i="4"/>
  <c r="BD1786" i="4"/>
  <c r="BD853" i="4"/>
  <c r="BD870" i="4"/>
  <c r="BD830" i="4"/>
  <c r="BD108" i="4"/>
  <c r="BD148" i="4"/>
  <c r="BD1571" i="4"/>
  <c r="BD1672" i="4"/>
  <c r="BD1503" i="4"/>
  <c r="BD1624" i="4"/>
  <c r="BD1598" i="4"/>
  <c r="BD160" i="4"/>
  <c r="BD1971" i="4"/>
  <c r="BD187" i="4"/>
  <c r="BD1470" i="4"/>
  <c r="BD782" i="4"/>
  <c r="BD1562" i="4"/>
  <c r="BD767" i="4"/>
  <c r="BD158" i="4"/>
  <c r="BD1867" i="4"/>
  <c r="BD1547" i="4"/>
  <c r="BD246" i="4"/>
  <c r="BD102" i="4"/>
  <c r="BD1781" i="4"/>
  <c r="BD871" i="4"/>
  <c r="BD804" i="4"/>
  <c r="BD1871" i="4"/>
  <c r="BD924" i="4"/>
  <c r="BD765" i="4"/>
  <c r="BD220" i="4"/>
  <c r="BD827" i="4"/>
  <c r="BD851" i="4"/>
  <c r="BD256" i="4"/>
  <c r="BD783" i="4"/>
  <c r="BD1719" i="4"/>
  <c r="BD743" i="4"/>
  <c r="BD823" i="4"/>
  <c r="BD265" i="4"/>
  <c r="BD182" i="4"/>
  <c r="BD100" i="4"/>
  <c r="BD1721" i="4"/>
  <c r="BD208" i="4"/>
  <c r="BD811" i="4"/>
  <c r="BD1359" i="4"/>
  <c r="BD264" i="4"/>
  <c r="BD137" i="4"/>
  <c r="BD193" i="4"/>
  <c r="BD464" i="4"/>
  <c r="BD267" i="4"/>
  <c r="BD519" i="4"/>
  <c r="BD230" i="4"/>
  <c r="BD231" i="4"/>
  <c r="BD1409" i="4"/>
  <c r="BD1826" i="4"/>
  <c r="BD132" i="4"/>
  <c r="BD239" i="4"/>
  <c r="BD1807" i="4"/>
  <c r="BD186" i="4"/>
  <c r="BD939" i="4"/>
  <c r="BD517" i="4"/>
  <c r="BD1792" i="4"/>
  <c r="BD221" i="4"/>
  <c r="BD156" i="4"/>
  <c r="BD157" i="4"/>
  <c r="BD255" i="4"/>
  <c r="BD1527" i="4"/>
  <c r="BD1586" i="4"/>
  <c r="BD1506" i="4"/>
  <c r="BD224" i="4"/>
  <c r="BD225" i="4"/>
  <c r="BD1402" i="4"/>
  <c r="BD1361" i="4"/>
  <c r="BD92" i="4"/>
  <c r="BD1847" i="4"/>
  <c r="BD1611" i="4"/>
  <c r="BD1697" i="4"/>
  <c r="BD1950" i="4"/>
  <c r="BD812" i="4"/>
  <c r="BD233" i="4"/>
  <c r="BD1414" i="4"/>
  <c r="BD614" i="4"/>
  <c r="BD1843" i="4"/>
  <c r="BD222" i="4"/>
  <c r="BD129" i="4"/>
  <c r="BD908" i="4"/>
  <c r="BD1681" i="4"/>
  <c r="BD882" i="4"/>
  <c r="BD1858" i="4"/>
  <c r="BD1848" i="4"/>
  <c r="BD247" i="4"/>
  <c r="BD879" i="4"/>
  <c r="BD1917" i="4"/>
  <c r="BD1597" i="4"/>
  <c r="BD1639" i="4"/>
  <c r="BD258" i="4"/>
  <c r="BD176" i="4"/>
  <c r="BD1740" i="4"/>
  <c r="BD624" i="4"/>
  <c r="BD719" i="4"/>
  <c r="BD1660" i="4"/>
  <c r="BD138" i="4"/>
  <c r="BD479" i="4"/>
  <c r="BD278" i="4"/>
  <c r="BD153" i="4"/>
  <c r="BD1758" i="4"/>
  <c r="BD1618" i="4"/>
  <c r="BD1619" i="4"/>
  <c r="BD200" i="4"/>
  <c r="BD1620" i="4"/>
  <c r="BD1834" i="4"/>
  <c r="BD631" i="4"/>
  <c r="BD192" i="4"/>
  <c r="BD251" i="4"/>
  <c r="BD1835" i="4"/>
  <c r="BD259" i="4"/>
  <c r="BD270" i="4"/>
  <c r="BD824" i="4"/>
  <c r="BD181" i="4"/>
  <c r="BD229" i="4"/>
  <c r="BD612" i="4"/>
  <c r="BD215" i="4"/>
  <c r="BD154" i="4"/>
  <c r="BD155" i="4"/>
  <c r="BD139" i="4"/>
  <c r="BD1633" i="4"/>
  <c r="BD1608" i="4"/>
  <c r="BD1729" i="4"/>
  <c r="BD1398" i="4"/>
  <c r="BD789" i="4"/>
  <c r="BD894" i="4"/>
  <c r="BD1731" i="4"/>
  <c r="BD918" i="4"/>
  <c r="BD1849" i="4"/>
  <c r="BD243" i="4"/>
  <c r="BD253" i="4"/>
  <c r="BD283" i="4"/>
  <c r="BD1652" i="4"/>
  <c r="BD1629" i="4"/>
  <c r="BD1727" i="4"/>
  <c r="BD244" i="4"/>
  <c r="BD850" i="4"/>
  <c r="BD1640" i="4"/>
  <c r="BD177" i="4"/>
  <c r="BD284" i="4"/>
  <c r="BD204" i="4"/>
  <c r="BD1918" i="4"/>
  <c r="BD1583" i="4"/>
  <c r="BD286" i="4"/>
  <c r="BD268" i="4"/>
  <c r="BD1684" i="4"/>
  <c r="BD1427" i="4"/>
  <c r="BD1710" i="4"/>
  <c r="BD271" i="4"/>
  <c r="BD209" i="4"/>
  <c r="BD1818" i="4"/>
  <c r="BD199" i="4"/>
  <c r="BD163" i="4"/>
  <c r="BD164" i="4"/>
  <c r="BD1475" i="4"/>
  <c r="BD111" i="4"/>
  <c r="BD837" i="4"/>
  <c r="BD206" i="4"/>
  <c r="BD1490" i="4"/>
  <c r="BD1718" i="4"/>
  <c r="BD179" i="4"/>
  <c r="BD1599" i="4"/>
  <c r="BD758" i="4"/>
  <c r="BD1907" i="4"/>
  <c r="BD1491" i="4"/>
  <c r="BD1550" i="4"/>
  <c r="BD1926" i="4"/>
  <c r="BD226" i="4"/>
  <c r="BD227" i="4"/>
  <c r="BD530" i="4"/>
  <c r="BD1872" i="4"/>
  <c r="BD784" i="4"/>
  <c r="BD1676" i="4"/>
  <c r="BD303" i="4"/>
  <c r="BD228" i="4"/>
  <c r="BD925" i="4"/>
  <c r="BD448" i="4"/>
  <c r="BD841" i="4"/>
  <c r="BD1873" i="4"/>
  <c r="BD875" i="4"/>
  <c r="BD472" i="4"/>
  <c r="BD261" i="4"/>
  <c r="BD1432" i="4"/>
  <c r="BD1578" i="4"/>
  <c r="BD895" i="4"/>
  <c r="BD1617" i="4"/>
  <c r="BD140" i="4"/>
  <c r="BD1634" i="4"/>
  <c r="BD840" i="4"/>
  <c r="BD327" i="4"/>
  <c r="BD290" i="4"/>
  <c r="BD858" i="4"/>
  <c r="BD523" i="4"/>
  <c r="BD906" i="4"/>
  <c r="BD1516" i="4"/>
  <c r="BD1459" i="4"/>
  <c r="BD335" i="4"/>
  <c r="BD835" i="4"/>
  <c r="BD1480" i="4"/>
  <c r="BD1736" i="4"/>
  <c r="BD1820" i="4"/>
  <c r="BD1443" i="4"/>
  <c r="BD1631" i="4"/>
  <c r="BD273" i="4"/>
  <c r="BD1362" i="4"/>
  <c r="BD946" i="4"/>
  <c r="BD1814" i="4"/>
  <c r="BD538" i="4"/>
  <c r="BD1466" i="4"/>
  <c r="BD149" i="4"/>
  <c r="BD868" i="4"/>
  <c r="BD883" i="4"/>
  <c r="BD759" i="4"/>
  <c r="BD1484" i="4"/>
  <c r="BD890" i="4"/>
  <c r="BD606" i="4"/>
  <c r="BD205" i="4"/>
  <c r="BD903" i="4"/>
  <c r="BD1035" i="4"/>
  <c r="BD1748" i="4"/>
  <c r="BD1591" i="4"/>
  <c r="BD167" i="4"/>
  <c r="BD785" i="4"/>
  <c r="BD1875" i="4"/>
  <c r="BD213" i="4"/>
  <c r="BD796" i="4"/>
  <c r="BD821" i="4"/>
  <c r="BD1696" i="4"/>
  <c r="BD751" i="4"/>
  <c r="BD1899" i="4"/>
  <c r="BD1837" i="4"/>
  <c r="BD1895" i="4"/>
  <c r="BD1930" i="4"/>
  <c r="BD847" i="4"/>
  <c r="BD1936" i="4"/>
  <c r="BD761" i="4"/>
  <c r="BD915" i="4"/>
  <c r="BD913" i="4"/>
  <c r="BD1908" i="4"/>
  <c r="BD311" i="4"/>
  <c r="BD801" i="4"/>
  <c r="BD1925" i="4"/>
  <c r="BD872" i="4"/>
  <c r="BD834" i="4"/>
  <c r="BD1909" i="4"/>
  <c r="BD250" i="4"/>
  <c r="BD1932" i="4"/>
  <c r="BD610" i="4"/>
  <c r="BD891" i="4"/>
  <c r="BD914" i="4"/>
  <c r="BD613" i="4"/>
  <c r="BD354" i="4"/>
  <c r="BD1418" i="4"/>
  <c r="BD245" i="4"/>
  <c r="BD364" i="4"/>
  <c r="BD1548" i="4"/>
  <c r="BD865" i="4"/>
  <c r="BD907" i="4"/>
  <c r="BD959" i="4"/>
  <c r="BD773" i="4"/>
  <c r="BD526" i="4"/>
  <c r="BD466" i="4"/>
  <c r="BD1330" i="4"/>
  <c r="BD240" i="4"/>
  <c r="BD223" i="4"/>
  <c r="BD188" i="4"/>
  <c r="BD130" i="4"/>
  <c r="BD1469" i="4"/>
  <c r="BD279" i="4"/>
  <c r="BD1454" i="4"/>
  <c r="BD608" i="4"/>
  <c r="BD956" i="4"/>
  <c r="BD1892" i="4"/>
  <c r="BD1910" i="4"/>
  <c r="BD1667" i="4"/>
  <c r="BD711" i="4"/>
  <c r="BD730" i="4"/>
  <c r="BD615" i="4"/>
  <c r="BD262" i="4"/>
  <c r="BD880" i="4"/>
  <c r="BD1759" i="4"/>
  <c r="BD1657" i="4"/>
  <c r="BD637" i="4"/>
  <c r="BD1890" i="4"/>
  <c r="BD617" i="4"/>
  <c r="BD1948" i="4"/>
  <c r="BD285" i="4"/>
  <c r="BD797" i="4"/>
  <c r="BD803" i="4"/>
  <c r="BD846" i="4"/>
  <c r="BD831" i="4"/>
  <c r="BD1564" i="4"/>
  <c r="BD1647" i="4"/>
  <c r="BD234" i="4"/>
  <c r="BD620" i="4"/>
  <c r="BD633" i="4"/>
  <c r="BD1332" i="4"/>
  <c r="BD1476" i="4"/>
  <c r="BD178" i="4"/>
  <c r="BD634" i="4"/>
  <c r="BD249" i="4"/>
  <c r="BD632" i="4"/>
  <c r="BD288" i="4"/>
  <c r="BD611" i="4"/>
  <c r="BD1474" i="4"/>
  <c r="BD1921" i="4"/>
  <c r="BD242" i="4"/>
  <c r="BD1904" i="4"/>
  <c r="BD280" i="4"/>
  <c r="BD760" i="4"/>
  <c r="BD899" i="4"/>
  <c r="BD1911" i="4"/>
  <c r="BD627" i="4"/>
  <c r="BD266" i="4"/>
  <c r="BD1455" i="4"/>
  <c r="BD1642" i="4"/>
  <c r="BD1447" i="4"/>
  <c r="BD1609" i="4"/>
  <c r="BD1555" i="4"/>
  <c r="BD1730" i="4"/>
  <c r="BD527" i="4"/>
  <c r="BD541" i="4"/>
  <c r="BD1328" i="4"/>
  <c r="BD238" i="4"/>
  <c r="BD241" i="4"/>
  <c r="BD926" i="4"/>
  <c r="BD639" i="4"/>
  <c r="BD375" i="4"/>
  <c r="BD260" i="4"/>
  <c r="BD1505" i="4"/>
  <c r="BD1643" i="4"/>
  <c r="BD985" i="4"/>
  <c r="BD1709" i="4"/>
  <c r="BD609" i="4"/>
  <c r="BD1753" i="4"/>
  <c r="BD357" i="4"/>
  <c r="BD1329" i="4"/>
  <c r="BD481" i="4"/>
  <c r="BD292" i="4"/>
  <c r="BD1956" i="4"/>
  <c r="BD790" i="4"/>
  <c r="BD927" i="4"/>
  <c r="BD799" i="4"/>
  <c r="BD1645" i="4"/>
  <c r="BD269" i="4"/>
  <c r="BD640" i="4"/>
  <c r="BD638" i="4"/>
  <c r="BD1832" i="4"/>
  <c r="BD1850" i="4"/>
  <c r="BD345" i="4"/>
  <c r="BD1973" i="4"/>
  <c r="BD1526" i="4"/>
  <c r="BD1566" i="4"/>
  <c r="BD1734" i="4"/>
  <c r="BD1673" i="4"/>
  <c r="BD1423" i="4"/>
  <c r="BD537" i="4"/>
  <c r="BD1859" i="4"/>
  <c r="BD892" i="4"/>
  <c r="BD99" i="4"/>
  <c r="BD1876" i="4"/>
  <c r="BD276" i="4"/>
  <c r="BD1663" i="4"/>
  <c r="BD920" i="4"/>
  <c r="BD320" i="4"/>
  <c r="BD341" i="4"/>
  <c r="BD263" i="4"/>
  <c r="BD1868" i="4"/>
  <c r="BD889" i="4"/>
  <c r="BD322" i="4"/>
  <c r="BD272" i="4"/>
  <c r="BD468" i="4"/>
  <c r="BD1530" i="4"/>
  <c r="BD1387" i="4"/>
  <c r="BD522" i="4"/>
  <c r="BD1853" i="4"/>
  <c r="BD1360" i="4"/>
  <c r="BD820" i="4"/>
  <c r="BD315" i="4"/>
  <c r="BD748" i="4"/>
  <c r="BD1691" i="4"/>
  <c r="BD1760" i="4"/>
  <c r="BD1783" i="4"/>
  <c r="BD1055" i="4"/>
  <c r="BD628" i="4"/>
  <c r="BD476" i="4"/>
  <c r="BD1435" i="4"/>
  <c r="BD254" i="4"/>
  <c r="BD470" i="4"/>
  <c r="BD282" i="4"/>
  <c r="BD1326" i="4"/>
  <c r="BD298" i="4"/>
  <c r="BD916" i="4"/>
  <c r="BD958" i="4"/>
  <c r="BD1788" i="4"/>
  <c r="BD314" i="4"/>
  <c r="BD1614" i="4"/>
  <c r="BD1531" i="4"/>
  <c r="BD1704" i="4"/>
  <c r="BD992" i="4"/>
  <c r="BD289" i="4"/>
  <c r="BD329" i="4"/>
  <c r="BD1481" i="4"/>
  <c r="BD978" i="4"/>
  <c r="BD936" i="4"/>
  <c r="BD786" i="4"/>
  <c r="BD1713" i="4"/>
  <c r="BD1364" i="4"/>
  <c r="BD257" i="4"/>
  <c r="BD480" i="4"/>
  <c r="BD1363" i="4"/>
  <c r="BD1601" i="4"/>
  <c r="BD1845" i="4"/>
  <c r="BD1492" i="4"/>
  <c r="BD921" i="4"/>
  <c r="BD1003" i="4"/>
  <c r="BD993" i="4"/>
  <c r="BD235" i="4"/>
  <c r="BD1493" i="4"/>
  <c r="BD626" i="4"/>
  <c r="BD1966" i="4"/>
  <c r="BD1306" i="4"/>
  <c r="BD1043" i="4"/>
  <c r="BD832" i="4"/>
  <c r="BD483" i="4"/>
  <c r="BD642" i="4"/>
  <c r="BD275" i="4"/>
  <c r="BD532" i="4"/>
  <c r="BD1592" i="4"/>
  <c r="BD324" i="4"/>
  <c r="BD336" i="4"/>
  <c r="BD793" i="4"/>
  <c r="BD1902" i="4"/>
  <c r="BD618" i="4"/>
  <c r="BD482" i="4"/>
  <c r="BD473" i="4"/>
  <c r="BD776" i="4"/>
  <c r="BD520" i="4"/>
  <c r="BD521" i="4"/>
  <c r="BD931" i="4"/>
  <c r="BD1903" i="4"/>
  <c r="BD294" i="4"/>
  <c r="BD904" i="4"/>
  <c r="BD342" i="4"/>
  <c r="BD937" i="4"/>
  <c r="BD304" i="4"/>
  <c r="BD1549" i="4"/>
  <c r="BD518" i="4"/>
  <c r="BD291" i="4"/>
  <c r="BD277" i="4"/>
  <c r="BD1589" i="4"/>
  <c r="BD307" i="4"/>
  <c r="BD629" i="4"/>
  <c r="BD330" i="4"/>
  <c r="BD940" i="4"/>
  <c r="BD1545" i="4"/>
  <c r="BD1693" i="4"/>
  <c r="BD1856" i="4"/>
  <c r="BD877" i="4"/>
  <c r="BD949" i="4"/>
  <c r="BD1774" i="4"/>
  <c r="BD933" i="4"/>
  <c r="BD1714" i="4"/>
  <c r="BD281" i="4"/>
  <c r="BD1500" i="4"/>
  <c r="BD919" i="4"/>
  <c r="BD1376" i="4"/>
  <c r="BD986" i="4"/>
  <c r="BD962" i="4"/>
  <c r="BD1125" i="4"/>
  <c r="BD970" i="4"/>
  <c r="BD836" i="4"/>
  <c r="BD1661" i="4"/>
  <c r="BD1644" i="4"/>
  <c r="BD929" i="4"/>
  <c r="BD917" i="4"/>
  <c r="BD1553" i="4"/>
  <c r="BD947" i="4"/>
  <c r="BD991" i="4"/>
  <c r="BD295" i="4"/>
  <c r="BD1365" i="4"/>
  <c r="BD296" i="4"/>
  <c r="BD813" i="4"/>
  <c r="BD1707" i="4"/>
  <c r="BD299" i="4"/>
  <c r="BD219" i="4"/>
  <c r="BD856" i="4"/>
  <c r="BD654" i="4"/>
  <c r="BD321" i="4"/>
  <c r="BD860" i="4"/>
  <c r="BD1650" i="4"/>
  <c r="BD300" i="4"/>
  <c r="BD1653" i="4"/>
  <c r="BD944" i="4"/>
  <c r="BD293" i="4"/>
  <c r="BD1722" i="4"/>
  <c r="BD1542" i="4"/>
  <c r="BD1604" i="4"/>
  <c r="BD1658" i="4"/>
  <c r="BD1399" i="4"/>
  <c r="BD1851" i="4"/>
  <c r="BD1864" i="4"/>
  <c r="BD635" i="4"/>
  <c r="BD1798" i="4"/>
  <c r="BD317" i="4"/>
  <c r="BD932" i="4"/>
  <c r="BD1568" i="4"/>
  <c r="BD1791" i="4"/>
  <c r="BD1563" i="4"/>
  <c r="BD1579" i="4"/>
  <c r="BD1784" i="4"/>
  <c r="BD1951" i="4"/>
  <c r="BD1893" i="4"/>
  <c r="BD1552" i="4"/>
  <c r="BD616" i="4"/>
  <c r="BD306" i="4"/>
  <c r="BD516" i="4"/>
  <c r="BD923" i="4"/>
  <c r="BD1816" i="4"/>
  <c r="BD1823" i="4"/>
  <c r="BD1874" i="4"/>
  <c r="BD1574" i="4"/>
  <c r="BD1382" i="4"/>
  <c r="BD316" i="4"/>
  <c r="BD1754" i="4"/>
  <c r="BD1410" i="4"/>
  <c r="BD325" i="4"/>
  <c r="BD1444" i="4"/>
  <c r="BD1377" i="4"/>
  <c r="BD952" i="4"/>
  <c r="BD326" i="4"/>
  <c r="BD1356" i="4"/>
  <c r="BD328" i="4"/>
  <c r="BD380" i="4"/>
  <c r="BD1495" i="4"/>
  <c r="BD974" i="4"/>
  <c r="BD911" i="4"/>
  <c r="BD930" i="4"/>
  <c r="BD833" i="4"/>
  <c r="BD1923" i="4"/>
  <c r="BD1040" i="4"/>
  <c r="BD1939" i="4"/>
  <c r="BD1605" i="4"/>
  <c r="BD649" i="4"/>
  <c r="BD305" i="4"/>
  <c r="BD1931" i="4"/>
  <c r="BD934" i="4"/>
  <c r="BD1744" i="4"/>
  <c r="BD1700" i="4"/>
  <c r="BD1385" i="4"/>
  <c r="BD1431" i="4"/>
  <c r="BD987" i="4"/>
  <c r="BD951" i="4"/>
  <c r="BD1582" i="4"/>
  <c r="BD653" i="4"/>
  <c r="BD548" i="4"/>
  <c r="BD531" i="4"/>
  <c r="BD922" i="4"/>
  <c r="BD1461" i="4"/>
  <c r="BD318" i="4"/>
  <c r="BD319" i="4"/>
  <c r="BD1120" i="4"/>
  <c r="BD1502" i="4"/>
  <c r="BD979" i="4"/>
  <c r="BD1388" i="4"/>
  <c r="BD471" i="4"/>
  <c r="BD953" i="4"/>
  <c r="BD938" i="4"/>
  <c r="BD1460" i="4"/>
  <c r="BD1648" i="4"/>
  <c r="BD1488" i="4"/>
  <c r="BD912" i="4"/>
  <c r="BD1806" i="4"/>
  <c r="BD475" i="4"/>
  <c r="BD340" i="4"/>
  <c r="BD337" i="4"/>
  <c r="BD1659" i="4"/>
  <c r="BD1635" i="4"/>
  <c r="BD1413" i="4"/>
  <c r="BD536" i="4"/>
  <c r="BD893" i="4"/>
  <c r="BD1603" i="4"/>
  <c r="BD377" i="4"/>
  <c r="BD1428" i="4"/>
  <c r="BD399" i="4"/>
  <c r="BD1537" i="4"/>
  <c r="BD1701" i="4"/>
  <c r="BD376" i="4"/>
  <c r="BD1127" i="4"/>
  <c r="BD901" i="4"/>
  <c r="BD969" i="4"/>
  <c r="BD935" i="4"/>
  <c r="BD1682" i="4"/>
  <c r="BD909" i="4"/>
  <c r="BD910" i="4"/>
  <c r="BD1482" i="4"/>
  <c r="BD1561" i="4"/>
  <c r="BD1372" i="4"/>
  <c r="BD720" i="4"/>
  <c r="BD562" i="4"/>
  <c r="BD1052" i="4"/>
  <c r="BD1602" i="4"/>
  <c r="BD1441" i="4"/>
  <c r="BD506" i="4"/>
  <c r="BD1411" i="4"/>
  <c r="BD478" i="4"/>
  <c r="BD630" i="4"/>
  <c r="BD1009" i="4"/>
  <c r="BD878" i="4"/>
  <c r="BD1033" i="4"/>
  <c r="BD1452" i="4"/>
  <c r="BD371" i="4"/>
  <c r="BD848" i="4"/>
  <c r="BD623" i="4"/>
  <c r="BD347" i="4"/>
  <c r="BD1004" i="4"/>
  <c r="BD1860" i="4"/>
  <c r="BD957" i="4"/>
  <c r="BD543" i="4"/>
  <c r="BD331" i="4"/>
  <c r="BD643" i="4"/>
  <c r="BD1610" i="4"/>
  <c r="BD301" i="4"/>
  <c r="BD302" i="4"/>
  <c r="BD372" i="4"/>
  <c r="BD1528" i="4"/>
  <c r="BD1518" i="4"/>
  <c r="BD297" i="4"/>
  <c r="BD1005" i="4"/>
  <c r="BD1912" i="4"/>
  <c r="BD1787" i="4"/>
  <c r="BD312" i="4"/>
  <c r="BD1318" i="4"/>
  <c r="BD1336" i="4"/>
  <c r="BD1913" i="4"/>
  <c r="BD1010" i="4"/>
  <c r="BD955" i="4"/>
  <c r="BD792" i="4"/>
  <c r="BD379" i="4"/>
  <c r="BD477" i="4"/>
  <c r="BD1392" i="4"/>
  <c r="BD355" i="4"/>
  <c r="BD1507" i="4"/>
  <c r="BD1448" i="4"/>
  <c r="BD550" i="4"/>
  <c r="BD1625" i="4"/>
  <c r="BD333" i="4"/>
  <c r="BD655" i="4"/>
  <c r="BD960" i="4"/>
  <c r="BD1896" i="4"/>
  <c r="BD1706" i="4"/>
  <c r="BD474" i="4"/>
  <c r="BD884" i="4"/>
  <c r="BD486" i="4"/>
  <c r="BD1636" i="4"/>
  <c r="BD1683" i="4"/>
  <c r="BD941" i="4"/>
  <c r="BD942" i="4"/>
  <c r="BD658" i="4"/>
  <c r="BD334" i="4"/>
  <c r="BD1732" i="4"/>
  <c r="BD1686" i="4"/>
  <c r="BD1775" i="4"/>
  <c r="BD1222" i="4"/>
  <c r="BD528" i="4"/>
  <c r="BD1056" i="4"/>
  <c r="BD338" i="4"/>
  <c r="BD1745" i="4"/>
  <c r="BD656" i="4"/>
  <c r="BD1746" i="4"/>
  <c r="BD1026" i="4"/>
  <c r="BD641" i="4"/>
  <c r="BD994" i="4"/>
  <c r="BD366" i="4"/>
  <c r="BD902" i="4"/>
  <c r="BD1453" i="4"/>
  <c r="BD1622" i="4"/>
  <c r="BD323" i="4"/>
  <c r="BD1496" i="4"/>
  <c r="BD1725" i="4"/>
  <c r="BD1810" i="4"/>
  <c r="BD505" i="4"/>
  <c r="BD980" i="4"/>
  <c r="BD1779" i="4"/>
  <c r="BD547" i="4"/>
  <c r="BD1074" i="4"/>
  <c r="BD1396" i="4"/>
  <c r="BD966" i="4"/>
  <c r="BD1023" i="4"/>
  <c r="BD995" i="4"/>
  <c r="BD539" i="4"/>
  <c r="BD999" i="4"/>
  <c r="BD1641" i="4"/>
  <c r="BD660" i="4"/>
  <c r="BD669" i="4"/>
  <c r="BD1282" i="4"/>
  <c r="BD1212" i="4"/>
  <c r="BD504" i="4"/>
  <c r="BD1638" i="4"/>
  <c r="BD973" i="4"/>
  <c r="BD339" i="4"/>
  <c r="BD1016" i="4"/>
  <c r="BD1654" i="4"/>
  <c r="BD1914" i="4"/>
  <c r="BD1761" i="4"/>
  <c r="BD996" i="4"/>
  <c r="BD652" i="4"/>
  <c r="BD308" i="4"/>
  <c r="BD1445" i="4"/>
  <c r="BD1025" i="4"/>
  <c r="BD1780" i="4"/>
  <c r="BD309" i="4"/>
  <c r="BD346" i="4"/>
  <c r="BD1075" i="4"/>
  <c r="BD967" i="4"/>
  <c r="BD975" i="4"/>
  <c r="BD990" i="4"/>
  <c r="BD332" i="4"/>
  <c r="BD542" i="4"/>
  <c r="BD1006" i="4"/>
  <c r="BD1808" i="4"/>
  <c r="BD1919" i="4"/>
  <c r="BD1749" i="4"/>
  <c r="BD358" i="4"/>
  <c r="BD356" i="4"/>
  <c r="BD1235" i="4"/>
  <c r="BD1581" i="4"/>
  <c r="BD1612" i="4"/>
  <c r="BD1111" i="4"/>
  <c r="BD1765" i="4"/>
  <c r="BD1535" i="4"/>
  <c r="BD964" i="4"/>
  <c r="BD1357" i="4"/>
  <c r="BD1600" i="4"/>
  <c r="BD1483" i="4"/>
  <c r="BD739" i="4"/>
  <c r="BD943" i="4"/>
  <c r="BD552" i="4"/>
  <c r="BD1092" i="4"/>
  <c r="BD383" i="4"/>
  <c r="BD1085" i="4"/>
  <c r="BD1151" i="4"/>
  <c r="BD816" i="4"/>
  <c r="BD367" i="4"/>
  <c r="BD1524" i="4"/>
  <c r="BD1017" i="4"/>
  <c r="BD1508" i="4"/>
  <c r="BD1039" i="4"/>
  <c r="BD1509" i="4"/>
  <c r="BD1112" i="4"/>
  <c r="BD1191" i="4"/>
  <c r="BD1852" i="4"/>
  <c r="BD1422" i="4"/>
  <c r="BD401" i="4"/>
  <c r="BD1433" i="4"/>
  <c r="BD1572" i="4"/>
  <c r="BD489" i="4"/>
  <c r="BD487" i="4"/>
  <c r="BD1011" i="4"/>
  <c r="BD1403" i="4"/>
  <c r="BD414" i="4"/>
  <c r="BD1733" i="4"/>
  <c r="BD664" i="4"/>
  <c r="BD665" i="4"/>
  <c r="BD310" i="4"/>
  <c r="BD540" i="4"/>
  <c r="BD1536" i="4"/>
  <c r="BD1437" i="4"/>
  <c r="BD1103" i="4"/>
  <c r="BD1063" i="4"/>
  <c r="BD388" i="4"/>
  <c r="BD1067" i="4"/>
  <c r="BD1134" i="4"/>
  <c r="BD981" i="4"/>
  <c r="BD368" i="4"/>
  <c r="BD1887" i="4"/>
  <c r="BD484" i="4"/>
  <c r="BD1073" i="4"/>
  <c r="BD1064" i="4"/>
  <c r="BD644" i="4"/>
  <c r="BD1747" i="4"/>
  <c r="BD1487" i="4"/>
  <c r="BD684" i="4"/>
  <c r="BD1076" i="4"/>
  <c r="BD988" i="4"/>
  <c r="BD1044" i="4"/>
  <c r="BD442" i="4"/>
  <c r="BD673" i="4"/>
  <c r="BD666" i="4"/>
  <c r="BD1576" i="4"/>
  <c r="BD1886" i="4"/>
  <c r="BD1894" i="4"/>
  <c r="BD971" i="4"/>
  <c r="BD1027" i="4"/>
  <c r="BD1041" i="4"/>
  <c r="BD1018" i="4"/>
  <c r="BD1406" i="4"/>
  <c r="BD1497" i="4"/>
  <c r="BD976" i="4"/>
  <c r="BD950" i="4"/>
  <c r="BD672" i="4"/>
  <c r="BD529" i="4"/>
  <c r="BD1959" i="4"/>
  <c r="BD1121" i="4"/>
  <c r="BD1817" i="4"/>
  <c r="BD1419" i="4"/>
  <c r="BD415" i="4"/>
  <c r="BD384" i="4"/>
  <c r="BD1405" i="4"/>
  <c r="BD1833" i="4"/>
  <c r="BD1019" i="4"/>
  <c r="BD1236" i="4"/>
  <c r="BD1711" i="4"/>
  <c r="BD469" i="4"/>
  <c r="BD945" i="4"/>
  <c r="BD1811" i="4"/>
  <c r="BD1750" i="4"/>
  <c r="BD1034" i="4"/>
  <c r="BD1756" i="4"/>
  <c r="BD360" i="4"/>
  <c r="BD427" i="4"/>
  <c r="BD1451" i="4"/>
  <c r="BD668" i="4"/>
  <c r="BD1071" i="4"/>
  <c r="BD1521" i="4"/>
  <c r="BD1615" i="4"/>
  <c r="BD391" i="4"/>
  <c r="BD392" i="4"/>
  <c r="BD1038" i="4"/>
  <c r="BD546" i="4"/>
  <c r="BD636" i="4"/>
  <c r="BD535" i="4"/>
  <c r="BD359" i="4"/>
  <c r="BD352" i="4"/>
  <c r="BD1962" i="4"/>
  <c r="BD1390" i="4"/>
  <c r="BD1449" i="4"/>
  <c r="BD1922" i="4"/>
  <c r="BD1649" i="4"/>
  <c r="BD1450" i="4"/>
  <c r="BD1522" i="4"/>
  <c r="BD1812" i="4"/>
  <c r="BD1813" i="4"/>
  <c r="BD1762" i="4"/>
  <c r="BD1726" i="4"/>
  <c r="BD1694" i="4"/>
  <c r="BD1048" i="4"/>
  <c r="BD1698" i="4"/>
  <c r="BD1767" i="4"/>
  <c r="BD1757" i="4"/>
  <c r="BD488" i="4"/>
  <c r="BD896" i="4"/>
  <c r="BD646" i="4"/>
  <c r="BD1666" i="4"/>
  <c r="BD928" i="4"/>
  <c r="BD1210" i="4"/>
  <c r="BD387" i="4"/>
  <c r="BD1238" i="4"/>
  <c r="BD1270" i="4"/>
  <c r="BD1271" i="4"/>
  <c r="BD1065" i="4"/>
  <c r="BD1015" i="4"/>
  <c r="BD1637" i="4"/>
  <c r="BD1558" i="4"/>
  <c r="BD365" i="4"/>
  <c r="BD1439" i="4"/>
  <c r="BD1715" i="4"/>
  <c r="BD348" i="4"/>
  <c r="BD1084" i="4"/>
  <c r="BD344" i="4"/>
  <c r="BD1020" i="4"/>
  <c r="BD1021" i="4"/>
  <c r="BD1472" i="4"/>
  <c r="BD954" i="4"/>
  <c r="BD1421" i="4"/>
  <c r="BD982" i="4"/>
  <c r="BD385" i="4"/>
  <c r="BD1546" i="4"/>
  <c r="BD395" i="4"/>
  <c r="BD1371" i="4"/>
  <c r="BD897" i="4"/>
  <c r="BD1821" i="4"/>
  <c r="BD416" i="4"/>
  <c r="BD997" i="4"/>
  <c r="BD555" i="4"/>
  <c r="BD389" i="4"/>
  <c r="BD1687" i="4"/>
  <c r="BD491" i="4"/>
  <c r="BD1091" i="4"/>
  <c r="BD534" i="4"/>
  <c r="BD1606" i="4"/>
  <c r="BD1285" i="4"/>
  <c r="BD1607" i="4"/>
  <c r="BD1741" i="4"/>
  <c r="BD1438" i="4"/>
  <c r="BD1737" i="4"/>
  <c r="BD989" i="4"/>
  <c r="BD647" i="4"/>
  <c r="BD1955" i="4"/>
  <c r="BD659" i="4"/>
  <c r="BD805" i="4"/>
  <c r="BD1068" i="4"/>
  <c r="BD1086" i="4"/>
  <c r="BD1957" i="4"/>
  <c r="BD369" i="4"/>
  <c r="BD1968" i="4"/>
  <c r="BD350" i="4"/>
  <c r="BD998" i="4"/>
  <c r="BD1119" i="4"/>
  <c r="BD351" i="4"/>
  <c r="BD1967" i="4"/>
  <c r="BD881" i="4"/>
  <c r="BD670" i="4"/>
  <c r="BD533" i="4"/>
  <c r="BD1110" i="4"/>
  <c r="BD361" i="4"/>
  <c r="BD1965" i="4"/>
  <c r="BD1383" i="4"/>
  <c r="BD1072" i="4"/>
  <c r="BD771" i="4"/>
  <c r="BD1069" i="4"/>
  <c r="BD1146" i="4"/>
  <c r="BD671" i="4"/>
  <c r="BD1014" i="4"/>
  <c r="BD1379" i="4"/>
  <c r="BD1699" i="4"/>
  <c r="BD1457" i="4"/>
  <c r="BD1963" i="4"/>
  <c r="BD1213" i="4"/>
  <c r="BD1214" i="4"/>
  <c r="BD370" i="4"/>
  <c r="BD852" i="4"/>
  <c r="BD578" i="4"/>
  <c r="BD1195" i="4"/>
  <c r="BD1106" i="4"/>
  <c r="BD1107" i="4"/>
  <c r="BD948" i="4"/>
  <c r="BD648" i="4"/>
  <c r="BD1180" i="4"/>
  <c r="BD1463" i="4"/>
  <c r="BD1464" i="4"/>
  <c r="BD554" i="4"/>
  <c r="BD1196" i="4"/>
  <c r="BD1087" i="4"/>
  <c r="BD1192" i="4"/>
  <c r="BD1077" i="4"/>
  <c r="BD353" i="4"/>
  <c r="BD661" i="4"/>
  <c r="BD662" i="4"/>
  <c r="BD650" i="4"/>
  <c r="BD1239" i="4"/>
  <c r="BD1070" i="4"/>
  <c r="BD400" i="4"/>
  <c r="BD1008" i="4"/>
  <c r="BD1147" i="4"/>
  <c r="BD667" i="4"/>
  <c r="BD343" i="4"/>
  <c r="BD349" i="4"/>
  <c r="BD1002" i="4"/>
  <c r="BD961" i="4"/>
  <c r="BD692" i="4"/>
  <c r="BD1057" i="4"/>
  <c r="BD1952" i="4"/>
  <c r="BD677" i="4"/>
  <c r="BD1181" i="4"/>
  <c r="BD1559" i="4"/>
  <c r="BD381" i="4"/>
  <c r="BD1028" i="4"/>
  <c r="BD1108" i="4"/>
  <c r="BD1109" i="4"/>
  <c r="BD1122" i="4"/>
  <c r="BD551" i="4"/>
  <c r="BD1498" i="4"/>
  <c r="BD1051" i="4"/>
  <c r="BD1130" i="4"/>
  <c r="BD1113" i="4"/>
  <c r="BD1145" i="4"/>
  <c r="BD1029" i="4"/>
  <c r="BD983" i="4"/>
  <c r="BD1220" i="4"/>
  <c r="BD1179" i="4"/>
  <c r="BD1128" i="4"/>
  <c r="BD1215" i="4"/>
  <c r="BD1241" i="4"/>
  <c r="BD374" i="4"/>
  <c r="BD589" i="4"/>
  <c r="BD402" i="4"/>
  <c r="BD1093" i="4"/>
  <c r="BD390" i="4"/>
  <c r="BD1182" i="4"/>
  <c r="BD1090" i="4"/>
  <c r="BD1501" i="4"/>
  <c r="BD1132" i="4"/>
  <c r="BD1510" i="4"/>
  <c r="BD1045" i="4"/>
  <c r="BD1150" i="4"/>
  <c r="BD1167" i="4"/>
  <c r="BD1168" i="4"/>
  <c r="BD1169" i="4"/>
  <c r="BD1430" i="4"/>
  <c r="BD1105" i="4"/>
  <c r="BD676" i="4"/>
  <c r="BD1058" i="4"/>
  <c r="BD1059" i="4"/>
  <c r="BD977" i="4"/>
  <c r="BD386" i="4"/>
  <c r="BD1049" i="4"/>
  <c r="BD1114" i="4"/>
  <c r="BD1115" i="4"/>
  <c r="BD1097" i="4"/>
  <c r="BD1825" i="4"/>
  <c r="BD1024" i="4"/>
  <c r="BD444" i="4"/>
  <c r="BD362" i="4"/>
  <c r="BD1030" i="4"/>
  <c r="BD1331" i="4"/>
  <c r="BD394" i="4"/>
  <c r="BD1104" i="4"/>
  <c r="BD1088" i="4"/>
  <c r="BD492" i="4"/>
  <c r="BD744" i="4"/>
  <c r="BD1062" i="4"/>
  <c r="BD1473" i="4"/>
  <c r="BD1172" i="4"/>
  <c r="BD1333" i="4"/>
  <c r="BD1197" i="4"/>
  <c r="BD1152" i="4"/>
  <c r="BD493" i="4"/>
  <c r="BD1164" i="4"/>
  <c r="BD1245" i="4"/>
  <c r="BD1246" i="4"/>
  <c r="BD549" i="4"/>
  <c r="BD679" i="4"/>
  <c r="BD657" i="4"/>
  <c r="BD1573" i="4"/>
  <c r="BD689" i="4"/>
  <c r="BD1000" i="4"/>
  <c r="BD1001" i="4"/>
  <c r="BD1511" i="4"/>
  <c r="BD378" i="4"/>
  <c r="BD1101" i="4"/>
  <c r="BD1166" i="4"/>
  <c r="BD1170" i="4"/>
  <c r="BD1178" i="4"/>
  <c r="BD1286" i="4"/>
  <c r="BD1861" i="4"/>
  <c r="BD438" i="4"/>
  <c r="BD1234" i="4"/>
  <c r="BD1135" i="4"/>
  <c r="BD588" i="4"/>
  <c r="BD1325" i="4"/>
  <c r="BD428" i="4"/>
  <c r="BD1198" i="4"/>
  <c r="BD680" i="4"/>
  <c r="BD1183" i="4"/>
  <c r="BD1116" i="4"/>
  <c r="BD1089" i="4"/>
  <c r="BD556" i="4"/>
  <c r="BD1078" i="4"/>
  <c r="BD1184" i="4"/>
  <c r="BD590" i="4"/>
  <c r="BD507" i="4"/>
  <c r="BD1046" i="4"/>
  <c r="BD1098" i="4"/>
  <c r="BD363" i="4"/>
  <c r="BD1096" i="4"/>
  <c r="BD1504" i="4"/>
  <c r="BD1199" i="4"/>
  <c r="BD1247" i="4"/>
  <c r="BD1593" i="4"/>
  <c r="BD1133" i="4"/>
  <c r="BD1763" i="4"/>
  <c r="BD1244" i="4"/>
  <c r="BD1153" i="4"/>
  <c r="BD1094" i="4"/>
  <c r="BD441" i="4"/>
  <c r="BD1079" i="4"/>
  <c r="BD599" i="4"/>
  <c r="BD598" i="4"/>
  <c r="BD1176" i="4"/>
  <c r="BD675" i="4"/>
  <c r="BD1705" i="4"/>
  <c r="BD393" i="4"/>
  <c r="BD1240" i="4"/>
  <c r="BD1131" i="4"/>
  <c r="BD1216" i="4"/>
  <c r="BD1053" i="4"/>
  <c r="BD886" i="4"/>
  <c r="BD1512" i="4"/>
  <c r="BD1307" i="4"/>
  <c r="BD1308" i="4"/>
  <c r="BD1314" i="4"/>
  <c r="BD1319" i="4"/>
  <c r="BD1136" i="4"/>
  <c r="BD1287" i="4"/>
  <c r="BD585" i="4"/>
  <c r="BD397" i="4"/>
  <c r="BD1462" i="4"/>
  <c r="BD1217" i="4"/>
  <c r="BD1844" i="4"/>
  <c r="BD1269" i="4"/>
  <c r="BD1095" i="4"/>
  <c r="BD495" i="4"/>
  <c r="BD1099" i="4"/>
  <c r="BD1499" i="4"/>
  <c r="BD1594" i="4"/>
  <c r="BD1036" i="4"/>
  <c r="BD1037" i="4"/>
  <c r="BD1313" i="4"/>
  <c r="BD1315" i="4"/>
  <c r="BD557" i="4"/>
  <c r="BD437" i="4"/>
  <c r="BD1248" i="4"/>
  <c r="BD702" i="4"/>
  <c r="BD703" i="4"/>
  <c r="BD1420" i="4"/>
  <c r="BD1080" i="4"/>
  <c r="BD1735" i="4"/>
  <c r="BD1137" i="4"/>
  <c r="BD1100" i="4"/>
  <c r="BD1298" i="4"/>
  <c r="BD1412" i="4"/>
  <c r="BD1232" i="4"/>
  <c r="BD576" i="4"/>
  <c r="BD1351" i="4"/>
  <c r="BD1200" i="4"/>
  <c r="BD696" i="4"/>
  <c r="BD1223" i="4"/>
  <c r="BD972" i="4"/>
  <c r="BD1211" i="4"/>
  <c r="BD1081" i="4"/>
  <c r="BD1272" i="4"/>
  <c r="BD1275" i="4"/>
  <c r="BD457" i="4"/>
  <c r="BD1173" i="4"/>
  <c r="BD1177" i="4"/>
  <c r="BD439" i="4"/>
  <c r="BD1257" i="4"/>
  <c r="BD1230" i="4"/>
  <c r="BD1047" i="4"/>
  <c r="BD1316" i="4"/>
  <c r="BD1299" i="4"/>
  <c r="BD1337" i="4"/>
  <c r="BD699" i="4"/>
  <c r="BD1595" i="4"/>
  <c r="BD1366" i="4"/>
  <c r="BD600" i="4"/>
  <c r="BD1185" i="4"/>
  <c r="BD409" i="4"/>
  <c r="BD413" i="4"/>
  <c r="BD697" i="4"/>
  <c r="BD563" i="4"/>
  <c r="BD459" i="4"/>
  <c r="BD1280" i="4"/>
  <c r="BD1273" i="4"/>
  <c r="BD1284" i="4"/>
  <c r="BD1233" i="4"/>
  <c r="BD565" i="4"/>
  <c r="BD1702" i="4"/>
  <c r="BD586" i="4"/>
  <c r="BD1032" i="4"/>
  <c r="BD1953" i="4"/>
  <c r="BD1193" i="4"/>
  <c r="BD1201" i="4"/>
  <c r="BD1186" i="4"/>
  <c r="BD1042" i="4"/>
  <c r="BD1154" i="4"/>
  <c r="BD651" i="4"/>
  <c r="BD1224" i="4"/>
  <c r="BD1174" i="4"/>
  <c r="BD1155" i="4"/>
  <c r="BD429" i="4"/>
  <c r="BD1465" i="4"/>
  <c r="BD1225" i="4"/>
  <c r="BD1288" i="4"/>
  <c r="BD1202" i="4"/>
  <c r="BD681" i="4"/>
  <c r="BD1190" i="4"/>
  <c r="BD1309" i="4"/>
  <c r="BD1289" i="4"/>
  <c r="BD1310" i="4"/>
  <c r="BD1231" i="4"/>
  <c r="BD1194" i="4"/>
  <c r="BD1149" i="4"/>
  <c r="BD700" i="4"/>
  <c r="BD1560" i="4"/>
  <c r="BD373" i="4"/>
  <c r="BD1138" i="4"/>
  <c r="BD1243" i="4"/>
  <c r="BD432" i="4"/>
  <c r="BD1258" i="4"/>
  <c r="BD1218" i="4"/>
  <c r="BD1276" i="4"/>
  <c r="BD1156" i="4"/>
  <c r="BD1226" i="4"/>
  <c r="BD1249" i="4"/>
  <c r="BD1187" i="4"/>
  <c r="BD410" i="4"/>
  <c r="BD1237" i="4"/>
  <c r="BD510" i="4"/>
  <c r="BD1373" i="4"/>
  <c r="BD1334" i="4"/>
  <c r="BD490" i="4"/>
  <c r="BD1157" i="4"/>
  <c r="BD1250" i="4"/>
  <c r="BD446" i="4"/>
  <c r="BD1117" i="4"/>
  <c r="BD1554" i="4"/>
  <c r="BD496" i="4"/>
  <c r="BD580" i="4"/>
  <c r="BD1862" i="4"/>
  <c r="BD687" i="4"/>
  <c r="BD1158" i="4"/>
  <c r="BD431" i="4"/>
  <c r="BD1188" i="4"/>
  <c r="BD1203" i="4"/>
  <c r="BD795" i="4"/>
  <c r="BD512" i="4"/>
  <c r="BD1251" i="4"/>
  <c r="BD511" i="4"/>
  <c r="BD1703" i="4"/>
  <c r="BD1539" i="4"/>
  <c r="BD1407" i="4"/>
  <c r="BD1159" i="4"/>
  <c r="BD433" i="4"/>
  <c r="BD1793" i="4"/>
  <c r="BD1352" i="4"/>
  <c r="BD1656" i="4"/>
  <c r="BD1160" i="4"/>
  <c r="BD1540" i="4"/>
  <c r="BD1857" i="4"/>
  <c r="BD497" i="4"/>
  <c r="BD1404" i="4"/>
  <c r="BD571" i="4"/>
  <c r="BD1651" i="4"/>
  <c r="BD422" i="4"/>
  <c r="BD1305" i="4"/>
  <c r="BD1277" i="4"/>
  <c r="BD704" i="4"/>
  <c r="BD1161" i="4"/>
  <c r="BD1139" i="4"/>
  <c r="BD1335" i="4"/>
  <c r="BD417" i="4"/>
  <c r="BD1290" i="4"/>
  <c r="BD485" i="4"/>
  <c r="BD455" i="4"/>
  <c r="BD693" i="4"/>
  <c r="BD456" i="4"/>
  <c r="BD1227" i="4"/>
  <c r="BD674" i="4"/>
  <c r="BD1204" i="4"/>
  <c r="BD1066" i="4"/>
  <c r="BD1345" i="4"/>
  <c r="BD1863" i="4"/>
  <c r="BD423" i="4"/>
  <c r="BD398" i="4"/>
  <c r="BD572" i="4"/>
  <c r="BD731" i="4"/>
  <c r="BD494" i="4"/>
  <c r="BD449" i="4"/>
  <c r="BD1300" i="4"/>
  <c r="BD1742" i="4"/>
  <c r="BD1596" i="4"/>
  <c r="BD1841" i="4"/>
  <c r="BD1822" i="4"/>
  <c r="BD434" i="4"/>
  <c r="BD1323" i="4"/>
  <c r="BD1268" i="4"/>
  <c r="BD1259" i="4"/>
  <c r="BD1205" i="4"/>
  <c r="BD1228" i="4"/>
  <c r="BD1140" i="4"/>
  <c r="BD1175" i="4"/>
  <c r="BD1118" i="4"/>
  <c r="BD1665" i="4"/>
  <c r="BD544" i="4"/>
  <c r="BD1577" i="4"/>
  <c r="BD1533" i="4"/>
  <c r="BD1692" i="4"/>
  <c r="BD405" i="4"/>
  <c r="BD1221" i="4"/>
  <c r="BD1007" i="4"/>
  <c r="BD1442" i="4"/>
  <c r="BD412" i="4"/>
  <c r="BD1525" i="4"/>
  <c r="BD1485" i="4"/>
  <c r="BD1523" i="4"/>
  <c r="BD1082" i="4"/>
  <c r="BD418" i="4"/>
  <c r="BD1229" i="4"/>
  <c r="BD1674" i="4"/>
  <c r="BD1347" i="4"/>
  <c r="BD426" i="4"/>
  <c r="BD1255" i="4"/>
  <c r="BD450" i="4"/>
  <c r="BD682" i="4"/>
  <c r="BD575" i="4"/>
  <c r="BD678" i="4"/>
  <c r="BD1165" i="4"/>
  <c r="BD403" i="4"/>
  <c r="BD424" i="4"/>
  <c r="BD685" i="4"/>
  <c r="BD591" i="4"/>
  <c r="BD1695" i="4"/>
  <c r="BD592" i="4"/>
  <c r="BD593" i="4"/>
  <c r="BD404" i="4"/>
  <c r="BD690" i="4"/>
  <c r="BD1141" i="4"/>
  <c r="BD1260" i="4"/>
  <c r="BD1394" i="4"/>
  <c r="BD1281" i="4"/>
  <c r="BD558" i="4"/>
  <c r="BD1060" i="4"/>
  <c r="BD1083" i="4"/>
  <c r="BD1242" i="4"/>
  <c r="BD1209" i="4"/>
  <c r="BD686" i="4"/>
  <c r="BD443" i="4"/>
  <c r="BD1291" i="4"/>
  <c r="BD1261" i="4"/>
  <c r="BD1389" i="4"/>
  <c r="BD545" i="4"/>
  <c r="BD594" i="4"/>
  <c r="BD1338" i="4"/>
  <c r="BD1626" i="4"/>
  <c r="BD436" i="4"/>
  <c r="BD1669" i="4"/>
  <c r="BD1262" i="4"/>
  <c r="BD1532" i="4"/>
  <c r="BD1263" i="4"/>
  <c r="BD1324" i="4"/>
  <c r="BD1397" i="4"/>
  <c r="BD396" i="4"/>
  <c r="BD1296" i="4"/>
  <c r="BD574" i="4"/>
  <c r="BD382" i="4"/>
  <c r="BD1206" i="4"/>
  <c r="BD1311" i="4"/>
  <c r="BD435" i="4"/>
  <c r="BD984" i="4"/>
  <c r="BD560" i="4"/>
  <c r="BD500" i="4"/>
  <c r="BD579" i="4"/>
  <c r="BD1341" i="4"/>
  <c r="BD1425" i="4"/>
  <c r="BD663" i="4"/>
  <c r="BD513" i="4"/>
  <c r="BD559" i="4"/>
  <c r="BD454" i="4"/>
  <c r="BD1348" i="4"/>
  <c r="BD1467" i="4"/>
  <c r="BD1393" i="4"/>
  <c r="BD1349" i="4"/>
  <c r="BD570" i="4"/>
  <c r="BD460" i="4"/>
  <c r="BD694" i="4"/>
  <c r="BD1294" i="4"/>
  <c r="BD1126" i="4"/>
  <c r="BD1339" i="4"/>
  <c r="BD1436" i="4"/>
  <c r="BD688" i="4"/>
  <c r="BD1972" i="4"/>
  <c r="BD1514" i="4"/>
  <c r="BD1129" i="4"/>
  <c r="BD553" i="4"/>
  <c r="BD855" i="4"/>
  <c r="BD440" i="4"/>
  <c r="BD569" i="4"/>
  <c r="BD407" i="4"/>
  <c r="BD1342" i="4"/>
  <c r="BD683" i="4"/>
  <c r="BD430" i="4"/>
  <c r="BD1565" i="4"/>
  <c r="BD844" i="4"/>
  <c r="BD1317" i="4"/>
  <c r="BD1322" i="4"/>
  <c r="BD1519" i="4"/>
  <c r="BD1292" i="4"/>
  <c r="BD1278" i="4"/>
  <c r="BD1279" i="4"/>
  <c r="BD1297" i="4"/>
  <c r="BD695" i="4"/>
  <c r="BD1264" i="4"/>
  <c r="BD1304" i="4"/>
  <c r="BD452" i="4"/>
  <c r="BD1755" i="4"/>
  <c r="BD1162" i="4"/>
  <c r="BD567" i="4"/>
  <c r="BD1320" i="4"/>
  <c r="BD1265" i="4"/>
  <c r="BD461" i="4"/>
  <c r="BD451" i="4"/>
  <c r="BD963" i="4"/>
  <c r="BD566" i="4"/>
  <c r="BD573" i="4"/>
  <c r="BD1915" i="4"/>
  <c r="BD1340" i="4"/>
  <c r="BD425" i="4"/>
  <c r="BD1207" i="4"/>
  <c r="BD1189" i="4"/>
  <c r="BD1219" i="4"/>
  <c r="BD1171" i="4"/>
  <c r="BD447" i="4"/>
  <c r="BD583" i="4"/>
  <c r="BD411" i="4"/>
  <c r="BD515" i="4"/>
  <c r="BD561" i="4"/>
  <c r="BD419" i="4"/>
  <c r="BD420" i="4"/>
  <c r="BD408" i="4"/>
  <c r="BD1256" i="4"/>
  <c r="BD587" i="4"/>
  <c r="BD1266" i="4"/>
  <c r="BD1301" i="4"/>
  <c r="BD1302" i="4"/>
  <c r="BD406" i="4"/>
  <c r="BD1312" i="4"/>
  <c r="BD1283" i="4"/>
  <c r="BD1293" i="4"/>
  <c r="BD1252" i="4"/>
  <c r="BD453" i="4"/>
  <c r="BD1148" i="4"/>
  <c r="BD514" i="4"/>
  <c r="BD1321" i="4"/>
  <c r="BD1012" i="4"/>
  <c r="BD1054" i="4"/>
  <c r="BD888" i="4"/>
  <c r="BD968" i="4"/>
  <c r="BD1142" i="4"/>
  <c r="BD1143" i="4"/>
  <c r="BD1144" i="4"/>
  <c r="BD568" i="4"/>
  <c r="BD691" i="4"/>
  <c r="BD1061" i="4"/>
  <c r="BD582" i="4"/>
  <c r="BD965" i="4"/>
  <c r="BD1013" i="4"/>
  <c r="BD445" i="4"/>
  <c r="BD1208" i="4"/>
  <c r="BD1743" i="4"/>
  <c r="BD701" i="4"/>
  <c r="BD1031" i="4"/>
  <c r="BD462" i="4"/>
  <c r="BD1354" i="4"/>
  <c r="BD498" i="4"/>
  <c r="BD1346" i="4"/>
  <c r="BD499" i="4"/>
  <c r="BD1303" i="4"/>
  <c r="BD1163" i="4"/>
  <c r="BD705" i="4"/>
  <c r="BD1102" i="4"/>
  <c r="BD501" i="4"/>
  <c r="BD502" i="4"/>
  <c r="BD1353" i="4"/>
  <c r="BD1253" i="4"/>
  <c r="BD595" i="4"/>
  <c r="BD1274" i="4"/>
  <c r="BD503" i="4"/>
  <c r="BD1344" i="4"/>
  <c r="BD1355" i="4"/>
  <c r="BD458" i="4"/>
  <c r="BD421" i="4"/>
  <c r="BD564" i="4"/>
  <c r="BD698" i="4"/>
  <c r="BD577" i="4"/>
  <c r="BD1350" i="4"/>
  <c r="BD1022" i="4"/>
  <c r="BD1664" i="4"/>
  <c r="BD581" i="4"/>
  <c r="BD1050" i="4"/>
  <c r="BD1295" i="4"/>
  <c r="BD1267" i="4"/>
  <c r="BD601" i="4"/>
  <c r="BD1343" i="4"/>
  <c r="BD1254" i="4"/>
  <c r="BD597" i="4"/>
  <c r="BD596" i="4"/>
  <c r="BD584" i="4"/>
  <c r="BD1123" i="4"/>
  <c r="BD602" i="4"/>
  <c r="BD1124" i="4"/>
  <c r="BD1446" i="4"/>
  <c r="BE752" i="4"/>
  <c r="BE1724" i="4"/>
  <c r="BE1795" i="4"/>
  <c r="BE467" i="4"/>
  <c r="BE72" i="4"/>
  <c r="BE1766" i="4"/>
  <c r="BE1789" i="4"/>
  <c r="BE1799" i="4"/>
  <c r="BE1794" i="4"/>
  <c r="BE1891" i="4"/>
  <c r="BE117" i="4"/>
  <c r="BE619" i="4"/>
  <c r="BE1830" i="4"/>
  <c r="BE44" i="4"/>
  <c r="BE69" i="4"/>
  <c r="BE806" i="4"/>
  <c r="BE8" i="4"/>
  <c r="BE105" i="4"/>
  <c r="BE191" i="4"/>
  <c r="BE741" i="4"/>
  <c r="BE70" i="4"/>
  <c r="BE1426" i="4"/>
  <c r="BE3" i="4"/>
  <c r="BE1838" i="4"/>
  <c r="BE145" i="4"/>
  <c r="BE122" i="4"/>
  <c r="BE1655" i="4"/>
  <c r="BE1621" i="4"/>
  <c r="BE603" i="4"/>
  <c r="BE729" i="4"/>
  <c r="BE17" i="4"/>
  <c r="BE16" i="4"/>
  <c r="BE97" i="4"/>
  <c r="BE887" i="4"/>
  <c r="BE86" i="4"/>
  <c r="BE85" i="4"/>
  <c r="BE55" i="4"/>
  <c r="BE65" i="4"/>
  <c r="BE842" i="4"/>
  <c r="BE715" i="4"/>
  <c r="BE1888" i="4"/>
  <c r="BE1778" i="4"/>
  <c r="BE1478" i="4"/>
  <c r="BE1805" i="4"/>
  <c r="BE1777" i="4"/>
  <c r="BE143" i="4"/>
  <c r="BE1477" i="4"/>
  <c r="BE721" i="4"/>
  <c r="BE23" i="4"/>
  <c r="BE22" i="4"/>
  <c r="BE869" i="4"/>
  <c r="BE62" i="4"/>
  <c r="BE1804" i="4"/>
  <c r="BE1384" i="4"/>
  <c r="BE885" i="4"/>
  <c r="BE780" i="4"/>
  <c r="BE1877" i="4"/>
  <c r="BE1797" i="4"/>
  <c r="BE127" i="4"/>
  <c r="BE713" i="4"/>
  <c r="BE123" i="4"/>
  <c r="BE171" i="4"/>
  <c r="BE169" i="4"/>
  <c r="BE1515" i="4"/>
  <c r="BE172" i="4"/>
  <c r="BE79" i="4"/>
  <c r="BE1855" i="4"/>
  <c r="BE89" i="4"/>
  <c r="BE737" i="4"/>
  <c r="BE1870" i="4"/>
  <c r="BE78" i="4"/>
  <c r="BE131" i="4"/>
  <c r="BE6" i="4"/>
  <c r="BE124" i="4"/>
  <c r="BE46" i="4"/>
  <c r="BE114" i="4"/>
  <c r="BE10" i="4"/>
  <c r="BE1680" i="4"/>
  <c r="BE625" i="4"/>
  <c r="BE144" i="4"/>
  <c r="BE1802" i="4"/>
  <c r="BE1801" i="4"/>
  <c r="BE150" i="4"/>
  <c r="BE77" i="4"/>
  <c r="BE1800" i="4"/>
  <c r="BE134" i="4"/>
  <c r="BE42" i="4"/>
  <c r="BE1842" i="4"/>
  <c r="BE1590" i="4"/>
  <c r="BE1670" i="4"/>
  <c r="BE1803" i="4"/>
  <c r="BE34" i="4"/>
  <c r="BE120" i="4"/>
  <c r="BE1934" i="4"/>
  <c r="BE1920" i="4"/>
  <c r="BE707" i="4"/>
  <c r="BE21" i="4"/>
  <c r="BE60" i="4"/>
  <c r="BE1945" i="4"/>
  <c r="BE1944" i="4"/>
  <c r="BE1943" i="4"/>
  <c r="BE1796" i="4"/>
  <c r="BE7" i="4"/>
  <c r="BE82" i="4"/>
  <c r="BE1916" i="4"/>
  <c r="BE1942" i="4"/>
  <c r="BE708" i="4"/>
  <c r="BE59" i="4"/>
  <c r="BE718" i="4"/>
  <c r="BE36" i="4"/>
  <c r="BE1570" i="4"/>
  <c r="BE1949" i="4"/>
  <c r="BE63" i="4"/>
  <c r="BE756" i="4"/>
  <c r="BE740" i="4"/>
  <c r="BE1941" i="4"/>
  <c r="BE1869" i="4"/>
  <c r="BE1935" i="4"/>
  <c r="BE1551" i="4"/>
  <c r="BE802" i="4"/>
  <c r="BE76" i="4"/>
  <c r="BE1929" i="4"/>
  <c r="BE1928" i="4"/>
  <c r="BE1898" i="4"/>
  <c r="BE39" i="4"/>
  <c r="BE12" i="4"/>
  <c r="BE51" i="4"/>
  <c r="BE5" i="4"/>
  <c r="BE1685" i="4"/>
  <c r="BE1456" i="4"/>
  <c r="BE1865" i="4"/>
  <c r="BE58" i="4"/>
  <c r="BE112" i="4"/>
  <c r="BE20" i="4"/>
  <c r="BE14" i="4"/>
  <c r="BE113" i="4"/>
  <c r="BE762" i="4"/>
  <c r="BE727" i="4"/>
  <c r="BE1889" i="4"/>
  <c r="BE1790" i="4"/>
  <c r="BE645" i="4"/>
  <c r="BE1940" i="4"/>
  <c r="BE733" i="4"/>
  <c r="BE49" i="4"/>
  <c r="BE777" i="4"/>
  <c r="BE709" i="4"/>
  <c r="BE746" i="4"/>
  <c r="BE1829" i="4"/>
  <c r="BE83" i="4"/>
  <c r="BE15" i="4"/>
  <c r="BE1668" i="4"/>
  <c r="BE1901" i="4"/>
  <c r="BE1885" i="4"/>
  <c r="BE54" i="4"/>
  <c r="BE1884" i="4"/>
  <c r="BE1883" i="4"/>
  <c r="BE1846" i="4"/>
  <c r="BE1828" i="4"/>
  <c r="BE1712" i="4"/>
  <c r="BE50" i="4"/>
  <c r="BE735" i="4"/>
  <c r="BE9" i="4"/>
  <c r="BE33" i="4"/>
  <c r="BE32" i="4"/>
  <c r="BE13" i="4"/>
  <c r="BE48" i="4"/>
  <c r="BE27" i="4"/>
  <c r="BE745" i="4"/>
  <c r="BE826" i="4"/>
  <c r="BE53" i="4"/>
  <c r="BE732" i="4"/>
  <c r="BE185" i="4"/>
  <c r="BE1569" i="4"/>
  <c r="BE67" i="4"/>
  <c r="BE66" i="4"/>
  <c r="BE772" i="4"/>
  <c r="BE755" i="4"/>
  <c r="BE794" i="4"/>
  <c r="BE1882" i="4"/>
  <c r="BE106" i="4"/>
  <c r="BE74" i="4"/>
  <c r="BE463" i="4"/>
  <c r="BE1878" i="4"/>
  <c r="BE84" i="4"/>
  <c r="BE101" i="4"/>
  <c r="BE1534" i="4"/>
  <c r="BE19" i="4"/>
  <c r="BE18" i="4"/>
  <c r="BE605" i="4"/>
  <c r="BE41" i="4"/>
  <c r="BE1369" i="4"/>
  <c r="BE791" i="4"/>
  <c r="BE45" i="4"/>
  <c r="BE4" i="4"/>
  <c r="BE1897" i="4"/>
  <c r="BE736" i="4"/>
  <c r="BE1881" i="4"/>
  <c r="BE1380" i="4"/>
  <c r="BE165" i="4"/>
  <c r="BE774" i="4"/>
  <c r="BE728" i="4"/>
  <c r="BE1471" i="4"/>
  <c r="BE64" i="4"/>
  <c r="BE742" i="4"/>
  <c r="BE31" i="4"/>
  <c r="BE1556" i="4"/>
  <c r="BE819" i="4"/>
  <c r="BE788" i="4"/>
  <c r="BE764" i="4"/>
  <c r="BE1880" i="4"/>
  <c r="BE75" i="4"/>
  <c r="BE722" i="4"/>
  <c r="BE1879" i="4"/>
  <c r="BE37" i="4"/>
  <c r="BE1720" i="4"/>
  <c r="BE775" i="4"/>
  <c r="BE1374" i="4"/>
  <c r="BE159" i="4"/>
  <c r="BE1716" i="4"/>
  <c r="BE1717" i="4"/>
  <c r="BE1378" i="4"/>
  <c r="BE1440" i="4"/>
  <c r="BE29" i="4"/>
  <c r="BE30" i="4"/>
  <c r="BE1327" i="4"/>
  <c r="BE717" i="4"/>
  <c r="BE817" i="4"/>
  <c r="BE1446" i="4"/>
  <c r="BE1124" i="4"/>
  <c r="BE602" i="4"/>
  <c r="BE1123" i="4"/>
  <c r="BE584" i="4"/>
  <c r="BE596" i="4"/>
  <c r="BE597" i="4"/>
  <c r="BE1254" i="4"/>
  <c r="BE1343" i="4"/>
  <c r="BE601" i="4"/>
  <c r="BE1267" i="4"/>
  <c r="BE1295" i="4"/>
  <c r="BE1050" i="4"/>
  <c r="BE581" i="4"/>
  <c r="BE1664" i="4"/>
  <c r="BE1022" i="4"/>
  <c r="BE1350" i="4"/>
  <c r="BE577" i="4"/>
  <c r="BE698" i="4"/>
  <c r="BE564" i="4"/>
  <c r="BE421" i="4"/>
  <c r="BE458" i="4"/>
  <c r="BE1355" i="4"/>
  <c r="BE1344" i="4"/>
  <c r="BE503" i="4"/>
  <c r="BE1274" i="4"/>
  <c r="BE595" i="4"/>
  <c r="BE1253" i="4"/>
  <c r="BE1353" i="4"/>
  <c r="BE502" i="4"/>
  <c r="BE501" i="4"/>
  <c r="BE1102" i="4"/>
  <c r="BE705" i="4"/>
  <c r="BE1163" i="4"/>
  <c r="BE1303" i="4"/>
  <c r="BE499" i="4"/>
  <c r="BE1346" i="4"/>
  <c r="BE498" i="4"/>
  <c r="BE1354" i="4"/>
  <c r="BE462" i="4"/>
  <c r="BE1031" i="4"/>
  <c r="BE701" i="4"/>
  <c r="BE1743" i="4"/>
  <c r="BE1208" i="4"/>
  <c r="BE445" i="4"/>
  <c r="BE1013" i="4"/>
  <c r="BE965" i="4"/>
  <c r="BE582" i="4"/>
  <c r="BE1061" i="4"/>
  <c r="BE691" i="4"/>
  <c r="BE568" i="4"/>
  <c r="BE1144" i="4"/>
  <c r="BE1143" i="4"/>
  <c r="BE1142" i="4"/>
  <c r="BE968" i="4"/>
  <c r="BE888" i="4"/>
  <c r="BE1054" i="4"/>
  <c r="BE1012" i="4"/>
  <c r="BE1321" i="4"/>
  <c r="BE514" i="4"/>
  <c r="BE1148" i="4"/>
  <c r="BE453" i="4"/>
  <c r="BE1252" i="4"/>
  <c r="BE1293" i="4"/>
  <c r="BE1283" i="4"/>
  <c r="BE1312" i="4"/>
  <c r="BE406" i="4"/>
  <c r="BE1302" i="4"/>
  <c r="BE1301" i="4"/>
  <c r="BE1266" i="4"/>
  <c r="BE587" i="4"/>
  <c r="BE1256" i="4"/>
  <c r="BE408" i="4"/>
  <c r="BE420" i="4"/>
  <c r="BE419" i="4"/>
  <c r="BE561" i="4"/>
  <c r="BE515" i="4"/>
  <c r="BE411" i="4"/>
  <c r="BE583" i="4"/>
  <c r="BE447" i="4"/>
  <c r="BE1171" i="4"/>
  <c r="BE1219" i="4"/>
  <c r="BE1189" i="4"/>
  <c r="BE1207" i="4"/>
  <c r="BE425" i="4"/>
  <c r="BE1340" i="4"/>
  <c r="BE1915" i="4"/>
  <c r="BE573" i="4"/>
  <c r="BE566" i="4"/>
  <c r="BE963" i="4"/>
  <c r="BE451" i="4"/>
  <c r="BE461" i="4"/>
  <c r="BE1265" i="4"/>
  <c r="BE1320" i="4"/>
  <c r="BE567" i="4"/>
  <c r="BE1162" i="4"/>
  <c r="BE1755" i="4"/>
  <c r="BE452" i="4"/>
  <c r="BE1304" i="4"/>
  <c r="BE1264" i="4"/>
  <c r="BE695" i="4"/>
  <c r="BE1297" i="4"/>
  <c r="BE1279" i="4"/>
  <c r="BE1278" i="4"/>
  <c r="BE1292" i="4"/>
  <c r="BE1519" i="4"/>
  <c r="BE1322" i="4"/>
  <c r="BE1317" i="4"/>
  <c r="BE844" i="4"/>
  <c r="BE1565" i="4"/>
  <c r="BE430" i="4"/>
  <c r="BE683" i="4"/>
  <c r="BE1342" i="4"/>
  <c r="BE407" i="4"/>
  <c r="BE569" i="4"/>
  <c r="BE440" i="4"/>
  <c r="BE855" i="4"/>
  <c r="BE553" i="4"/>
  <c r="BE1129" i="4"/>
  <c r="BE1514" i="4"/>
  <c r="BE1972" i="4"/>
  <c r="BE688" i="4"/>
  <c r="BE1436" i="4"/>
  <c r="BE1339" i="4"/>
  <c r="BE1126" i="4"/>
  <c r="BE1294" i="4"/>
  <c r="BE694" i="4"/>
  <c r="BE460" i="4"/>
  <c r="BE570" i="4"/>
  <c r="BE1349" i="4"/>
  <c r="BE1393" i="4"/>
  <c r="BE1467" i="4"/>
  <c r="BE1348" i="4"/>
  <c r="BE454" i="4"/>
  <c r="BE559" i="4"/>
  <c r="BE513" i="4"/>
  <c r="BE663" i="4"/>
  <c r="BE1425" i="4"/>
  <c r="BE1341" i="4"/>
  <c r="BE579" i="4"/>
  <c r="BE500" i="4"/>
  <c r="BE560" i="4"/>
  <c r="BE984" i="4"/>
  <c r="BE435" i="4"/>
  <c r="BE1311" i="4"/>
  <c r="BE1206" i="4"/>
  <c r="BE382" i="4"/>
  <c r="BE574" i="4"/>
  <c r="BE1296" i="4"/>
  <c r="BE396" i="4"/>
  <c r="BE1397" i="4"/>
  <c r="BE1324" i="4"/>
  <c r="BE1263" i="4"/>
  <c r="BE1532" i="4"/>
  <c r="BE1262" i="4"/>
  <c r="BE1669" i="4"/>
  <c r="BE436" i="4"/>
  <c r="BE1626" i="4"/>
  <c r="BE1338" i="4"/>
  <c r="BE594" i="4"/>
  <c r="BE545" i="4"/>
  <c r="BE1389" i="4"/>
  <c r="BE1261" i="4"/>
  <c r="BE1291" i="4"/>
  <c r="BE443" i="4"/>
  <c r="BE686" i="4"/>
  <c r="BE1209" i="4"/>
  <c r="BE1242" i="4"/>
  <c r="BE1083" i="4"/>
  <c r="BE1060" i="4"/>
  <c r="BE558" i="4"/>
  <c r="BE1281" i="4"/>
  <c r="BE1394" i="4"/>
  <c r="BE1260" i="4"/>
  <c r="BE1141" i="4"/>
  <c r="BE690" i="4"/>
  <c r="BE404" i="4"/>
  <c r="BE593" i="4"/>
  <c r="BE592" i="4"/>
  <c r="BE1695" i="4"/>
  <c r="BE591" i="4"/>
  <c r="BE685" i="4"/>
  <c r="BE424" i="4"/>
  <c r="BE403" i="4"/>
  <c r="BE1165" i="4"/>
  <c r="BE678" i="4"/>
  <c r="BE575" i="4"/>
  <c r="BE682" i="4"/>
  <c r="BE450" i="4"/>
  <c r="BE1255" i="4"/>
  <c r="BE426" i="4"/>
  <c r="BE1347" i="4"/>
  <c r="BE1674" i="4"/>
  <c r="BE1229" i="4"/>
  <c r="BE418" i="4"/>
  <c r="BE1082" i="4"/>
  <c r="BE1523" i="4"/>
  <c r="BE1485" i="4"/>
  <c r="BE1525" i="4"/>
  <c r="BE412" i="4"/>
  <c r="BE1442" i="4"/>
  <c r="BE1007" i="4"/>
  <c r="BE1221" i="4"/>
  <c r="BE405" i="4"/>
  <c r="BE1692" i="4"/>
  <c r="BE1533" i="4"/>
  <c r="BE1577" i="4"/>
  <c r="BE544" i="4"/>
  <c r="BE1665" i="4"/>
  <c r="BE1118" i="4"/>
  <c r="BE1175" i="4"/>
  <c r="BE1140" i="4"/>
  <c r="BE1228" i="4"/>
  <c r="BE1205" i="4"/>
  <c r="BE1259" i="4"/>
  <c r="BE1268" i="4"/>
  <c r="BE1323" i="4"/>
  <c r="BE434" i="4"/>
  <c r="BE1822" i="4"/>
  <c r="BE1841" i="4"/>
  <c r="BE1596" i="4"/>
  <c r="BE1742" i="4"/>
  <c r="BE1300" i="4"/>
  <c r="BE449" i="4"/>
  <c r="BE494" i="4"/>
  <c r="BE731" i="4"/>
  <c r="BE572" i="4"/>
  <c r="BE398" i="4"/>
  <c r="BE423" i="4"/>
  <c r="BE1863" i="4"/>
  <c r="BE1345" i="4"/>
  <c r="BE1066" i="4"/>
  <c r="BE1204" i="4"/>
  <c r="BE674" i="4"/>
  <c r="BE1227" i="4"/>
  <c r="BE456" i="4"/>
  <c r="BE693" i="4"/>
  <c r="BE455" i="4"/>
  <c r="BE485" i="4"/>
  <c r="BE1290" i="4"/>
  <c r="BE417" i="4"/>
  <c r="BE1335" i="4"/>
  <c r="BE1139" i="4"/>
  <c r="BE1161" i="4"/>
  <c r="BE704" i="4"/>
  <c r="BE1277" i="4"/>
  <c r="BE1305" i="4"/>
  <c r="BE422" i="4"/>
  <c r="BE1651" i="4"/>
  <c r="BE571" i="4"/>
  <c r="BE1404" i="4"/>
  <c r="BE497" i="4"/>
  <c r="BE1857" i="4"/>
  <c r="BE1540" i="4"/>
  <c r="BE1160" i="4"/>
  <c r="BE1656" i="4"/>
  <c r="BE1352" i="4"/>
  <c r="BE1793" i="4"/>
  <c r="BE433" i="4"/>
  <c r="BE1159" i="4"/>
  <c r="BE1407" i="4"/>
  <c r="BE1539" i="4"/>
  <c r="BE1703" i="4"/>
  <c r="BE511" i="4"/>
  <c r="BE1251" i="4"/>
  <c r="BE512" i="4"/>
  <c r="BE795" i="4"/>
  <c r="BE1203" i="4"/>
  <c r="BE1188" i="4"/>
  <c r="BE431" i="4"/>
  <c r="BE1158" i="4"/>
  <c r="BE687" i="4"/>
  <c r="BE1862" i="4"/>
  <c r="BE580" i="4"/>
  <c r="BE496" i="4"/>
  <c r="BE1554" i="4"/>
  <c r="BE1117" i="4"/>
  <c r="BE446" i="4"/>
  <c r="BE1250" i="4"/>
  <c r="BE1157" i="4"/>
  <c r="BE490" i="4"/>
  <c r="BE1334" i="4"/>
  <c r="BE1373" i="4"/>
  <c r="BE510" i="4"/>
  <c r="BE1237" i="4"/>
  <c r="BE410" i="4"/>
  <c r="BE1187" i="4"/>
  <c r="BE1249" i="4"/>
  <c r="BE1226" i="4"/>
  <c r="BE1156" i="4"/>
  <c r="BE1276" i="4"/>
  <c r="BE1218" i="4"/>
  <c r="BE1258" i="4"/>
  <c r="BE432" i="4"/>
  <c r="BE1243" i="4"/>
  <c r="BE1138" i="4"/>
  <c r="BE373" i="4"/>
  <c r="BE1560" i="4"/>
  <c r="BE700" i="4"/>
  <c r="BE1149" i="4"/>
  <c r="BE1194" i="4"/>
  <c r="BE1231" i="4"/>
  <c r="BE1310" i="4"/>
  <c r="BE1289" i="4"/>
  <c r="BE1309" i="4"/>
  <c r="BE1190" i="4"/>
  <c r="BE681" i="4"/>
  <c r="BE1202" i="4"/>
  <c r="BE1288" i="4"/>
  <c r="BE1225" i="4"/>
  <c r="BE1465" i="4"/>
  <c r="BE429" i="4"/>
  <c r="BE1155" i="4"/>
  <c r="BE1174" i="4"/>
  <c r="BE1224" i="4"/>
  <c r="BE651" i="4"/>
  <c r="BE1154" i="4"/>
  <c r="BE1042" i="4"/>
  <c r="BE1186" i="4"/>
  <c r="BE1201" i="4"/>
  <c r="BE1193" i="4"/>
  <c r="BE1953" i="4"/>
  <c r="BE1032" i="4"/>
  <c r="BE586" i="4"/>
  <c r="BE1702" i="4"/>
  <c r="BE565" i="4"/>
  <c r="BE1233" i="4"/>
  <c r="BE1284" i="4"/>
  <c r="BE1273" i="4"/>
  <c r="BE1280" i="4"/>
  <c r="BE459" i="4"/>
  <c r="BE563" i="4"/>
  <c r="BE697" i="4"/>
  <c r="BE413" i="4"/>
  <c r="BE409" i="4"/>
  <c r="BE1185" i="4"/>
  <c r="BE600" i="4"/>
  <c r="BE1366" i="4"/>
  <c r="BE1595" i="4"/>
  <c r="BE699" i="4"/>
  <c r="BE1337" i="4"/>
  <c r="BE1299" i="4"/>
  <c r="BE1316" i="4"/>
  <c r="BE1047" i="4"/>
  <c r="BE1230" i="4"/>
  <c r="BE1257" i="4"/>
  <c r="BE439" i="4"/>
  <c r="BE1177" i="4"/>
  <c r="BE1173" i="4"/>
  <c r="BE457" i="4"/>
  <c r="BE1275" i="4"/>
  <c r="BE1272" i="4"/>
  <c r="BE1081" i="4"/>
  <c r="BE1211" i="4"/>
  <c r="BE972" i="4"/>
  <c r="BE1223" i="4"/>
  <c r="BE696" i="4"/>
  <c r="BE1200" i="4"/>
  <c r="BE1351" i="4"/>
  <c r="BE576" i="4"/>
  <c r="BE1232" i="4"/>
  <c r="BE1412" i="4"/>
  <c r="BE1298" i="4"/>
  <c r="BE1100" i="4"/>
  <c r="BE1137" i="4"/>
  <c r="BE1735" i="4"/>
  <c r="BE1080" i="4"/>
  <c r="BE1420" i="4"/>
  <c r="BE703" i="4"/>
  <c r="BE702" i="4"/>
  <c r="BE1248" i="4"/>
  <c r="BE437" i="4"/>
  <c r="BE557" i="4"/>
  <c r="BE1315" i="4"/>
  <c r="BE1313" i="4"/>
  <c r="BE1037" i="4"/>
  <c r="BE1036" i="4"/>
  <c r="BE1594" i="4"/>
  <c r="BE1499" i="4"/>
  <c r="BE1099" i="4"/>
  <c r="BE495" i="4"/>
  <c r="BE1095" i="4"/>
  <c r="BE1269" i="4"/>
  <c r="BE1844" i="4"/>
  <c r="BE1217" i="4"/>
  <c r="BE1462" i="4"/>
  <c r="BE397" i="4"/>
  <c r="BE585" i="4"/>
  <c r="BE1287" i="4"/>
  <c r="BE1136" i="4"/>
  <c r="BE1319" i="4"/>
  <c r="BE1314" i="4"/>
  <c r="BE1308" i="4"/>
  <c r="BE1307" i="4"/>
  <c r="BE1512" i="4"/>
  <c r="BE886" i="4"/>
  <c r="BE1053" i="4"/>
  <c r="BE1216" i="4"/>
  <c r="BE1131" i="4"/>
  <c r="BE1240" i="4"/>
  <c r="BE393" i="4"/>
  <c r="BE1705" i="4"/>
  <c r="BE675" i="4"/>
  <c r="BE1176" i="4"/>
  <c r="BE598" i="4"/>
  <c r="BE599" i="4"/>
  <c r="BE1079" i="4"/>
  <c r="BE441" i="4"/>
  <c r="BE1094" i="4"/>
  <c r="BE1153" i="4"/>
  <c r="BE1244" i="4"/>
  <c r="BE1763" i="4"/>
  <c r="BE1133" i="4"/>
  <c r="BE1593" i="4"/>
  <c r="BE1247" i="4"/>
  <c r="BE1199" i="4"/>
  <c r="BE1504" i="4"/>
  <c r="BE1096" i="4"/>
  <c r="BE363" i="4"/>
  <c r="BE1098" i="4"/>
  <c r="BE1046" i="4"/>
  <c r="BE507" i="4"/>
  <c r="BE590" i="4"/>
  <c r="BE1184" i="4"/>
  <c r="BE1078" i="4"/>
  <c r="BE556" i="4"/>
  <c r="BE1089" i="4"/>
  <c r="BE1116" i="4"/>
  <c r="BE1183" i="4"/>
  <c r="BE680" i="4"/>
  <c r="BE1198" i="4"/>
  <c r="BE428" i="4"/>
  <c r="BE1325" i="4"/>
  <c r="BE588" i="4"/>
  <c r="BE1135" i="4"/>
  <c r="BE1234" i="4"/>
  <c r="BE438" i="4"/>
  <c r="BE1861" i="4"/>
  <c r="BE1286" i="4"/>
  <c r="BE1178" i="4"/>
  <c r="BE1170" i="4"/>
  <c r="BE1166" i="4"/>
  <c r="BE1101" i="4"/>
  <c r="BE378" i="4"/>
  <c r="BE1511" i="4"/>
  <c r="BE1001" i="4"/>
  <c r="BE1000" i="4"/>
  <c r="BE689" i="4"/>
  <c r="BE1573" i="4"/>
  <c r="BE657" i="4"/>
  <c r="BE679" i="4"/>
  <c r="BE549" i="4"/>
  <c r="BE1246" i="4"/>
  <c r="BE1245" i="4"/>
  <c r="BE1164" i="4"/>
  <c r="BE493" i="4"/>
  <c r="BE1152" i="4"/>
  <c r="BE1197" i="4"/>
  <c r="BE1333" i="4"/>
  <c r="BE1172" i="4"/>
  <c r="BE1473" i="4"/>
  <c r="BE1062" i="4"/>
  <c r="BE744" i="4"/>
  <c r="BE492" i="4"/>
  <c r="BE1088" i="4"/>
  <c r="BE1104" i="4"/>
  <c r="BE394" i="4"/>
  <c r="BE1331" i="4"/>
  <c r="BE1030" i="4"/>
  <c r="BE362" i="4"/>
  <c r="BE444" i="4"/>
  <c r="BE1024" i="4"/>
  <c r="BE1825" i="4"/>
  <c r="BE1097" i="4"/>
  <c r="BE1115" i="4"/>
  <c r="BE1114" i="4"/>
  <c r="BE1049" i="4"/>
  <c r="BE386" i="4"/>
  <c r="BE977" i="4"/>
  <c r="BE1059" i="4"/>
  <c r="BE1058" i="4"/>
  <c r="BE676" i="4"/>
  <c r="BE1105" i="4"/>
  <c r="BE1430" i="4"/>
  <c r="BE1169" i="4"/>
  <c r="BE1168" i="4"/>
  <c r="BE1167" i="4"/>
  <c r="BE1150" i="4"/>
  <c r="BE1045" i="4"/>
  <c r="BE1510" i="4"/>
  <c r="BE1132" i="4"/>
  <c r="BE1501" i="4"/>
  <c r="BE1090" i="4"/>
  <c r="BE1182" i="4"/>
  <c r="BE390" i="4"/>
  <c r="BE1093" i="4"/>
  <c r="BE402" i="4"/>
  <c r="BE589" i="4"/>
  <c r="BE374" i="4"/>
  <c r="BE1241" i="4"/>
  <c r="BE1215" i="4"/>
  <c r="BE1128" i="4"/>
  <c r="BE1179" i="4"/>
  <c r="BE1220" i="4"/>
  <c r="BE983" i="4"/>
  <c r="BE1029" i="4"/>
  <c r="BE1145" i="4"/>
  <c r="BE1113" i="4"/>
  <c r="BE1130" i="4"/>
  <c r="BE1051" i="4"/>
  <c r="BE1498" i="4"/>
  <c r="BE551" i="4"/>
  <c r="BE1122" i="4"/>
  <c r="BE1109" i="4"/>
  <c r="BE1108" i="4"/>
  <c r="BE1028" i="4"/>
  <c r="BE381" i="4"/>
  <c r="BE1559" i="4"/>
  <c r="BE1181" i="4"/>
  <c r="BE677" i="4"/>
  <c r="BE1952" i="4"/>
  <c r="BE1057" i="4"/>
  <c r="BE692" i="4"/>
  <c r="BE961" i="4"/>
  <c r="BE1002" i="4"/>
  <c r="BE349" i="4"/>
  <c r="BE343" i="4"/>
  <c r="BE667" i="4"/>
  <c r="BE1147" i="4"/>
  <c r="BE1008" i="4"/>
  <c r="BE400" i="4"/>
  <c r="BE1070" i="4"/>
  <c r="BE1239" i="4"/>
  <c r="BE650" i="4"/>
  <c r="BE662" i="4"/>
  <c r="BE661" i="4"/>
  <c r="BE353" i="4"/>
  <c r="BE1077" i="4"/>
  <c r="BE1192" i="4"/>
  <c r="BE1087" i="4"/>
  <c r="BE1196" i="4"/>
  <c r="BE554" i="4"/>
  <c r="BE1464" i="4"/>
  <c r="BE1463" i="4"/>
  <c r="BE1180" i="4"/>
  <c r="BE648" i="4"/>
  <c r="BE948" i="4"/>
  <c r="BE1107" i="4"/>
  <c r="BE1106" i="4"/>
  <c r="BE1195" i="4"/>
  <c r="BE578" i="4"/>
  <c r="BE852" i="4"/>
  <c r="BE370" i="4"/>
  <c r="BE1214" i="4"/>
  <c r="BE1213" i="4"/>
  <c r="BE1963" i="4"/>
  <c r="BE1457" i="4"/>
  <c r="BE1699" i="4"/>
  <c r="BE1379" i="4"/>
  <c r="BE1014" i="4"/>
  <c r="BE671" i="4"/>
  <c r="BE1146" i="4"/>
  <c r="BE1069" i="4"/>
  <c r="BE771" i="4"/>
  <c r="BE1072" i="4"/>
  <c r="BE1383" i="4"/>
  <c r="BE1965" i="4"/>
  <c r="BE361" i="4"/>
  <c r="BE1110" i="4"/>
  <c r="BE533" i="4"/>
  <c r="BE670" i="4"/>
  <c r="BE881" i="4"/>
  <c r="BE1967" i="4"/>
  <c r="BE351" i="4"/>
  <c r="BE1119" i="4"/>
  <c r="BE998" i="4"/>
  <c r="BE350" i="4"/>
  <c r="BE1968" i="4"/>
  <c r="BE369" i="4"/>
  <c r="BE1957" i="4"/>
  <c r="BE1086" i="4"/>
  <c r="BE1068" i="4"/>
  <c r="BE805" i="4"/>
  <c r="BE659" i="4"/>
  <c r="BE1955" i="4"/>
  <c r="BE647" i="4"/>
  <c r="BE989" i="4"/>
  <c r="BE1737" i="4"/>
  <c r="BE1438" i="4"/>
  <c r="BE1741" i="4"/>
  <c r="BE1607" i="4"/>
  <c r="BE1285" i="4"/>
  <c r="BE1606" i="4"/>
  <c r="BE534" i="4"/>
  <c r="BE1091" i="4"/>
  <c r="BE491" i="4"/>
  <c r="BE1687" i="4"/>
  <c r="BE389" i="4"/>
  <c r="BE555" i="4"/>
  <c r="BE997" i="4"/>
  <c r="BE416" i="4"/>
  <c r="BE1821" i="4"/>
  <c r="BE897" i="4"/>
  <c r="BE1371" i="4"/>
  <c r="BE395" i="4"/>
  <c r="BE1546" i="4"/>
  <c r="BE385" i="4"/>
  <c r="BE982" i="4"/>
  <c r="BE1421" i="4"/>
  <c r="BE954" i="4"/>
  <c r="BE1472" i="4"/>
  <c r="BE1021" i="4"/>
  <c r="BE1020" i="4"/>
  <c r="BE344" i="4"/>
  <c r="BE1084" i="4"/>
  <c r="BE348" i="4"/>
  <c r="BE1715" i="4"/>
  <c r="BE1439" i="4"/>
  <c r="BE365" i="4"/>
  <c r="BE1558" i="4"/>
  <c r="BE1637" i="4"/>
  <c r="BE1015" i="4"/>
  <c r="BE1065" i="4"/>
  <c r="BE1271" i="4"/>
  <c r="BE1270" i="4"/>
  <c r="BE1238" i="4"/>
  <c r="BE387" i="4"/>
  <c r="BE1210" i="4"/>
  <c r="BE928" i="4"/>
  <c r="BE1666" i="4"/>
  <c r="BE646" i="4"/>
  <c r="BE896" i="4"/>
  <c r="BE488" i="4"/>
  <c r="BE1757" i="4"/>
  <c r="BE1767" i="4"/>
  <c r="BE1698" i="4"/>
  <c r="BE1048" i="4"/>
  <c r="BE1694" i="4"/>
  <c r="BE1726" i="4"/>
  <c r="BE1762" i="4"/>
  <c r="BE1813" i="4"/>
  <c r="BE1812" i="4"/>
  <c r="BE1522" i="4"/>
  <c r="BE1450" i="4"/>
  <c r="BE1649" i="4"/>
  <c r="BE1922" i="4"/>
  <c r="BE1449" i="4"/>
  <c r="BE1390" i="4"/>
  <c r="BE1962" i="4"/>
  <c r="BE352" i="4"/>
  <c r="BE359" i="4"/>
  <c r="BE535" i="4"/>
  <c r="BE636" i="4"/>
  <c r="BE546" i="4"/>
  <c r="BE1038" i="4"/>
  <c r="BE392" i="4"/>
  <c r="BE391" i="4"/>
  <c r="BE1615" i="4"/>
  <c r="BE1521" i="4"/>
  <c r="BE1071" i="4"/>
  <c r="BE668" i="4"/>
  <c r="BE1451" i="4"/>
  <c r="BE427" i="4"/>
  <c r="BE360" i="4"/>
  <c r="BE1756" i="4"/>
  <c r="BE1034" i="4"/>
  <c r="BE1750" i="4"/>
  <c r="BE1811" i="4"/>
  <c r="BE945" i="4"/>
  <c r="BE469" i="4"/>
  <c r="BE1711" i="4"/>
  <c r="BE1236" i="4"/>
  <c r="BE1019" i="4"/>
  <c r="BE1833" i="4"/>
  <c r="BE1405" i="4"/>
  <c r="BE384" i="4"/>
  <c r="BE415" i="4"/>
  <c r="BE1419" i="4"/>
  <c r="BE1817" i="4"/>
  <c r="BE1121" i="4"/>
  <c r="BE1959" i="4"/>
  <c r="BE529" i="4"/>
  <c r="BE672" i="4"/>
  <c r="BE950" i="4"/>
  <c r="BE976" i="4"/>
  <c r="BE1497" i="4"/>
  <c r="BE1406" i="4"/>
  <c r="BE1018" i="4"/>
  <c r="BE1041" i="4"/>
  <c r="BE1027" i="4"/>
  <c r="BE971" i="4"/>
  <c r="BE1894" i="4"/>
  <c r="BE1886" i="4"/>
  <c r="BE1576" i="4"/>
  <c r="BE666" i="4"/>
  <c r="BE673" i="4"/>
  <c r="BE442" i="4"/>
  <c r="BE1044" i="4"/>
  <c r="BE988" i="4"/>
  <c r="BE1076" i="4"/>
  <c r="BE684" i="4"/>
  <c r="BE1487" i="4"/>
  <c r="BE1747" i="4"/>
  <c r="BE644" i="4"/>
  <c r="BE1064" i="4"/>
  <c r="BE1073" i="4"/>
  <c r="BE484" i="4"/>
  <c r="BE1887" i="4"/>
  <c r="BE368" i="4"/>
  <c r="BE981" i="4"/>
  <c r="BE1134" i="4"/>
  <c r="BE1067" i="4"/>
  <c r="BE388" i="4"/>
  <c r="BE1063" i="4"/>
  <c r="BE1103" i="4"/>
  <c r="BE1437" i="4"/>
  <c r="BE1536" i="4"/>
  <c r="BE540" i="4"/>
  <c r="BE310" i="4"/>
  <c r="BE665" i="4"/>
  <c r="BE664" i="4"/>
  <c r="BE1733" i="4"/>
  <c r="BE414" i="4"/>
  <c r="BE1403" i="4"/>
  <c r="BE1011" i="4"/>
  <c r="BE487" i="4"/>
  <c r="BE489" i="4"/>
  <c r="BE1572" i="4"/>
  <c r="BE1433" i="4"/>
  <c r="BE401" i="4"/>
  <c r="BE1422" i="4"/>
  <c r="BE1852" i="4"/>
  <c r="BE1191" i="4"/>
  <c r="BE1112" i="4"/>
  <c r="BE1509" i="4"/>
  <c r="BE1039" i="4"/>
  <c r="BE1508" i="4"/>
  <c r="BE1017" i="4"/>
  <c r="BE1524" i="4"/>
  <c r="BE367" i="4"/>
  <c r="BE816" i="4"/>
  <c r="BE1151" i="4"/>
  <c r="BE1085" i="4"/>
  <c r="BE383" i="4"/>
  <c r="BE1092" i="4"/>
  <c r="BE552" i="4"/>
  <c r="BE943" i="4"/>
  <c r="BE739" i="4"/>
  <c r="BE1483" i="4"/>
  <c r="BE1600" i="4"/>
  <c r="BE1357" i="4"/>
  <c r="BE964" i="4"/>
  <c r="BE1535" i="4"/>
  <c r="BE1765" i="4"/>
  <c r="BE1111" i="4"/>
  <c r="BE1612" i="4"/>
  <c r="BE1581" i="4"/>
  <c r="BE1235" i="4"/>
  <c r="BE356" i="4"/>
  <c r="BE358" i="4"/>
  <c r="BE1749" i="4"/>
  <c r="BE1919" i="4"/>
  <c r="BE1808" i="4"/>
  <c r="BE1006" i="4"/>
  <c r="BE542" i="4"/>
  <c r="BE332" i="4"/>
  <c r="BE990" i="4"/>
  <c r="BE975" i="4"/>
  <c r="BE967" i="4"/>
  <c r="BE1075" i="4"/>
  <c r="BE346" i="4"/>
  <c r="BE309" i="4"/>
  <c r="BE1780" i="4"/>
  <c r="BE1025" i="4"/>
  <c r="BE1445" i="4"/>
  <c r="BE308" i="4"/>
  <c r="BE652" i="4"/>
  <c r="BE996" i="4"/>
  <c r="BE1761" i="4"/>
  <c r="BE1914" i="4"/>
  <c r="BE1654" i="4"/>
  <c r="BE1016" i="4"/>
  <c r="BE339" i="4"/>
  <c r="BE973" i="4"/>
  <c r="BE1638" i="4"/>
  <c r="BE504" i="4"/>
  <c r="BE1212" i="4"/>
  <c r="BE1282" i="4"/>
  <c r="BE669" i="4"/>
  <c r="BE660" i="4"/>
  <c r="BE1641" i="4"/>
  <c r="BE999" i="4"/>
  <c r="BE539" i="4"/>
  <c r="BE995" i="4"/>
  <c r="BE1023" i="4"/>
  <c r="BE966" i="4"/>
  <c r="BE1396" i="4"/>
  <c r="BE1074" i="4"/>
  <c r="BE547" i="4"/>
  <c r="BE1779" i="4"/>
  <c r="BE980" i="4"/>
  <c r="BE505" i="4"/>
  <c r="BE1810" i="4"/>
  <c r="BE1725" i="4"/>
  <c r="BE1496" i="4"/>
  <c r="BE323" i="4"/>
  <c r="BE1622" i="4"/>
  <c r="BE1453" i="4"/>
  <c r="BE902" i="4"/>
  <c r="BE366" i="4"/>
  <c r="BE994" i="4"/>
  <c r="BE641" i="4"/>
  <c r="BE1026" i="4"/>
  <c r="BE1746" i="4"/>
  <c r="BE656" i="4"/>
  <c r="BE1745" i="4"/>
  <c r="BE338" i="4"/>
  <c r="BE1056" i="4"/>
  <c r="BE528" i="4"/>
  <c r="BE1222" i="4"/>
  <c r="BE1775" i="4"/>
  <c r="BE1686" i="4"/>
  <c r="BE1732" i="4"/>
  <c r="BE334" i="4"/>
  <c r="BE658" i="4"/>
  <c r="BE942" i="4"/>
  <c r="BE941" i="4"/>
  <c r="BE1683" i="4"/>
  <c r="BE1636" i="4"/>
  <c r="BE486" i="4"/>
  <c r="BE884" i="4"/>
  <c r="BE474" i="4"/>
  <c r="BE1706" i="4"/>
  <c r="BE1896" i="4"/>
  <c r="BE960" i="4"/>
  <c r="BE655" i="4"/>
  <c r="BE333" i="4"/>
  <c r="BE1625" i="4"/>
  <c r="BE550" i="4"/>
  <c r="BE1448" i="4"/>
  <c r="BE1507" i="4"/>
  <c r="BE355" i="4"/>
  <c r="BE1392" i="4"/>
  <c r="BE477" i="4"/>
  <c r="BE379" i="4"/>
  <c r="BE792" i="4"/>
  <c r="BE955" i="4"/>
  <c r="BE1010" i="4"/>
  <c r="BE1913" i="4"/>
  <c r="BE1336" i="4"/>
  <c r="BE1318" i="4"/>
  <c r="BE312" i="4"/>
  <c r="BE1787" i="4"/>
  <c r="BE1912" i="4"/>
  <c r="BE1005" i="4"/>
  <c r="BE297" i="4"/>
  <c r="BE1518" i="4"/>
  <c r="BE1528" i="4"/>
  <c r="BE372" i="4"/>
  <c r="BE302" i="4"/>
  <c r="BE301" i="4"/>
  <c r="BE1610" i="4"/>
  <c r="BE643" i="4"/>
  <c r="BE331" i="4"/>
  <c r="BE543" i="4"/>
  <c r="BE957" i="4"/>
  <c r="BE1860" i="4"/>
  <c r="BE1004" i="4"/>
  <c r="BE347" i="4"/>
  <c r="BE623" i="4"/>
  <c r="BE848" i="4"/>
  <c r="BE371" i="4"/>
  <c r="BE1452" i="4"/>
  <c r="BE1033" i="4"/>
  <c r="BE878" i="4"/>
  <c r="BE1009" i="4"/>
  <c r="BE630" i="4"/>
  <c r="BE478" i="4"/>
  <c r="BE1411" i="4"/>
  <c r="BE506" i="4"/>
  <c r="BE1441" i="4"/>
  <c r="BE1602" i="4"/>
  <c r="BE1052" i="4"/>
  <c r="BE562" i="4"/>
  <c r="BE720" i="4"/>
  <c r="BE1372" i="4"/>
  <c r="BE1561" i="4"/>
  <c r="BE1482" i="4"/>
  <c r="BE910" i="4"/>
  <c r="BE909" i="4"/>
  <c r="BE1682" i="4"/>
  <c r="BE935" i="4"/>
  <c r="BE969" i="4"/>
  <c r="BE901" i="4"/>
  <c r="BE1127" i="4"/>
  <c r="BE376" i="4"/>
  <c r="BE1701" i="4"/>
  <c r="BE1537" i="4"/>
  <c r="BE399" i="4"/>
  <c r="BE1428" i="4"/>
  <c r="BE377" i="4"/>
  <c r="BE1603" i="4"/>
  <c r="BE893" i="4"/>
  <c r="BE536" i="4"/>
  <c r="BE1413" i="4"/>
  <c r="BE1635" i="4"/>
  <c r="BE1659" i="4"/>
  <c r="BE337" i="4"/>
  <c r="BE340" i="4"/>
  <c r="BE475" i="4"/>
  <c r="BE1806" i="4"/>
  <c r="BE912" i="4"/>
  <c r="BE1488" i="4"/>
  <c r="BE1648" i="4"/>
  <c r="BE1460" i="4"/>
  <c r="BE938" i="4"/>
  <c r="BE953" i="4"/>
  <c r="BE471" i="4"/>
  <c r="BE1388" i="4"/>
  <c r="BE979" i="4"/>
  <c r="BE1502" i="4"/>
  <c r="BE1120" i="4"/>
  <c r="BE319" i="4"/>
  <c r="BE318" i="4"/>
  <c r="BE1461" i="4"/>
  <c r="BE922" i="4"/>
  <c r="BE531" i="4"/>
  <c r="BE548" i="4"/>
  <c r="BE653" i="4"/>
  <c r="BE1582" i="4"/>
  <c r="BE951" i="4"/>
  <c r="BE987" i="4"/>
  <c r="BE1431" i="4"/>
  <c r="BE1385" i="4"/>
  <c r="BE1700" i="4"/>
  <c r="BE1744" i="4"/>
  <c r="BE934" i="4"/>
  <c r="BE1931" i="4"/>
  <c r="BE305" i="4"/>
  <c r="BE649" i="4"/>
  <c r="BE1605" i="4"/>
  <c r="BE1939" i="4"/>
  <c r="BE1040" i="4"/>
  <c r="BE1923" i="4"/>
  <c r="BE833" i="4"/>
  <c r="BE930" i="4"/>
  <c r="BE911" i="4"/>
  <c r="BE974" i="4"/>
  <c r="BE1495" i="4"/>
  <c r="BE380" i="4"/>
  <c r="BE328" i="4"/>
  <c r="BE1356" i="4"/>
  <c r="BE326" i="4"/>
  <c r="BE952" i="4"/>
  <c r="BE1377" i="4"/>
  <c r="BE1444" i="4"/>
  <c r="BE325" i="4"/>
  <c r="BE1410" i="4"/>
  <c r="BE1754" i="4"/>
  <c r="BE316" i="4"/>
  <c r="BE1382" i="4"/>
  <c r="BE1574" i="4"/>
  <c r="BE1874" i="4"/>
  <c r="BE1823" i="4"/>
  <c r="BE1816" i="4"/>
  <c r="BE923" i="4"/>
  <c r="BE516" i="4"/>
  <c r="BE306" i="4"/>
  <c r="BE616" i="4"/>
  <c r="BE1552" i="4"/>
  <c r="BE1893" i="4"/>
  <c r="BE1951" i="4"/>
  <c r="BE1784" i="4"/>
  <c r="BE1579" i="4"/>
  <c r="BE1563" i="4"/>
  <c r="BE1791" i="4"/>
  <c r="BE1568" i="4"/>
  <c r="BE932" i="4"/>
  <c r="BE317" i="4"/>
  <c r="BE1798" i="4"/>
  <c r="BE635" i="4"/>
  <c r="BE1864" i="4"/>
  <c r="BE1851" i="4"/>
  <c r="BE1399" i="4"/>
  <c r="BE1658" i="4"/>
  <c r="BE1604" i="4"/>
  <c r="BE1542" i="4"/>
  <c r="BE1722" i="4"/>
  <c r="BE293" i="4"/>
  <c r="BE944" i="4"/>
  <c r="BE1653" i="4"/>
  <c r="BE300" i="4"/>
  <c r="BE1650" i="4"/>
  <c r="BE860" i="4"/>
  <c r="BE321" i="4"/>
  <c r="BE654" i="4"/>
  <c r="BE856" i="4"/>
  <c r="BE219" i="4"/>
  <c r="BE299" i="4"/>
  <c r="BE1707" i="4"/>
  <c r="BE813" i="4"/>
  <c r="BE296" i="4"/>
  <c r="BE1365" i="4"/>
  <c r="BE295" i="4"/>
  <c r="BE991" i="4"/>
  <c r="BE947" i="4"/>
  <c r="BE1553" i="4"/>
  <c r="BE917" i="4"/>
  <c r="BE929" i="4"/>
  <c r="BE1644" i="4"/>
  <c r="BE1661" i="4"/>
  <c r="BE836" i="4"/>
  <c r="BE970" i="4"/>
  <c r="BE1125" i="4"/>
  <c r="BE962" i="4"/>
  <c r="BE986" i="4"/>
  <c r="BE1376" i="4"/>
  <c r="BE919" i="4"/>
  <c r="BE1500" i="4"/>
  <c r="BE281" i="4"/>
  <c r="BE1714" i="4"/>
  <c r="BE933" i="4"/>
  <c r="BE1774" i="4"/>
  <c r="BE949" i="4"/>
  <c r="BE877" i="4"/>
  <c r="BE1856" i="4"/>
  <c r="BE1693" i="4"/>
  <c r="BE1545" i="4"/>
  <c r="BE940" i="4"/>
  <c r="BE330" i="4"/>
  <c r="BE629" i="4"/>
  <c r="BE307" i="4"/>
  <c r="BE1589" i="4"/>
  <c r="BE277" i="4"/>
  <c r="BE291" i="4"/>
  <c r="BE518" i="4"/>
  <c r="BE1549" i="4"/>
  <c r="BE304" i="4"/>
  <c r="BE937" i="4"/>
  <c r="BE342" i="4"/>
  <c r="BE904" i="4"/>
  <c r="BE294" i="4"/>
  <c r="BE1903" i="4"/>
  <c r="BE931" i="4"/>
  <c r="BE521" i="4"/>
  <c r="BE520" i="4"/>
  <c r="BE776" i="4"/>
  <c r="BE473" i="4"/>
  <c r="BE482" i="4"/>
  <c r="BE618" i="4"/>
  <c r="BE1902" i="4"/>
  <c r="BE793" i="4"/>
  <c r="BE336" i="4"/>
  <c r="BE324" i="4"/>
  <c r="BE1592" i="4"/>
  <c r="BE532" i="4"/>
  <c r="BE275" i="4"/>
  <c r="BE642" i="4"/>
  <c r="BE483" i="4"/>
  <c r="BE832" i="4"/>
  <c r="BE1043" i="4"/>
  <c r="BE1306" i="4"/>
  <c r="BE1966" i="4"/>
  <c r="BE626" i="4"/>
  <c r="BE1493" i="4"/>
  <c r="BE235" i="4"/>
  <c r="BE993" i="4"/>
  <c r="BE1003" i="4"/>
  <c r="BE921" i="4"/>
  <c r="BE1492" i="4"/>
  <c r="BE1845" i="4"/>
  <c r="BE1601" i="4"/>
  <c r="BE1363" i="4"/>
  <c r="BE480" i="4"/>
  <c r="BE257" i="4"/>
  <c r="BE1364" i="4"/>
  <c r="BE1713" i="4"/>
  <c r="BE786" i="4"/>
  <c r="BE936" i="4"/>
  <c r="BE978" i="4"/>
  <c r="BE1481" i="4"/>
  <c r="BE329" i="4"/>
  <c r="BE289" i="4"/>
  <c r="BE992" i="4"/>
  <c r="BE1704" i="4"/>
  <c r="BE1531" i="4"/>
  <c r="BE1614" i="4"/>
  <c r="BE314" i="4"/>
  <c r="BE1788" i="4"/>
  <c r="BE958" i="4"/>
  <c r="BE916" i="4"/>
  <c r="BE298" i="4"/>
  <c r="BE1326" i="4"/>
  <c r="BE282" i="4"/>
  <c r="BE470" i="4"/>
  <c r="BE254" i="4"/>
  <c r="BE1435" i="4"/>
  <c r="BE476" i="4"/>
  <c r="BE628" i="4"/>
  <c r="BE1055" i="4"/>
  <c r="BE1783" i="4"/>
  <c r="BE1760" i="4"/>
  <c r="BE1691" i="4"/>
  <c r="BE748" i="4"/>
  <c r="BE315" i="4"/>
  <c r="BE820" i="4"/>
  <c r="BE1360" i="4"/>
  <c r="BE1853" i="4"/>
  <c r="BE522" i="4"/>
  <c r="BE1387" i="4"/>
  <c r="BE1530" i="4"/>
  <c r="BE468" i="4"/>
  <c r="BE272" i="4"/>
  <c r="BE322" i="4"/>
  <c r="BE889" i="4"/>
  <c r="BE1868" i="4"/>
  <c r="BE263" i="4"/>
  <c r="BE341" i="4"/>
  <c r="BE320" i="4"/>
  <c r="BE920" i="4"/>
  <c r="BE1663" i="4"/>
  <c r="BE276" i="4"/>
  <c r="BE1876" i="4"/>
  <c r="BE99" i="4"/>
  <c r="BE892" i="4"/>
  <c r="BE1859" i="4"/>
  <c r="BE537" i="4"/>
  <c r="BE1423" i="4"/>
  <c r="BE1673" i="4"/>
  <c r="BE1734" i="4"/>
  <c r="BE1566" i="4"/>
  <c r="BE1526" i="4"/>
  <c r="BE1973" i="4"/>
  <c r="BE345" i="4"/>
  <c r="BE1850" i="4"/>
  <c r="BE1832" i="4"/>
  <c r="BE638" i="4"/>
  <c r="BE640" i="4"/>
  <c r="BE269" i="4"/>
  <c r="BE1645" i="4"/>
  <c r="BE799" i="4"/>
  <c r="BE927" i="4"/>
  <c r="BE790" i="4"/>
  <c r="BE1956" i="4"/>
  <c r="BE292" i="4"/>
  <c r="BE481" i="4"/>
  <c r="BE1329" i="4"/>
  <c r="BE357" i="4"/>
  <c r="BE1753" i="4"/>
  <c r="BE609" i="4"/>
  <c r="BE1709" i="4"/>
  <c r="BE985" i="4"/>
  <c r="BE1643" i="4"/>
  <c r="BE1505" i="4"/>
  <c r="BE260" i="4"/>
  <c r="BE375" i="4"/>
  <c r="BE639" i="4"/>
  <c r="BE926" i="4"/>
  <c r="BE241" i="4"/>
  <c r="BE238" i="4"/>
  <c r="BE1328" i="4"/>
  <c r="BE541" i="4"/>
  <c r="BE527" i="4"/>
  <c r="BE1730" i="4"/>
  <c r="BE1555" i="4"/>
  <c r="BE1609" i="4"/>
  <c r="BE1447" i="4"/>
  <c r="BE1642" i="4"/>
  <c r="BE1455" i="4"/>
  <c r="BE266" i="4"/>
  <c r="BE627" i="4"/>
  <c r="BE1911" i="4"/>
  <c r="BE899" i="4"/>
  <c r="BE760" i="4"/>
  <c r="BE280" i="4"/>
  <c r="BE1904" i="4"/>
  <c r="BE242" i="4"/>
  <c r="BE1921" i="4"/>
  <c r="BE1474" i="4"/>
  <c r="BE611" i="4"/>
  <c r="BE288" i="4"/>
  <c r="BE632" i="4"/>
  <c r="BE249" i="4"/>
  <c r="BE634" i="4"/>
  <c r="BE178" i="4"/>
  <c r="BE1476" i="4"/>
  <c r="BE1332" i="4"/>
  <c r="BE633" i="4"/>
  <c r="BE620" i="4"/>
  <c r="BE234" i="4"/>
  <c r="BE1647" i="4"/>
  <c r="BE1564" i="4"/>
  <c r="BE831" i="4"/>
  <c r="BE846" i="4"/>
  <c r="BE803" i="4"/>
  <c r="BE797" i="4"/>
  <c r="BE285" i="4"/>
  <c r="BE1948" i="4"/>
  <c r="BE617" i="4"/>
  <c r="BE1890" i="4"/>
  <c r="BE637" i="4"/>
  <c r="BE1657" i="4"/>
  <c r="BE1759" i="4"/>
  <c r="BE880" i="4"/>
  <c r="BE262" i="4"/>
  <c r="BE615" i="4"/>
  <c r="BE730" i="4"/>
  <c r="BE711" i="4"/>
  <c r="BE1667" i="4"/>
  <c r="BE1910" i="4"/>
  <c r="BE1892" i="4"/>
  <c r="BE956" i="4"/>
  <c r="BE608" i="4"/>
  <c r="BE1454" i="4"/>
  <c r="BE279" i="4"/>
  <c r="BE1469" i="4"/>
  <c r="BE130" i="4"/>
  <c r="BE188" i="4"/>
  <c r="BE223" i="4"/>
  <c r="BE240" i="4"/>
  <c r="BE1330" i="4"/>
  <c r="BE466" i="4"/>
  <c r="BE526" i="4"/>
  <c r="BE773" i="4"/>
  <c r="BE959" i="4"/>
  <c r="BE907" i="4"/>
  <c r="BE865" i="4"/>
  <c r="BE1548" i="4"/>
  <c r="BE364" i="4"/>
  <c r="BE245" i="4"/>
  <c r="BE1418" i="4"/>
  <c r="BE354" i="4"/>
  <c r="BE613" i="4"/>
  <c r="BE914" i="4"/>
  <c r="BE891" i="4"/>
  <c r="BE610" i="4"/>
  <c r="BE1932" i="4"/>
  <c r="BE250" i="4"/>
  <c r="BE1909" i="4"/>
  <c r="BE834" i="4"/>
  <c r="BE872" i="4"/>
  <c r="BE1925" i="4"/>
  <c r="BE801" i="4"/>
  <c r="BE311" i="4"/>
  <c r="BE1908" i="4"/>
  <c r="BE913" i="4"/>
  <c r="BE915" i="4"/>
  <c r="BE761" i="4"/>
  <c r="BE1936" i="4"/>
  <c r="BE847" i="4"/>
  <c r="BE1930" i="4"/>
  <c r="BE1895" i="4"/>
  <c r="BE1837" i="4"/>
  <c r="BE1899" i="4"/>
  <c r="BE751" i="4"/>
  <c r="BE1696" i="4"/>
  <c r="BE821" i="4"/>
  <c r="BE796" i="4"/>
  <c r="BE213" i="4"/>
  <c r="BE1875" i="4"/>
  <c r="BE785" i="4"/>
  <c r="BE167" i="4"/>
  <c r="BE1591" i="4"/>
  <c r="BE1748" i="4"/>
  <c r="BE1035" i="4"/>
  <c r="BE903" i="4"/>
  <c r="BE205" i="4"/>
  <c r="BE606" i="4"/>
  <c r="BE890" i="4"/>
  <c r="BE1484" i="4"/>
  <c r="BE759" i="4"/>
  <c r="BE883" i="4"/>
  <c r="BE868" i="4"/>
  <c r="BE149" i="4"/>
  <c r="BE1466" i="4"/>
  <c r="BE538" i="4"/>
  <c r="BE1814" i="4"/>
  <c r="BE946" i="4"/>
  <c r="BE1362" i="4"/>
  <c r="BE273" i="4"/>
  <c r="BE1631" i="4"/>
  <c r="BE1443" i="4"/>
  <c r="BE1820" i="4"/>
  <c r="BE1736" i="4"/>
  <c r="BE1480" i="4"/>
  <c r="BE835" i="4"/>
  <c r="BE335" i="4"/>
  <c r="BE1459" i="4"/>
  <c r="BE1516" i="4"/>
  <c r="BE906" i="4"/>
  <c r="BE523" i="4"/>
  <c r="BE858" i="4"/>
  <c r="BE290" i="4"/>
  <c r="BE327" i="4"/>
  <c r="BE840" i="4"/>
  <c r="BE1634" i="4"/>
  <c r="BE140" i="4"/>
  <c r="BE1617" i="4"/>
  <c r="BE895" i="4"/>
  <c r="BE1578" i="4"/>
  <c r="BE1432" i="4"/>
  <c r="BE261" i="4"/>
  <c r="BE472" i="4"/>
  <c r="BE875" i="4"/>
  <c r="BE1873" i="4"/>
  <c r="BE841" i="4"/>
  <c r="BE448" i="4"/>
  <c r="BE925" i="4"/>
  <c r="BE228" i="4"/>
  <c r="BE303" i="4"/>
  <c r="BE1676" i="4"/>
  <c r="BE784" i="4"/>
  <c r="BE1872" i="4"/>
  <c r="BE530" i="4"/>
  <c r="BE227" i="4"/>
  <c r="BE226" i="4"/>
  <c r="BE1926" i="4"/>
  <c r="BE1550" i="4"/>
  <c r="BE1491" i="4"/>
  <c r="BE1907" i="4"/>
  <c r="BE758" i="4"/>
  <c r="BE1599" i="4"/>
  <c r="BE179" i="4"/>
  <c r="BE1718" i="4"/>
  <c r="BE1490" i="4"/>
  <c r="BE206" i="4"/>
  <c r="BE837" i="4"/>
  <c r="BE111" i="4"/>
  <c r="BE1475" i="4"/>
  <c r="BE164" i="4"/>
  <c r="BE163" i="4"/>
  <c r="BE199" i="4"/>
  <c r="BE1818" i="4"/>
  <c r="BE209" i="4"/>
  <c r="BE271" i="4"/>
  <c r="BE1710" i="4"/>
  <c r="BE1427" i="4"/>
  <c r="BE1684" i="4"/>
  <c r="BE268" i="4"/>
  <c r="BE286" i="4"/>
  <c r="BE1583" i="4"/>
  <c r="BE1918" i="4"/>
  <c r="BE204" i="4"/>
  <c r="BE284" i="4"/>
  <c r="BE177" i="4"/>
  <c r="BE1640" i="4"/>
  <c r="BE850" i="4"/>
  <c r="BE244" i="4"/>
  <c r="BE1727" i="4"/>
  <c r="BE1629" i="4"/>
  <c r="BE1652" i="4"/>
  <c r="BE283" i="4"/>
  <c r="BE253" i="4"/>
  <c r="BE243" i="4"/>
  <c r="BE1849" i="4"/>
  <c r="BE918" i="4"/>
  <c r="BE1731" i="4"/>
  <c r="BE894" i="4"/>
  <c r="BE789" i="4"/>
  <c r="BE1398" i="4"/>
  <c r="BE1729" i="4"/>
  <c r="BE1608" i="4"/>
  <c r="BE1633" i="4"/>
  <c r="BE139" i="4"/>
  <c r="BE155" i="4"/>
  <c r="BE154" i="4"/>
  <c r="BE215" i="4"/>
  <c r="BE612" i="4"/>
  <c r="BE229" i="4"/>
  <c r="BE181" i="4"/>
  <c r="BE824" i="4"/>
  <c r="BE270" i="4"/>
  <c r="BE259" i="4"/>
  <c r="BE1835" i="4"/>
  <c r="BE251" i="4"/>
  <c r="BE192" i="4"/>
  <c r="BE631" i="4"/>
  <c r="BE1834" i="4"/>
  <c r="BE1620" i="4"/>
  <c r="BE200" i="4"/>
  <c r="BE1619" i="4"/>
  <c r="BE1618" i="4"/>
  <c r="BE1758" i="4"/>
  <c r="BE153" i="4"/>
  <c r="BE278" i="4"/>
  <c r="BE479" i="4"/>
  <c r="BE138" i="4"/>
  <c r="BE1660" i="4"/>
  <c r="BE719" i="4"/>
  <c r="BE624" i="4"/>
  <c r="BE1740" i="4"/>
  <c r="BE176" i="4"/>
  <c r="BE258" i="4"/>
  <c r="BE1639" i="4"/>
  <c r="BE1597" i="4"/>
  <c r="BE1917" i="4"/>
  <c r="BE879" i="4"/>
  <c r="BE247" i="4"/>
  <c r="BE1848" i="4"/>
  <c r="BE1858" i="4"/>
  <c r="BE882" i="4"/>
  <c r="BE1681" i="4"/>
  <c r="BE908" i="4"/>
  <c r="BE129" i="4"/>
  <c r="BE222" i="4"/>
  <c r="BE1843" i="4"/>
  <c r="BE614" i="4"/>
  <c r="BE1414" i="4"/>
  <c r="BE233" i="4"/>
  <c r="BE812" i="4"/>
  <c r="BE1950" i="4"/>
  <c r="BE1697" i="4"/>
  <c r="BE1611" i="4"/>
  <c r="BE1847" i="4"/>
  <c r="BE92" i="4"/>
  <c r="BE1361" i="4"/>
  <c r="BE1402" i="4"/>
  <c r="BE225" i="4"/>
  <c r="BE224" i="4"/>
  <c r="BE1506" i="4"/>
  <c r="BE1586" i="4"/>
  <c r="BE1527" i="4"/>
  <c r="BE255" i="4"/>
  <c r="BE157" i="4"/>
  <c r="BE156" i="4"/>
  <c r="BE221" i="4"/>
  <c r="BE1792" i="4"/>
  <c r="BE517" i="4"/>
  <c r="BE939" i="4"/>
  <c r="BE186" i="4"/>
  <c r="BE1807" i="4"/>
  <c r="BE239" i="4"/>
  <c r="BE132" i="4"/>
  <c r="BE1826" i="4"/>
  <c r="BE1409" i="4"/>
  <c r="BE231" i="4"/>
  <c r="BE230" i="4"/>
  <c r="BE519" i="4"/>
  <c r="BE267" i="4"/>
  <c r="BE464" i="4"/>
  <c r="BE193" i="4"/>
  <c r="BE137" i="4"/>
  <c r="BE264" i="4"/>
  <c r="BE1359" i="4"/>
  <c r="BE811" i="4"/>
  <c r="BE208" i="4"/>
  <c r="BE1721" i="4"/>
  <c r="BE100" i="4"/>
  <c r="BE182" i="4"/>
  <c r="BE265" i="4"/>
  <c r="BE823" i="4"/>
  <c r="BE743" i="4"/>
  <c r="BE1719" i="4"/>
  <c r="BE783" i="4"/>
  <c r="BE256" i="4"/>
  <c r="BE851" i="4"/>
  <c r="BE827" i="4"/>
  <c r="BE220" i="4"/>
  <c r="BE765" i="4"/>
  <c r="BE924" i="4"/>
  <c r="BE1871" i="4"/>
  <c r="BE804" i="4"/>
  <c r="BE871" i="4"/>
  <c r="BE1781" i="4"/>
  <c r="BE102" i="4"/>
  <c r="BE246" i="4"/>
  <c r="BE1547" i="4"/>
  <c r="BE1867" i="4"/>
  <c r="BE158" i="4"/>
  <c r="BE767" i="4"/>
  <c r="BE1562" i="4"/>
  <c r="BE782" i="4"/>
  <c r="BE1470" i="4"/>
  <c r="BE187" i="4"/>
  <c r="BE1971" i="4"/>
  <c r="BE160" i="4"/>
  <c r="BE1598" i="4"/>
  <c r="BE1624" i="4"/>
  <c r="BE1503" i="4"/>
  <c r="BE1672" i="4"/>
  <c r="BE1571" i="4"/>
  <c r="BE148" i="4"/>
  <c r="BE108" i="4"/>
  <c r="BE830" i="4"/>
  <c r="BE870" i="4"/>
  <c r="BE853" i="4"/>
  <c r="BE1786" i="4"/>
  <c r="BE1689" i="4"/>
  <c r="BE1782" i="4"/>
  <c r="BE867" i="4"/>
  <c r="BE1836" i="4"/>
  <c r="BE1486" i="4"/>
  <c r="BE1708" i="4"/>
  <c r="BE68" i="4"/>
  <c r="BE196" i="4"/>
  <c r="BE800" i="4"/>
  <c r="BE1628" i="4"/>
  <c r="BE818" i="4"/>
  <c r="BE905" i="4"/>
  <c r="BE525" i="4"/>
  <c r="BE1375" i="4"/>
  <c r="BE1424" i="4"/>
  <c r="BE1938" i="4"/>
  <c r="BE1933" i="4"/>
  <c r="BE174" i="4"/>
  <c r="BE1773" i="4"/>
  <c r="BE873" i="4"/>
  <c r="BE716" i="4"/>
  <c r="BE57" i="4"/>
  <c r="BE128" i="4"/>
  <c r="BE622" i="4"/>
  <c r="BE861" i="4"/>
  <c r="BE1824" i="4"/>
  <c r="BE217" i="4"/>
  <c r="BE43" i="4"/>
  <c r="BE1866" i="4"/>
  <c r="BE1679" i="4"/>
  <c r="BE218" i="4"/>
  <c r="BE1671" i="4"/>
  <c r="BE1964" i="4"/>
  <c r="BE1961" i="4"/>
  <c r="BE1960" i="4"/>
  <c r="BE1927" i="4"/>
  <c r="BE1954" i="4"/>
  <c r="BE189" i="4"/>
  <c r="BE1690" i="4"/>
  <c r="BE237" i="4"/>
  <c r="BE1401" i="4"/>
  <c r="BE1924" i="4"/>
  <c r="BE1900" i="4"/>
  <c r="BE203" i="4"/>
  <c r="BE1567" i="4"/>
  <c r="BE202" i="4"/>
  <c r="BE152" i="4"/>
  <c r="BE857" i="4"/>
  <c r="BE1489" i="4"/>
  <c r="BE1513" i="4"/>
  <c r="BE1386" i="4"/>
  <c r="BE201" i="4"/>
  <c r="BE1358" i="4"/>
  <c r="BE738" i="4"/>
  <c r="BE1819" i="4"/>
  <c r="BE1585" i="4"/>
  <c r="BE798" i="4"/>
  <c r="BE141" i="4"/>
  <c r="BE1417" i="4"/>
  <c r="BE874" i="4"/>
  <c r="BE604" i="4"/>
  <c r="BE1937" i="4"/>
  <c r="BE607" i="4"/>
  <c r="BE121" i="4"/>
  <c r="BE1776" i="4"/>
  <c r="BE1613" i="4"/>
  <c r="BE1517" i="4"/>
  <c r="BE1630" i="4"/>
  <c r="BE849" i="4"/>
  <c r="BE1434" i="4"/>
  <c r="BE173" i="4"/>
  <c r="BE621" i="4"/>
  <c r="BE465" i="4"/>
  <c r="BE1541" i="4"/>
  <c r="BE1662" i="4"/>
  <c r="BE726" i="4"/>
  <c r="BE71" i="4"/>
  <c r="BE147" i="4"/>
  <c r="BE1738" i="4"/>
  <c r="BE876" i="4"/>
  <c r="BE1416" i="4"/>
  <c r="BE1785" i="4"/>
  <c r="BE1415" i="4"/>
  <c r="BE845" i="4"/>
  <c r="BE1557" i="4"/>
  <c r="BE1752" i="4"/>
  <c r="BE1458" i="4"/>
  <c r="BE313" i="4"/>
  <c r="BE1623" i="4"/>
  <c r="BE859" i="4"/>
  <c r="BE839" i="4"/>
  <c r="BE26" i="4"/>
  <c r="BE52" i="4"/>
  <c r="BE810" i="4"/>
  <c r="BE81" i="4"/>
  <c r="BE787" i="4"/>
  <c r="BE136" i="4"/>
  <c r="BE1520" i="4"/>
  <c r="BE1946" i="4"/>
  <c r="BE524" i="4"/>
  <c r="BE232" i="4"/>
  <c r="BE1854" i="4"/>
  <c r="BE1408" i="4"/>
  <c r="BE1970" i="4"/>
  <c r="BE1723" i="4"/>
  <c r="BE184" i="4"/>
  <c r="BE822" i="4"/>
  <c r="BE146" i="4"/>
  <c r="BE1969" i="4"/>
  <c r="BE195" i="4"/>
  <c r="BE779" i="4"/>
  <c r="BE1368" i="4"/>
  <c r="BE1367" i="4"/>
  <c r="BE1400" i="4"/>
  <c r="BE94" i="4"/>
  <c r="BE88" i="4"/>
  <c r="BE126" i="4"/>
  <c r="BE93" i="4"/>
  <c r="BE11" i="4"/>
  <c r="BE829" i="4"/>
  <c r="BE175" i="4"/>
  <c r="BE1381" i="4"/>
  <c r="BE248" i="4"/>
  <c r="BE197" i="4"/>
  <c r="BE1391" i="4"/>
  <c r="BE133" i="4"/>
  <c r="BE898" i="4"/>
  <c r="BE103" i="4"/>
  <c r="BE809" i="4"/>
  <c r="BE769" i="4"/>
  <c r="BE207" i="4"/>
  <c r="BE808" i="4"/>
  <c r="BE236" i="4"/>
  <c r="BE1575" i="4"/>
  <c r="BE1580" i="4"/>
  <c r="BE180" i="4"/>
  <c r="BE1958" i="4"/>
  <c r="BE724" i="4"/>
  <c r="BE1906" i="4"/>
  <c r="BE706" i="4"/>
  <c r="BE80" i="4"/>
  <c r="BE1840" i="4"/>
  <c r="BE1772" i="4"/>
  <c r="BE1905" i="4"/>
  <c r="BE770" i="4"/>
  <c r="BE194" i="4"/>
  <c r="BE198" i="4"/>
  <c r="BE734" i="4"/>
  <c r="BE1831" i="4"/>
  <c r="BE1739" i="4"/>
  <c r="BE216" i="4"/>
  <c r="BE35" i="4"/>
  <c r="BE750" i="4"/>
  <c r="BE712" i="4"/>
  <c r="BE1947" i="4"/>
  <c r="BE862" i="4"/>
  <c r="BE1395" i="4"/>
  <c r="BE274" i="4"/>
  <c r="BE854" i="4"/>
  <c r="BE168" i="4"/>
  <c r="BE162" i="4"/>
  <c r="BE1616" i="4"/>
  <c r="BE1584" i="4"/>
  <c r="BE1468" i="4"/>
  <c r="BE1627" i="4"/>
  <c r="BE754" i="4"/>
  <c r="BE1764" i="4"/>
  <c r="BE1678" i="4"/>
  <c r="BE723" i="4"/>
  <c r="BE1677" i="4"/>
  <c r="BE110" i="4"/>
  <c r="BE109" i="4"/>
  <c r="BE1688" i="4"/>
  <c r="BE47" i="4"/>
  <c r="BE725" i="4"/>
  <c r="BE116" i="4"/>
  <c r="BE1675" i="4"/>
  <c r="BE61" i="4"/>
  <c r="BE90" i="4"/>
  <c r="BE1494" i="4"/>
  <c r="BE56" i="4"/>
  <c r="BE151" i="4"/>
  <c r="BE183" i="4"/>
  <c r="BE778" i="4"/>
  <c r="BE161" i="4"/>
  <c r="BE104" i="4"/>
  <c r="BE1827" i="4"/>
  <c r="BE1751" i="4"/>
  <c r="BE1588" i="4"/>
  <c r="BE95" i="4"/>
  <c r="BE73" i="4"/>
  <c r="BE25" i="4"/>
  <c r="BE815" i="4"/>
  <c r="BE814" i="4"/>
  <c r="BE107" i="4"/>
  <c r="BE714" i="4"/>
  <c r="BE28" i="4"/>
  <c r="BE749" i="4"/>
  <c r="BE1544" i="4"/>
  <c r="BE1632" i="4"/>
  <c r="BE212" i="4"/>
  <c r="BE211" i="4"/>
  <c r="BE210" i="4"/>
  <c r="BE1538" i="4"/>
  <c r="BE91" i="4"/>
  <c r="BE843" i="4"/>
  <c r="BE115" i="4"/>
  <c r="BE1370" i="4"/>
  <c r="BE781" i="4"/>
  <c r="BE747" i="4"/>
  <c r="BE87" i="4"/>
  <c r="BE1728" i="4"/>
  <c r="BE1839" i="4"/>
  <c r="BE40" i="4"/>
  <c r="BE98" i="4"/>
  <c r="BE900" i="4"/>
  <c r="BE825" i="4"/>
  <c r="BE864" i="4"/>
  <c r="BE863" i="4"/>
  <c r="BE287" i="4"/>
  <c r="BE142" i="4"/>
  <c r="BE1529" i="4"/>
  <c r="BE768" i="4"/>
  <c r="BE125" i="4"/>
  <c r="BE1587" i="4"/>
  <c r="BE807" i="4"/>
  <c r="BE757" i="4"/>
  <c r="BE38" i="4"/>
  <c r="BE170" i="4"/>
  <c r="BE766" i="4"/>
  <c r="BE838" i="4"/>
  <c r="BE753" i="4"/>
  <c r="BE1429" i="4"/>
  <c r="BE1768" i="4"/>
  <c r="BE190" i="4"/>
  <c r="BE166" i="4"/>
  <c r="BE1646" i="4"/>
  <c r="BE508" i="4"/>
  <c r="BE252" i="4"/>
  <c r="BE119" i="4"/>
  <c r="BE866" i="4"/>
  <c r="BE710" i="4"/>
  <c r="BE1479" i="4"/>
  <c r="BE135" i="4"/>
  <c r="BE24" i="4"/>
  <c r="BE1809" i="4"/>
  <c r="BE1543" i="4"/>
  <c r="BE214" i="4"/>
  <c r="BE1771" i="4"/>
  <c r="BE509" i="4"/>
  <c r="BE1815" i="4"/>
  <c r="BE1770" i="4"/>
  <c r="BE828" i="4"/>
  <c r="BE118" i="4"/>
  <c r="BE2" i="4"/>
  <c r="BE1769" i="4"/>
  <c r="BE96" i="4"/>
  <c r="BE763" i="4"/>
</calcChain>
</file>

<file path=xl/sharedStrings.xml><?xml version="1.0" encoding="utf-8"?>
<sst xmlns="http://schemas.openxmlformats.org/spreadsheetml/2006/main" count="35553" uniqueCount="4665">
  <si>
    <t>latitud</t>
  </si>
  <si>
    <t>longitud</t>
  </si>
  <si>
    <t>url</t>
  </si>
  <si>
    <t>localidad_oficial_ideca</t>
  </si>
  <si>
    <t>dist_transmilenio_km</t>
  </si>
  <si>
    <t>pm2_5</t>
  </si>
  <si>
    <t>pm10</t>
  </si>
  <si>
    <t>presion_baro</t>
  </si>
  <si>
    <t>hr</t>
  </si>
  <si>
    <t>rad_solar</t>
  </si>
  <si>
    <t>no</t>
  </si>
  <si>
    <t>no2</t>
  </si>
  <si>
    <t>nox</t>
  </si>
  <si>
    <t>co</t>
  </si>
  <si>
    <t>ozono</t>
  </si>
  <si>
    <t>so2</t>
  </si>
  <si>
    <t>bbp</t>
  </si>
  <si>
    <t>ebc</t>
  </si>
  <si>
    <t>21133-C0002-02</t>
  </si>
  <si>
    <t>Bogotá D.C.</t>
  </si>
  <si>
    <t>apartamento</t>
  </si>
  <si>
    <t>venta</t>
  </si>
  <si>
    <t>SAN LUIS</t>
  </si>
  <si>
    <t>Nuevo</t>
  </si>
  <si>
    <t>No disponible</t>
  </si>
  <si>
    <t>https://www.metrocuadrado.com/proyecto/burano-54/21133-C0002-02</t>
  </si>
  <si>
    <t>Centro de alto rendimiento</t>
  </si>
  <si>
    <t>CDAR</t>
  </si>
  <si>
    <t>Bogotá</t>
  </si>
  <si>
    <t>Engativá</t>
  </si>
  <si>
    <t>Calle 63 # 59A-06</t>
  </si>
  <si>
    <t>Urbana</t>
  </si>
  <si>
    <t>De tráfico</t>
  </si>
  <si>
    <t>PM10, PM2.5, O3, NO2, CO, SO2, BC, V. Viento, D. Viento, Temperatura, Precipitación, R. Solar, H. Relativa, Presión atmosférica según disponibilidad por estación</t>
  </si>
  <si>
    <t>https://www.ambientebogota.gov.co/estaciones-rmcab</t>
  </si>
  <si>
    <t>TEUSAQUILLO</t>
  </si>
  <si>
    <t>213-C0724-01</t>
  </si>
  <si>
    <t>CIUDAD SALITRE OCCIDENTAL</t>
  </si>
  <si>
    <t>https://www.metrocuadrado.com/proyecto/automatizacion-javier/213-C0724-01</t>
  </si>
  <si>
    <t>Puente Aranda</t>
  </si>
  <si>
    <t>PTE</t>
  </si>
  <si>
    <t>Calle 10 # 65-28</t>
  </si>
  <si>
    <t>Industrial</t>
  </si>
  <si>
    <t>FONTIBON</t>
  </si>
  <si>
    <t>17855-C0019-02</t>
  </si>
  <si>
    <t>LA FELICIDAD</t>
  </si>
  <si>
    <t>https://www.metrocuadrado.com/proyecto/coral-2-la-felicidad/17855-C0019-02</t>
  </si>
  <si>
    <t>Móvil Fontibón</t>
  </si>
  <si>
    <t>MOV2</t>
  </si>
  <si>
    <t>Fontibón</t>
  </si>
  <si>
    <t>Cra. 98 #16 B 50</t>
  </si>
  <si>
    <t>Tráfico/industrial</t>
  </si>
  <si>
    <t>15315-C0001-04</t>
  </si>
  <si>
    <t>SANTA BARBARA</t>
  </si>
  <si>
    <t>https://www.metrocuadrado.com/proyecto/edificio-balmes-santa-barbara/15315-C0001-04</t>
  </si>
  <si>
    <t>Usaquén</t>
  </si>
  <si>
    <t>USQ</t>
  </si>
  <si>
    <t>Carrera 7B Bis # 132-11</t>
  </si>
  <si>
    <t>De fondo</t>
  </si>
  <si>
    <t>USAQUEN</t>
  </si>
  <si>
    <t>3422-M6531906</t>
  </si>
  <si>
    <t>Usado</t>
  </si>
  <si>
    <t>Entre 0 y 5 años</t>
  </si>
  <si>
    <t>https://www.metrocuadrado.com/inmueble/venta-apartamento-bogota-la-felicidad-2-habitaciones-2-banos-1-garajes/3422-M6531906</t>
  </si>
  <si>
    <t>MC6541162</t>
  </si>
  <si>
    <t>NIZA NORTE</t>
  </si>
  <si>
    <t>Remodelado</t>
  </si>
  <si>
    <t>https://www.metrocuadrado.com/inmueble/venta-apartamento-bogota-niza-norte-3-habitaciones-3-banos-2-garajes/MC6541162</t>
  </si>
  <si>
    <t>Colina</t>
  </si>
  <si>
    <t>COL</t>
  </si>
  <si>
    <t>Suba</t>
  </si>
  <si>
    <t>Avenida Boyacá No 142ª-55</t>
  </si>
  <si>
    <t>SUBA</t>
  </si>
  <si>
    <t>MC6369506</t>
  </si>
  <si>
    <t>CHAPINERO CENTRAL</t>
  </si>
  <si>
    <t>Entre 10 y 20 años</t>
  </si>
  <si>
    <t>https://www.metrocuadrado.com/inmueble/venta-apartamento-bogota-chapinero-central-1-habitaciones-1-banos-1-garajes/MC6369506</t>
  </si>
  <si>
    <t>MinAmbiente</t>
  </si>
  <si>
    <t>MAM</t>
  </si>
  <si>
    <t>Santa Fe</t>
  </si>
  <si>
    <t>Calle 37 # 8-40</t>
  </si>
  <si>
    <t>CHAPINERO</t>
  </si>
  <si>
    <t>18942-M6487252</t>
  </si>
  <si>
    <t>CHICO</t>
  </si>
  <si>
    <t>Entre 5 y 10 años</t>
  </si>
  <si>
    <t>https://www.metrocuadrado.com/inmueble/venta-apartamento-bogota-chico-1-habitaciones-2-banos-2-garajes/18942-M6487252</t>
  </si>
  <si>
    <t>MC6466115</t>
  </si>
  <si>
    <t>SAMPER</t>
  </si>
  <si>
    <t>https://www.metrocuadrado.com/inmueble/venta-apartamento-bogota-samper-1-habitaciones-2-banos-1-garajes/MC6466115</t>
  </si>
  <si>
    <t>SANTA FE</t>
  </si>
  <si>
    <t>MC6541111</t>
  </si>
  <si>
    <t>CANTALEJO</t>
  </si>
  <si>
    <t>https://www.metrocuadrado.com/inmueble/venta-apartamento-bogota-cantalejo-2-habitaciones-2-banos-1-garajes/MC6541111</t>
  </si>
  <si>
    <t>MC6415410</t>
  </si>
  <si>
    <t>EL TINTAL A S D</t>
  </si>
  <si>
    <t>https://www.metrocuadrado.com/inmueble/venta-apartamento-bogota-el-tintal-a.s.d.-3-habitaciones-2-banos-2-garajes/MC6415410</t>
  </si>
  <si>
    <t>15062-M6466065</t>
  </si>
  <si>
    <t>FONTIBON  BOGOTA D C</t>
  </si>
  <si>
    <t>https://www.metrocuadrado.com/inmueble/venta-apartamento-bogota-fontibon-bogota-d.c-2-habitaciones-1-banos/15062-M6466065</t>
  </si>
  <si>
    <t>359-M6361260</t>
  </si>
  <si>
    <t>SAN ANTONIO</t>
  </si>
  <si>
    <t>https://www.metrocuadrado.com/inmueble/venta-apartamento-bogota-san-antonio-3-habitaciones-2-banos-1-garajes/359-M6361260</t>
  </si>
  <si>
    <t>Guaymaral</t>
  </si>
  <si>
    <t>GYR</t>
  </si>
  <si>
    <t>Autopista Norte # 205-59</t>
  </si>
  <si>
    <t>Sub urbana</t>
  </si>
  <si>
    <t>359-M5836896</t>
  </si>
  <si>
    <t>TIBABITA</t>
  </si>
  <si>
    <t>https://www.metrocuadrado.com/inmueble/venta-apartamento-bogota-tibabita-2-habitaciones-2-banos-1-garajes/359-M5836896</t>
  </si>
  <si>
    <t>359-M5836914</t>
  </si>
  <si>
    <t>https://www.metrocuadrado.com/inmueble/venta-apartamento-bogota-tibabita-2-habitaciones-2-banos-1-garajes/359-M5836914</t>
  </si>
  <si>
    <t>359-M6322587</t>
  </si>
  <si>
    <t>COLINA CAMPESTRE I Y II ETAPA</t>
  </si>
  <si>
    <t>Más de 20 años</t>
  </si>
  <si>
    <t>https://www.metrocuadrado.com/inmueble/venta-apartamento-bogota-colina-campestre-i-y-ii-etapa-2-habitaciones-2-banos-1-garajes/359-M6322587</t>
  </si>
  <si>
    <t>MC6474206</t>
  </si>
  <si>
    <t>NUEVA ZELANDIA</t>
  </si>
  <si>
    <t>https://www.metrocuadrado.com/inmueble/venta-apartamento-bogota-nueva-zelandia-2-habitaciones-1-banos/MC6474206</t>
  </si>
  <si>
    <t>359-M6470809</t>
  </si>
  <si>
    <t>QUINTA PAREDES</t>
  </si>
  <si>
    <t>https://www.metrocuadrado.com/inmueble/venta-apartamento-bogota-quinta-paredes-3-habitaciones-2-banos-1-garajes/359-M6470809</t>
  </si>
  <si>
    <t>359-M5762562</t>
  </si>
  <si>
    <t>MODELIA</t>
  </si>
  <si>
    <t>https://www.metrocuadrado.com/inmueble/venta-apartamento-bogota-modelia-3-habitaciones-2-banos-1-garajes/359-M5762562</t>
  </si>
  <si>
    <t>16994-M6210255</t>
  </si>
  <si>
    <t>EL PLAN</t>
  </si>
  <si>
    <t>https://www.metrocuadrado.com/inmueble/venta-apartamento-bogota-el-plan-3-habitaciones-3-banos-2-garajes/16994-M6210255</t>
  </si>
  <si>
    <t>20821-M6189136</t>
  </si>
  <si>
    <t>COUNTRY CLUB</t>
  </si>
  <si>
    <t>https://www.metrocuadrado.com/inmueble/venta-apartamento-bogota-country-club-4-habitaciones-5-banos-2-garajes/20821-M6189136</t>
  </si>
  <si>
    <t>CHICO NORTE ET  II</t>
  </si>
  <si>
    <t>21363-M6393755</t>
  </si>
  <si>
    <t>IBERIA</t>
  </si>
  <si>
    <t>https://www.metrocuadrado.com/inmueble/venta-apartamento-bogota-iberia-3-habitaciones-3-banos-1-garajes/21363-M6393755</t>
  </si>
  <si>
    <t>20134-M6499394</t>
  </si>
  <si>
    <t>BRITALIA</t>
  </si>
  <si>
    <t>https://www.metrocuadrado.com/inmueble/venta-apartamento-bogota-britalia-3-habitaciones-2-banos-1-garajes/20134-M6499394</t>
  </si>
  <si>
    <t>19054-M6162396</t>
  </si>
  <si>
    <t>EL REFUGIO</t>
  </si>
  <si>
    <t>https://www.metrocuadrado.com/inmueble/venta-apartamento-bogota-el-refugio-4-habitaciones-4-banos-2-garajes/19054-M6162396</t>
  </si>
  <si>
    <t>22324-M6588465</t>
  </si>
  <si>
    <t>RINCON DEL CHICO</t>
  </si>
  <si>
    <t>https://www.metrocuadrado.com/inmueble/venta-apartamento-bogota-rincon-del-chico-3-habitaciones-3-banos-2-garajes/22324-M6588465</t>
  </si>
  <si>
    <t>20343-M5837714</t>
  </si>
  <si>
    <t>SANTA BARBARA ORIENTAL</t>
  </si>
  <si>
    <t>https://www.metrocuadrado.com/inmueble/venta-apartamento-bogota-santa-barbara-oriental-3-habitaciones-4-banos-3-garajes/20343-M5837714</t>
  </si>
  <si>
    <t>2709-M6308254</t>
  </si>
  <si>
    <t>CHICO NORTE ET II</t>
  </si>
  <si>
    <t>https://www.metrocuadrado.com/inmueble/venta-apartamento-bogota-chico-norte-et-ii-3-habitaciones-3-banos-2-garajes/2709-M6308254</t>
  </si>
  <si>
    <t>20387-M6403407</t>
  </si>
  <si>
    <t>MONTEVIDEO</t>
  </si>
  <si>
    <t>https://www.metrocuadrado.com/inmueble/venta-apartamento-bogota-montevideo-3-habitaciones-2-banos-1-garajes/20387-M6403407</t>
  </si>
  <si>
    <t>22161-M6430750</t>
  </si>
  <si>
    <t>LOS ALPES</t>
  </si>
  <si>
    <t>https://www.metrocuadrado.com/inmueble/venta-apartamento-bogota-los-alpes-3-habitaciones-5-banos-3-garajes/22161-M6430750</t>
  </si>
  <si>
    <t>20100-M6412094</t>
  </si>
  <si>
    <t>CEDRITOS</t>
  </si>
  <si>
    <t>https://www.metrocuadrado.com/inmueble/venta-apartamento-bogota-cedritos-4-habitaciones-4-banos-2-garajes/20100-M6412094</t>
  </si>
  <si>
    <t>21597-M6237963</t>
  </si>
  <si>
    <t>https://www.metrocuadrado.com/inmueble/venta-apartamento-bogota-2-habitaciones-2-banos-2-garajes/21597-M6237963</t>
  </si>
  <si>
    <t>3437-M6499703</t>
  </si>
  <si>
    <t>SAN PATRICIO</t>
  </si>
  <si>
    <t>https://www.metrocuadrado.com/inmueble/venta-apartamento-bogota-san-patricio-3-habitaciones-5-banos-3-garajes/3437-M6499703</t>
  </si>
  <si>
    <t>20821-M6195758</t>
  </si>
  <si>
    <t>SANTA BARBARA CENTRAL</t>
  </si>
  <si>
    <t>https://www.metrocuadrado.com/inmueble/venta-apartamento-bogota-santa-barbara-central-5-habitaciones-5-banos-3-garajes/20821-M6195758</t>
  </si>
  <si>
    <t>4186-M5006500</t>
  </si>
  <si>
    <t>SANTA BARBARA CENTRAL   EDIF LA CASCADA 5</t>
  </si>
  <si>
    <t>https://www.metrocuadrado.com/inmueble/venta-apartamento-bogota-santa-barbara-central-edif-la-cascada-5-2-habitaciones-2-banos-1-garajes/4186-M5006500</t>
  </si>
  <si>
    <t>22266-M6491642</t>
  </si>
  <si>
    <t>ASD</t>
  </si>
  <si>
    <t>https://www.metrocuadrado.com/inmueble/venta-apartamento-bogota-asd-3-habitaciones-2-banos-1-garajes/22266-M6491642</t>
  </si>
  <si>
    <t>KENNEDY</t>
  </si>
  <si>
    <t>2120-M2744781</t>
  </si>
  <si>
    <t>LA PORCIUNCULA</t>
  </si>
  <si>
    <t>https://www.metrocuadrado.com/inmueble/venta-apartamento-bogota-la-porciuncula-3-habitaciones-5-banos-3-garajes/2120-M2744781</t>
  </si>
  <si>
    <t>21662-M6344592</t>
  </si>
  <si>
    <t>MOLINOS NORTE</t>
  </si>
  <si>
    <t>https://www.metrocuadrado.com/inmueble/venta-apartamento-bogota-molinos-norte-3-habitaciones-3-banos-3-garajes/21662-M6344592</t>
  </si>
  <si>
    <t>2120-M2946364</t>
  </si>
  <si>
    <t>CHICO NORTE</t>
  </si>
  <si>
    <t>https://www.metrocuadrado.com/inmueble/venta-apartamento-bogota-chico-norte-3-habitaciones-5-banos-3-garajes/2120-M2946364</t>
  </si>
  <si>
    <t>2120-M3034703</t>
  </si>
  <si>
    <t>EL RETIRO</t>
  </si>
  <si>
    <t>https://www.metrocuadrado.com/inmueble/venta-apartamento-bogota-el-retiro-3-habitaciones-5-banos-4-garajes/2120-M3034703</t>
  </si>
  <si>
    <t>18479-M6496200</t>
  </si>
  <si>
    <t>LA CAROLINA</t>
  </si>
  <si>
    <t>https://www.metrocuadrado.com/inmueble/venta-apartamento-bogota-la-carolina-5-habitaciones-4-banos-2-garajes/18479-M6496200</t>
  </si>
  <si>
    <t>14241-M6151821</t>
  </si>
  <si>
    <t>https://www.metrocuadrado.com/inmueble/venta-apartamento-bogota-chico-norte-4-habitaciones-5-banos-3-garajes/14241-M6151821</t>
  </si>
  <si>
    <t>12494-M5738764</t>
  </si>
  <si>
    <t>https://www.metrocuadrado.com/inmueble/venta-apartamento-bogota-chico-norte-et.-ii-1-habitaciones-2-banos-2-garajes/12494-M5738764</t>
  </si>
  <si>
    <t>16649-M4747901</t>
  </si>
  <si>
    <t>https://www.metrocuadrado.com/inmueble/venta-apartamento-bogota-santa-barbara-central-4-habitaciones-5-banos-4-garajes/16649-M4747901</t>
  </si>
  <si>
    <t>12494-M5403345</t>
  </si>
  <si>
    <t>https://www.metrocuadrado.com/inmueble/venta-apartamento-bogota-chico-norte-et.-ii-3-habitaciones-5-banos-4-garajes/12494-M5403345</t>
  </si>
  <si>
    <t>374-M6114068</t>
  </si>
  <si>
    <t>CIUDADELA REAL</t>
  </si>
  <si>
    <t>https://www.metrocuadrado.com/inmueble/venta-apartamento-bogota-ciudadela-real-4-habitaciones-5-banos-4-garajes/374-M6114068</t>
  </si>
  <si>
    <t>12494-M5940304</t>
  </si>
  <si>
    <t>https://www.metrocuadrado.com/inmueble/venta-apartamento-bogota-chico-norte-et-ii-3-habitaciones-4-banos-2-garajes/12494-M5940304</t>
  </si>
  <si>
    <t>15994-M4926192</t>
  </si>
  <si>
    <t>CJR GUADALQUIVIR</t>
  </si>
  <si>
    <t>https://www.metrocuadrado.com/inmueble/venta-apartamento-bogota-cjr-guadalquivir-3-habitaciones-3-banos-4-garajes/15994-M4926192</t>
  </si>
  <si>
    <t>16739-M5636893</t>
  </si>
  <si>
    <t>LAS ACACIAS</t>
  </si>
  <si>
    <t>https://www.metrocuadrado.com/inmueble/venta-apartamento-bogota-las-acacias-3-habitaciones-5-banos-3-garajes/16739-M5636893</t>
  </si>
  <si>
    <t>2162-M6394088</t>
  </si>
  <si>
    <t>PELODO DEL CONTRY</t>
  </si>
  <si>
    <t>https://www.metrocuadrado.com/inmueble/venta-apartamento-bogota-pelodo-del-contry-4-habitaciones-5-banos-4-garajes/2162-M6394088</t>
  </si>
  <si>
    <t>156-M5423677</t>
  </si>
  <si>
    <t>https://www.metrocuadrado.com/inmueble/venta-apartamento-bogota-cedritos-3-habitaciones-2-banos-2-garajes/156-M5423677</t>
  </si>
  <si>
    <t>660-M6244932</t>
  </si>
  <si>
    <t>BELLA SUIZA</t>
  </si>
  <si>
    <t>https://www.metrocuadrado.com/inmueble/venta-apartamento-bogota-bella-suiza-3-habitaciones-3-banos-1-garajes/660-M6244932</t>
  </si>
  <si>
    <t>14674-M6396864</t>
  </si>
  <si>
    <t>https://www.metrocuadrado.com/inmueble/venta-apartamento-bogota-el-plan-3-habitaciones-4-banos-2-garajes/14674-M6396864</t>
  </si>
  <si>
    <t>832-M5967402</t>
  </si>
  <si>
    <t>CASA BLANCA</t>
  </si>
  <si>
    <t>https://www.metrocuadrado.com/inmueble/venta-apartamento-bogota-casa-blanca-3-habitaciones-2-banos-2-garajes/832-M5967402</t>
  </si>
  <si>
    <t>17527-M6380738</t>
  </si>
  <si>
    <t>CERROS DE SANTA BARBARA</t>
  </si>
  <si>
    <t>https://www.metrocuadrado.com/inmueble/venta-apartamento-bogota-cerros-de-santa-barbara-3-habitaciones-5-banos-4-garajes/17527-M6380738</t>
  </si>
  <si>
    <t>SANTA ANA ORIENTAL</t>
  </si>
  <si>
    <t>18378-M6581657</t>
  </si>
  <si>
    <t>CIUDAD SALITRE SURORIENTAL</t>
  </si>
  <si>
    <t>https://www.metrocuadrado.com/inmueble/venta-apartamento-bogota-ciudad-salitre-suroriental-2-habitaciones-2-banos-2-garajes/18378-M6581657</t>
  </si>
  <si>
    <t>14255-M6579240</t>
  </si>
  <si>
    <t>SAN JOSE DEL PRADO</t>
  </si>
  <si>
    <t>https://www.metrocuadrado.com/inmueble/venta-apartamento-bogota-san-jose-del-prado-3-habitaciones-3-banos-2-garajes/14255-M6579240</t>
  </si>
  <si>
    <t>MC6485472</t>
  </si>
  <si>
    <t>PRADERA NORTE</t>
  </si>
  <si>
    <t>https://www.metrocuadrado.com/inmueble/venta-apartamento-bogota-pradera-norte-4-habitaciones-2-banos-2-garajes/MC6485472</t>
  </si>
  <si>
    <t>MC6385688</t>
  </si>
  <si>
    <t>CAOBOS SALAZAR</t>
  </si>
  <si>
    <t>https://www.metrocuadrado.com/inmueble/venta-apartamento-bogota-caobos-salazar-1-habitaciones-2-banos-1-garajes/MC6385688</t>
  </si>
  <si>
    <t>MC6527717</t>
  </si>
  <si>
    <t>CJR  URBAN SALITRE ZURICH</t>
  </si>
  <si>
    <t>https://www.metrocuadrado.com/inmueble/venta-apartamento-bogota-cjr.-urban-salitre-zurich-3-habitaciones-2-banos-2-garajes/MC6527717</t>
  </si>
  <si>
    <t>PUENTE ARANDA</t>
  </si>
  <si>
    <t>MC6574074</t>
  </si>
  <si>
    <t>EL VERBENAL</t>
  </si>
  <si>
    <t>https://www.metrocuadrado.com/inmueble/venta-apartamento-bogota-el-verbenal-3-habitaciones-2-banos-1-garajes/MC6574074</t>
  </si>
  <si>
    <t>21135-C0001-01</t>
  </si>
  <si>
    <t>BOSQUE IZQUIERDO</t>
  </si>
  <si>
    <t>https://www.metrocuadrado.com/proyecto/la-gauche/21135-C0001-01</t>
  </si>
  <si>
    <t>20028-C0001-02</t>
  </si>
  <si>
    <t>FRANCO</t>
  </si>
  <si>
    <t>https://www.metrocuadrado.com/proyecto/alsacia-arbore/20028-C0001-02</t>
  </si>
  <si>
    <t>17855-C0019-03</t>
  </si>
  <si>
    <t>https://www.metrocuadrado.com/proyecto/coral-2-la-felicidad/17855-C0019-03</t>
  </si>
  <si>
    <t>14693-C0004-02</t>
  </si>
  <si>
    <t>SAN FRANCISCO</t>
  </si>
  <si>
    <t>https://www.metrocuadrado.com/proyecto/pekin/14693-C0004-02</t>
  </si>
  <si>
    <t>359-M6572045</t>
  </si>
  <si>
    <t>https://www.metrocuadrado.com/inmueble/venta-apartamento-bogota-modelia-3-habitaciones-2-banos-1-garajes/359-M6572045</t>
  </si>
  <si>
    <t>359-M6549182</t>
  </si>
  <si>
    <t>PALOQUEMAO</t>
  </si>
  <si>
    <t>https://www.metrocuadrado.com/inmueble/venta-apartamento-bogota-paloquemao-1-habitaciones-1-banos/359-M6549182</t>
  </si>
  <si>
    <t>LOS MARTIRES</t>
  </si>
  <si>
    <t>17181-M6416623</t>
  </si>
  <si>
    <t>LOS ROSALES</t>
  </si>
  <si>
    <t>https://www.metrocuadrado.com/inmueble/venta-apartamento-bogota-los-rosales-2-habitaciones-2-banos-2-garajes/17181-M6416623</t>
  </si>
  <si>
    <t>MC6520601</t>
  </si>
  <si>
    <t>UB  HACIENDA CORDOBA NIZA</t>
  </si>
  <si>
    <t>https://www.metrocuadrado.com/inmueble/venta-apartamento-bogota-ub.-hacienda-cordoba-niza-3-habitaciones-2-banos-2-garajes/MC6520601</t>
  </si>
  <si>
    <t>17181-M6573846</t>
  </si>
  <si>
    <t>https://www.metrocuadrado.com/inmueble/venta-apartamento-bogota-los-rosales-2-habitaciones-3-banos-3-garajes/17181-M6573846</t>
  </si>
  <si>
    <t>MC6569588</t>
  </si>
  <si>
    <t>CR  GRAN RESERVA DE VALDIVIA</t>
  </si>
  <si>
    <t>https://www.metrocuadrado.com/inmueble/venta-apartamento-bogota-cr.-gran-reserva-de-valdivia-3-habitaciones-5-banos-3-garajes/MC6569588</t>
  </si>
  <si>
    <t>18758-M5594897</t>
  </si>
  <si>
    <t>https://www.metrocuadrado.com/inmueble/venta-apartamento-bogota-san-patricio-2-habitaciones-3-banos-2-garajes/18758-M5594897</t>
  </si>
  <si>
    <t>16297-M6573134</t>
  </si>
  <si>
    <t>EL TINTAL ASD</t>
  </si>
  <si>
    <t>https://www.metrocuadrado.com/inmueble/venta-apartamento-bogota-el-tintal-asd-3-habitaciones-3-banos-1-garajes/16297-M6573134</t>
  </si>
  <si>
    <t>MC4541326</t>
  </si>
  <si>
    <t>EL REDIL</t>
  </si>
  <si>
    <t>https://www.metrocuadrado.com/inmueble/venta-apartamento-bogota-el-redil-3-habitaciones-2-banos-2-garajes/MC4541326</t>
  </si>
  <si>
    <t>16297-M6553949</t>
  </si>
  <si>
    <t>POTOSI</t>
  </si>
  <si>
    <t>https://www.metrocuadrado.com/inmueble/venta-apartamento-bogota-potosi-3-habitaciones-2-banos-1-garajes/16297-M6553949</t>
  </si>
  <si>
    <t>MC6308117</t>
  </si>
  <si>
    <t>CEDRO SALAZAR</t>
  </si>
  <si>
    <t>https://www.metrocuadrado.com/inmueble/venta-apartamento-bogota-cedro-salazar-3-habitaciones-3-banos-1-garajes/MC6308117</t>
  </si>
  <si>
    <t>MC6534673</t>
  </si>
  <si>
    <t>https://www.metrocuadrado.com/inmueble/venta-apartamento-bogota-santa-barbara-central-5-habitaciones-4-banos-2-garajes/MC6534673</t>
  </si>
  <si>
    <t>20569-M6490680</t>
  </si>
  <si>
    <t>SANTA BARBARA OCCIDENTAL</t>
  </si>
  <si>
    <t>https://www.metrocuadrado.com/inmueble/venta-apartamento-bogota-santa-barbara-occidental-3-habitaciones-5-banos-4-garajes/20569-M6490680</t>
  </si>
  <si>
    <t>MC6035671</t>
  </si>
  <si>
    <t>SAN MIGUEL   EDIF ELITE 65</t>
  </si>
  <si>
    <t>https://www.metrocuadrado.com/inmueble/venta-apartamento-bogota-san-miguel-edif-elite-65-5-habitaciones-3-banos-1-garajes/MC6035671</t>
  </si>
  <si>
    <t>BARRIOS UNIDOS</t>
  </si>
  <si>
    <t>MC6311792</t>
  </si>
  <si>
    <t>MONACO</t>
  </si>
  <si>
    <t>https://www.metrocuadrado.com/inmueble/venta-apartamento-bogota-monaco-2-habitaciones-2-banos-1-garajes/MC6311792</t>
  </si>
  <si>
    <t>21648-M6292203</t>
  </si>
  <si>
    <t>https://www.metrocuadrado.com/inmueble/venta-apartamento-bogota-san-jose-del-prado-3-habitaciones-3-banos-2-garajes/21648-M6292203</t>
  </si>
  <si>
    <t>2671-M6538624</t>
  </si>
  <si>
    <t>CERROS DE SUBA</t>
  </si>
  <si>
    <t>https://www.metrocuadrado.com/inmueble/venta-apartamento-bogota-cerros-de-suba-3-habitaciones-3-banos-3-garajes/2671-M6538624</t>
  </si>
  <si>
    <t>BELLAVISTA</t>
  </si>
  <si>
    <t>21414-M6493544</t>
  </si>
  <si>
    <t>CIUDAD SALITRE</t>
  </si>
  <si>
    <t>https://www.metrocuadrado.com/inmueble/venta-apartamento-bogota-ciudad-salitre-4-habitaciones-5-banos-3-garajes/21414-M6493544</t>
  </si>
  <si>
    <t>21722-M6353302</t>
  </si>
  <si>
    <t>https://www.metrocuadrado.com/inmueble/venta-apartamento-bogota-santa-barbara-central-3-habitaciones-3-banos-2-garajes/21722-M6353302</t>
  </si>
  <si>
    <t>2559-M6017614</t>
  </si>
  <si>
    <t>https://www.metrocuadrado.com/inmueble/venta-apartamento-bogota-los-rosales-3-habitaciones-4-banos-4-garajes/2559-M6017614</t>
  </si>
  <si>
    <t>20262-M6577650</t>
  </si>
  <si>
    <t>BALCONES DE ORIENTE</t>
  </si>
  <si>
    <t>https://www.metrocuadrado.com/inmueble/venta-apartamento-bogota-balcones-de-oriente-3-habitaciones-1-banos-1-garajes/20262-M6577650</t>
  </si>
  <si>
    <t>20675-M6581374</t>
  </si>
  <si>
    <t>SAN BERNARDINO XXII</t>
  </si>
  <si>
    <t>https://www.metrocuadrado.com/inmueble/venta-apartamento-bogota-san-bernardino-xxii-3-habitaciones-1-banos/20675-M6581374</t>
  </si>
  <si>
    <t>Bosa</t>
  </si>
  <si>
    <t>BOS</t>
  </si>
  <si>
    <t>Diagonal 73 F Sur # 78 - 44</t>
  </si>
  <si>
    <t>BOSA</t>
  </si>
  <si>
    <t>21503-M6164859</t>
  </si>
  <si>
    <t>A S D</t>
  </si>
  <si>
    <t>https://www.metrocuadrado.com/inmueble/venta-apartamento-bogota-a.s.d.-3-habitaciones-5-banos-2-garajes/21503-M6164859</t>
  </si>
  <si>
    <t>2709-M5493226</t>
  </si>
  <si>
    <t>https://www.metrocuadrado.com/inmueble/venta-apartamento-bogota-chico-norte-3-habitaciones-4-banos-2-garajes/2709-M5493226</t>
  </si>
  <si>
    <t>2266-M6040377</t>
  </si>
  <si>
    <t>MOLINOS DEL NORTE</t>
  </si>
  <si>
    <t>https://www.metrocuadrado.com/inmueble/venta-apartamento-bogota-molinos-del-norte-3-habitaciones-2-banos-4-garajes/2266-M6040377</t>
  </si>
  <si>
    <t>20819-M6030317</t>
  </si>
  <si>
    <t>PRADO VERANIEGO NORTE</t>
  </si>
  <si>
    <t>https://www.metrocuadrado.com/inmueble/venta-apartamento-bogota-prado-veraniego-norte-3-habitaciones-2-banos-1-garajes/20819-M6030317</t>
  </si>
  <si>
    <t>19734-M6404909</t>
  </si>
  <si>
    <t>LA VERACRUZ</t>
  </si>
  <si>
    <t>https://www.metrocuadrado.com/inmueble/venta-apartamento-bogota-la-veracruz-3-habitaciones-2-banos/19734-M6404909</t>
  </si>
  <si>
    <t>20821-M6171926</t>
  </si>
  <si>
    <t>https://www.metrocuadrado.com/inmueble/venta-apartamento-bogota-tibabita-2-habitaciones-2-banos-1-garajes/20821-M6171926</t>
  </si>
  <si>
    <t>20343-M5837101</t>
  </si>
  <si>
    <t>https://www.metrocuadrado.com/inmueble/venta-apartamento-bogota-santa-barbara-oriental-3-habitaciones-4-banos-2-garajes/20343-M5837101</t>
  </si>
  <si>
    <t>5340-M6521420</t>
  </si>
  <si>
    <t>COLINAS DE SUBA</t>
  </si>
  <si>
    <t>https://www.metrocuadrado.com/inmueble/venta-apartamento-bogota-colinas-de-suba-3-habitaciones-5-banos-4-garajes/5340-M6521420</t>
  </si>
  <si>
    <t>3340-M6146278</t>
  </si>
  <si>
    <t>LOS CEDROS</t>
  </si>
  <si>
    <t>https://www.metrocuadrado.com/inmueble/venta-apartamento-bogota-los-cedros-3-habitaciones-3-banos-2-garajes/3340-M6146278</t>
  </si>
  <si>
    <t>20837-M6411679</t>
  </si>
  <si>
    <t>ACACIAS USAQUEN</t>
  </si>
  <si>
    <t>https://www.metrocuadrado.com/inmueble/venta-apartamento-bogota-acacias-usaquen-2-habitaciones-2-banos-1-garajes/20837-M6411679</t>
  </si>
  <si>
    <t>3340-M6588429</t>
  </si>
  <si>
    <t>https://www.metrocuadrado.com/inmueble/venta-apartamento-bogota-bella-suiza-3-habitaciones-2-banos-2-garajes/3340-M6588429</t>
  </si>
  <si>
    <t>21414-M6128189</t>
  </si>
  <si>
    <t>PROVENZA</t>
  </si>
  <si>
    <t>https://www.metrocuadrado.com/inmueble/venta-apartamento-bogota-provenza-4-habitaciones-5-banos-3-garajes/21414-M6128189</t>
  </si>
  <si>
    <t>21222-M6360787</t>
  </si>
  <si>
    <t>https://www.metrocuadrado.com/inmueble/venta-apartamento-bogota-casa-blanca-3-habitaciones-2-banos-1-garajes/21222-M6360787</t>
  </si>
  <si>
    <t>19414-M6380456</t>
  </si>
  <si>
    <t>ANTIGUO COUNTRY</t>
  </si>
  <si>
    <t>https://www.metrocuadrado.com/inmueble/venta-apartamento-bogota-antiguo-country-3-habitaciones-3-banos-2-garajes/19414-M6380456</t>
  </si>
  <si>
    <t>19275-M6201109</t>
  </si>
  <si>
    <t>LA EMILIA</t>
  </si>
  <si>
    <t>https://www.metrocuadrado.com/inmueble/venta-apartamento-bogota-la-emilia-3-habitaciones-2-banos-1-garajes/19275-M6201109</t>
  </si>
  <si>
    <t>14356-M6500103</t>
  </si>
  <si>
    <t>MINUTO DE DIOS</t>
  </si>
  <si>
    <t>https://www.metrocuadrado.com/inmueble/venta-apartamento-bogota-minuto-de-dios-3-habitaciones-2-banos-1-garajes/14356-M6500103</t>
  </si>
  <si>
    <t>ENGATIVA</t>
  </si>
  <si>
    <t>13180-M6426035</t>
  </si>
  <si>
    <t>NICOLAS DE FEDERMAN</t>
  </si>
  <si>
    <t>https://www.metrocuadrado.com/inmueble/venta-apartamento-bogota-nicolas-de-federman-2-habitaciones-3-banos-2-garajes/13180-M6426035</t>
  </si>
  <si>
    <t>17152-M5955134</t>
  </si>
  <si>
    <t>UB BOCHICA III IV</t>
  </si>
  <si>
    <t>https://www.metrocuadrado.com/inmueble/venta-apartamento-bogota-ub-bochica-iii-iv-3-habitaciones-1-banos/17152-M5955134</t>
  </si>
  <si>
    <t>Bolivia</t>
  </si>
  <si>
    <t>BOL</t>
  </si>
  <si>
    <t>Avenida Calle 80  # 121-98</t>
  </si>
  <si>
    <t>17553-M6531783</t>
  </si>
  <si>
    <t>SAN JOSE DE USAQUEN</t>
  </si>
  <si>
    <t>https://www.metrocuadrado.com/inmueble/venta-apartamento-bogota-san-jose-de-usaquen-2-habitaciones-1-banos/17553-M6531783</t>
  </si>
  <si>
    <t>17152-M5564674</t>
  </si>
  <si>
    <t>SANTA BARBARA OCCIDENTAL   EDIF VENETTO</t>
  </si>
  <si>
    <t>https://www.metrocuadrado.com/inmueble/venta-apartamento-bogota-santa-barbara-occidental-edif-venetto-3-habitaciones-3-banos-2-garajes/17152-M5564674</t>
  </si>
  <si>
    <t>13194-M6588695</t>
  </si>
  <si>
    <t>LOS CEDRITOS</t>
  </si>
  <si>
    <t>https://www.metrocuadrado.com/inmueble/venta-apartamento-bogota-los-cedritos-3-habitaciones-3-banos-2-garajes/13194-M6588695</t>
  </si>
  <si>
    <t>17286-M6399546</t>
  </si>
  <si>
    <t>ESTORIL</t>
  </si>
  <si>
    <t>https://www.metrocuadrado.com/inmueble/venta-apartamento-bogota-estoril-1-habitaciones-2-banos-1-garajes/17286-M6399546</t>
  </si>
  <si>
    <t>18479-M6164224</t>
  </si>
  <si>
    <t>https://www.metrocuadrado.com/inmueble/venta-apartamento-bogota-santa-barbara-central-3-habitaciones-3-banos-2-garajes/18479-M6164224</t>
  </si>
  <si>
    <t>2162-M6071306</t>
  </si>
  <si>
    <t>https://www.metrocuadrado.com/inmueble/venta-apartamento-bogota-los-rosales-3-habitaciones-4-banos-2-garajes/2162-M6071306</t>
  </si>
  <si>
    <t>2123-M6495107</t>
  </si>
  <si>
    <t>UB DELICIAS DEL CARMEN</t>
  </si>
  <si>
    <t>https://www.metrocuadrado.com/inmueble/venta-apartamento-bogota-ub-delicias-del-carmen-3-habitaciones-4-banos-2-garajes/2123-M6495107</t>
  </si>
  <si>
    <t>660-M6372591</t>
  </si>
  <si>
    <t>NUEVO CONTRY</t>
  </si>
  <si>
    <t>https://www.metrocuadrado.com/inmueble/venta-apartamento-bogota-nuevo-contry-2-habitaciones-2-banos-1-garajes/660-M6372591</t>
  </si>
  <si>
    <t>156-M6495738</t>
  </si>
  <si>
    <t>https://www.metrocuadrado.com/inmueble/venta-apartamento-bogota-britalia-3-habitaciones-2-banos-1-garajes/156-M6495738</t>
  </si>
  <si>
    <t>156-M6456414</t>
  </si>
  <si>
    <t>https://www.metrocuadrado.com/inmueble/venta-apartamento-bogota-britalia-2-habitaciones-2-banos-1-garajes/156-M6456414</t>
  </si>
  <si>
    <t>12473-M6496681</t>
  </si>
  <si>
    <t>https://www.metrocuadrado.com/inmueble/venta-apartamento-bogota-los-rosales-3-habitaciones-4-banos-4-garajes/12473-M6496681</t>
  </si>
  <si>
    <t>2821-M6395927</t>
  </si>
  <si>
    <t>https://www.metrocuadrado.com/inmueble/venta-apartamento-bogota-nueva-zelandia-3-habitaciones-2-banos-2-garajes/2821-M6395927</t>
  </si>
  <si>
    <t>17527-M6229847</t>
  </si>
  <si>
    <t>https://www.metrocuadrado.com/inmueble/venta-apartamento-bogota-chico-norte-2-habitaciones-3-banos-2-garajes/17527-M6229847</t>
  </si>
  <si>
    <t>16034-M6492663</t>
  </si>
  <si>
    <t>CASA BLANCA SUBA</t>
  </si>
  <si>
    <t>https://www.metrocuadrado.com/inmueble/venta-apartamento-bogota-casa-blanca-suba-3-habitaciones-4-banos-4-garajes/16034-M6492663</t>
  </si>
  <si>
    <t>MC5951787</t>
  </si>
  <si>
    <t>MADELENA I Y II</t>
  </si>
  <si>
    <t>https://www.metrocuadrado.com/inmueble/venta-apartamento-bogota-madelena-i-y-ii-3-habitaciones-2-banos-1-garajes/MC5951787</t>
  </si>
  <si>
    <t>Carvajal-Sevillana</t>
  </si>
  <si>
    <t>CSE</t>
  </si>
  <si>
    <t>Kennedy</t>
  </si>
  <si>
    <t>Autopista Sur # 63-40</t>
  </si>
  <si>
    <t>CIUDAD BOLIVAR</t>
  </si>
  <si>
    <t>MC6496676</t>
  </si>
  <si>
    <t>https://www.metrocuadrado.com/inmueble/venta-apartamento-bogota-potosi-3-habitaciones-3-banos-1-garajes/MC6496676</t>
  </si>
  <si>
    <t>MC6318290</t>
  </si>
  <si>
    <t>SANTA BIBIANA</t>
  </si>
  <si>
    <t>https://www.metrocuadrado.com/inmueble/venta-apartamento-bogota-santa-bibiana-3-habitaciones-4-banos-4-garajes/MC6318290</t>
  </si>
  <si>
    <t>MC5943010</t>
  </si>
  <si>
    <t>MONACO   EDIF ESCORIAL I</t>
  </si>
  <si>
    <t>https://www.metrocuadrado.com/inmueble/venta-apartamento-bogota-monaco-edif-escorial-i-2-habitaciones-1-banos-1-garajes/MC5943010</t>
  </si>
  <si>
    <t>20028-C0001-01</t>
  </si>
  <si>
    <t>https://www.metrocuadrado.com/proyecto/alsacia-arbore/20028-C0001-01</t>
  </si>
  <si>
    <t>20028-C0001-03</t>
  </si>
  <si>
    <t>https://www.metrocuadrado.com/proyecto/alsacia-arbore/20028-C0001-03</t>
  </si>
  <si>
    <t>16432-C0017-01</t>
  </si>
  <si>
    <t>NUEVA CASTILLA</t>
  </si>
  <si>
    <t>https://www.metrocuadrado.com/proyecto/oikos-balmora/16432-C0017-01</t>
  </si>
  <si>
    <t>14693-C0004-07</t>
  </si>
  <si>
    <t>https://www.metrocuadrado.com/proyecto/pekin/14693-C0004-07</t>
  </si>
  <si>
    <t>MC6529090</t>
  </si>
  <si>
    <t>CIUDAD JARDIN NORTE</t>
  </si>
  <si>
    <t>https://www.metrocuadrado.com/inmueble/venta-apartamento-bogota-ciudad-jardin-norte-3-habitaciones-3-banos-2-garajes/MC6529090</t>
  </si>
  <si>
    <t>MC5185309</t>
  </si>
  <si>
    <t>https://www.metrocuadrado.com/inmueble/venta-apartamento-bogota-los-cedritos-1-habitaciones-1-banos-1-garajes/MC5185309</t>
  </si>
  <si>
    <t>3576-M6548483</t>
  </si>
  <si>
    <t>https://www.metrocuadrado.com/inmueble/venta-apartamento-bogota-santa-bibiana-3-habitaciones-3-banos-1-garajes/3576-M6548483</t>
  </si>
  <si>
    <t>16959-M5860227</t>
  </si>
  <si>
    <t>https://www.metrocuadrado.com/inmueble/venta-apartamento-bogota-san-jose-del-prado-3-habitaciones-2-banos-1-garajes/16959-M5860227</t>
  </si>
  <si>
    <t>16959-M6439309</t>
  </si>
  <si>
    <t>LAS VILLAS</t>
  </si>
  <si>
    <t>https://www.metrocuadrado.com/inmueble/venta-apartamento-bogota-las-villas-3-habitaciones-3-banos-1-garajes/16959-M6439309</t>
  </si>
  <si>
    <t>16959-M6366489</t>
  </si>
  <si>
    <t>PRADO PINZON</t>
  </si>
  <si>
    <t>https://www.metrocuadrado.com/inmueble/venta-apartamento-bogota-prado-pinzon-2-habitaciones-2-banos-1-garajes/16959-M6366489</t>
  </si>
  <si>
    <t>17140-M5830635</t>
  </si>
  <si>
    <t>https://www.metrocuadrado.com/inmueble/venta-apartamento-bogota-los-rosales-2-habitaciones-4-banos-3-garajes/17140-M5830635</t>
  </si>
  <si>
    <t>20689-M6035218</t>
  </si>
  <si>
    <t>https://www.metrocuadrado.com/inmueble/venta-apartamento-bogota-country-club-3-habitaciones-3-banos-2-garajes/20689-M6035218</t>
  </si>
  <si>
    <t>MC6339502</t>
  </si>
  <si>
    <t>COMUNEROS</t>
  </si>
  <si>
    <t>https://www.metrocuadrado.com/inmueble/venta-apartamento-bogota-comuneros-3-habitaciones-2-banos-1-garajes/MC6339502</t>
  </si>
  <si>
    <t>El Jazmín</t>
  </si>
  <si>
    <t>JAZ</t>
  </si>
  <si>
    <t>Calle 1 G # 41 A 39</t>
  </si>
  <si>
    <t>Residencial</t>
  </si>
  <si>
    <t>MC6567461</t>
  </si>
  <si>
    <t>BOSQUE CALDERON</t>
  </si>
  <si>
    <t>https://www.metrocuadrado.com/inmueble/venta-apartamento-bogota-bosque-calderon-1-habitaciones-1-banos/MC6567461</t>
  </si>
  <si>
    <t>MC6569404</t>
  </si>
  <si>
    <t>https://www.metrocuadrado.com/inmueble/venta-apartamento-bogota-el-plan-3-habitaciones-2-banos-1-garajes/MC6569404</t>
  </si>
  <si>
    <t>21845-M6429454</t>
  </si>
  <si>
    <t>PARDO RUBIO</t>
  </si>
  <si>
    <t>https://www.metrocuadrado.com/inmueble/venta-apartamento-bogota-pardo-rubio-1-habitaciones-2-banos-1-garajes/21845-M6429454</t>
  </si>
  <si>
    <t>21845-M6567592</t>
  </si>
  <si>
    <t>https://www.metrocuadrado.com/inmueble/venta-apartamento-bogota-santa-bibiana-1-habitaciones-1-banos-1-garajes/21845-M6567592</t>
  </si>
  <si>
    <t>20235-M6579454</t>
  </si>
  <si>
    <t>https://www.metrocuadrado.com/inmueble/venta-apartamento-bogota-ciudad-jardin-norte-3-habitaciones-2-banos-1-garajes/20235-M6579454</t>
  </si>
  <si>
    <t>MC6523696</t>
  </si>
  <si>
    <t>https://www.metrocuadrado.com/inmueble/venta-apartamento-bogota-chico-norte-et.-ii-1-habitaciones-1-banos-1-garajes/MC6523696</t>
  </si>
  <si>
    <t>20625-M5963849</t>
  </si>
  <si>
    <t>AEROPUERTO ELDORADO</t>
  </si>
  <si>
    <t>https://www.metrocuadrado.com/inmueble/venta-apartamento-bogota-aeropuerto-eldorado-2-habitaciones-2-banos/20625-M5963849</t>
  </si>
  <si>
    <t>FTB</t>
  </si>
  <si>
    <t>Carrera 104 # 20 C - 31</t>
  </si>
  <si>
    <t>917-M4244439</t>
  </si>
  <si>
    <t>https://www.metrocuadrado.com/inmueble/venta-apartamento-bogota-santa-ana-oriental-3-habitaciones-5-banos-3-garajes/917-M4244439</t>
  </si>
  <si>
    <t>2328-M6397738</t>
  </si>
  <si>
    <t>https://www.metrocuadrado.com/inmueble/venta-apartamento-bogota-los-rosales-3-habitaciones-5-banos-3-garajes/2328-M6397738</t>
  </si>
  <si>
    <t>2671-M6391191</t>
  </si>
  <si>
    <t>CERROS DE NIZA</t>
  </si>
  <si>
    <t>https://www.metrocuadrado.com/inmueble/venta-apartamento-bogota-cerros-de-niza-3-habitaciones-4-banos-4-garajes/2671-M6391191</t>
  </si>
  <si>
    <t>20706-M6141068</t>
  </si>
  <si>
    <t>LAS AGUAS</t>
  </si>
  <si>
    <t>https://www.metrocuadrado.com/inmueble/venta-apartamento-bogota-las-aguas-3-habitaciones-3-banos-2-garajes/20706-M6141068</t>
  </si>
  <si>
    <t>CANDELARIA</t>
  </si>
  <si>
    <t>13674-M6577233</t>
  </si>
  <si>
    <t>CR JARDINES DE LA COLINA ET I</t>
  </si>
  <si>
    <t>https://www.metrocuadrado.com/inmueble/venta-apartamento-bogota-cr-jardines-de-la-colina-et-i-3-habitaciones-2-banos-1-garajes/13674-M6577233</t>
  </si>
  <si>
    <t>836-M6084493</t>
  </si>
  <si>
    <t>LOS NARANJOS</t>
  </si>
  <si>
    <t>https://www.metrocuadrado.com/inmueble/venta-apartamento-bogota-los-naranjos-3-habitaciones-1-banos/836-M6084493</t>
  </si>
  <si>
    <t>21549-M6484793</t>
  </si>
  <si>
    <t>MAZUREN</t>
  </si>
  <si>
    <t>https://www.metrocuadrado.com/inmueble/venta-apartamento-bogota-mazuren-2-habitaciones-2-banos-2-garajes/21549-M6484793</t>
  </si>
  <si>
    <t>5537-M4866273</t>
  </si>
  <si>
    <t>NIZA SUBA</t>
  </si>
  <si>
    <t>https://www.metrocuadrado.com/inmueble/venta-apartamento-bogota-niza-suba-3-habitaciones-4-banos-2-garajes/5537-M4866273</t>
  </si>
  <si>
    <t>2671-M6560371</t>
  </si>
  <si>
    <t>https://www.metrocuadrado.com/inmueble/venta-apartamento-bogota-cerros-de-suba-3-habitaciones-5-banos-4-garajes/2671-M6560371</t>
  </si>
  <si>
    <t>2671-M6298135</t>
  </si>
  <si>
    <t>https://www.metrocuadrado.com/inmueble/venta-apartamento-bogota-cerros-de-suba-3-habitaciones-4-banos-4-garajes/2671-M6298135</t>
  </si>
  <si>
    <t>20342-M6364761</t>
  </si>
  <si>
    <t>https://www.metrocuadrado.com/inmueble/venta-apartamento-bogota-las-aguas-3-habitaciones-2-banos/20342-M6364761</t>
  </si>
  <si>
    <t>2671-M5794687</t>
  </si>
  <si>
    <t>LAGOS DE CORDOBA</t>
  </si>
  <si>
    <t>https://www.metrocuadrado.com/inmueble/venta-apartamento-bogota-lagos-de-cordoba-3-habitaciones-5-banos-2-garajes/2671-M5794687</t>
  </si>
  <si>
    <t>2671-M6377140</t>
  </si>
  <si>
    <t>LISBOA</t>
  </si>
  <si>
    <t>https://www.metrocuadrado.com/inmueble/venta-apartamento-bogota-lisboa-3-habitaciones-5-banos-4-garajes/2671-M6377140</t>
  </si>
  <si>
    <t>SANTA BARBARA ALTA</t>
  </si>
  <si>
    <t>2671-M5794267</t>
  </si>
  <si>
    <t>https://www.metrocuadrado.com/inmueble/venta-apartamento-bogota-cerros-de-suba-3-habitaciones-4-banos-4-garajes/2671-M5794267</t>
  </si>
  <si>
    <t>2671-M5792510</t>
  </si>
  <si>
    <t>https://www.metrocuadrado.com/inmueble/venta-apartamento-bogota-cerros-de-suba-4-habitaciones-5-banos-4-garajes/2671-M5792510</t>
  </si>
  <si>
    <t>SOTILEZA</t>
  </si>
  <si>
    <t>2671-M6272874</t>
  </si>
  <si>
    <t>RESERVA DE LA SIERRA</t>
  </si>
  <si>
    <t>https://www.metrocuadrado.com/inmueble/venta-apartamento-bogota-reserva-de-la-sierra-3-habitaciones-4-banos-3-garajes/2671-M6272874</t>
  </si>
  <si>
    <t>20819-M6025451</t>
  </si>
  <si>
    <t>https://www.metrocuadrado.com/inmueble/venta-apartamento-bogota-cantalejo-3-habitaciones-3-banos-2-garajes/20819-M6025451</t>
  </si>
  <si>
    <t>17553-M6445561</t>
  </si>
  <si>
    <t>SANTA ROSA</t>
  </si>
  <si>
    <t>https://www.metrocuadrado.com/inmueble/venta-apartamento-bogota-santa-rosa-3-habitaciones-2-banos-1-garajes/17553-M6445561</t>
  </si>
  <si>
    <t>3282-M4877936</t>
  </si>
  <si>
    <t>GINEBRA NORTE</t>
  </si>
  <si>
    <t>https://www.metrocuadrado.com/inmueble/venta-apartamento-bogota-ginebra-norte-3-habitaciones-3-banos-2-garajes/3282-M4877936</t>
  </si>
  <si>
    <t>4830-M5533758</t>
  </si>
  <si>
    <t>SANTA CECILIA</t>
  </si>
  <si>
    <t>https://www.metrocuadrado.com/inmueble/venta-apartamento-bogota-santa-cecilia-1-habitaciones-1-banos-1-garajes/4830-M5533758</t>
  </si>
  <si>
    <t>18294-M6585132</t>
  </si>
  <si>
    <t>SABANALARGA</t>
  </si>
  <si>
    <t>https://www.metrocuadrado.com/inmueble/venta-apartamento-bogota-sabanalarga-3-habitaciones-5-banos-4-garajes/18294-M6585132</t>
  </si>
  <si>
    <t>651-M5965752</t>
  </si>
  <si>
    <t>PRADOS DE LA CALLEJA</t>
  </si>
  <si>
    <t>https://www.metrocuadrado.com/inmueble/venta-apartamento-bogota-prados-de-la-calleja-3-habitaciones-5-banos-3-garajes/651-M5965752</t>
  </si>
  <si>
    <t>3065-M6143664</t>
  </si>
  <si>
    <t>https://www.metrocuadrado.com/inmueble/venta-apartamento-bogota-3-habitaciones-5-banos-3-garajes/3065-M6143664</t>
  </si>
  <si>
    <t>16108-M6400551</t>
  </si>
  <si>
    <t>CERROS DE SOTILEZA</t>
  </si>
  <si>
    <t>https://www.metrocuadrado.com/inmueble/venta-apartamento-bogota-cerros-de-sotileza-2-habitaciones-4-banos-4-garajes/16108-M6400551</t>
  </si>
  <si>
    <t>16369-M6198646</t>
  </si>
  <si>
    <t>CAMINO VIEJO DE SAN CRISTOBAL</t>
  </si>
  <si>
    <t>https://www.metrocuadrado.com/inmueble/venta-apartamento-bogota-camino-viejo-de-san-cristobal-3-habitaciones-2-banos-1-garajes/16369-M6198646</t>
  </si>
  <si>
    <t>San Cristóbal</t>
  </si>
  <si>
    <t>SCR</t>
  </si>
  <si>
    <t>Carrera 2 Este # 12-78 sur</t>
  </si>
  <si>
    <t>SAN CRISTOBAL</t>
  </si>
  <si>
    <t>374-M6388495</t>
  </si>
  <si>
    <t>https://www.metrocuadrado.com/inmueble/venta-apartamento-bogota-chico-norte-4-habitaciones-5-banos-3-garajes/374-M6388495</t>
  </si>
  <si>
    <t>16369-M6285849</t>
  </si>
  <si>
    <t>https://www.metrocuadrado.com/inmueble/venta-apartamento-bogota-santa-barbara-central-3-habitaciones-5-banos-3-garajes/16369-M6285849</t>
  </si>
  <si>
    <t>4535-M6354871</t>
  </si>
  <si>
    <t>https://www.metrocuadrado.com/inmueble/venta-apartamento-bogota-niza-suba-3-habitaciones-5-banos-4-garajes/4535-M6354871</t>
  </si>
  <si>
    <t>2162-M5845933</t>
  </si>
  <si>
    <t>https://www.metrocuadrado.com/inmueble/venta-apartamento-bogota-santa-barbara-central-3-habitaciones-5-banos-3-garajes/2162-M5845933</t>
  </si>
  <si>
    <t>2456-M4653615</t>
  </si>
  <si>
    <t>https://www.metrocuadrado.com/inmueble/venta-apartamento-bogota-el-plan-3-habitaciones-5-banos-3-garajes/2456-M4653615</t>
  </si>
  <si>
    <t>660-M6399885</t>
  </si>
  <si>
    <t>LAS ACASIAS</t>
  </si>
  <si>
    <t>https://www.metrocuadrado.com/inmueble/venta-apartamento-bogota-las-acasias-3-habitaciones-3-banos-1-garajes/660-M6399885</t>
  </si>
  <si>
    <t>16667-M5809644</t>
  </si>
  <si>
    <t>https://www.metrocuadrado.com/inmueble/venta-apartamento-bogota-san-jose-del-prado-3-habitaciones-2-banos-1-garajes/16667-M5809644</t>
  </si>
  <si>
    <t>17527-M5282584</t>
  </si>
  <si>
    <t>https://www.metrocuadrado.com/inmueble/venta-apartamento-bogota-el-refugio-3-habitaciones-3-banos-2-garajes/17527-M5282584</t>
  </si>
  <si>
    <t>17527-M6229947</t>
  </si>
  <si>
    <t>https://www.metrocuadrado.com/inmueble/venta-apartamento-bogota-san-patricio-3-habitaciones-4-banos-3-garajes/17527-M6229947</t>
  </si>
  <si>
    <t>16430-M5275168</t>
  </si>
  <si>
    <t>LA CABRERA</t>
  </si>
  <si>
    <t>https://www.metrocuadrado.com/inmueble/venta-apartamento-bogota-la-cabrera-4-habitaciones-5-banos-3-garajes/16430-M5275168</t>
  </si>
  <si>
    <t>18378-M6404357</t>
  </si>
  <si>
    <t>https://www.metrocuadrado.com/inmueble/venta-apartamento-bogota-quinta-paredes-2-habitaciones-2-banos-1-garajes/18378-M6404357</t>
  </si>
  <si>
    <t>MC6561150</t>
  </si>
  <si>
    <t>https://www.metrocuadrado.com/inmueble/venta-apartamento-bogota-el-plan-3-habitaciones-2-banos-1-garajes/MC6561150</t>
  </si>
  <si>
    <t>MC6460092</t>
  </si>
  <si>
    <t>EL DORADO</t>
  </si>
  <si>
    <t>https://www.metrocuadrado.com/inmueble/venta-apartamento-bogota-el-dorado-3-habitaciones-2-banos-1-garajes/MC6460092</t>
  </si>
  <si>
    <t>MC6525085</t>
  </si>
  <si>
    <t>NUESTRA SENORA DE LA PAZ</t>
  </si>
  <si>
    <t>https://www.metrocuadrado.com/inmueble/venta-apartamento-bogota-nuestra-senora-de-la-paz-4-habitaciones-2-banos-1-garajes/MC6525085</t>
  </si>
  <si>
    <t>MC6157736</t>
  </si>
  <si>
    <t>LA SOLEDAD</t>
  </si>
  <si>
    <t>https://www.metrocuadrado.com/inmueble/venta-apartamento-bogota-la-soledad-2-habitaciones-2-banos-1-garajes/MC6157736</t>
  </si>
  <si>
    <t>21962-C0003-01</t>
  </si>
  <si>
    <t>SAN CRISTÓBAL SUR</t>
  </si>
  <si>
    <t>https://www.metrocuadrado.com/proyecto/reserva-del-bosque-apartamentos/21962-C0003-01</t>
  </si>
  <si>
    <t>21389-C0001-03</t>
  </si>
  <si>
    <t>SAN MIGUEL</t>
  </si>
  <si>
    <t>https://www.metrocuadrado.com/proyecto/torre-rosetta/21389-C0001-03</t>
  </si>
  <si>
    <t>17156-C0001-04</t>
  </si>
  <si>
    <t>HAYUELOS</t>
  </si>
  <si>
    <t>https://www.metrocuadrado.com/proyecto/centriko/17156-C0001-04</t>
  </si>
  <si>
    <t>14693-C0004-12</t>
  </si>
  <si>
    <t>https://www.metrocuadrado.com/proyecto/pekin/14693-C0004-12</t>
  </si>
  <si>
    <t>MC3246928</t>
  </si>
  <si>
    <t>URBANIZACION CLASS</t>
  </si>
  <si>
    <t>https://www.metrocuadrado.com/inmueble/venta-apartamento-bogota-urbanizacion-class-3-habitaciones-2-banos/MC3246928</t>
  </si>
  <si>
    <t>KEN</t>
  </si>
  <si>
    <t>Carrera 80 # 40-55 sur</t>
  </si>
  <si>
    <t>MC6230255</t>
  </si>
  <si>
    <t>https://www.metrocuadrado.com/inmueble/venta-apartamento-bogota-san-patricio-2-habitaciones-2-banos-2-garajes/MC6230255</t>
  </si>
  <si>
    <t>MC6203118</t>
  </si>
  <si>
    <t>SANTA BARBARA ORIENTAL   EDIF NT TOWER</t>
  </si>
  <si>
    <t>https://www.metrocuadrado.com/inmueble/venta-apartamento-bogota-santa-barbara-oriental-edif-nt-tower-2-habitaciones-3-banos-2-garajes/MC6203118</t>
  </si>
  <si>
    <t>MC6526667</t>
  </si>
  <si>
    <t>https://www.metrocuadrado.com/inmueble/venta-apartamento-bogota-el-tintal-a.s.d.-3-habitaciones-2-banos-1-garajes/MC6526667</t>
  </si>
  <si>
    <t>MC4705450</t>
  </si>
  <si>
    <t>https://www.metrocuadrado.com/inmueble/venta-apartamento-bogota-chico-norte-et.-ii-1-habitaciones-2-banos-2-garajes/MC4705450</t>
  </si>
  <si>
    <t>MC6369410</t>
  </si>
  <si>
    <t>GILMAR</t>
  </si>
  <si>
    <t>https://www.metrocuadrado.com/inmueble/venta-apartamento-bogota-gilmar-3-habitaciones-2-banos-1-garajes/MC6369410</t>
  </si>
  <si>
    <t>MC6571665</t>
  </si>
  <si>
    <t>UB  EL CORTIJO</t>
  </si>
  <si>
    <t>https://www.metrocuadrado.com/inmueble/venta-apartamento-bogota-ub.-el-cortijo-3-habitaciones-1-banos-1-garajes/MC6571665</t>
  </si>
  <si>
    <t>19677-M6493313</t>
  </si>
  <si>
    <t>EL TINTAL</t>
  </si>
  <si>
    <t>https://www.metrocuadrado.com/inmueble/venta-apartamento-bogota-el-tintal-3-habitaciones-2-banos-1-garajes/19677-M6493313</t>
  </si>
  <si>
    <t>19677-M6494384</t>
  </si>
  <si>
    <t>CHAPINERO SUR OCCIDENTAL</t>
  </si>
  <si>
    <t>https://www.metrocuadrado.com/inmueble/venta-apartamento-bogota-chapinero-sur-occidental-1-habitaciones-1-banos/19677-M6494384</t>
  </si>
  <si>
    <t>MC4265878</t>
  </si>
  <si>
    <t>LA LIBERTAD</t>
  </si>
  <si>
    <t>https://www.metrocuadrado.com/inmueble/venta-apartamento-bogota-la-libertad-3-habitaciones-2-banos-1-garajes/MC4265878</t>
  </si>
  <si>
    <t>MC6586766</t>
  </si>
  <si>
    <t>UB  LA GRAN GRANADA</t>
  </si>
  <si>
    <t>https://www.metrocuadrado.com/inmueble/venta-apartamento-bogota-ub.-la-gran-granada-3-habitaciones-2-banos-1-garajes/MC6586766</t>
  </si>
  <si>
    <t>MC6526634</t>
  </si>
  <si>
    <t>CLUB LOS LAGARTOS</t>
  </si>
  <si>
    <t>https://www.metrocuadrado.com/inmueble/venta-apartamento-bogota-club-los-lagartos-3-habitaciones-4-banos-2-garajes/MC6526634</t>
  </si>
  <si>
    <t>11369-M6364017</t>
  </si>
  <si>
    <t>https://www.metrocuadrado.com/inmueble/venta-apartamento-bogota-quinta-paredes-3-habitaciones-2-banos-1-garajes/11369-M6364017</t>
  </si>
  <si>
    <t>11369-M5360184</t>
  </si>
  <si>
    <t>LA CASTELLANA</t>
  </si>
  <si>
    <t>https://www.metrocuadrado.com/inmueble/venta-apartamento-bogota-la-castellana-3-habitaciones-2-banos-1-garajes/11369-M5360184</t>
  </si>
  <si>
    <t>MC6459778</t>
  </si>
  <si>
    <t>https://www.metrocuadrado.com/inmueble/venta-apartamento-bogota-el-tintal-a.s.d.-3-habitaciones-2-banos-1-garajes/MC6459778</t>
  </si>
  <si>
    <t>2671-M6059551</t>
  </si>
  <si>
    <t>RECODO DEL COUNTRY</t>
  </si>
  <si>
    <t>https://www.metrocuadrado.com/inmueble/venta-apartamento-bogota-recodo-del-country-4-habitaciones-5-banos-4-garajes/2671-M6059551</t>
  </si>
  <si>
    <t>2671-M5840853</t>
  </si>
  <si>
    <t>https://www.metrocuadrado.com/inmueble/venta-apartamento-bogota-lagos-de-cordoba-4-habitaciones-5-banos-2-garajes/2671-M5840853</t>
  </si>
  <si>
    <t>13016-M6343370</t>
  </si>
  <si>
    <t>LA SALLE</t>
  </si>
  <si>
    <t>https://www.metrocuadrado.com/inmueble/venta-apartamento-bogota-la-salle-3-habitaciones-2-banos-1-garajes/13016-M6343370</t>
  </si>
  <si>
    <t>3774-M6119340</t>
  </si>
  <si>
    <t>https://www.metrocuadrado.com/inmueble/venta-apartamento-bogota-santa-barbara-occidental-3-habitaciones-4-banos-2-garajes/3774-M6119340</t>
  </si>
  <si>
    <t>2671-M6396797</t>
  </si>
  <si>
    <t>https://www.metrocuadrado.com/inmueble/venta-apartamento-bogota-provenza-3-habitaciones-4-banos-3-garajes/2671-M6396797</t>
  </si>
  <si>
    <t>3340-M4089412</t>
  </si>
  <si>
    <t>https://www.metrocuadrado.com/inmueble/venta-apartamento-bogota-molinos-norte-3-habitaciones-3-banos-4-garajes/3340-M4089412</t>
  </si>
  <si>
    <t>2671-M6360705</t>
  </si>
  <si>
    <t>https://www.metrocuadrado.com/inmueble/venta-apartamento-bogota-cerros-de-niza-3-habitaciones-4-banos-2-garajes/2671-M6360705</t>
  </si>
  <si>
    <t>20706-M6100194</t>
  </si>
  <si>
    <t>https://www.metrocuadrado.com/inmueble/venta-apartamento-bogota-san-patricio-3-habitaciones-4-banos-3-garajes/20706-M6100194</t>
  </si>
  <si>
    <t>2671-M5792970</t>
  </si>
  <si>
    <t>https://www.metrocuadrado.com/inmueble/venta-apartamento-bogota-cerros-de-suba-4-habitaciones-5-banos-4-garajes/2671-M5792970</t>
  </si>
  <si>
    <t>2671-M5717657</t>
  </si>
  <si>
    <t>COLINA CAMPESTRE</t>
  </si>
  <si>
    <t>https://www.metrocuadrado.com/inmueble/venta-apartamento-bogota-colina-campestre-3-habitaciones-3-banos-2-garajes/2671-M5717657</t>
  </si>
  <si>
    <t>19701-M6386461</t>
  </si>
  <si>
    <t>https://www.metrocuadrado.com/inmueble/venta-apartamento-bogota-la-carolina-3-habitaciones-4-banos-2-garajes/19701-M6386461</t>
  </si>
  <si>
    <t>21407-M6494766</t>
  </si>
  <si>
    <t>https://www.metrocuadrado.com/inmueble/venta-apartamento-bogota-franco-2-habitaciones-1-banos/21407-M6494766</t>
  </si>
  <si>
    <t>917-M5576970</t>
  </si>
  <si>
    <t>https://www.metrocuadrado.com/inmueble/venta-apartamento-bogota-santa-ana-oriental-2-habitaciones-3-banos-2-garajes/917-M5576970</t>
  </si>
  <si>
    <t>2671-M6431135</t>
  </si>
  <si>
    <t>https://www.metrocuadrado.com/inmueble/venta-apartamento-bogota-sotileza-4-habitaciones-4-banos-2-garajes/2671-M6431135</t>
  </si>
  <si>
    <t>5545-M6312614</t>
  </si>
  <si>
    <t>ACEVEDO TEJADA</t>
  </si>
  <si>
    <t>https://www.metrocuadrado.com/inmueble/venta-apartamento-bogota-acevedo-tejada-5-habitaciones-5-banos-1-garajes/5545-M6312614</t>
  </si>
  <si>
    <t>2671-M6328020</t>
  </si>
  <si>
    <t>https://www.metrocuadrado.com/inmueble/venta-apartamento-bogota-cerros-de-niza-3-habitaciones-4-banos-2-garajes/2671-M6328020</t>
  </si>
  <si>
    <t>2671-M5793497</t>
  </si>
  <si>
    <t>https://www.metrocuadrado.com/inmueble/venta-apartamento-bogota-cerros-de-suba-3-habitaciones-4-banos-4-garajes/2671-M5793497</t>
  </si>
  <si>
    <t>20706-M6120338</t>
  </si>
  <si>
    <t>https://www.metrocuadrado.com/inmueble/venta-apartamento-bogota-el-plan-3-habitaciones-2-banos-1-garajes/20706-M6120338</t>
  </si>
  <si>
    <t>2671-M5792987</t>
  </si>
  <si>
    <t>https://www.metrocuadrado.com/inmueble/venta-apartamento-bogota-sotileza-4-habitaciones-5-banos-4-garajes/2671-M5792987</t>
  </si>
  <si>
    <t>19734-M6012037</t>
  </si>
  <si>
    <t>EL CAMPIN</t>
  </si>
  <si>
    <t>https://www.metrocuadrado.com/inmueble/venta-apartamento-bogota-el-campin-4-habitaciones-2-banos/19734-M6012037</t>
  </si>
  <si>
    <t>2671-M5793043</t>
  </si>
  <si>
    <t>https://www.metrocuadrado.com/inmueble/venta-apartamento-bogota-cerros-de-niza-3-habitaciones-5-banos-4-garajes/2671-M5793043</t>
  </si>
  <si>
    <t>16108-M6509858</t>
  </si>
  <si>
    <t>https://www.metrocuadrado.com/inmueble/venta-apartamento-bogota-santa-ana-oriental-2-habitaciones-3-banos-3-garajes/16108-M6509858</t>
  </si>
  <si>
    <t>16108-M6400476</t>
  </si>
  <si>
    <t>https://www.metrocuadrado.com/inmueble/venta-apartamento-bogota-chico-3-habitaciones-4-banos-3-garajes/16108-M6400476</t>
  </si>
  <si>
    <t>4830-M3040996</t>
  </si>
  <si>
    <t>https://www.metrocuadrado.com/inmueble/venta-apartamento-bogota-niza-suba-3-habitaciones-2-banos-2-garajes/4830-M3040996</t>
  </si>
  <si>
    <t>2974-M6586951</t>
  </si>
  <si>
    <t>EL NOGAL</t>
  </si>
  <si>
    <t>https://www.metrocuadrado.com/inmueble/venta-apartamento-bogota-el-nogal-3-habitaciones-4-banos-2-garajes/2974-M6586951</t>
  </si>
  <si>
    <t>19339-M5959436</t>
  </si>
  <si>
    <t>CIUDAD SALITRE ORIENTAL</t>
  </si>
  <si>
    <t>https://www.metrocuadrado.com/inmueble/venta-apartamento-bogota-ciudad-salitre-oriental-3-habitaciones-3-banos-2-garajes/19339-M5959436</t>
  </si>
  <si>
    <t>16577-M6587645</t>
  </si>
  <si>
    <t>SANTA PAULA</t>
  </si>
  <si>
    <t>https://www.metrocuadrado.com/inmueble/venta-apartamento-bogota-santa-paula-3-habitaciones-3-banos-3-garajes/16577-M6587645</t>
  </si>
  <si>
    <t>15654-M6498871</t>
  </si>
  <si>
    <t>https://www.metrocuadrado.com/inmueble/venta-apartamento-bogota-santa-bibiana-3-habitaciones-2-banos-2-garajes/15654-M6498871</t>
  </si>
  <si>
    <t>16108-M6336613</t>
  </si>
  <si>
    <t>https://www.metrocuadrado.com/inmueble/venta-apartamento-bogota-chico-norte-2-habitaciones-3-banos-1-garajes/16108-M6336613</t>
  </si>
  <si>
    <t>15333-M4744878</t>
  </si>
  <si>
    <t>https://www.metrocuadrado.com/inmueble/venta-apartamento-bogota-santa-barbara-oriental-3-habitaciones-4-banos-2-garajes/15333-M4744878</t>
  </si>
  <si>
    <t>19434-M6280825</t>
  </si>
  <si>
    <t>https://www.metrocuadrado.com/inmueble/venta-apartamento-bogota-cerros-de-santa-barbara-3-habitaciones-5-banos-3-garajes/19434-M6280825</t>
  </si>
  <si>
    <t>2456-M4598178</t>
  </si>
  <si>
    <t>https://www.metrocuadrado.com/inmueble/venta-apartamento-bogota-el-plan-3-habitaciones-5-banos-3-garajes/2456-M4598178</t>
  </si>
  <si>
    <t>2456-M4598192</t>
  </si>
  <si>
    <t>https://www.metrocuadrado.com/inmueble/venta-apartamento-bogota-el-plan-3-habitaciones-5-banos-4-garajes/2456-M4598192</t>
  </si>
  <si>
    <t>2162-M5238302</t>
  </si>
  <si>
    <t>EMAUS</t>
  </si>
  <si>
    <t>https://www.metrocuadrado.com/inmueble/venta-apartamento-bogota-emaus-3-habitaciones-4-banos-3-garajes/2162-M5238302</t>
  </si>
  <si>
    <t>747-M2698555</t>
  </si>
  <si>
    <t>https://www.metrocuadrado.com/inmueble/venta-apartamento-bogota-gilmar-3-habitaciones-4-banos-2-garajes/747-M2698555</t>
  </si>
  <si>
    <t>17061-M6082530</t>
  </si>
  <si>
    <t>https://www.metrocuadrado.com/inmueble/venta-apartamento-bogota-santa-bibiana-2-habitaciones-3-banos-2-garajes/17061-M6082530</t>
  </si>
  <si>
    <t>12473-M5964309</t>
  </si>
  <si>
    <t>https://www.metrocuadrado.com/inmueble/venta-apartamento-bogota-balcones-de-oriente-3-habitaciones-2-banos/12473-M5964309</t>
  </si>
  <si>
    <t>14121-M5967932</t>
  </si>
  <si>
    <t>CEDRO NARVAEZ</t>
  </si>
  <si>
    <t>https://www.metrocuadrado.com/inmueble/venta-apartamento-bogota-cedro-narvaez-2-habitaciones-2-banos-1-garajes/14121-M5967932</t>
  </si>
  <si>
    <t>17723-M5389782</t>
  </si>
  <si>
    <t>COUNTRY CLUB   EDIF SAUCES DEL COUNTRY</t>
  </si>
  <si>
    <t>https://www.metrocuadrado.com/inmueble/venta-apartamento-bogota-country-club-edif-sauces-del-country-3-habitaciones-3-banos-2-garajes/17723-M5389782</t>
  </si>
  <si>
    <t>MC6577267</t>
  </si>
  <si>
    <t>https://www.metrocuadrado.com/inmueble/venta-apartamento-bogota-caobos-salazar-3-habitaciones-3-banos-2-garajes/MC6577267</t>
  </si>
  <si>
    <t>MC5543085</t>
  </si>
  <si>
    <t>CJR MIRANDELA 3</t>
  </si>
  <si>
    <t>https://www.metrocuadrado.com/inmueble/venta-apartamento-bogota-cjr-mirandela-3-3-habitaciones-2-banos-2-garajes/MC5543085</t>
  </si>
  <si>
    <t>MC6370425</t>
  </si>
  <si>
    <t>https://www.metrocuadrado.com/inmueble/venta-apartamento-bogota-el-dorado-3-habitaciones-2-banos-1-garajes/MC6370425</t>
  </si>
  <si>
    <t>MC6553365</t>
  </si>
  <si>
    <t>LAS FLORES</t>
  </si>
  <si>
    <t>https://www.metrocuadrado.com/inmueble/venta-apartamento-bogota-las-flores-2-habitaciones-1-banos-1-garajes/MC6553365</t>
  </si>
  <si>
    <t>SUB</t>
  </si>
  <si>
    <t>Carrera 111 # 159A-61</t>
  </si>
  <si>
    <t>22209-C0004-04</t>
  </si>
  <si>
    <t>https://www.metrocuadrado.com/proyecto/haus-park-haus-reservado/22209-C0004-04</t>
  </si>
  <si>
    <t>21389-C0001-04</t>
  </si>
  <si>
    <t>https://www.metrocuadrado.com/proyecto/torre-rosetta/21389-C0001-04</t>
  </si>
  <si>
    <t>17156-C0006-02</t>
  </si>
  <si>
    <t>RECREO</t>
  </si>
  <si>
    <t>https://www.metrocuadrado.com/proyecto/primavera/17156-C0006-02</t>
  </si>
  <si>
    <t>14693-C0004-08</t>
  </si>
  <si>
    <t>https://www.metrocuadrado.com/proyecto/pekin/14693-C0004-08</t>
  </si>
  <si>
    <t>MC6540902</t>
  </si>
  <si>
    <t>https://www.metrocuadrado.com/inmueble/venta-apartamento-bogota-los-naranjos-2-habitaciones-1-banos/MC6540902</t>
  </si>
  <si>
    <t>MC6484427</t>
  </si>
  <si>
    <t>ESTACION CENTRAL</t>
  </si>
  <si>
    <t>https://www.metrocuadrado.com/inmueble/venta-apartamento-bogota-estacion-central-2-habitaciones-1-banos/MC6484427</t>
  </si>
  <si>
    <t>19579-M5661649</t>
  </si>
  <si>
    <t>https://www.metrocuadrado.com/inmueble/venta-apartamento-bogota-santa-barbara-occidental-1-habitaciones-1-banos-1-garajes/19579-M5661649</t>
  </si>
  <si>
    <t>848-M6565326</t>
  </si>
  <si>
    <t>LA ESPERANZA NORTE</t>
  </si>
  <si>
    <t>https://www.metrocuadrado.com/inmueble/venta-apartamento-bogota-la-esperanza-norte-3-habitaciones-4-banos-3-garajes/848-M6565326</t>
  </si>
  <si>
    <t>18758-M6411475</t>
  </si>
  <si>
    <t>https://www.metrocuadrado.com/inmueble/venta-apartamento-bogota-caobos-salazar-3-habitaciones-3-banos-2-garajes/18758-M6411475</t>
  </si>
  <si>
    <t>MC6413056</t>
  </si>
  <si>
    <t>CHAPINERO NORTE</t>
  </si>
  <si>
    <t>https://www.metrocuadrado.com/inmueble/venta-apartamento-bogota-chapinero-norte-2-habitaciones-2-banos/MC6413056</t>
  </si>
  <si>
    <t>20462-M6578852</t>
  </si>
  <si>
    <t>https://www.metrocuadrado.com/inmueble/venta-apartamento-bogota-cedro-salazar-2-habitaciones-2-banos-1-garajes/20462-M6578852</t>
  </si>
  <si>
    <t>MC6043562</t>
  </si>
  <si>
    <t>https://www.metrocuadrado.com/inmueble/venta-apartamento-bogota-el-refugio-1-habitaciones-2-banos-2-garajes/MC6043562</t>
  </si>
  <si>
    <t>MC6232424</t>
  </si>
  <si>
    <t>CJR ARCOS DE CASIGUA A Y B</t>
  </si>
  <si>
    <t>https://www.metrocuadrado.com/inmueble/venta-apartamento-bogota-cjr-arcos-de-casigua-a-y-b-3-habitaciones-3-banos-2-garajes/MC6232424</t>
  </si>
  <si>
    <t>MC6307142</t>
  </si>
  <si>
    <t>https://www.metrocuadrado.com/inmueble/venta-apartamento-bogota-chico-norte-2-habitaciones-4-banos-3-garajes/MC6307142</t>
  </si>
  <si>
    <t>19657-M6099380</t>
  </si>
  <si>
    <t>https://www.metrocuadrado.com/inmueble/venta-apartamento-bogota-lisboa-1-habitaciones-2-banos-2-garajes/19657-M6099380</t>
  </si>
  <si>
    <t>MC6575087</t>
  </si>
  <si>
    <t>https://www.metrocuadrado.com/inmueble/venta-apartamento-bogota-pradera-norte-3-habitaciones-2-banos-1-garajes/MC6575087</t>
  </si>
  <si>
    <t>MC6490065</t>
  </si>
  <si>
    <t>https://www.metrocuadrado.com/inmueble/venta-apartamento-bogota-molinos-norte-1-habitaciones-1-banos-1-garajes/MC6490065</t>
  </si>
  <si>
    <t>MC6330876</t>
  </si>
  <si>
    <t>https://www.metrocuadrado.com/inmueble/venta-apartamento-bogota-rincon-del-chico-2-habitaciones-3-banos-2-garajes/MC6330876</t>
  </si>
  <si>
    <t>MC6422279</t>
  </si>
  <si>
    <t>https://www.metrocuadrado.com/inmueble/venta-apartamento-bogota-mazuren-3-habitaciones-2-banos-2-garajes/MC6422279</t>
  </si>
  <si>
    <t>ROSALES</t>
  </si>
  <si>
    <t>3340-M4693954</t>
  </si>
  <si>
    <t>https://www.metrocuadrado.com/inmueble/venta-apartamento-bogota-san-patricio-2-habitaciones-3-banos-1-garajes/3340-M4693954</t>
  </si>
  <si>
    <t>20706-M6036362</t>
  </si>
  <si>
    <t>https://www.metrocuadrado.com/inmueble/venta-apartamento-bogota-rincon-del-chico-3-habitaciones-4-banos-2-garajes/20706-M6036362</t>
  </si>
  <si>
    <t>2671-M6107175</t>
  </si>
  <si>
    <t>https://www.metrocuadrado.com/inmueble/venta-apartamento-bogota-colina-campestre-4-habitaciones-4-banos-2-garajes/2671-M6107175</t>
  </si>
  <si>
    <t>5537-M2945702</t>
  </si>
  <si>
    <t>https://www.metrocuadrado.com/inmueble/venta-apartamento-bogota-santa-barbara-occidental-3-habitaciones-5-banos-2-garajes/5537-M2945702</t>
  </si>
  <si>
    <t>21743-M6329150</t>
  </si>
  <si>
    <t>https://www.metrocuadrado.com/inmueble/venta-apartamento-bogota-santa-bibiana-3-habitaciones-3-banos-2-garajes/21743-M6329150</t>
  </si>
  <si>
    <t>2671-M6586893</t>
  </si>
  <si>
    <t>https://www.metrocuadrado.com/inmueble/venta-apartamento-bogota-cerros-de-suba-3-habitaciones-3-banos-2-garajes/2671-M6586893</t>
  </si>
  <si>
    <t>2671-M6377198</t>
  </si>
  <si>
    <t>https://www.metrocuadrado.com/inmueble/venta-apartamento-bogota-santa-paula-3-habitaciones-5-banos-2-garajes/2671-M6377198</t>
  </si>
  <si>
    <t>3220-M5621105</t>
  </si>
  <si>
    <t>https://www.metrocuadrado.com/inmueble/venta-apartamento-bogota-chico-norte-2-habitaciones-3-banos-2-garajes/3220-M5621105</t>
  </si>
  <si>
    <t>21884-M6490776</t>
  </si>
  <si>
    <t>https://www.metrocuadrado.com/inmueble/venta-apartamento-bogota-san-luis-4-habitaciones-3-banos-2-garajes/21884-M6490776</t>
  </si>
  <si>
    <t>2328-M6488970</t>
  </si>
  <si>
    <t>https://www.metrocuadrado.com/inmueble/venta-apartamento-bogota-2-habitaciones-2-banos-3-garajes/2328-M6488970</t>
  </si>
  <si>
    <t>2671-M6063668</t>
  </si>
  <si>
    <t>https://www.metrocuadrado.com/inmueble/venta-apartamento-bogota-cerros-de-niza-3-habitaciones-4-banos-2-garajes/2671-M6063668</t>
  </si>
  <si>
    <t>21438-M6499358</t>
  </si>
  <si>
    <t>https://www.metrocuadrado.com/inmueble/venta-apartamento-bogota-country-club-3-habitaciones-5-banos-2-garajes/21438-M6499358</t>
  </si>
  <si>
    <t>21884-M6362046</t>
  </si>
  <si>
    <t>https://www.metrocuadrado.com/inmueble/venta-apartamento-bogota-a.s.d.-3-habitaciones-4-banos-2-garajes/21884-M6362046</t>
  </si>
  <si>
    <t>2671-M5792928</t>
  </si>
  <si>
    <t>https://www.metrocuadrado.com/inmueble/venta-apartamento-bogota-cerros-de-suba-3-habitaciones-4-banos-4-garajes/2671-M5792928</t>
  </si>
  <si>
    <t>20363-M6403085</t>
  </si>
  <si>
    <t>RINCON DE SANTA INES</t>
  </si>
  <si>
    <t>https://www.metrocuadrado.com/inmueble/venta-apartamento-bogota-rincon-de-santa-ines-2-habitaciones-1-banos/20363-M6403085</t>
  </si>
  <si>
    <t>2671-M6099827</t>
  </si>
  <si>
    <t>MONTEARROYO</t>
  </si>
  <si>
    <t>https://www.metrocuadrado.com/inmueble/venta-apartamento-bogota-montearroyo-3-habitaciones-4-banos-3-garajes/2671-M6099827</t>
  </si>
  <si>
    <t>19554-M6499974</t>
  </si>
  <si>
    <t>TOBERIN</t>
  </si>
  <si>
    <t>https://www.metrocuadrado.com/inmueble/venta-apartamento-bogota-toberin-3-habitaciones-3-banos-2-garajes/19554-M6499974</t>
  </si>
  <si>
    <t>21884-M6436290</t>
  </si>
  <si>
    <t>MARIA CRISTINA</t>
  </si>
  <si>
    <t>https://www.metrocuadrado.com/inmueble/venta-apartamento-bogota-maria-cristina-3-habitaciones-3-banos-2-garajes/21884-M6436290</t>
  </si>
  <si>
    <t>21884-M6362959</t>
  </si>
  <si>
    <t>BOSQUE DE PINOS</t>
  </si>
  <si>
    <t>https://www.metrocuadrado.com/inmueble/venta-apartamento-bogota-bosque-de-pinos-3-habitaciones-4-banos-4-garajes/21884-M6362959</t>
  </si>
  <si>
    <t>2671-M6159687</t>
  </si>
  <si>
    <t>https://www.metrocuadrado.com/inmueble/venta-apartamento-bogota-cerros-de-suba-3-habitaciones-4-banos-2-garajes/2671-M6159687</t>
  </si>
  <si>
    <t>4830-M6002027</t>
  </si>
  <si>
    <t>SELECCIONAR BARRIO</t>
  </si>
  <si>
    <t>https://www.metrocuadrado.com/inmueble/venta-apartamento-bogota-seleccionar-barrio-2-habitaciones-2-banos/4830-M6002027</t>
  </si>
  <si>
    <t>16108-M6474540</t>
  </si>
  <si>
    <t>https://www.metrocuadrado.com/inmueble/venta-apartamento-bogota-los-rosales-3-habitaciones-4-banos-2-garajes/16108-M6474540</t>
  </si>
  <si>
    <t>12494-M2833832</t>
  </si>
  <si>
    <t>CHICO NORTE II</t>
  </si>
  <si>
    <t>https://www.metrocuadrado.com/inmueble/venta-apartamento-bogota-chico-norte-ii-2-habitaciones-4-banos-2-garajes/12494-M2833832</t>
  </si>
  <si>
    <t>16108-M4815910</t>
  </si>
  <si>
    <t>https://www.metrocuadrado.com/inmueble/venta-apartamento-bogota-santa-paula-5-habitaciones-5-banos-4-garajes/16108-M4815910</t>
  </si>
  <si>
    <t>16274-M6377768</t>
  </si>
  <si>
    <t>https://www.metrocuadrado.com/inmueble/venta-apartamento-bogota-chapinero-3-habitaciones-2-banos-1-garajes/16274-M6377768</t>
  </si>
  <si>
    <t>957-M5408121</t>
  </si>
  <si>
    <t>CHICO RESERVADO</t>
  </si>
  <si>
    <t>https://www.metrocuadrado.com/inmueble/venta-apartamento-bogota-chico-reservado-4-habitaciones-5-banos-4-garajes/957-M5408121</t>
  </si>
  <si>
    <t>19339-M5959218</t>
  </si>
  <si>
    <t>https://www.metrocuadrado.com/inmueble/venta-apartamento-bogota-hayuelos-3-habitaciones-2-banos-1-garajes/19339-M5959218</t>
  </si>
  <si>
    <t>15704-M6103081</t>
  </si>
  <si>
    <t>https://www.metrocuadrado.com/inmueble/venta-apartamento-bogota-hayuelos-3-habitaciones-2-banos-1-garajes/15704-M6103081</t>
  </si>
  <si>
    <t>3065-M6146232</t>
  </si>
  <si>
    <t>https://www.metrocuadrado.com/inmueble/venta-apartamento-bogota-santa-barbara-3-habitaciones-4-banos-3-garajes/3065-M6146232</t>
  </si>
  <si>
    <t>2456-M4823677</t>
  </si>
  <si>
    <t>SANTA HELENA ET  I</t>
  </si>
  <si>
    <t>https://www.metrocuadrado.com/inmueble/venta-apartamento-bogota-santa-helena-et.-i-3-habitaciones-4-banos-2-garajes/2456-M4823677</t>
  </si>
  <si>
    <t>11203-M5848268</t>
  </si>
  <si>
    <t>https://www.metrocuadrado.com/inmueble/venta-apartamento-bogota-chico-norte-et-ii-2-habitaciones-2-banos-2-garajes/11203-M5848268</t>
  </si>
  <si>
    <t>660-M5105858</t>
  </si>
  <si>
    <t>https://www.metrocuadrado.com/inmueble/venta-apartamento-bogota-bosque-izquierdo-3-habitaciones-3-banos-1-garajes/660-M5105858</t>
  </si>
  <si>
    <t>156-M6035311</t>
  </si>
  <si>
    <t>https://www.metrocuadrado.com/inmueble/venta-apartamento-bogota-asd-3-habitaciones-2-banos-1-garajes/156-M6035311</t>
  </si>
  <si>
    <t>11203-M5290728</t>
  </si>
  <si>
    <t>https://www.metrocuadrado.com/inmueble/venta-apartamento-bogota-a.s.d.-3-habitaciones-4-banos-3-garajes/11203-M5290728</t>
  </si>
  <si>
    <t>17061-M5974054</t>
  </si>
  <si>
    <t>https://www.metrocuadrado.com/inmueble/venta-apartamento-bogota-santa-bibiana-3-habitaciones-3-banos-2-garajes/17061-M5974054</t>
  </si>
  <si>
    <t>15942-M4910371</t>
  </si>
  <si>
    <t>SUBA NARANJOS</t>
  </si>
  <si>
    <t>https://www.metrocuadrado.com/inmueble/venta-apartamento-bogota-suba-naranjos-3-habitaciones-4-banos-2-garajes/15942-M4910371</t>
  </si>
  <si>
    <t>543-M6400782</t>
  </si>
  <si>
    <t>NUEVA GRANADA</t>
  </si>
  <si>
    <t>https://www.metrocuadrado.com/inmueble/venta-apartamento-bogota-nueva-granada-3-habitaciones-2-banos-2-garajes/543-M6400782</t>
  </si>
  <si>
    <t>18457-M6222141</t>
  </si>
  <si>
    <t>https://www.metrocuadrado.com/inmueble/venta-apartamento-bogota-cantalejo-3-habitaciones-3-banos-2-garajes/18457-M6222141</t>
  </si>
  <si>
    <t>17061-M6091761</t>
  </si>
  <si>
    <t>https://www.metrocuadrado.com/inmueble/venta-apartamento-bogota-santa-bibiana-3-habitaciones-4-banos-2-garajes/17061-M6091761</t>
  </si>
  <si>
    <t>MC6465764</t>
  </si>
  <si>
    <t>PARQUES DE LORENA</t>
  </si>
  <si>
    <t>https://www.metrocuadrado.com/inmueble/venta-apartamento-bogota-parques-de-lorena-3-habitaciones-2-banos-1-garajes/MC6465764</t>
  </si>
  <si>
    <t>MC6543134</t>
  </si>
  <si>
    <t>https://www.metrocuadrado.com/inmueble/venta-apartamento-bogota-el-dorado-4-habitaciones-4-banos-2-garajes/MC6543134</t>
  </si>
  <si>
    <t>MC6439353</t>
  </si>
  <si>
    <t>VICTORIA NORTE</t>
  </si>
  <si>
    <t>https://www.metrocuadrado.com/inmueble/venta-apartamento-bogota-victoria-norte-2-habitaciones-2-banos-1-garajes/MC6439353</t>
  </si>
  <si>
    <t>MC6573444</t>
  </si>
  <si>
    <t>FLORIDA BLANCA NORTE</t>
  </si>
  <si>
    <t>https://www.metrocuadrado.com/inmueble/venta-apartamento-bogota-florida-blanca-norte-2-habitaciones-1-banos-1-garajes/MC6573444</t>
  </si>
  <si>
    <t>1654-C0017-06</t>
  </si>
  <si>
    <t>EL PORVENIR</t>
  </si>
  <si>
    <t>https://www.metrocuadrado.com/proyecto/caney-reservado-fontibon/1654-C0017-06</t>
  </si>
  <si>
    <t>21389-C0001-01</t>
  </si>
  <si>
    <t>https://www.metrocuadrado.com/proyecto/torre-rosetta/21389-C0001-01</t>
  </si>
  <si>
    <t>17156-C0014-02</t>
  </si>
  <si>
    <t>https://www.metrocuadrado.com/proyecto/eskala/17156-C0014-02</t>
  </si>
  <si>
    <t>14693-C0004-01</t>
  </si>
  <si>
    <t>https://www.metrocuadrado.com/proyecto/pekin/14693-C0004-01</t>
  </si>
  <si>
    <t>21784-M6559956</t>
  </si>
  <si>
    <t>QUESADA</t>
  </si>
  <si>
    <t>https://www.metrocuadrado.com/inmueble/venta-apartamento-bogota-quesada-3-habitaciones-2-banos-1-garajes/21784-M6559956</t>
  </si>
  <si>
    <t>MC4532023</t>
  </si>
  <si>
    <t>https://www.metrocuadrado.com/inmueble/venta-apartamento-bogota-gilmar-4-habitaciones-5-banos-4-garajes/MC4532023</t>
  </si>
  <si>
    <t>5483-M6448722</t>
  </si>
  <si>
    <t>MARLY</t>
  </si>
  <si>
    <t>https://www.metrocuadrado.com/inmueble/venta-apartamento-bogota-marly-2-habitaciones-3-banos-1-garajes/5483-M6448722</t>
  </si>
  <si>
    <t>19954-M6571110</t>
  </si>
  <si>
    <t>https://www.metrocuadrado.com/inmueble/venta-apartamento-bogota-molinos-norte-5-habitaciones-5-banos-3-garajes/19954-M6571110</t>
  </si>
  <si>
    <t>MC6418309</t>
  </si>
  <si>
    <t>https://www.metrocuadrado.com/inmueble/venta-apartamento-bogota-la-porciuncula-1-habitaciones-2-banos-1-garajes/MC6418309</t>
  </si>
  <si>
    <t>5483-M6470033</t>
  </si>
  <si>
    <t>https://www.metrocuadrado.com/inmueble/venta-apartamento-bogota-caobos-salazar-3-habitaciones-3-banos-2-garajes/5483-M6470033</t>
  </si>
  <si>
    <t>5483-M6554318</t>
  </si>
  <si>
    <t>https://www.metrocuadrado.com/inmueble/venta-apartamento-bogota-monaco-4-habitaciones-4-banos-2-garajes/5483-M6554318</t>
  </si>
  <si>
    <t>MC5679936</t>
  </si>
  <si>
    <t>CJR 176 PARK</t>
  </si>
  <si>
    <t>https://www.metrocuadrado.com/inmueble/venta-apartamento-bogota-cjr-176-park-1-habitaciones-1-banos/MC5679936</t>
  </si>
  <si>
    <t>MC2218576</t>
  </si>
  <si>
    <t>https://www.metrocuadrado.com/inmueble/venta-apartamento-bogota-iberia-3-habitaciones-3-banos-2-garajes/MC2218576</t>
  </si>
  <si>
    <t>MC6462937</t>
  </si>
  <si>
    <t>https://www.metrocuadrado.com/inmueble/venta-apartamento-bogota-chico-norte-et.-ii-3-habitaciones-4-banos-1-garajes/MC6462937</t>
  </si>
  <si>
    <t>20726-M6568989</t>
  </si>
  <si>
    <t>https://www.metrocuadrado.com/inmueble/venta-apartamento-bogota-suba-naranjos-3-habitaciones-4-banos-2-garajes/20726-M6568989</t>
  </si>
  <si>
    <t>MC6410214</t>
  </si>
  <si>
    <t>https://www.metrocuadrado.com/inmueble/venta-apartamento-bogota-emaus-2-habitaciones-3-banos-2-garajes/MC6410214</t>
  </si>
  <si>
    <t>MC6537346</t>
  </si>
  <si>
    <t>TUNA ALTA</t>
  </si>
  <si>
    <t>https://www.metrocuadrado.com/inmueble/venta-apartamento-bogota-tuna-alta-3-habitaciones-2-banos-1-garajes/MC6537346</t>
  </si>
  <si>
    <t>MC6582531</t>
  </si>
  <si>
    <t>ALMAGRARIO</t>
  </si>
  <si>
    <t>https://www.metrocuadrado.com/inmueble/venta-apartamento-bogota-almagrario-2-habitaciones-2-banos/MC6582531</t>
  </si>
  <si>
    <t>21944-M6405415</t>
  </si>
  <si>
    <t>EL ENSUENO</t>
  </si>
  <si>
    <t>https://www.metrocuadrado.com/inmueble/venta-apartamento-bogota-el-ensueno-3-habitaciones-2-banos-1-garajes/21944-M6405415</t>
  </si>
  <si>
    <t>Ciudad Bolívar</t>
  </si>
  <si>
    <t>CBV</t>
  </si>
  <si>
    <t>Calle 70 Sur # 56 - 11</t>
  </si>
  <si>
    <t>2671-M5835692</t>
  </si>
  <si>
    <t>LA CALLEJA</t>
  </si>
  <si>
    <t>https://www.metrocuadrado.com/inmueble/venta-apartamento-bogota-la-calleja-3-habitaciones-3-banos-2-garajes/2671-M5835692</t>
  </si>
  <si>
    <t>20706-M6487747</t>
  </si>
  <si>
    <t>SANTANDER SUR</t>
  </si>
  <si>
    <t>https://www.metrocuadrado.com/inmueble/venta-apartamento-bogota-santander-sur-3-habitaciones-2-banos-1-garajes/20706-M6487747</t>
  </si>
  <si>
    <t>ANTONIO NARIÑO</t>
  </si>
  <si>
    <t>2671-M6313031</t>
  </si>
  <si>
    <t>REFUGIO</t>
  </si>
  <si>
    <t>https://www.metrocuadrado.com/inmueble/venta-apartamento-bogota-refugio-4-habitaciones-4-banos-3-garajes/2671-M6313031</t>
  </si>
  <si>
    <t>368-M5965917</t>
  </si>
  <si>
    <t>CONTADOR</t>
  </si>
  <si>
    <t>https://www.metrocuadrado.com/inmueble/venta-apartamento-bogota-contador-1-habitaciones-2-banos-1-garajes/368-M5965917</t>
  </si>
  <si>
    <t>2671-M5792451</t>
  </si>
  <si>
    <t>https://www.metrocuadrado.com/inmueble/venta-apartamento-bogota-cerros-de-niza-3-habitaciones-3-banos-3-garajes/2671-M5792451</t>
  </si>
  <si>
    <t>836-M3368805</t>
  </si>
  <si>
    <t>https://www.metrocuadrado.com/inmueble/venta-apartamento-bogota-santa-bibiana-4-habitaciones-5-banos-4-garajes/836-M3368805</t>
  </si>
  <si>
    <t>2266-M6105223</t>
  </si>
  <si>
    <t>https://www.metrocuadrado.com/inmueble/venta-apartamento-bogota-santa-barbara-oriental-3-habitaciones-2-banos-2-garajes/2266-M6105223</t>
  </si>
  <si>
    <t>2671-M6034767</t>
  </si>
  <si>
    <t>PUENTE LARGO</t>
  </si>
  <si>
    <t>https://www.metrocuadrado.com/inmueble/venta-apartamento-bogota-puente-largo-3-habitaciones-3-banos-2-garajes/2671-M6034767</t>
  </si>
  <si>
    <t>2671-M6062909</t>
  </si>
  <si>
    <t>https://www.metrocuadrado.com/inmueble/venta-apartamento-bogota-rosales-5-habitaciones-4-banos-4-garajes/2671-M6062909</t>
  </si>
  <si>
    <t>21542-M6377527</t>
  </si>
  <si>
    <t>https://www.metrocuadrado.com/inmueble/venta-apartamento-bogota-montearroyo-4-habitaciones-3-banos-3-garajes/21542-M6377527</t>
  </si>
  <si>
    <t>20706-M6139469</t>
  </si>
  <si>
    <t>https://www.metrocuadrado.com/inmueble/venta-apartamento-bogota-a.s.d.-2-habitaciones-1-banos/20706-M6139469</t>
  </si>
  <si>
    <t>2671-M6391574</t>
  </si>
  <si>
    <t>PASADENA</t>
  </si>
  <si>
    <t>https://www.metrocuadrado.com/inmueble/venta-apartamento-bogota-pasadena-3-habitaciones-3-banos-2-garajes/2671-M6391574</t>
  </si>
  <si>
    <t>2559-M5629326</t>
  </si>
  <si>
    <t>https://www.metrocuadrado.com/inmueble/venta-apartamento-bogota-el-nogal-3-habitaciones-4-banos-4-garajes/2559-M5629326</t>
  </si>
  <si>
    <t>20562-M6495367</t>
  </si>
  <si>
    <t>https://www.metrocuadrado.com/inmueble/venta-apartamento-bogota-acacias-usaquen-2-habitaciones-2-banos-1-garajes/20562-M6495367</t>
  </si>
  <si>
    <t>20706-M6226030</t>
  </si>
  <si>
    <t>ISLANDIA</t>
  </si>
  <si>
    <t>https://www.metrocuadrado.com/inmueble/venta-apartamento-bogota-islandia-3-habitaciones-2-banos/20706-M6226030</t>
  </si>
  <si>
    <t>20706-M6031912</t>
  </si>
  <si>
    <t>https://www.metrocuadrado.com/inmueble/venta-apartamento-bogota-molinos-norte-3-habitaciones-3-banos-2-garajes/20706-M6031912</t>
  </si>
  <si>
    <t>2671-M6351500</t>
  </si>
  <si>
    <t>PONTEVEDRA</t>
  </si>
  <si>
    <t>https://www.metrocuadrado.com/inmueble/venta-apartamento-bogota-pontevedra-3-habitaciones-2-banos-1-garajes/2671-M6351500</t>
  </si>
  <si>
    <t>20706-M6575903</t>
  </si>
  <si>
    <t>SANTA TERESA</t>
  </si>
  <si>
    <t>https://www.metrocuadrado.com/inmueble/venta-apartamento-bogota-santa-teresa-2-habitaciones-2-banos-1-garajes/20706-M6575903</t>
  </si>
  <si>
    <t>20706-M6241524</t>
  </si>
  <si>
    <t>https://www.metrocuadrado.com/inmueble/venta-apartamento-bogota-a.s.d.-3-habitaciones-2-banos/20706-M6241524</t>
  </si>
  <si>
    <t>20706-M6583926</t>
  </si>
  <si>
    <t>https://www.metrocuadrado.com/inmueble/venta-apartamento-bogota-los-cedritos-3-habitaciones-2-banos-1-garajes/20706-M6583926</t>
  </si>
  <si>
    <t>16288-M6402107</t>
  </si>
  <si>
    <t>EL CONTADOR</t>
  </si>
  <si>
    <t>https://www.metrocuadrado.com/inmueble/venta-apartamento-bogota-el-contador-3-habitaciones-4-banos-2-garajes/16288-M6402107</t>
  </si>
  <si>
    <t>2559-M2909906</t>
  </si>
  <si>
    <t>BOSQUE DE PINOS I</t>
  </si>
  <si>
    <t>https://www.metrocuadrado.com/inmueble/venta-apartamento-bogota-bosque-de-pinos-i-3-habitaciones-3-banos-3-garajes/2559-M2909906</t>
  </si>
  <si>
    <t>2639-M6318895</t>
  </si>
  <si>
    <t>https://www.metrocuadrado.com/inmueble/venta-apartamento-bogota-la-carolina-3-habitaciones-3-banos-2-garajes/2639-M6318895</t>
  </si>
  <si>
    <t>15704-M6451496</t>
  </si>
  <si>
    <t>EL ENSUEÑO</t>
  </si>
  <si>
    <t>https://www.metrocuadrado.com/inmueble/venta-apartamento-bogota-el-ensueno-3-habitaciones-2-banos-1-garajes/15704-M6451496</t>
  </si>
  <si>
    <t>15704-M6457371</t>
  </si>
  <si>
    <t>LA INDEPENDENCIA</t>
  </si>
  <si>
    <t>https://www.metrocuadrado.com/inmueble/venta-apartamento-bogota-la-independencia-3-habitaciones-2-banos/15704-M6457371</t>
  </si>
  <si>
    <t>3065-M5986810</t>
  </si>
  <si>
    <t>https://www.metrocuadrado.com/inmueble/venta-apartamento-bogota-santa-barbara-3-habitaciones-2-banos-2-garajes/3065-M5986810</t>
  </si>
  <si>
    <t>19434-M6102654</t>
  </si>
  <si>
    <t>https://www.metrocuadrado.com/inmueble/venta-apartamento-bogota-santa-barbara-central-3-habitaciones-3-banos-2-garajes/19434-M6102654</t>
  </si>
  <si>
    <t>2832-M3760477</t>
  </si>
  <si>
    <t>URBANIZACION BOSQUES DE MEDINA</t>
  </si>
  <si>
    <t>https://www.metrocuadrado.com/inmueble/venta-apartamento-bogota-urbanizacion-bosques-de-medina-3-habitaciones-4-banos-3-garajes/2832-M3760477</t>
  </si>
  <si>
    <t>3065-M6111704</t>
  </si>
  <si>
    <t>https://www.metrocuadrado.com/inmueble/venta-apartamento-bogota-san-patricio-3-habitaciones-3-banos-2-garajes/3065-M6111704</t>
  </si>
  <si>
    <t>15704-M6067716</t>
  </si>
  <si>
    <t>SANTANDER</t>
  </si>
  <si>
    <t>https://www.metrocuadrado.com/inmueble/venta-apartamento-bogota-santander-2-habitaciones-2-banos-1-garajes/15704-M6067716</t>
  </si>
  <si>
    <t>17568-M5612018</t>
  </si>
  <si>
    <t>CJR CERROS DE SOTILEZA</t>
  </si>
  <si>
    <t>https://www.metrocuadrado.com/inmueble/venta-apartamento-bogota-cjr-cerros-de-sotileza-3-habitaciones-4-banos-3-garajes/17568-M5612018</t>
  </si>
  <si>
    <t>16767-M6562116</t>
  </si>
  <si>
    <t>https://www.metrocuadrado.com/inmueble/venta-apartamento-bogota-santa-bibiana-3-habitaciones-4-banos-2-garajes/16767-M6562116</t>
  </si>
  <si>
    <t>2162-M5719257</t>
  </si>
  <si>
    <t>https://www.metrocuadrado.com/inmueble/venta-apartamento-bogota-los-rosales-3-habitaciones-4-banos-4-garajes/2162-M5719257</t>
  </si>
  <si>
    <t>660-M6435748</t>
  </si>
  <si>
    <t>https://www.metrocuadrado.com/inmueble/venta-apartamento-bogota-bosque-izquierdo-2-habitaciones-2-banos-1-garajes/660-M6435748</t>
  </si>
  <si>
    <t>660-M4869561</t>
  </si>
  <si>
    <t>CHICO NORTE ET  III   EDIF ALMERIA 95</t>
  </si>
  <si>
    <t>https://www.metrocuadrado.com/inmueble/venta-apartamento-bogota-chico-norte-et.-iii-edif-almeria-95-4-habitaciones-4-banos-3-garajes/660-M4869561</t>
  </si>
  <si>
    <t>156-M6438791</t>
  </si>
  <si>
    <t>https://www.metrocuadrado.com/inmueble/venta-apartamento-bogota-puente-largo-3-habitaciones-4-banos-2-garajes/156-M6438791</t>
  </si>
  <si>
    <t>17140-M6070369</t>
  </si>
  <si>
    <t>https://www.metrocuadrado.com/inmueble/venta-apartamento-bogota-santa-bibiana-3-habitaciones-3-banos-2-garajes/17140-M6070369</t>
  </si>
  <si>
    <t>12473-M6499960</t>
  </si>
  <si>
    <t>CHICO NORTE ET III</t>
  </si>
  <si>
    <t>https://www.metrocuadrado.com/inmueble/venta-apartamento-bogota-chico-norte-et-iii-3-habitaciones-4-banos-2-garajes/12473-M6499960</t>
  </si>
  <si>
    <t>533-M6498946</t>
  </si>
  <si>
    <t>https://www.metrocuadrado.com/inmueble/venta-apartamento-bogota-el-refugio-2-habitaciones-2-banos-2-garajes/533-M6498946</t>
  </si>
  <si>
    <t>14255-M6309281</t>
  </si>
  <si>
    <t>https://www.metrocuadrado.com/inmueble/venta-apartamento-bogota-la-cabrera-4-habitaciones-4-banos-4-garajes/14255-M6309281</t>
  </si>
  <si>
    <t>17527-M6098692</t>
  </si>
  <si>
    <t>https://www.metrocuadrado.com/inmueble/venta-apartamento-bogota-cerros-de-santa-barbara-3-habitaciones-3-banos-4-garajes/17527-M6098692</t>
  </si>
  <si>
    <t>14121-M6374414</t>
  </si>
  <si>
    <t>GINEBRA</t>
  </si>
  <si>
    <t>https://www.metrocuadrado.com/inmueble/venta-apartamento-bogota-ginebra-2-habitaciones-2-banos-1-garajes/14121-M6374414</t>
  </si>
  <si>
    <t>MC6379640</t>
  </si>
  <si>
    <t>https://www.metrocuadrado.com/inmueble/venta-apartamento-bogota-san-miguel-2-habitaciones-2-banos-1-garajes/MC6379640</t>
  </si>
  <si>
    <t>MC6542999</t>
  </si>
  <si>
    <t>https://www.metrocuadrado.com/inmueble/venta-apartamento-bogota-potosi-3-habitaciones-2-banos-2-garajes/MC6542999</t>
  </si>
  <si>
    <t>MC6411594</t>
  </si>
  <si>
    <t>https://www.metrocuadrado.com/inmueble/venta-apartamento-bogota-ub.-hacienda-cordoba-niza-3-habitaciones-3-banos-2-garajes/MC6411594</t>
  </si>
  <si>
    <t>MC5632606</t>
  </si>
  <si>
    <t>https://www.metrocuadrado.com/inmueble/venta-apartamento-bogota-acacias-usaquen-1-habitaciones-1-banos-1-garajes/MC5632606</t>
  </si>
  <si>
    <t>22209-C0004-02</t>
  </si>
  <si>
    <t>https://www.metrocuadrado.com/proyecto/haus-park-haus-reservado/22209-C0004-02</t>
  </si>
  <si>
    <t>22209-C0004-03</t>
  </si>
  <si>
    <t>https://www.metrocuadrado.com/proyecto/haus-park-haus-reservado/22209-C0004-03</t>
  </si>
  <si>
    <t>16432-C0012-04</t>
  </si>
  <si>
    <t>LAS NIEVES</t>
  </si>
  <si>
    <t>https://www.metrocuadrado.com/proyecto/zentral-apartamentos/16432-C0012-04</t>
  </si>
  <si>
    <t>15315-C0001-01</t>
  </si>
  <si>
    <t>https://www.metrocuadrado.com/proyecto/edificio-balmes-santa-barbara/15315-C0001-01</t>
  </si>
  <si>
    <t>MC6540012</t>
  </si>
  <si>
    <t>PARIS</t>
  </si>
  <si>
    <t>https://www.metrocuadrado.com/inmueble/venta-apartamento-bogota-paris-1-habitaciones-1-banos-1-garajes/MC6540012</t>
  </si>
  <si>
    <t>MC6585543</t>
  </si>
  <si>
    <t>UB  SANTA COLOMA</t>
  </si>
  <si>
    <t>https://www.metrocuadrado.com/inmueble/venta-apartamento-bogota-ub.-santa-coloma-3-habitaciones-2-banos-1-garajes/MC6585543</t>
  </si>
  <si>
    <t>MC6546909</t>
  </si>
  <si>
    <t>SALAZAR GOMEZ</t>
  </si>
  <si>
    <t>https://www.metrocuadrado.com/inmueble/venta-apartamento-bogota-salazar-gomez-1-habitaciones-1-banos/MC6546909</t>
  </si>
  <si>
    <t>MC6461481</t>
  </si>
  <si>
    <t>https://www.metrocuadrado.com/inmueble/venta-apartamento-bogota-san-jose-de-usaquen-2-habitaciones-1-banos/MC6461481</t>
  </si>
  <si>
    <t>MC6422748</t>
  </si>
  <si>
    <t>SAN ISIDRO</t>
  </si>
  <si>
    <t>https://www.metrocuadrado.com/inmueble/venta-apartamento-bogota-san-isidro-4-habitaciones-3-banos/MC6422748</t>
  </si>
  <si>
    <t>MC6446386</t>
  </si>
  <si>
    <t>PARQUE POPULAR SALITRE</t>
  </si>
  <si>
    <t>https://www.metrocuadrado.com/inmueble/venta-apartamento-bogota-parque-popular-salitre-1-habitaciones-1-banos/MC6446386</t>
  </si>
  <si>
    <t>MC6580909</t>
  </si>
  <si>
    <t>https://www.metrocuadrado.com/inmueble/venta-apartamento-bogota-club-los-lagartos-3-habitaciones-3-banos-3-garajes/MC6580909</t>
  </si>
  <si>
    <t>MC6342738</t>
  </si>
  <si>
    <t>CJR  PRATUM</t>
  </si>
  <si>
    <t>https://www.metrocuadrado.com/inmueble/venta-apartamento-bogota-cjr.-pratum-1-habitaciones-1-banos-1-garajes/MC6342738</t>
  </si>
  <si>
    <t>MC6573655</t>
  </si>
  <si>
    <t>https://www.metrocuadrado.com/inmueble/venta-apartamento-bogota-cantalejo-4-habitaciones-4-banos-2-garajes/MC6573655</t>
  </si>
  <si>
    <t>MC6343716</t>
  </si>
  <si>
    <t>BANCO CENTRAL</t>
  </si>
  <si>
    <t>https://www.metrocuadrado.com/inmueble/venta-apartamento-bogota-banco-central-3-habitaciones-2-banos-1-garajes/MC6343716</t>
  </si>
  <si>
    <t>MC6301762</t>
  </si>
  <si>
    <t>https://www.metrocuadrado.com/inmueble/venta-apartamento-bogota-el-redil-1-habitaciones-1-banos-1-garajes/MC6301762</t>
  </si>
  <si>
    <t>16399-M6482024</t>
  </si>
  <si>
    <t>LAGO TIMIZA ET I</t>
  </si>
  <si>
    <t>https://www.metrocuadrado.com/inmueble/venta-apartamento-bogota-lago-timiza-et-i-3-habitaciones-1-banos-1-garajes/16399-M6482024</t>
  </si>
  <si>
    <t>MC6588704</t>
  </si>
  <si>
    <t>CAMPO ALEGRE</t>
  </si>
  <si>
    <t>https://www.metrocuadrado.com/inmueble/venta-apartamento-bogota-campo-alegre-3-habitaciones-2-banos/MC6588704</t>
  </si>
  <si>
    <t>MC6416849</t>
  </si>
  <si>
    <t>https://www.metrocuadrado.com/inmueble/venta-apartamento-bogota-prado-veraniego-norte-2-habitaciones-2-banos-1-garajes/MC6416849</t>
  </si>
  <si>
    <t>MC6573610</t>
  </si>
  <si>
    <t>https://www.metrocuadrado.com/inmueble/venta-apartamento-bogota-san-jose-de-usaquen-3-habitaciones-2-banos/MC6573610</t>
  </si>
  <si>
    <t>2671-M5792969</t>
  </si>
  <si>
    <t>EL BATAN</t>
  </si>
  <si>
    <t>https://www.metrocuadrado.com/inmueble/venta-apartamento-bogota-el-batan-5-habitaciones-5-banos-3-garajes/2671-M5792969</t>
  </si>
  <si>
    <t>20706-M6166609</t>
  </si>
  <si>
    <t>NORMANDIA</t>
  </si>
  <si>
    <t>https://www.metrocuadrado.com/inmueble/venta-apartamento-bogota-normandia-2-habitaciones-2-banos-1-garajes/20706-M6166609</t>
  </si>
  <si>
    <t>20706-M6250713</t>
  </si>
  <si>
    <t>https://www.metrocuadrado.com/inmueble/venta-apartamento-bogota-comuneros-2-habitaciones-1-banos/20706-M6250713</t>
  </si>
  <si>
    <t>CERROS DE LOS ALPES</t>
  </si>
  <si>
    <t>20839-M6497046</t>
  </si>
  <si>
    <t>https://www.metrocuadrado.com/inmueble/venta-apartamento-bogota-puente-largo-3-habitaciones-3-banos-2-garajes/20839-M6497046</t>
  </si>
  <si>
    <t>20134-M6495931</t>
  </si>
  <si>
    <t>UB CASTILLA</t>
  </si>
  <si>
    <t>https://www.metrocuadrado.com/inmueble/venta-apartamento-bogota-ub-castilla-3-habitaciones-2-banos-1-garajes/20134-M6495931</t>
  </si>
  <si>
    <t>20706-M6469272</t>
  </si>
  <si>
    <t>https://www.metrocuadrado.com/inmueble/venta-apartamento-bogota-a.s.d.-3-habitaciones-2-banos/20706-M6469272</t>
  </si>
  <si>
    <t>2671-M6403644</t>
  </si>
  <si>
    <t>https://www.metrocuadrado.com/inmueble/venta-apartamento-bogota-chapinero-3-habitaciones-4-banos-2-garajes/2671-M6403644</t>
  </si>
  <si>
    <t>368-M6312260</t>
  </si>
  <si>
    <t>ATENAS</t>
  </si>
  <si>
    <t>https://www.metrocuadrado.com/inmueble/venta-apartamento-bogota-atenas-3-habitaciones-2-banos-1-garajes/368-M6312260</t>
  </si>
  <si>
    <t>2671-M6477971</t>
  </si>
  <si>
    <t>https://www.metrocuadrado.com/inmueble/venta-apartamento-bogota-santa-barbara-central-3-habitaciones-2-banos-2-garajes/2671-M6477971</t>
  </si>
  <si>
    <t>9914-M6342721</t>
  </si>
  <si>
    <t>https://www.metrocuadrado.com/inmueble/venta-apartamento-bogota-san-patricio-3-habitaciones-4-banos-4-garajes/9914-M6342721</t>
  </si>
  <si>
    <t>21187-M6500453</t>
  </si>
  <si>
    <t>SAN GABRIEL NORTE</t>
  </si>
  <si>
    <t>https://www.metrocuadrado.com/inmueble/venta-apartamento-bogota-san-gabriel-norte-3-habitaciones-3-banos-2-garajes/21187-M6500453</t>
  </si>
  <si>
    <t>2671-M6208523</t>
  </si>
  <si>
    <t>https://www.metrocuadrado.com/inmueble/venta-apartamento-bogota-santa-barbara-occidental-3-habitaciones-4-banos-4-garajes/2671-M6208523</t>
  </si>
  <si>
    <t>20706-M6357498</t>
  </si>
  <si>
    <t>https://www.metrocuadrado.com/inmueble/venta-apartamento-bogota-chapinero-2-habitaciones-2-banos/20706-M6357498</t>
  </si>
  <si>
    <t>20698-M6498694</t>
  </si>
  <si>
    <t>CIUDAD TECHO</t>
  </si>
  <si>
    <t>https://www.metrocuadrado.com/inmueble/venta-apartamento-bogota-ciudad-techo-3-habitaciones-2-banos-1-garajes/20698-M6498694</t>
  </si>
  <si>
    <t>20706-M6499144</t>
  </si>
  <si>
    <t>https://www.metrocuadrado.com/inmueble/venta-apartamento-bogota-el-dorado-3-habitaciones-2-banos-1-garajes/20706-M6499144</t>
  </si>
  <si>
    <t>20706-M6469878</t>
  </si>
  <si>
    <t>https://www.metrocuadrado.com/inmueble/venta-apartamento-bogota-ciudad-techo-3-habitaciones-2-banos-1-garajes/20706-M6469878</t>
  </si>
  <si>
    <t>2671-M5836105</t>
  </si>
  <si>
    <t>CHICO ALTO</t>
  </si>
  <si>
    <t>https://www.metrocuadrado.com/inmueble/venta-apartamento-bogota-chico-alto-4-habitaciones-5-banos-3-garajes/2671-M5836105</t>
  </si>
  <si>
    <t>2259-M4027633</t>
  </si>
  <si>
    <t>BOSQUE DE PINOS USAQUEN</t>
  </si>
  <si>
    <t>https://www.metrocuadrado.com/inmueble/venta-apartamento-bogota-bosque-de-pinos-usaquen-3-habitaciones-3-banos-4-garajes/2259-M4027633</t>
  </si>
  <si>
    <t>21884-M6371524</t>
  </si>
  <si>
    <t>https://www.metrocuadrado.com/inmueble/venta-apartamento-bogota-maria-cristina-3-habitaciones-3-banos-2-garajes/21884-M6371524</t>
  </si>
  <si>
    <t>2671-M6157814</t>
  </si>
  <si>
    <t>https://www.metrocuadrado.com/inmueble/venta-apartamento-bogota-santa-bibiana-5-habitaciones-5-banos-4-garajes/2671-M6157814</t>
  </si>
  <si>
    <t>17017-M6314309</t>
  </si>
  <si>
    <t>QUINTA CAMACHO</t>
  </si>
  <si>
    <t>https://www.metrocuadrado.com/inmueble/venta-apartamento-bogota-quinta-camacho-3-habitaciones-3-banos-1-garajes/17017-M6314309</t>
  </si>
  <si>
    <t>15704-M6291577</t>
  </si>
  <si>
    <t>https://www.metrocuadrado.com/inmueble/venta-apartamento-bogota-salazar-gomez-2-habitaciones-1-banos/15704-M6291577</t>
  </si>
  <si>
    <t>15704-M6443126</t>
  </si>
  <si>
    <t>BRITALIA NORTE</t>
  </si>
  <si>
    <t>https://www.metrocuadrado.com/inmueble/venta-apartamento-bogota-britalia-norte-3-habitaciones-2-banos/15704-M6443126</t>
  </si>
  <si>
    <t>15704-M6294719</t>
  </si>
  <si>
    <t>https://www.metrocuadrado.com/inmueble/venta-apartamento-bogota-salazar-gomez-2-habitaciones-1-banos/15704-M6294719</t>
  </si>
  <si>
    <t>3065-M6110621</t>
  </si>
  <si>
    <t>https://www.metrocuadrado.com/inmueble/venta-apartamento-bogota-san-patricio-3-habitaciones-4-banos-2-garajes/3065-M6110621</t>
  </si>
  <si>
    <t>16577-M6496090</t>
  </si>
  <si>
    <t>https://www.metrocuadrado.com/inmueble/venta-apartamento-bogota-rincon-del-chico-4-habitaciones-4-banos-3-garajes/16577-M6496090</t>
  </si>
  <si>
    <t>15704-M6469249</t>
  </si>
  <si>
    <t>NUEVO TECHO</t>
  </si>
  <si>
    <t>https://www.metrocuadrado.com/inmueble/venta-apartamento-bogota-nuevo-techo-2-habitaciones-1-banos/15704-M6469249</t>
  </si>
  <si>
    <t>15704-M6502029</t>
  </si>
  <si>
    <t>RICAURTE</t>
  </si>
  <si>
    <t>https://www.metrocuadrado.com/inmueble/venta-apartamento-bogota-ricaurte-2-habitaciones-1-banos/15704-M6502029</t>
  </si>
  <si>
    <t>15704-M6521816</t>
  </si>
  <si>
    <t>https://www.metrocuadrado.com/inmueble/venta-apartamento-bogota-normandia-2-habitaciones-2-banos-1-garajes/15704-M6521816</t>
  </si>
  <si>
    <t>3282-M4849331</t>
  </si>
  <si>
    <t>https://www.metrocuadrado.com/inmueble/venta-apartamento-bogota-san-gabriel-norte-3-habitaciones-5-banos-2-garajes/3282-M4849331</t>
  </si>
  <si>
    <t>11203-M5850947</t>
  </si>
  <si>
    <t>https://www.metrocuadrado.com/inmueble/venta-apartamento-bogota-el-nogal-3-habitaciones-2-banos-2-garajes/11203-M5850947</t>
  </si>
  <si>
    <t>2162-M6305476</t>
  </si>
  <si>
    <t>https://www.metrocuadrado.com/inmueble/venta-apartamento-bogota-antiguo-country-3-habitaciones-4-banos-2-garajes/2162-M6305476</t>
  </si>
  <si>
    <t>2123-M6559603</t>
  </si>
  <si>
    <t>https://www.metrocuadrado.com/inmueble/venta-apartamento-bogota-ginebra-3-habitaciones-4-banos-3-garajes/2123-M6559603</t>
  </si>
  <si>
    <t>18948-M6150812</t>
  </si>
  <si>
    <t>https://www.metrocuadrado.com/inmueble/venta-apartamento-bogota-los-alpes-3-habitaciones-3-banos-2-garajes/18948-M6150812</t>
  </si>
  <si>
    <t>156-M6526673</t>
  </si>
  <si>
    <t>https://www.metrocuadrado.com/inmueble/venta-apartamento-bogota-los-cedritos-3-habitaciones-2-banos-1-garajes/156-M6526673</t>
  </si>
  <si>
    <t>16430-M6041888</t>
  </si>
  <si>
    <t>https://www.metrocuadrado.com/inmueble/venta-apartamento-bogota-chico-3-habitaciones-4-banos-2-garajes/16430-M6041888</t>
  </si>
  <si>
    <t>14121-M4651697</t>
  </si>
  <si>
    <t>https://www.metrocuadrado.com/inmueble/venta-apartamento-bogota-molinos-norte-3-habitaciones-4-banos-2-garajes/14121-M4651697</t>
  </si>
  <si>
    <t>14121-M6133268</t>
  </si>
  <si>
    <t>https://www.metrocuadrado.com/inmueble/venta-apartamento-bogota-cedritos-4-habitaciones-3-banos-1-garajes/14121-M6133268</t>
  </si>
  <si>
    <t>12033-M3464348</t>
  </si>
  <si>
    <t>ALTOS DE LA COLINA</t>
  </si>
  <si>
    <t>https://www.metrocuadrado.com/inmueble/venta-apartamento-bogota-altos-de-la-colina-4-habitaciones-4-banos-2-garajes/12033-M3464348</t>
  </si>
  <si>
    <t>726-M6070604</t>
  </si>
  <si>
    <t>https://www.metrocuadrado.com/inmueble/venta-apartamento-bogota-caobos-salazar-3-habitaciones-3-banos-1-garajes/726-M6070604</t>
  </si>
  <si>
    <t>MC6568593</t>
  </si>
  <si>
    <t>CR  BOLIVIA XIV</t>
  </si>
  <si>
    <t>https://www.metrocuadrado.com/inmueble/venta-apartamento-bogota-cr.-bolivia-xiv-2-habitaciones-2-banos-1-garajes/MC6568593</t>
  </si>
  <si>
    <t>MC6382474</t>
  </si>
  <si>
    <t>https://www.metrocuadrado.com/inmueble/venta-apartamento-bogota-el-refugio-3-habitaciones-5-banos-2-garajes/MC6382474</t>
  </si>
  <si>
    <t>MC6535405</t>
  </si>
  <si>
    <t>SANTA MONICA</t>
  </si>
  <si>
    <t>https://www.metrocuadrado.com/inmueble/venta-apartamento-bogota-santa-monica-2-habitaciones-1-banos-1-garajes/MC6535405</t>
  </si>
  <si>
    <t>MC6315226</t>
  </si>
  <si>
    <t>https://www.metrocuadrado.com/inmueble/venta-apartamento-bogota-maria-cristina-2-habitaciones-2-banos-1-garajes/MC6315226</t>
  </si>
  <si>
    <t>11275-C0007-02</t>
  </si>
  <si>
    <t>VIRREY</t>
  </si>
  <si>
    <t>https://www.metrocuadrado.com/proyecto/aura/11275-C0007-02</t>
  </si>
  <si>
    <t>21477-C0001-03</t>
  </si>
  <si>
    <t>https://www.metrocuadrado.com/proyecto/dual-101/21477-C0001-03</t>
  </si>
  <si>
    <t>17156-C0004-02</t>
  </si>
  <si>
    <t>https://www.metrocuadrado.com/proyecto/serena/17156-C0004-02</t>
  </si>
  <si>
    <t>14693-C0004-10</t>
  </si>
  <si>
    <t>https://www.metrocuadrado.com/proyecto/pekin/14693-C0004-10</t>
  </si>
  <si>
    <t>MC6309192</t>
  </si>
  <si>
    <t>EL RINCON DE SAN NICOLAS</t>
  </si>
  <si>
    <t>https://www.metrocuadrado.com/inmueble/venta-apartamento-bogota-el-rincon-de-san-nicolas-3-habitaciones-2-banos-1-garajes/MC6309192</t>
  </si>
  <si>
    <t>18294-M6573651</t>
  </si>
  <si>
    <t>https://www.metrocuadrado.com/inmueble/venta-apartamento-bogota-san-jose-del-prado-3-habitaciones-3-banos-2-garajes/18294-M6573651</t>
  </si>
  <si>
    <t>MC6532923</t>
  </si>
  <si>
    <t>https://www.metrocuadrado.com/inmueble/venta-apartamento-bogota-ciudad-salitre-occidental-3-habitaciones-3-banos-2-garajes/MC6532923</t>
  </si>
  <si>
    <t>MC6573579</t>
  </si>
  <si>
    <t>LA LIBERIA</t>
  </si>
  <si>
    <t>https://www.metrocuadrado.com/inmueble/venta-apartamento-bogota-la-liberia-3-habitaciones-3-banos-2-garajes/MC6573579</t>
  </si>
  <si>
    <t>MC6588634</t>
  </si>
  <si>
    <t>https://www.metrocuadrado.com/inmueble/venta-apartamento-bogota-molinos-norte-2-habitaciones-2-banos-1-garajes/MC6588634</t>
  </si>
  <si>
    <t>18222-M5728465</t>
  </si>
  <si>
    <t>REMANSO SUR</t>
  </si>
  <si>
    <t>https://www.metrocuadrado.com/inmueble/venta-apartamento-bogota-remanso-sur-2-habitaciones-1-banos-1-garajes/18222-M5728465</t>
  </si>
  <si>
    <t>MC6588505</t>
  </si>
  <si>
    <t>https://www.metrocuadrado.com/inmueble/venta-apartamento-bogota-madelena-i-y-ii-3-habitaciones-1-banos-1-garajes/MC6588505</t>
  </si>
  <si>
    <t>14271-M6581207</t>
  </si>
  <si>
    <t>https://www.metrocuadrado.com/inmueble/venta-apartamento-bogota-antiguo-country-2-habitaciones-2-banos-2-garajes/14271-M6581207</t>
  </si>
  <si>
    <t>2266-M5702056</t>
  </si>
  <si>
    <t>CALLEJA ALTA COUNTRY</t>
  </si>
  <si>
    <t>https://www.metrocuadrado.com/inmueble/venta-apartamento-bogota-calleja-alta-country-3-habitaciones-5-banos-4-garajes/2266-M5702056</t>
  </si>
  <si>
    <t>2266-M6185451</t>
  </si>
  <si>
    <t>https://www.metrocuadrado.com/inmueble/venta-apartamento-bogota-la-cabrera-2-habitaciones-3-banos-2-garajes/2266-M6185451</t>
  </si>
  <si>
    <t>3422-M6436043</t>
  </si>
  <si>
    <t>BATAN</t>
  </si>
  <si>
    <t>https://www.metrocuadrado.com/inmueble/venta-apartamento-bogota-batan-2-habitaciones-2-banos-2-garajes/3422-M6436043</t>
  </si>
  <si>
    <t>MC6580911</t>
  </si>
  <si>
    <t>https://www.metrocuadrado.com/inmueble/venta-apartamento-bogota-los-rosales-2-habitaciones-2-banos-2-garajes/MC6580911</t>
  </si>
  <si>
    <t>MC6567941</t>
  </si>
  <si>
    <t>https://www.metrocuadrado.com/inmueble/venta-apartamento-bogota-teusaquillo-3-habitaciones-3-banos-2-garajes/MC6567941</t>
  </si>
  <si>
    <t>18222-M6481621</t>
  </si>
  <si>
    <t>EDUARDO SANTOS</t>
  </si>
  <si>
    <t>https://www.metrocuadrado.com/inmueble/venta-apartamento-bogota-eduardo-santos-2-habitaciones-2-banos-1-garajes/18222-M6481621</t>
  </si>
  <si>
    <t>2671-M6385881</t>
  </si>
  <si>
    <t>https://www.metrocuadrado.com/inmueble/venta-apartamento-bogota-santa-barbara-central-3-habitaciones-3-banos-2-garajes/2671-M6385881</t>
  </si>
  <si>
    <t>5545-M6375810</t>
  </si>
  <si>
    <t>CHAPINERO ALTO</t>
  </si>
  <si>
    <t>https://www.metrocuadrado.com/inmueble/venta-apartamento-bogota-chapinero-alto-3-habitaciones-3-banos-2-garajes/5545-M6375810</t>
  </si>
  <si>
    <t>20839-M6110969</t>
  </si>
  <si>
    <t>CJR GRAN RESERVA DE RIOJA</t>
  </si>
  <si>
    <t>https://www.metrocuadrado.com/inmueble/venta-apartamento-bogota-cjr-gran-reserva-de-rioja-3-habitaciones-4-banos-3-garajes/20839-M6110969</t>
  </si>
  <si>
    <t>3561-M5460372</t>
  </si>
  <si>
    <t>EL PENON DEL CORTIJO</t>
  </si>
  <si>
    <t>https://www.metrocuadrado.com/inmueble/venta-apartamento-bogota-el-penon-del-cortijo-2-habitaciones-2-banos/3561-M5460372</t>
  </si>
  <si>
    <t>9914-M6147553</t>
  </si>
  <si>
    <t>https://www.metrocuadrado.com/inmueble/venta-apartamento-bogota-a.s.d.-3-habitaciones-4-banos-3-garajes/9914-M6147553</t>
  </si>
  <si>
    <t>20706-M6440644</t>
  </si>
  <si>
    <t>https://www.metrocuadrado.com/inmueble/venta-apartamento-bogota-san-jose-de-usaquen-2-habitaciones-1-banos/20706-M6440644</t>
  </si>
  <si>
    <t>20706-M6274439</t>
  </si>
  <si>
    <t>https://www.metrocuadrado.com/inmueble/venta-apartamento-bogota-las-flores-3-habitaciones-2-banos/20706-M6274439</t>
  </si>
  <si>
    <t>20706-M6300198</t>
  </si>
  <si>
    <t>ESTRELLA DEL NORTE</t>
  </si>
  <si>
    <t>https://www.metrocuadrado.com/inmueble/venta-apartamento-bogota-estrella-del-norte-3-habitaciones-3-banos-2-garajes/20706-M6300198</t>
  </si>
  <si>
    <t>20706-M6108895</t>
  </si>
  <si>
    <t>LOS OLIVOS</t>
  </si>
  <si>
    <t>https://www.metrocuadrado.com/inmueble/venta-apartamento-bogota-los-olivos-1-habitaciones-1-banos/20706-M6108895</t>
  </si>
  <si>
    <t>20706-M6100877</t>
  </si>
  <si>
    <t>LAS ORQUIDEAS</t>
  </si>
  <si>
    <t>https://www.metrocuadrado.com/inmueble/venta-apartamento-bogota-las-orquideas-2-habitaciones-1-banos/20706-M6100877</t>
  </si>
  <si>
    <t>3340-M6582039</t>
  </si>
  <si>
    <t>https://www.metrocuadrado.com/inmueble/venta-apartamento-bogota-san-luis-3-habitaciones-3-banos-1-garajes/3340-M6582039</t>
  </si>
  <si>
    <t>20706-M6141466</t>
  </si>
  <si>
    <t>PASO ANCHO</t>
  </si>
  <si>
    <t>https://www.metrocuadrado.com/inmueble/venta-apartamento-bogota-paso-ancho-2-habitaciones-2-banos/20706-M6141466</t>
  </si>
  <si>
    <t>20706-M6584043</t>
  </si>
  <si>
    <t>https://www.metrocuadrado.com/inmueble/venta-apartamento-bogota-santa-barbara-central-3-habitaciones-3-banos-1-garajes/20706-M6584043</t>
  </si>
  <si>
    <t>9914-M5996600</t>
  </si>
  <si>
    <t>https://www.metrocuadrado.com/inmueble/venta-apartamento-bogota-los-rosales-3-habitaciones-3-banos-2-garajes/9914-M5996600</t>
  </si>
  <si>
    <t>17565-M6397772</t>
  </si>
  <si>
    <t>https://www.metrocuadrado.com/inmueble/venta-apartamento-bogota-cantalejo-4-habitaciones-3-banos-2-garajes/17565-M6397772</t>
  </si>
  <si>
    <t>20706-M6141376</t>
  </si>
  <si>
    <t>BRASIL</t>
  </si>
  <si>
    <t>https://www.metrocuadrado.com/inmueble/venta-apartamento-bogota-brasil-3-habitaciones-2-banos/20706-M6141376</t>
  </si>
  <si>
    <t>19578-M6587019</t>
  </si>
  <si>
    <t>https://www.metrocuadrado.com/inmueble/venta-apartamento-bogota-britalia-norte-3-habitaciones-2-banos-1-garajes/19578-M6587019</t>
  </si>
  <si>
    <t>2259-M5447525</t>
  </si>
  <si>
    <t>CHICO NORTE ET  III   EDIF CHICO 97</t>
  </si>
  <si>
    <t>https://www.metrocuadrado.com/inmueble/venta-apartamento-bogota-chico-norte-et.-iii-edif-chico-97-3-habitaciones-2-banos-2-garajes/2259-M5447525</t>
  </si>
  <si>
    <t>21597-M6483319</t>
  </si>
  <si>
    <t>https://www.metrocuadrado.com/inmueble/venta-apartamento-bogota-el-redil-2-habitaciones-1-banos/21597-M6483319</t>
  </si>
  <si>
    <t>9914-M5963518</t>
  </si>
  <si>
    <t>https://www.metrocuadrado.com/inmueble/venta-apartamento-bogota-los-rosales-3-habitaciones-3-banos-2-garajes/9914-M5963518</t>
  </si>
  <si>
    <t>20706-M6575144</t>
  </si>
  <si>
    <t>VERBENAL</t>
  </si>
  <si>
    <t>https://www.metrocuadrado.com/inmueble/venta-apartamento-bogota-verbenal-3-habitaciones-2-banos/20706-M6575144</t>
  </si>
  <si>
    <t>20706-M6072600</t>
  </si>
  <si>
    <t>https://www.metrocuadrado.com/inmueble/venta-apartamento-bogota-rincon-de-santa-ines-2-habitaciones-1-banos/20706-M6072600</t>
  </si>
  <si>
    <t>51-M2536826</t>
  </si>
  <si>
    <t>https://www.metrocuadrado.com/inmueble/venta-apartamento-bogota-los-alpes-3-habitaciones-5-banos-4-garajes/51-M2536826</t>
  </si>
  <si>
    <t>15704-M6454748</t>
  </si>
  <si>
    <t>https://www.metrocuadrado.com/inmueble/venta-apartamento-bogota-modelia-3-habitaciones-2-banos-1-garajes/15704-M6454748</t>
  </si>
  <si>
    <t>16577-M6230514</t>
  </si>
  <si>
    <t>https://www.metrocuadrado.com/inmueble/venta-apartamento-bogota-colina-campestre-3-habitaciones-4-banos-2-garajes/16577-M6230514</t>
  </si>
  <si>
    <t>15704-M6264934</t>
  </si>
  <si>
    <t>https://www.metrocuadrado.com/inmueble/venta-apartamento-bogota-ricaurte-2-habitaciones-1-banos/15704-M6264934</t>
  </si>
  <si>
    <t>16385-M4597431</t>
  </si>
  <si>
    <t>https://www.metrocuadrado.com/inmueble/venta-apartamento-bogota-santa-barbara-3-habitaciones-4-banos-4-garajes/16385-M4597431</t>
  </si>
  <si>
    <t>12073-M6418586</t>
  </si>
  <si>
    <t>https://www.metrocuadrado.com/inmueble/venta-apartamento-bogota-cerros-de-los-alpes-3-habitaciones-5-banos-3-garajes/12073-M6418586</t>
  </si>
  <si>
    <t>18235-M6067584</t>
  </si>
  <si>
    <t>https://www.metrocuadrado.com/inmueble/venta-apartamento-bogota-iberia-3-habitaciones-2-banos-2-garajes/18235-M6067584</t>
  </si>
  <si>
    <t>16274-M6329835</t>
  </si>
  <si>
    <t>SANTA CATALINA</t>
  </si>
  <si>
    <t>https://www.metrocuadrado.com/inmueble/venta-apartamento-bogota-santa-catalina-3-habitaciones-2-banos-1-garajes/16274-M6329835</t>
  </si>
  <si>
    <t>9894-M5156596</t>
  </si>
  <si>
    <t>CJR RESERVA DE LA MONTANA</t>
  </si>
  <si>
    <t>https://www.metrocuadrado.com/inmueble/venta-apartamento-bogota-cjr-reserva-de-la-montana-3-habitaciones-2-banos-2-garajes/9894-M5156596</t>
  </si>
  <si>
    <t>16216-M6112899</t>
  </si>
  <si>
    <t>https://www.metrocuadrado.com/inmueble/venta-apartamento-bogota-las-acacias-3-habitaciones-5-banos-2-garajes/16216-M6112899</t>
  </si>
  <si>
    <t>2162-M5783179</t>
  </si>
  <si>
    <t>https://www.metrocuadrado.com/inmueble/venta-apartamento-bogota-las-nieves-3-habitaciones-3-banos/2162-M5783179</t>
  </si>
  <si>
    <t>5268-M6476235</t>
  </si>
  <si>
    <t>https://www.metrocuadrado.com/inmueble/venta-apartamento-bogota-chapinero-central-1-habitaciones-2-banos-1-garajes/5268-M6476235</t>
  </si>
  <si>
    <t>2162-M6035674</t>
  </si>
  <si>
    <t>https://www.metrocuadrado.com/inmueble/venta-apartamento-bogota-santa-bibiana-3-habitaciones-3-banos-4-garajes/2162-M6035674</t>
  </si>
  <si>
    <t>14236-M6473108</t>
  </si>
  <si>
    <t>https://www.metrocuadrado.com/inmueble/venta-apartamento-bogota-lisboa-3-habitaciones-3-banos-3-garajes/14236-M6473108</t>
  </si>
  <si>
    <t>16933-M6497219</t>
  </si>
  <si>
    <t>https://www.metrocuadrado.com/inmueble/venta-apartamento-bogota-prados-de-la-calleja-4-habitaciones-4-banos-3-garajes/16933-M6497219</t>
  </si>
  <si>
    <t>12033-M6442112</t>
  </si>
  <si>
    <t>CASABLANCA SUBA</t>
  </si>
  <si>
    <t>https://www.metrocuadrado.com/inmueble/venta-apartamento-bogota-casablanca-suba-3-habitaciones-2-banos-1-garajes/12033-M6442112</t>
  </si>
  <si>
    <t>15942-M5196059</t>
  </si>
  <si>
    <t>https://www.metrocuadrado.com/inmueble/venta-apartamento-bogota-santa-bibiana-3-habitaciones-5-banos-3-garajes/15942-M5196059</t>
  </si>
  <si>
    <t>17289-M6226609</t>
  </si>
  <si>
    <t>CR  MONET</t>
  </si>
  <si>
    <t>https://www.metrocuadrado.com/inmueble/venta-apartamento-bogota-cr.-monet-3-habitaciones-3-banos-2-garajes/17289-M6226609</t>
  </si>
  <si>
    <t>2453-M4672288</t>
  </si>
  <si>
    <t>https://www.metrocuadrado.com/inmueble/venta-apartamento-bogota-caobos-salazar-3-habitaciones-5-banos-2-garajes/2453-M4672288</t>
  </si>
  <si>
    <t>MC6470769</t>
  </si>
  <si>
    <t>EL ROSARIO</t>
  </si>
  <si>
    <t>https://www.metrocuadrado.com/inmueble/venta-apartamento-bogota-el-rosario-3-habitaciones-2-banos-1-garajes/MC6470769</t>
  </si>
  <si>
    <t>MC6281521</t>
  </si>
  <si>
    <t>https://www.metrocuadrado.com/inmueble/venta-apartamento-bogota-estrella-del-norte-3-habitaciones-2-banos-1-garajes/MC6281521</t>
  </si>
  <si>
    <t>MC6350583</t>
  </si>
  <si>
    <t>USATAMA</t>
  </si>
  <si>
    <t>https://www.metrocuadrado.com/inmueble/venta-apartamento-bogota-usatama-4-habitaciones-2-banos-1-garajes/MC6350583</t>
  </si>
  <si>
    <t>MC6573443</t>
  </si>
  <si>
    <t>TIERRABUENA RESERVADO 1 Y 2</t>
  </si>
  <si>
    <t>https://www.metrocuadrado.com/inmueble/venta-apartamento-bogota-tierrabuena-reservado-1-y-2-2-habitaciones-1-banos-1-garajes/MC6573443</t>
  </si>
  <si>
    <t>11275-C0007-01</t>
  </si>
  <si>
    <t>https://www.metrocuadrado.com/proyecto/aura/11275-C0007-01</t>
  </si>
  <si>
    <t>21477-C0001-02</t>
  </si>
  <si>
    <t>https://www.metrocuadrado.com/proyecto/dual-101/21477-C0001-02</t>
  </si>
  <si>
    <t>17156-C0007-01</t>
  </si>
  <si>
    <t>LAS BRISAS</t>
  </si>
  <si>
    <t>https://www.metrocuadrado.com/proyecto/urbania-eco/17156-C0007-01</t>
  </si>
  <si>
    <t>14693-C0004-04</t>
  </si>
  <si>
    <t>https://www.metrocuadrado.com/proyecto/pekin/14693-C0004-04</t>
  </si>
  <si>
    <t>18222-M6456932</t>
  </si>
  <si>
    <t>JOSE JOAQUIN VARGAS</t>
  </si>
  <si>
    <t>https://www.metrocuadrado.com/inmueble/venta-apartamento-bogota-jose-joaquin-vargas-2-habitaciones-1-banos-1-garajes/18222-M6456932</t>
  </si>
  <si>
    <t>MC6580912</t>
  </si>
  <si>
    <t>https://www.metrocuadrado.com/inmueble/venta-apartamento-bogota-bella-suiza-3-habitaciones-3-banos-2-garajes/MC6580912</t>
  </si>
  <si>
    <t>20363-M6539406</t>
  </si>
  <si>
    <t>BOSQUES DE SAN JORGE</t>
  </si>
  <si>
    <t>https://www.metrocuadrado.com/inmueble/venta-apartamento-bogota-bosques-de-san-jorge-3-habitaciones-2-banos-1-garajes/20363-M6539406</t>
  </si>
  <si>
    <t>MC6415969</t>
  </si>
  <si>
    <t>https://www.metrocuadrado.com/inmueble/venta-apartamento-bogota-cedro-salazar-3-habitaciones-2-banos-1-garajes/MC6415969</t>
  </si>
  <si>
    <t>14271-M5056229</t>
  </si>
  <si>
    <t>https://www.metrocuadrado.com/inmueble/venta-apartamento-bogota-casa-blanca-suba-3-habitaciones-5-banos-4-garajes/14271-M5056229</t>
  </si>
  <si>
    <t>MC6313143</t>
  </si>
  <si>
    <t>https://www.metrocuadrado.com/inmueble/venta-apartamento-bogota-cerros-de-los-alpes-3-habitaciones-3-banos-2-garajes/MC6313143</t>
  </si>
  <si>
    <t>16933-M6588110</t>
  </si>
  <si>
    <t>PRADO VERANIEGO SUR</t>
  </si>
  <si>
    <t>https://www.metrocuadrado.com/inmueble/venta-apartamento-bogota-prado-veraniego-sur-1-habitaciones-1-banos-1-garajes/16933-M6588110</t>
  </si>
  <si>
    <t>20706-M6105950</t>
  </si>
  <si>
    <t>https://www.metrocuadrado.com/inmueble/venta-apartamento-bogota-britalia-3-habitaciones-2-banos/20706-M6105950</t>
  </si>
  <si>
    <t>21884-M6362036</t>
  </si>
  <si>
    <t>https://www.metrocuadrado.com/inmueble/venta-apartamento-bogota-los-rosales-3-habitaciones-3-banos-4-garajes/21884-M6362036</t>
  </si>
  <si>
    <t>20706-M6338859</t>
  </si>
  <si>
    <t>SAN ANTONIO NOR OCCIDENTAL</t>
  </si>
  <si>
    <t>https://www.metrocuadrado.com/inmueble/venta-apartamento-bogota-san-antonio-nor-occidental-3-habitaciones-2-banos/20706-M6338859</t>
  </si>
  <si>
    <t>2731-M5603303</t>
  </si>
  <si>
    <t>SAN PATRICIO   EDIF OASIS DE LA SIERRA</t>
  </si>
  <si>
    <t>https://www.metrocuadrado.com/inmueble/venta-apartamento-bogota-san-patricio-edif-oasis-de-la-sierra-3-habitaciones-3-banos-2-garajes/2731-M5603303</t>
  </si>
  <si>
    <t>20706-M6361478</t>
  </si>
  <si>
    <t>RINCON DEL NORTE</t>
  </si>
  <si>
    <t>https://www.metrocuadrado.com/inmueble/venta-apartamento-bogota-rincon-del-norte-3-habitaciones-2-banos-1-garajes/20706-M6361478</t>
  </si>
  <si>
    <t>14383-M6296555</t>
  </si>
  <si>
    <t>LA CATEDRAL</t>
  </si>
  <si>
    <t>https://www.metrocuadrado.com/inmueble/venta-apartamento-bogota-la-catedral-1-habitaciones-2-banos-1-garajes/14383-M6296555</t>
  </si>
  <si>
    <t>11079-M4202763</t>
  </si>
  <si>
    <t>https://www.metrocuadrado.com/inmueble/venta-apartamento-bogota-santa-barbara-1-habitaciones-2-banos-1-garajes/11079-M4202763</t>
  </si>
  <si>
    <t>20706-M6586759</t>
  </si>
  <si>
    <t>https://www.metrocuadrado.com/inmueble/venta-apartamento-bogota-santa-barbara-occidental-1-habitaciones-1-banos-1-garajes/20706-M6586759</t>
  </si>
  <si>
    <t>20706-M6395669</t>
  </si>
  <si>
    <t>JERICO</t>
  </si>
  <si>
    <t>https://www.metrocuadrado.com/inmueble/venta-apartamento-bogota-jerico-3-habitaciones-1-banos/20706-M6395669</t>
  </si>
  <si>
    <t>20033-M6499192</t>
  </si>
  <si>
    <t>https://www.metrocuadrado.com/inmueble/venta-apartamento-bogota-el-refugio-4-habitaciones-3.5-banos-2-garajes/20033-M6499192</t>
  </si>
  <si>
    <t>5545-M6074413</t>
  </si>
  <si>
    <t>https://www.metrocuadrado.com/inmueble/venta-apartamento-bogota-colina-campestre-3-habitaciones-5-banos-2-garajes/5545-M6074413</t>
  </si>
  <si>
    <t>17285-M5857870</t>
  </si>
  <si>
    <t>https://www.metrocuadrado.com/inmueble/venta-apartamento-bogota-cerros-de-suba-3-habitaciones-5-banos-4-garajes/17285-M5857870</t>
  </si>
  <si>
    <t>2671-M5834239</t>
  </si>
  <si>
    <t>MULTICENTRO</t>
  </si>
  <si>
    <t>https://www.metrocuadrado.com/inmueble/venta-apartamento-bogota-multicentro-3-habitaciones-4-banos-3-garajes/2671-M5834239</t>
  </si>
  <si>
    <t>20706-M6575652</t>
  </si>
  <si>
    <t>https://www.metrocuadrado.com/inmueble/venta-apartamento-bogota-santa-teresa-2-habitaciones-2-banos-1-garajes/20706-M6575652</t>
  </si>
  <si>
    <t>20706-M6083306</t>
  </si>
  <si>
    <t>GUACANI</t>
  </si>
  <si>
    <t>https://www.metrocuadrado.com/inmueble/venta-apartamento-bogota-guacani-3-habitaciones-2-banos-2-garajes/20706-M6083306</t>
  </si>
  <si>
    <t>356-M4045016</t>
  </si>
  <si>
    <t>https://www.metrocuadrado.com/inmueble/venta-apartamento-bogota-chico-4-habitaciones-5-banos-3-garajes/356-M4045016</t>
  </si>
  <si>
    <t>20706-M6141411</t>
  </si>
  <si>
    <t>https://www.metrocuadrado.com/inmueble/venta-apartamento-bogota-brasil-3-habitaciones-1-banos/20706-M6141411</t>
  </si>
  <si>
    <t>13436-M6584937</t>
  </si>
  <si>
    <t>https://www.metrocuadrado.com/inmueble/venta-apartamento-bogota-caobos-salazar-2-habitaciones-2-banos-2-garajes/13436-M6584937</t>
  </si>
  <si>
    <t>21539-M6358679</t>
  </si>
  <si>
    <t>https://www.metrocuadrado.com/inmueble/venta-apartamento-bogota-pardo-rubio-2-habitaciones-2-banos-1-garajes/21539-M6358679</t>
  </si>
  <si>
    <t>20706-M6063319</t>
  </si>
  <si>
    <t>https://www.metrocuadrado.com/inmueble/venta-apartamento-bogota-el-tintal-2-habitaciones-1-banos/20706-M6063319</t>
  </si>
  <si>
    <t>18599-M6327036</t>
  </si>
  <si>
    <t>https://www.metrocuadrado.com/inmueble/venta-apartamento-bogota-gilmar-3-habitaciones-3-banos-2-garajes/18599-M6327036</t>
  </si>
  <si>
    <t>20706-M6141519</t>
  </si>
  <si>
    <t>SAN JOSE</t>
  </si>
  <si>
    <t>https://www.metrocuadrado.com/inmueble/venta-apartamento-bogota-san-jose-2-habitaciones-1-banos/20706-M6141519</t>
  </si>
  <si>
    <t>15738-M6231889</t>
  </si>
  <si>
    <t>https://www.metrocuadrado.com/inmueble/venta-apartamento-bogota-chapinero-3-habitaciones-3-banos-1-garajes/15738-M6231889</t>
  </si>
  <si>
    <t>11200-M4676979</t>
  </si>
  <si>
    <t>https://www.metrocuadrado.com/inmueble/venta-apartamento-bogota-casa-blanca-suba-4-habitaciones-5-banos-3-garajes/11200-M4676979</t>
  </si>
  <si>
    <t>14390-M5753150</t>
  </si>
  <si>
    <t>BELLA SUIZA   EDIF MONTERROSA</t>
  </si>
  <si>
    <t>https://www.metrocuadrado.com/inmueble/venta-apartamento-bogota-bella-suiza-edif-monterrosa-3-habitaciones-3-banos-3-garajes/14390-M5753150</t>
  </si>
  <si>
    <t>18516-M5729262</t>
  </si>
  <si>
    <t>https://www.metrocuadrado.com/inmueble/venta-apartamento-bogota-la-castellana-3-habitaciones-3-banos-1-garajes/18516-M5729262</t>
  </si>
  <si>
    <t>15704-M6512306</t>
  </si>
  <si>
    <t>MADELENA</t>
  </si>
  <si>
    <t>https://www.metrocuadrado.com/inmueble/venta-apartamento-bogota-madelena-3-habitaciones-2-banos/15704-M6512306</t>
  </si>
  <si>
    <t>18345-M5467315</t>
  </si>
  <si>
    <t>CHICO NORTE ET  III</t>
  </si>
  <si>
    <t>https://www.metrocuadrado.com/inmueble/venta-apartamento-bogota-chico-norte-et.-iii-4-habitaciones-4-banos-2-garajes/18345-M5467315</t>
  </si>
  <si>
    <t>9894-M4516268</t>
  </si>
  <si>
    <t>https://www.metrocuadrado.com/inmueble/venta-apartamento-bogota-el-retiro-3-habitaciones-5-banos-3-garajes/9894-M4516268</t>
  </si>
  <si>
    <t>15996-M6588473</t>
  </si>
  <si>
    <t>https://www.metrocuadrado.com/inmueble/venta-apartamento-bogota-rincon-del-chico-2-habitaciones-3-banos-2-garajes/15996-M6588473</t>
  </si>
  <si>
    <t>17123-M6572463</t>
  </si>
  <si>
    <t>https://www.metrocuadrado.com/inmueble/venta-apartamento-bogota-campo-alegre-3-habitaciones-2-banos-1-garajes/17123-M6572463</t>
  </si>
  <si>
    <t>15738-M5639647</t>
  </si>
  <si>
    <t>ALEJANDRIA</t>
  </si>
  <si>
    <t>https://www.metrocuadrado.com/inmueble/venta-apartamento-bogota-alejandria-3-habitaciones-3-banos-2-garajes/15738-M5639647</t>
  </si>
  <si>
    <t>2162-M5952177</t>
  </si>
  <si>
    <t>SANTA BIBIANA EDIF LAS FUENTES</t>
  </si>
  <si>
    <t>https://www.metrocuadrado.com/inmueble/venta-apartamento-bogota-santa-bibiana-edif-las-fuentes-4-habitaciones-4-banos-3-garajes/2162-M5952177</t>
  </si>
  <si>
    <t>512-M3344882</t>
  </si>
  <si>
    <t>https://www.metrocuadrado.com/inmueble/venta-apartamento-bogota-lisboa-3-habitaciones-5-banos-3-garajes/512-M3344882</t>
  </si>
  <si>
    <t>3858-M6585718</t>
  </si>
  <si>
    <t>https://www.metrocuadrado.com/inmueble/venta-apartamento-bogota-chico-3-habitaciones-3-banos-2-garajes/3858-M6585718</t>
  </si>
  <si>
    <t>16474-M6500567</t>
  </si>
  <si>
    <t>LA URIBE</t>
  </si>
  <si>
    <t>https://www.metrocuadrado.com/inmueble/venta-apartamento-bogota-la-uribe-3-habitaciones-2-banos-1-garajes/16474-M6500567</t>
  </si>
  <si>
    <t>15942-M6073294</t>
  </si>
  <si>
    <t>https://www.metrocuadrado.com/inmueble/venta-apartamento-bogota-santa-bibiana-1-habitaciones-2-banos-1-garajes/15942-M6073294</t>
  </si>
  <si>
    <t>17723-M6389398</t>
  </si>
  <si>
    <t>https://www.metrocuadrado.com/inmueble/venta-apartamento-bogota-victoria-norte-5-habitaciones-5-banos-2-garajes/17723-M6389398</t>
  </si>
  <si>
    <t>15942-M4515269</t>
  </si>
  <si>
    <t>https://www.metrocuadrado.com/inmueble/venta-apartamento-bogota-los-rosales-3-habitaciones-5-banos-3-garajes/15942-M4515269</t>
  </si>
  <si>
    <t>17061-M4979799</t>
  </si>
  <si>
    <t>CJR TOKYO ZERO</t>
  </si>
  <si>
    <t>https://www.metrocuadrado.com/inmueble/venta-apartamento-bogota-cjr-tokyo-zero-1-habitaciones-1-banos/17061-M4979799</t>
  </si>
  <si>
    <t>17000-M6176388</t>
  </si>
  <si>
    <t>NIZA</t>
  </si>
  <si>
    <t>https://www.metrocuadrado.com/inmueble/venta-apartamento-bogota-niza-3-habitaciones-2-banos/17000-M6176388</t>
  </si>
  <si>
    <t>MC6154642</t>
  </si>
  <si>
    <t>https://www.metrocuadrado.com/inmueble/venta-apartamento-bogota-el-dorado-3-habitaciones-2-banos-1-garajes/MC6154642</t>
  </si>
  <si>
    <t>MC6115734</t>
  </si>
  <si>
    <t>https://www.metrocuadrado.com/inmueble/venta-apartamento-bogota-el-batan-3-habitaciones-4-banos-2-garajes/MC6115734</t>
  </si>
  <si>
    <t>MC6440640</t>
  </si>
  <si>
    <t>PORTALES DEL NORTE</t>
  </si>
  <si>
    <t>https://www.metrocuadrado.com/inmueble/venta-apartamento-bogota-portales-del-norte-3-habitaciones-2-banos-2-garajes/MC6440640</t>
  </si>
  <si>
    <t>MC6281387</t>
  </si>
  <si>
    <t>EL SEMINARIO</t>
  </si>
  <si>
    <t>https://www.metrocuadrado.com/inmueble/venta-apartamento-bogota-el-seminario-4-habitaciones-4-banos-2-garajes/MC6281387</t>
  </si>
  <si>
    <t>22277-C0001-09</t>
  </si>
  <si>
    <t>SAN MARTIN</t>
  </si>
  <si>
    <t>https://www.metrocuadrado.com/proyecto/proyecto-33-dc/22277-C0001-09</t>
  </si>
  <si>
    <t>22277-C0001-13</t>
  </si>
  <si>
    <t>https://www.metrocuadrado.com/proyecto/proyecto-33-dc/22277-C0001-13</t>
  </si>
  <si>
    <t>17156-C0001-01</t>
  </si>
  <si>
    <t>https://www.metrocuadrado.com/proyecto/centriko/17156-C0001-01</t>
  </si>
  <si>
    <t>17774-C0005-03</t>
  </si>
  <si>
    <t>LOS ALAMOS</t>
  </si>
  <si>
    <t>https://www.metrocuadrado.com/proyecto/connect-living/17774-C0005-03</t>
  </si>
  <si>
    <t>17565-M6353813</t>
  </si>
  <si>
    <t>https://www.metrocuadrado.com/inmueble/venta-apartamento-bogota-chico-2-habitaciones-2-banos/17565-M6353813</t>
  </si>
  <si>
    <t>20607-M6403465</t>
  </si>
  <si>
    <t>TARRAGONA DEL SALITRE ET II</t>
  </si>
  <si>
    <t>https://www.metrocuadrado.com/inmueble/venta-apartamento-bogota-tarragona-del-salitre-et-ii-3-habitaciones-2-banos-1-garajes/20607-M6403465</t>
  </si>
  <si>
    <t>2259-M4694018</t>
  </si>
  <si>
    <t>UB  BOSQUES DE MEDINA</t>
  </si>
  <si>
    <t>https://www.metrocuadrado.com/inmueble/venta-apartamento-bogota-ub.-bosques-de-medina-3-habitaciones-4-banos-3-garajes/2259-M4694018</t>
  </si>
  <si>
    <t>20706-M6360051</t>
  </si>
  <si>
    <t>https://www.metrocuadrado.com/inmueble/venta-apartamento-bogota-el-ensueno-3-habitaciones-2-banos/20706-M6360051</t>
  </si>
  <si>
    <t>20706-M6274393</t>
  </si>
  <si>
    <t>TIBABUYES</t>
  </si>
  <si>
    <t>https://www.metrocuadrado.com/inmueble/venta-apartamento-bogota-tibabuyes-3-habitaciones-1-banos/20706-M6274393</t>
  </si>
  <si>
    <t>20264-M6498719</t>
  </si>
  <si>
    <t>https://www.metrocuadrado.com/inmueble/venta-apartamento-bogota-chico-norte-4-habitaciones-4-banos-3-garajes/20264-M6498719</t>
  </si>
  <si>
    <t>17565-M6235091</t>
  </si>
  <si>
    <t>VILLA MAGDALA</t>
  </si>
  <si>
    <t>https://www.metrocuadrado.com/inmueble/venta-apartamento-bogota-villa-magdala-3-habitaciones-3-banos-2-garajes/17565-M6235091</t>
  </si>
  <si>
    <t>20706-M6111768</t>
  </si>
  <si>
    <t>CARVAJAL</t>
  </si>
  <si>
    <t>https://www.metrocuadrado.com/inmueble/venta-apartamento-bogota-carvajal-2-habitaciones-1-banos/20706-M6111768</t>
  </si>
  <si>
    <t>17565-M6354461</t>
  </si>
  <si>
    <t>METROPOLIS</t>
  </si>
  <si>
    <t>https://www.metrocuadrado.com/inmueble/venta-apartamento-bogota-metropolis-3-habitaciones-2-banos/17565-M6354461</t>
  </si>
  <si>
    <t>21884-M6368268</t>
  </si>
  <si>
    <t>BARRANCAS NORTE</t>
  </si>
  <si>
    <t>https://www.metrocuadrado.com/inmueble/venta-apartamento-bogota-barrancas-norte-3-habitaciones-2-banos-1-garajes/21884-M6368268</t>
  </si>
  <si>
    <t>5545-M4264805</t>
  </si>
  <si>
    <t>https://www.metrocuadrado.com/inmueble/venta-apartamento-bogota-chico-norte-3-habitaciones-3-banos-2-garajes/5545-M4264805</t>
  </si>
  <si>
    <t>20706-M6332490</t>
  </si>
  <si>
    <t>FLORENCIA</t>
  </si>
  <si>
    <t>https://www.metrocuadrado.com/inmueble/venta-apartamento-bogota-florencia-3-habitaciones-1-banos/20706-M6332490</t>
  </si>
  <si>
    <t>20706-M6311793</t>
  </si>
  <si>
    <t>GRAN BRITALIA</t>
  </si>
  <si>
    <t>https://www.metrocuadrado.com/inmueble/venta-apartamento-bogota-gran-britalia-2-habitaciones-1-banos/20706-M6311793</t>
  </si>
  <si>
    <t>19895-M6319562</t>
  </si>
  <si>
    <t>https://www.metrocuadrado.com/inmueble/venta-apartamento-bogota-san-patricio-3-habitaciones-5-banos-2-garajes/19895-M6319562</t>
  </si>
  <si>
    <t>19701-M5760133</t>
  </si>
  <si>
    <t>https://www.metrocuadrado.com/inmueble/venta-apartamento-bogota-la-calleja-4-habitaciones-5-banos-4-garajes/19701-M5760133</t>
  </si>
  <si>
    <t>20706-M6339238</t>
  </si>
  <si>
    <t>https://www.metrocuadrado.com/inmueble/venta-apartamento-bogota-antiguo-country-2-habitaciones-2-banos-1-garajes/20706-M6339238</t>
  </si>
  <si>
    <t>2266-M5644137</t>
  </si>
  <si>
    <t>https://www.metrocuadrado.com/inmueble/venta-apartamento-bogota-chapinero-3-habitaciones-2-banos-2-garajes/2266-M5644137</t>
  </si>
  <si>
    <t>17285-M5942550</t>
  </si>
  <si>
    <t>https://www.metrocuadrado.com/inmueble/venta-apartamento-bogota-chico-alto-3-habitaciones-4-banos-2-garajes/17285-M5942550</t>
  </si>
  <si>
    <t>5545-M5764910</t>
  </si>
  <si>
    <t>NAVARRA</t>
  </si>
  <si>
    <t>https://www.metrocuadrado.com/inmueble/venta-apartamento-bogota-navarra-3-habitaciones-4-banos-3-garajes/5545-M5764910</t>
  </si>
  <si>
    <t>20839-M6082792</t>
  </si>
  <si>
    <t>CONEJERA</t>
  </si>
  <si>
    <t>https://www.metrocuadrado.com/inmueble/venta-apartamento-bogota-conejera-3-habitaciones-3-banos-2-garajes/20839-M6082792</t>
  </si>
  <si>
    <t>16108-M6377339</t>
  </si>
  <si>
    <t>https://www.metrocuadrado.com/inmueble/venta-apartamento-bogota-molinos-norte-3-habitaciones-3-banos-3-garajes/16108-M6377339</t>
  </si>
  <si>
    <t>13194-M6312616</t>
  </si>
  <si>
    <t>https://www.metrocuadrado.com/inmueble/venta-apartamento-bogota-los-rosales-4-habitaciones-5-banos-2-garajes/13194-M6312616</t>
  </si>
  <si>
    <t>16437-M6569775</t>
  </si>
  <si>
    <t>https://www.metrocuadrado.com/inmueble/venta-apartamento-bogota-los-rosales-3-habitaciones-3-banos-2-garajes/16437-M6569775</t>
  </si>
  <si>
    <t>320-M6583268</t>
  </si>
  <si>
    <t>https://www.metrocuadrado.com/inmueble/venta-apartamento-bogota-el-redil-1-habitaciones-1-banos/320-M6583268</t>
  </si>
  <si>
    <t>17152-M5658451</t>
  </si>
  <si>
    <t>https://www.metrocuadrado.com/inmueble/venta-apartamento-bogota-santa-barbara-occidental-3-habitaciones-3-banos-2-garajes/17152-M5658451</t>
  </si>
  <si>
    <t>3065-M4811827</t>
  </si>
  <si>
    <t>https://www.metrocuadrado.com/inmueble/venta-apartamento-bogota-santa-barbara-3-habitaciones-4-banos-2-garajes/3065-M4811827</t>
  </si>
  <si>
    <t>14237-M5313173</t>
  </si>
  <si>
    <t>CEDRO BOLIVAR</t>
  </si>
  <si>
    <t>https://www.metrocuadrado.com/inmueble/venta-apartamento-bogota-cedro-bolivar-3-habitaciones-2-banos-1-garajes/14237-M5313173</t>
  </si>
  <si>
    <t>957-M6363692</t>
  </si>
  <si>
    <t>https://www.metrocuadrado.com/inmueble/venta-apartamento-bogota-club-los-lagartos-3-habitaciones-3-banos-2-garajes/957-M6363692</t>
  </si>
  <si>
    <t>374-M6309622</t>
  </si>
  <si>
    <t>https://www.metrocuadrado.com/inmueble/venta-apartamento-bogota-cerros-de-santa-barbara-3-habitaciones-5-banos-4-garajes/374-M6309622</t>
  </si>
  <si>
    <t>16739-M6332447</t>
  </si>
  <si>
    <t>LISBOA NUEVO COUNTRY</t>
  </si>
  <si>
    <t>https://www.metrocuadrado.com/inmueble/venta-apartamento-bogota-lisboa-nuevo-country-3-habitaciones-4-banos-3-garajes/16739-M6332447</t>
  </si>
  <si>
    <t>660-M6411521</t>
  </si>
  <si>
    <t>https://www.metrocuadrado.com/inmueble/venta-apartamento-bogota-el-dorado-3-habitaciones-2-banos-1-garajes/660-M6411521</t>
  </si>
  <si>
    <t>16040-M6072257</t>
  </si>
  <si>
    <t>CJR BOSQUES DEL COUNTRY</t>
  </si>
  <si>
    <t>https://www.metrocuadrado.com/inmueble/venta-apartamento-bogota-cjr-bosques-del-country-4-habitaciones-5-banos-4-garajes/16040-M6072257</t>
  </si>
  <si>
    <t>515-M5358596</t>
  </si>
  <si>
    <t>https://www.metrocuadrado.com/inmueble/venta-apartamento-bogota-santa-bibiana-4-habitaciones-4-banos-2-garajes/515-M5358596</t>
  </si>
  <si>
    <t>12735-M6501015</t>
  </si>
  <si>
    <t>https://www.metrocuadrado.com/inmueble/venta-apartamento-bogota-rosales-3-habitaciones-4-banos-4-garajes/12735-M6501015</t>
  </si>
  <si>
    <t>17137-M6010201</t>
  </si>
  <si>
    <t>https://www.metrocuadrado.com/inmueble/venta-apartamento-bogota-colina-campestre-4-habitaciones-5-banos-3-garajes/17137-M6010201</t>
  </si>
  <si>
    <t>17000-M6179520</t>
  </si>
  <si>
    <t>https://www.metrocuadrado.com/inmueble/venta-apartamento-bogota-niza-3-habitaciones-2-banos/17000-M6179520</t>
  </si>
  <si>
    <t>17575-M6495151</t>
  </si>
  <si>
    <t>LA ESPERANZA</t>
  </si>
  <si>
    <t>https://www.metrocuadrado.com/inmueble/venta-apartamento-bogota-la-esperanza-3-habitaciones-2-banos-1-garajes/17575-M6495151</t>
  </si>
  <si>
    <t>17000-M6357569</t>
  </si>
  <si>
    <t>https://www.metrocuadrado.com/inmueble/venta-apartamento-bogota-pontevedra-3-habitaciones-2-banos-2-garajes/17000-M6357569</t>
  </si>
  <si>
    <t>MC6309495</t>
  </si>
  <si>
    <t>https://www.metrocuadrado.com/inmueble/venta-apartamento-bogota-el-dorado-2-habitaciones-2-banos-1-garajes/MC6309495</t>
  </si>
  <si>
    <t>MC6325118</t>
  </si>
  <si>
    <t>https://www.metrocuadrado.com/inmueble/venta-apartamento-bogota-santa-barbara-occidental-2-habitaciones-3-banos-2-garajes/MC6325118</t>
  </si>
  <si>
    <t>MC6142521</t>
  </si>
  <si>
    <t>CJR PRADO GRANDE II</t>
  </si>
  <si>
    <t>https://www.metrocuadrado.com/inmueble/venta-apartamento-bogota-cjr-prado-grande-ii-3-habitaciones-2-banos-1-garajes/MC6142521</t>
  </si>
  <si>
    <t>MC6567878</t>
  </si>
  <si>
    <t>https://www.metrocuadrado.com/inmueble/venta-apartamento-bogota-carvajal-3-habitaciones-2-banos-1-garajes/MC6567878</t>
  </si>
  <si>
    <t>22277-C0001-12</t>
  </si>
  <si>
    <t>https://www.metrocuadrado.com/proyecto/proyecto-33-dc/22277-C0001-12</t>
  </si>
  <si>
    <t>22277-C0001-08</t>
  </si>
  <si>
    <t>https://www.metrocuadrado.com/proyecto/proyecto-33-dc/22277-C0001-08</t>
  </si>
  <si>
    <t>17156-C0011-01</t>
  </si>
  <si>
    <t>https://www.metrocuadrado.com/proyecto/urbania-bio/17156-C0011-01</t>
  </si>
  <si>
    <t>17774-C0006-01</t>
  </si>
  <si>
    <t>SAN DIEGO</t>
  </si>
  <si>
    <t>https://www.metrocuadrado.com/proyecto/macarena/17774-C0006-01</t>
  </si>
  <si>
    <t>21432-M6391670</t>
  </si>
  <si>
    <t>CHICO NAVARRA</t>
  </si>
  <si>
    <t>https://www.metrocuadrado.com/inmueble/venta-apartamento-bogota-chico-navarra-5-habitaciones-5-banos-2-garajes/21432-M6391670</t>
  </si>
  <si>
    <t>17565-M5837660</t>
  </si>
  <si>
    <t>https://www.metrocuadrado.com/inmueble/venta-apartamento-bogota-santa-barbara-4-habitaciones-3-banos/17565-M5837660</t>
  </si>
  <si>
    <t>22189-M6498348</t>
  </si>
  <si>
    <t>https://www.metrocuadrado.com/inmueble/venta-apartamento-bogota-rincon-del-chico-2-habitaciones-3-banos-2-garajes/22189-M6498348</t>
  </si>
  <si>
    <t>10677-M6345762</t>
  </si>
  <si>
    <t>https://www.metrocuadrado.com/inmueble/venta-apartamento-bogota-los-rosales-4-habitaciones-5-banos-2-garajes/10677-M6345762</t>
  </si>
  <si>
    <t>661-M6151571</t>
  </si>
  <si>
    <t>CHICO NORTE III</t>
  </si>
  <si>
    <t>https://www.metrocuadrado.com/inmueble/venta-apartamento-bogota-chico-norte-iii-2-habitaciones-2-banos-1-garajes/661-M6151571</t>
  </si>
  <si>
    <t>20706-M6328961</t>
  </si>
  <si>
    <t>UB  CASTILLA REAL</t>
  </si>
  <si>
    <t>https://www.metrocuadrado.com/inmueble/venta-apartamento-bogota-ub.-castilla-real-3-habitaciones-2-banos/20706-M6328961</t>
  </si>
  <si>
    <t>356-M4709081</t>
  </si>
  <si>
    <t>https://www.metrocuadrado.com/inmueble/venta-apartamento-bogota-la-carolina-3-habitaciones-4-banos-4-garajes/356-M4709081</t>
  </si>
  <si>
    <t>5044-M5834862</t>
  </si>
  <si>
    <t>https://www.metrocuadrado.com/inmueble/venta-apartamento-bogota-chico-norte-et.-iii-2-habitaciones-3-banos-2-garajes/5044-M5834862</t>
  </si>
  <si>
    <t>21187-M6312222</t>
  </si>
  <si>
    <t>https://www.metrocuadrado.com/inmueble/venta-apartamento-bogota-santa-barbara-3-habitaciones-4-banos-2-garajes/21187-M6312222</t>
  </si>
  <si>
    <t>17565-M6156592</t>
  </si>
  <si>
    <t>https://www.metrocuadrado.com/inmueble/venta-apartamento-bogota-san-patricio-2-habitaciones-3-banos-2-garajes/17565-M6156592</t>
  </si>
  <si>
    <t>20234-M5793816</t>
  </si>
  <si>
    <t>https://www.metrocuadrado.com/inmueble/venta-apartamento-bogota-la-calleja-3-habitaciones-4-banos-2-garajes/20234-M5793816</t>
  </si>
  <si>
    <t>20258-M6308979</t>
  </si>
  <si>
    <t>PRIMAVERA OCCIDENTAL</t>
  </si>
  <si>
    <t>https://www.metrocuadrado.com/inmueble/venta-apartamento-bogota-primavera-occidental-2-habitaciones-1-banos/20258-M6308979</t>
  </si>
  <si>
    <t>20728-M5977889</t>
  </si>
  <si>
    <t>BOSQUE MEDINA</t>
  </si>
  <si>
    <t>https://www.metrocuadrado.com/inmueble/venta-apartamento-bogota-bosque-medina-2-habitaciones-2-banos-2-garajes/20728-M5977889</t>
  </si>
  <si>
    <t>34-M5758057</t>
  </si>
  <si>
    <t>https://www.metrocuadrado.com/inmueble/venta-apartamento-bogota-santa-paula-4-habitaciones-5-banos-3-garajes/34-M5758057</t>
  </si>
  <si>
    <t>19734-M6012055</t>
  </si>
  <si>
    <t>https://www.metrocuadrado.com/inmueble/venta-apartamento-bogota-chico-1-habitaciones-1-banos-1-garajes/19734-M6012055</t>
  </si>
  <si>
    <t>11079-M6282779</t>
  </si>
  <si>
    <t>https://www.metrocuadrado.com/inmueble/venta-apartamento-bogota-cerros-de-suba-3-habitaciones-4-banos/11079-M6282779</t>
  </si>
  <si>
    <t>356-M6329563</t>
  </si>
  <si>
    <t>CALLEJA</t>
  </si>
  <si>
    <t>https://www.metrocuadrado.com/inmueble/venta-apartamento-bogota-calleja-3-habitaciones-4-banos-3-garajes/356-M6329563</t>
  </si>
  <si>
    <t>20706-M6487659</t>
  </si>
  <si>
    <t>https://www.metrocuadrado.com/inmueble/venta-apartamento-bogota-chico-norte-et.-iii-4-habitaciones-4-banos-3-garajes/20706-M6487659</t>
  </si>
  <si>
    <t>21414-M6338946</t>
  </si>
  <si>
    <t>https://www.metrocuadrado.com/inmueble/venta-apartamento-bogota-santander-2-habitaciones-1-banos/21414-M6338946</t>
  </si>
  <si>
    <t>304-M6312001</t>
  </si>
  <si>
    <t>https://www.metrocuadrado.com/inmueble/venta-apartamento-bogota-la-carolina-3-habitaciones-3-banos-2-garajes/304-M6312001</t>
  </si>
  <si>
    <t>651-M5729299</t>
  </si>
  <si>
    <t>CJR PADUA</t>
  </si>
  <si>
    <t>https://www.metrocuadrado.com/inmueble/venta-apartamento-bogota-cjr-padua-3-habitaciones-5-banos-3-garajes/651-M5729299</t>
  </si>
  <si>
    <t>3282-M6480657</t>
  </si>
  <si>
    <t>MIRANDELA</t>
  </si>
  <si>
    <t>https://www.metrocuadrado.com/inmueble/venta-apartamento-bogota-mirandela-2-habitaciones-2-banos-1-garajes/3282-M6480657</t>
  </si>
  <si>
    <t>15704-M5977724</t>
  </si>
  <si>
    <t>https://www.metrocuadrado.com/inmueble/venta-apartamento-bogota-la-calleja-3-habitaciones-4-banos-3-garajes/15704-M5977724</t>
  </si>
  <si>
    <t>10857-M6158743</t>
  </si>
  <si>
    <t>https://www.metrocuadrado.com/inmueble/venta-apartamento-bogota-chico-norte-2-habitaciones-2-banos-2-garajes/10857-M6158743</t>
  </si>
  <si>
    <t>668-M6400523</t>
  </si>
  <si>
    <t>https://www.metrocuadrado.com/inmueble/venta-apartamento-bogota-santa-barbara-central-3-habitaciones-4-banos-2-garajes/668-M6400523</t>
  </si>
  <si>
    <t>19434-M5654791</t>
  </si>
  <si>
    <t>SIERRAS DEL MORAL</t>
  </si>
  <si>
    <t>https://www.metrocuadrado.com/inmueble/venta-apartamento-bogota-sierras-del-moral-4-habitaciones-5-banos-4-garajes/19434-M5654791</t>
  </si>
  <si>
    <t>18854-M6490425</t>
  </si>
  <si>
    <t>SENDEROS DE MODELIA</t>
  </si>
  <si>
    <t>https://www.metrocuadrado.com/inmueble/venta-apartamento-bogota-senderos-de-modelia-2-habitaciones-2-banos-1-garajes/18854-M6490425</t>
  </si>
  <si>
    <t>374-M6309568</t>
  </si>
  <si>
    <t>https://www.metrocuadrado.com/inmueble/venta-apartamento-bogota-cerros-de-santa-barbara-3-habitaciones-5-banos-3-garajes/374-M6309568</t>
  </si>
  <si>
    <t>16172-M5557935</t>
  </si>
  <si>
    <t>BAVARIA</t>
  </si>
  <si>
    <t>https://www.metrocuadrado.com/inmueble/venta-apartamento-bogota-bavaria-2-habitaciones-2-banos-1-garajes/16172-M5557935</t>
  </si>
  <si>
    <t>39-M5608503</t>
  </si>
  <si>
    <t>https://www.metrocuadrado.com/inmueble/venta-apartamento-bogota-el-nogal-3-habitaciones-4-banos-2-garajes/39-M5608503</t>
  </si>
  <si>
    <t>11203-M3467060</t>
  </si>
  <si>
    <t>https://www.metrocuadrado.com/inmueble/venta-apartamento-bogota-bellavista-4-habitaciones-4-banos-3-garajes/11203-M3467060</t>
  </si>
  <si>
    <t>14236-M6138805</t>
  </si>
  <si>
    <t>https://www.metrocuadrado.com/inmueble/venta-apartamento-bogota-lisboa-3-habitaciones-3-banos-2-garajes/14236-M6138805</t>
  </si>
  <si>
    <t>16739-M6546845</t>
  </si>
  <si>
    <t>SAN JOSE DE BAVARIA</t>
  </si>
  <si>
    <t>https://www.metrocuadrado.com/inmueble/venta-apartamento-bogota-san-jose-de-bavaria-3-habitaciones-3-banos-2-garajes/16739-M6546845</t>
  </si>
  <si>
    <t>16474-M6500612</t>
  </si>
  <si>
    <t>GRAN GRANADA</t>
  </si>
  <si>
    <t>https://www.metrocuadrado.com/inmueble/venta-apartamento-bogota-gran-granada-3-habitaciones-2-banos-1-garajes/16474-M6500612</t>
  </si>
  <si>
    <t>17000-M6358262</t>
  </si>
  <si>
    <t>https://www.metrocuadrado.com/inmueble/venta-apartamento-bogota-el-dorado-3-habitaciones-2-banos-1-garajes/17000-M6358262</t>
  </si>
  <si>
    <t>18037-M5715568</t>
  </si>
  <si>
    <t>https://www.metrocuadrado.com/inmueble/venta-apartamento-bogota-san-patricio-2-habitaciones-3-banos-2-garajes/18037-M5715568</t>
  </si>
  <si>
    <t>11676-M6466654</t>
  </si>
  <si>
    <t>https://www.metrocuadrado.com/inmueble/venta-apartamento-bogota-san-patricio-3-habitaciones-4-banos-3-garajes/11676-M6466654</t>
  </si>
  <si>
    <t>17000-M6341286</t>
  </si>
  <si>
    <t>https://www.metrocuadrado.com/inmueble/venta-apartamento-bogota-pontevedra-3-habitaciones-2-banos-2-garajes/17000-M6341286</t>
  </si>
  <si>
    <t>17000-M4910563</t>
  </si>
  <si>
    <t>https://www.metrocuadrado.com/inmueble/venta-apartamento-bogota-el-dorado-3-habitaciones-2-banos-1-garajes/17000-M4910563</t>
  </si>
  <si>
    <t>MC6470893</t>
  </si>
  <si>
    <t>https://www.metrocuadrado.com/inmueble/venta-apartamento-bogota-puente-largo-4-habitaciones-3-banos-1-garajes/MC6470893</t>
  </si>
  <si>
    <t>MC6374338</t>
  </si>
  <si>
    <t>https://www.metrocuadrado.com/inmueble/venta-apartamento-bogota-potosi-3-habitaciones-2-banos-2-garajes/MC6374338</t>
  </si>
  <si>
    <t>MC6471138</t>
  </si>
  <si>
    <t>https://www.metrocuadrado.com/inmueble/venta-apartamento-bogota-el-tintal-1-habitaciones-1-banos/MC6471138</t>
  </si>
  <si>
    <t>MC6491398</t>
  </si>
  <si>
    <t>https://www.metrocuadrado.com/inmueble/venta-apartamento-bogota-las-nieves-2-habitaciones-2-banos-1-garajes/MC6491398</t>
  </si>
  <si>
    <t>22277-C0001-10</t>
  </si>
  <si>
    <t>https://www.metrocuadrado.com/proyecto/proyecto-33-dc/22277-C0001-10</t>
  </si>
  <si>
    <t>22277-C0001-16</t>
  </si>
  <si>
    <t>https://www.metrocuadrado.com/proyecto/proyecto-33-dc/22277-C0001-16</t>
  </si>
  <si>
    <t>17156-C0032-07</t>
  </si>
  <si>
    <t>AUTOPISTA NORTE CON CALLE 142</t>
  </si>
  <si>
    <t>https://www.metrocuadrado.com/proyecto/element-142/17156-C0032-07</t>
  </si>
  <si>
    <t>14693-C0004-03</t>
  </si>
  <si>
    <t>https://www.metrocuadrado.com/proyecto/pekin/14693-C0004-03</t>
  </si>
  <si>
    <t>2489-M6403338</t>
  </si>
  <si>
    <t>https://www.metrocuadrado.com/inmueble/venta-apartamento-bogota-el-nogal-4-habitaciones-5-banos-4-garajes/2489-M6403338</t>
  </si>
  <si>
    <t>10173-M6581194</t>
  </si>
  <si>
    <t>https://www.metrocuadrado.com/inmueble/venta-apartamento-bogota-cerros-de-santa-barbara-4-habitaciones-4-banos-4-garajes/10173-M6581194</t>
  </si>
  <si>
    <t>17285-M5863601</t>
  </si>
  <si>
    <t>https://www.metrocuadrado.com/inmueble/venta-apartamento-bogota-santa-barbara-4-habitaciones-5-banos-4-garajes/17285-M5863601</t>
  </si>
  <si>
    <t>17285-M5863570</t>
  </si>
  <si>
    <t>https://www.metrocuadrado.com/inmueble/venta-apartamento-bogota-santa-barbara-3-habitaciones-5-banos-4-garajes/17285-M5863570</t>
  </si>
  <si>
    <t>3774-M4101966</t>
  </si>
  <si>
    <t>https://www.metrocuadrado.com/inmueble/venta-apartamento-bogota-sierras-del-moral-3-habitaciones-3-banos-2-garajes/3774-M4101966</t>
  </si>
  <si>
    <t>20451-M6052448</t>
  </si>
  <si>
    <t>LA COLINA CAMPESTRE</t>
  </si>
  <si>
    <t>https://www.metrocuadrado.com/inmueble/venta-apartamento-bogota-la-colina-campestre-3-habitaciones-4-banos-2-garajes/20451-M6052448</t>
  </si>
  <si>
    <t>9914-M6381830</t>
  </si>
  <si>
    <t>https://www.metrocuadrado.com/inmueble/venta-apartamento-bogota-santa-bibiana-3-habitaciones-3-banos-3-garajes/9914-M6381830</t>
  </si>
  <si>
    <t>17285-M5944909</t>
  </si>
  <si>
    <t>https://www.metrocuadrado.com/inmueble/venta-apartamento-bogota-cerros-de-suba-2-habitaciones-3-banos-2-garajes/17285-M5944909</t>
  </si>
  <si>
    <t>20234-M5792517</t>
  </si>
  <si>
    <t>SANTA ANA</t>
  </si>
  <si>
    <t>https://www.metrocuadrado.com/inmueble/venta-apartamento-bogota-santa-ana-3-habitaciones-4-banos-3-garajes/20234-M5792517</t>
  </si>
  <si>
    <t>14-M5529351</t>
  </si>
  <si>
    <t>SAN CRISTOBAL NORTE</t>
  </si>
  <si>
    <t>https://www.metrocuadrado.com/inmueble/venta-apartamento-bogota-san-cristobal-norte-2-habitaciones-2-banos/14-M5529351</t>
  </si>
  <si>
    <t>304-M6144659</t>
  </si>
  <si>
    <t>https://www.metrocuadrado.com/inmueble/venta-apartamento-bogota-la-carolina-3-habitaciones-5-banos-2-garajes/304-M6144659</t>
  </si>
  <si>
    <t>20562-M6012468</t>
  </si>
  <si>
    <t>https://www.metrocuadrado.com/inmueble/venta-apartamento-bogota-chico-norte-et-iii-3-habitaciones-3-banos-2-garajes/20562-M6012468</t>
  </si>
  <si>
    <t>2748-M3751157</t>
  </si>
  <si>
    <t>https://www.metrocuadrado.com/inmueble/venta-apartamento-bogota-el-retiro-4-habitaciones-5-banos-2-garajes/2748-M3751157</t>
  </si>
  <si>
    <t>2671-M5793915</t>
  </si>
  <si>
    <t>https://www.metrocuadrado.com/inmueble/venta-apartamento-bogota-colina-campestre-3-habitaciones-5-banos-3-garajes/2671-M5793915</t>
  </si>
  <si>
    <t>20607-M6404566</t>
  </si>
  <si>
    <t>https://www.metrocuadrado.com/inmueble/venta-apartamento-bogota-cantalejo-3-habitaciones-2-banos-1-garajes/20607-M6404566</t>
  </si>
  <si>
    <t>20234-M5792541</t>
  </si>
  <si>
    <t>EL VIRREY</t>
  </si>
  <si>
    <t>https://www.metrocuadrado.com/inmueble/venta-apartamento-bogota-el-virrey-1-habitaciones-2-banos-1-garajes/20234-M5792541</t>
  </si>
  <si>
    <t>20234-M5793790</t>
  </si>
  <si>
    <t>https://www.metrocuadrado.com/inmueble/venta-apartamento-bogota-la-carolina-3-habitaciones-3-banos-3-garajes/20234-M5793790</t>
  </si>
  <si>
    <t>2671-M5793936</t>
  </si>
  <si>
    <t>https://www.metrocuadrado.com/inmueble/venta-apartamento-bogota-colina-campestre-3-habitaciones-5-banos-3-garajes/2671-M5793936</t>
  </si>
  <si>
    <t>5031-M6213997</t>
  </si>
  <si>
    <t>https://www.metrocuadrado.com/inmueble/venta-apartamento-bogota-la-calleja-3-habitaciones-2-banos-2-garajes/5031-M6213997</t>
  </si>
  <si>
    <t>5044-M5255858</t>
  </si>
  <si>
    <t>https://www.metrocuadrado.com/inmueble/venta-apartamento-bogota-chico-norte-et.-iii-3-habitaciones-3-banos-2-garajes/5044-M5255858</t>
  </si>
  <si>
    <t>19434-M5654727</t>
  </si>
  <si>
    <t>https://www.metrocuadrado.com/inmueble/venta-apartamento-bogota-sierras-del-moral-4-habitaciones-5-banos-4-garajes/19434-M5654727</t>
  </si>
  <si>
    <t>16649-M6091528</t>
  </si>
  <si>
    <t>https://www.metrocuadrado.com/inmueble/venta-apartamento-bogota-ciudad-jardin-norte-3-habitaciones-2-banos-2-garajes/16649-M6091528</t>
  </si>
  <si>
    <t>51-M6579588</t>
  </si>
  <si>
    <t>https://www.metrocuadrado.com/inmueble/venta-apartamento-bogota-san-patricio-3-habitaciones-3-banos-2-garajes/51-M6579588</t>
  </si>
  <si>
    <t>15738-M5562427</t>
  </si>
  <si>
    <t>LIJACA</t>
  </si>
  <si>
    <t>https://www.metrocuadrado.com/inmueble/venta-apartamento-bogota-lijaca-2-habitaciones-2-banos-1-garajes/15738-M5562427</t>
  </si>
  <si>
    <t>2974-M6282789</t>
  </si>
  <si>
    <t>https://www.metrocuadrado.com/inmueble/venta-apartamento-bogota-el-plan-3-habitaciones-4-banos-2-garajes/2974-M6282789</t>
  </si>
  <si>
    <t>2974-M6557309</t>
  </si>
  <si>
    <t>https://www.metrocuadrado.com/inmueble/venta-apartamento-bogota-victoria-norte-3-habitaciones-3-banos-2-garajes/2974-M6557309</t>
  </si>
  <si>
    <t>9894-M5132113</t>
  </si>
  <si>
    <t>CJR LEVEL VIRREY</t>
  </si>
  <si>
    <t>https://www.metrocuadrado.com/inmueble/venta-apartamento-bogota-cjr-level-virrey-3-habitaciones-4-banos-2-garajes/9894-M5132113</t>
  </si>
  <si>
    <t>14193-M6571755</t>
  </si>
  <si>
    <t>https://www.metrocuadrado.com/inmueble/venta-apartamento-bogota-santa-barbara-oriental-2-habitaciones-3-banos-2-garajes/14193-M6571755</t>
  </si>
  <si>
    <t>11002-M6161111</t>
  </si>
  <si>
    <t>https://www.metrocuadrado.com/inmueble/venta-apartamento-bogota-san-martin-1-habitaciones-2-banos-1-garajes/11002-M6161111</t>
  </si>
  <si>
    <t>3858-M6330320</t>
  </si>
  <si>
    <t>CASA BLANCA ET II</t>
  </si>
  <si>
    <t>https://www.metrocuadrado.com/inmueble/venta-apartamento-bogota-casa-blanca-et-ii-3-habitaciones-1-banos/3858-M6330320</t>
  </si>
  <si>
    <t>512-M6068456</t>
  </si>
  <si>
    <t>UB BOSQUES</t>
  </si>
  <si>
    <t>https://www.metrocuadrado.com/inmueble/venta-apartamento-bogota-ub-bosques-3-habitaciones-4-banos-4-garajes/512-M6068456</t>
  </si>
  <si>
    <t>5105-M6499397</t>
  </si>
  <si>
    <t>https://www.metrocuadrado.com/inmueble/venta-apartamento-bogota-casa-blanca-suba-3-habitaciones-4-banos-2-garajes/5105-M6499397</t>
  </si>
  <si>
    <t>3229-M6391060</t>
  </si>
  <si>
    <t>BOSQUE LA RESERVA</t>
  </si>
  <si>
    <t>https://www.metrocuadrado.com/inmueble/venta-apartamento-bogota-bosque-la-reserva-3-habitaciones-4-banos-3-garajes/3229-M6391060</t>
  </si>
  <si>
    <t>3858-M6426662</t>
  </si>
  <si>
    <t>CABRERA</t>
  </si>
  <si>
    <t>https://www.metrocuadrado.com/inmueble/venta-apartamento-bogota-cabrera-3-habitaciones-5-banos-4-garajes/3858-M6426662</t>
  </si>
  <si>
    <t>709-M6311235</t>
  </si>
  <si>
    <t>https://www.metrocuadrado.com/inmueble/venta-apartamento-bogota-mazuren-3-habitaciones-2-banos-2-garajes/709-M6311235</t>
  </si>
  <si>
    <t>17289-M6226601</t>
  </si>
  <si>
    <t>https://www.metrocuadrado.com/inmueble/venta-apartamento-bogota-antiguo-country-3-habitaciones-2-banos-2-garajes/17289-M6226601</t>
  </si>
  <si>
    <t>11369-M6497453</t>
  </si>
  <si>
    <t>https://www.metrocuadrado.com/inmueble/venta-apartamento-bogota-chico-2-habitaciones-3-banos-1-garajes/11369-M6497453</t>
  </si>
  <si>
    <t>695-M6497792</t>
  </si>
  <si>
    <t>QUIROGA</t>
  </si>
  <si>
    <t>https://www.metrocuadrado.com/inmueble/venta-apartamento-bogota-quiroga-3-habitaciones-2-banos-1-garajes/695-M6497792</t>
  </si>
  <si>
    <t>Tunal</t>
  </si>
  <si>
    <t>TUN</t>
  </si>
  <si>
    <t>Tunjuelito</t>
  </si>
  <si>
    <t>Carrera 24  # 49-86 sur</t>
  </si>
  <si>
    <t>RAFAEL URIBE URIBE</t>
  </si>
  <si>
    <t>797-M4694740</t>
  </si>
  <si>
    <t>https://www.metrocuadrado.com/inmueble/venta-apartamento-bogota-marly-4-habitaciones-3-banos/797-M4694740</t>
  </si>
  <si>
    <t>MC6583450</t>
  </si>
  <si>
    <t>https://www.metrocuadrado.com/inmueble/venta-apartamento-bogota-la-carolina-1-habitaciones-2-banos-1-garajes/MC6583450</t>
  </si>
  <si>
    <t>MC6554648</t>
  </si>
  <si>
    <t>https://www.metrocuadrado.com/inmueble/venta-apartamento-bogota-el-verbenal-3-habitaciones-2-banos-1-garajes/MC6554648</t>
  </si>
  <si>
    <t>MC6525128</t>
  </si>
  <si>
    <t>https://www.metrocuadrado.com/inmueble/venta-apartamento-bogota-bella-suiza-3-habitaciones-3-banos-2-garajes/MC6525128</t>
  </si>
  <si>
    <t>MC6541348</t>
  </si>
  <si>
    <t>https://www.metrocuadrado.com/inmueble/venta-apartamento-bogota-san-gabriel-norte-3-habitaciones-4-banos-2-garajes/MC6541348</t>
  </si>
  <si>
    <t>22286-C0006-05</t>
  </si>
  <si>
    <t>https://www.metrocuadrado.com/proyecto/colina-living/22286-C0006-05</t>
  </si>
  <si>
    <t>22286-C0006-03</t>
  </si>
  <si>
    <t>https://www.metrocuadrado.com/proyecto/colina-living/22286-C0006-03</t>
  </si>
  <si>
    <t>17156-C0032-02</t>
  </si>
  <si>
    <t>https://www.metrocuadrado.com/proyecto/element-142/17156-C0032-02</t>
  </si>
  <si>
    <t>14693-C0004-11</t>
  </si>
  <si>
    <t>https://www.metrocuadrado.com/proyecto/pekin/14693-C0004-11</t>
  </si>
  <si>
    <t>464-M5285456</t>
  </si>
  <si>
    <t>https://www.metrocuadrado.com/inmueble/venta-apartamento-bogota-country-club-3-habitaciones-4-banos-2-garajes/464-M5285456</t>
  </si>
  <si>
    <t>17285-M6013528</t>
  </si>
  <si>
    <t>https://www.metrocuadrado.com/inmueble/venta-apartamento-bogota-chico-reservado-3-habitaciones-5-banos-3-garajes/17285-M6013528</t>
  </si>
  <si>
    <t>464-M5285433</t>
  </si>
  <si>
    <t>https://www.metrocuadrado.com/inmueble/venta-apartamento-bogota-la-cabrera-2-habitaciones-5-banos-2-garajes/464-M5285433</t>
  </si>
  <si>
    <t>20706-M6487776</t>
  </si>
  <si>
    <t>https://www.metrocuadrado.com/inmueble/venta-apartamento-bogota-caobos-salazar-2-habitaciones-3-banos/20706-M6487776</t>
  </si>
  <si>
    <t>464-M5285754</t>
  </si>
  <si>
    <t>https://www.metrocuadrado.com/inmueble/venta-apartamento-bogota-la-cabrera-3-habitaciones-5-banos-4-garajes/464-M5285754</t>
  </si>
  <si>
    <t>4186-M6479963</t>
  </si>
  <si>
    <t>https://www.metrocuadrado.com/inmueble/venta-apartamento-bogota-antiguo-country-2-habitaciones-3-banos-1-garajes/4186-M6479963</t>
  </si>
  <si>
    <t>3774-M4583633</t>
  </si>
  <si>
    <t>SANTA ANA OCCIDENTAL</t>
  </si>
  <si>
    <t>https://www.metrocuadrado.com/inmueble/venta-apartamento-bogota-santa-ana-occidental-3-habitaciones-4-banos-2-garajes/3774-M4583633</t>
  </si>
  <si>
    <t>5031-M6294017</t>
  </si>
  <si>
    <t>https://www.metrocuadrado.com/inmueble/venta-apartamento-bogota-la-colina-campestre-3-habitaciones-4-banos-3-garajes/5031-M6294017</t>
  </si>
  <si>
    <t>11079-M4858013</t>
  </si>
  <si>
    <t>https://www.metrocuadrado.com/inmueble/venta-apartamento-bogota-cerros-de-santa-barbara-3-habitaciones-5-banos-2-garajes/11079-M4858013</t>
  </si>
  <si>
    <t>5044-M5129423</t>
  </si>
  <si>
    <t>https://www.metrocuadrado.com/inmueble/venta-apartamento-bogota-san-patricio-3-habitaciones-3-banos-4-garajes/5044-M5129423</t>
  </si>
  <si>
    <t>17565-M6097138</t>
  </si>
  <si>
    <t>https://www.metrocuadrado.com/inmueble/venta-apartamento-bogota-san-patricio-3-habitaciones-4-banos-3-garajes/17565-M6097138</t>
  </si>
  <si>
    <t>5031-M6214163</t>
  </si>
  <si>
    <t>https://www.metrocuadrado.com/inmueble/venta-apartamento-bogota-santa-barbara-1-habitaciones-1-banos-1-garajes/5031-M6214163</t>
  </si>
  <si>
    <t>771-M6479467</t>
  </si>
  <si>
    <t>https://www.metrocuadrado.com/inmueble/venta-apartamento-bogota-el-rosario-3-habitaciones-2-banos-2-garajes/771-M6479467</t>
  </si>
  <si>
    <t>11079-M5785874</t>
  </si>
  <si>
    <t>https://www.metrocuadrado.com/inmueble/venta-apartamento-bogota-a.s.d.-3-habitaciones-5-banos-3-garajes/11079-M5785874</t>
  </si>
  <si>
    <t>356-M4668141</t>
  </si>
  <si>
    <t>https://www.metrocuadrado.com/inmueble/venta-apartamento-bogota-la-carolina-3-habitaciones-4-banos-4-garajes/356-M4668141</t>
  </si>
  <si>
    <t>20234-M5823979</t>
  </si>
  <si>
    <t>https://www.metrocuadrado.com/inmueble/venta-apartamento-bogota-cerros-de-suba-3-habitaciones-4-banos-3-garajes/20234-M5823979</t>
  </si>
  <si>
    <t>871-M4060696</t>
  </si>
  <si>
    <t>https://www.metrocuadrado.com/inmueble/venta-apartamento-bogota-chico-reservado-4-habitaciones-4-banos-2-garajes/871-M4060696</t>
  </si>
  <si>
    <t>21638-M6290888</t>
  </si>
  <si>
    <t>https://www.metrocuadrado.com/inmueble/venta-apartamento-bogota-santa-barbara-oriental-3-habitaciones-4-banos-4-garajes/21638-M6290888</t>
  </si>
  <si>
    <t>20728-M5978348</t>
  </si>
  <si>
    <t>https://www.metrocuadrado.com/inmueble/venta-apartamento-bogota-santa-barbara-2-habitaciones-3-banos-1-garajes/20728-M5978348</t>
  </si>
  <si>
    <t>2147-M5855292</t>
  </si>
  <si>
    <t>https://www.metrocuadrado.com/inmueble/venta-apartamento-bogota-potosi-4-habitaciones-5-banos-3-garajes/2147-M5855292</t>
  </si>
  <si>
    <t>2147-M6070343</t>
  </si>
  <si>
    <t>https://www.metrocuadrado.com/inmueble/venta-apartamento-bogota-chico-navarra-5-habitaciones-5-banos-4-garajes/2147-M6070343</t>
  </si>
  <si>
    <t>2147-M6333181</t>
  </si>
  <si>
    <t>https://www.metrocuadrado.com/inmueble/venta-apartamento-bogota-niza-norte-2-habitaciones-3-banos-2-garajes/2147-M6333181</t>
  </si>
  <si>
    <t>2147-M5609568</t>
  </si>
  <si>
    <t>https://www.metrocuadrado.com/inmueble/venta-apartamento-bogota-chico-navarra-5-habitaciones-5-banos-4-garajes/2147-M5609568</t>
  </si>
  <si>
    <t>17123-M6584330</t>
  </si>
  <si>
    <t>https://www.metrocuadrado.com/inmueble/venta-apartamento-bogota-ub-castilla-3-habitaciones-2-banos-1-garajes/17123-M6584330</t>
  </si>
  <si>
    <t>2974-M6213753</t>
  </si>
  <si>
    <t>https://www.metrocuadrado.com/inmueble/venta-apartamento-bogota-contador-2-habitaciones-2-banos-1-garajes/2974-M6213753</t>
  </si>
  <si>
    <t>13194-M6306141</t>
  </si>
  <si>
    <t>https://www.metrocuadrado.com/inmueble/venta-apartamento-bogota-santa-bibiana-2-habitaciones-3-banos-2-garajes/13194-M6306141</t>
  </si>
  <si>
    <t>18854-M6490437</t>
  </si>
  <si>
    <t>GALERIAS</t>
  </si>
  <si>
    <t>https://www.metrocuadrado.com/inmueble/venta-apartamento-bogota-galerias-1-habitaciones-2-banos-1-garajes/18854-M6490437</t>
  </si>
  <si>
    <t>18598-M6396573</t>
  </si>
  <si>
    <t>https://www.metrocuadrado.com/inmueble/venta-apartamento-bogota-chico-3-habitaciones-3-banos-2-garajes/18598-M6396573</t>
  </si>
  <si>
    <t>2147-M6524501</t>
  </si>
  <si>
    <t>https://www.metrocuadrado.com/inmueble/venta-apartamento-bogota-chico-norte-3-habitaciones-5-banos-2-garajes/2147-M6524501</t>
  </si>
  <si>
    <t>156-M6470752</t>
  </si>
  <si>
    <t>VILLA ELISA</t>
  </si>
  <si>
    <t>https://www.metrocuadrado.com/inmueble/venta-apartamento-bogota-villa-elisa-2-habitaciones-1-banos-1-garajes/156-M6470752</t>
  </si>
  <si>
    <t>156-M6485865</t>
  </si>
  <si>
    <t>https://www.metrocuadrado.com/inmueble/venta-apartamento-bogota-el-plan-3-habitaciones-2-banos-1-garajes/156-M6485865</t>
  </si>
  <si>
    <t>14153-M6020684</t>
  </si>
  <si>
    <t>https://www.metrocuadrado.com/inmueble/venta-apartamento-bogota-3-habitaciones-1-banos/14153-M6020684</t>
  </si>
  <si>
    <t>512-9630015</t>
  </si>
  <si>
    <t>https://www.metrocuadrado.com/inmueble/venta-apartamento-bogota-cerros-de-santa-barbara-4-habitaciones-5-banos-3-garajes/512-9630015</t>
  </si>
  <si>
    <t>3438-M6160974</t>
  </si>
  <si>
    <t>https://www.metrocuadrado.com/inmueble/venta-apartamento-bogota-santa-barbara-occidental-3-habitaciones-3-banos-1-garajes/3438-M6160974</t>
  </si>
  <si>
    <t>562-M6311582</t>
  </si>
  <si>
    <t>https://www.metrocuadrado.com/inmueble/venta-apartamento-bogota-santa-paula-3-habitaciones-3-banos-2-garajes/562-M6311582</t>
  </si>
  <si>
    <t>17549-M5304252</t>
  </si>
  <si>
    <t>https://www.metrocuadrado.com/inmueble/venta-apartamento-bogota-bellavista-3-habitaciones-3-banos-3-garajes/17549-M5304252</t>
  </si>
  <si>
    <t>19534-M6003400</t>
  </si>
  <si>
    <t>https://www.metrocuadrado.com/inmueble/venta-apartamento-bogota-colina-campestre-3-habitaciones-3-banos-2-garajes/19534-M6003400</t>
  </si>
  <si>
    <t>12364-M6351642</t>
  </si>
  <si>
    <t>https://www.metrocuadrado.com/inmueble/venta-apartamento-bogota-la-colina-campestre-2-habitaciones-3-banos-2-garajes/12364-M6351642</t>
  </si>
  <si>
    <t>MC6372065</t>
  </si>
  <si>
    <t>OLAYA</t>
  </si>
  <si>
    <t>https://www.metrocuadrado.com/inmueble/venta-apartamento-bogota-olaya-3-habitaciones-2-banos-1-garajes/MC6372065</t>
  </si>
  <si>
    <t>MC6397527</t>
  </si>
  <si>
    <t>TECHO</t>
  </si>
  <si>
    <t>https://www.metrocuadrado.com/inmueble/venta-apartamento-bogota-techo-2-habitaciones-1-banos/MC6397527</t>
  </si>
  <si>
    <t>MC6573988</t>
  </si>
  <si>
    <t>https://www.metrocuadrado.com/inmueble/venta-apartamento-bogota-san-patricio-4-habitaciones-5-banos-3-garajes/MC6573988</t>
  </si>
  <si>
    <t>MC5062890</t>
  </si>
  <si>
    <t>https://www.metrocuadrado.com/inmueble/venta-apartamento-bogota-ub.-hacienda-cordoba-niza-3-habitaciones-2-banos-2-garajes/MC5062890</t>
  </si>
  <si>
    <t>21135-C0002-02</t>
  </si>
  <si>
    <t>casa</t>
  </si>
  <si>
    <t>https://www.metrocuadrado.com/proyecto/makapi-sotileza/21135-C0002-02</t>
  </si>
  <si>
    <t>21135-C0002-01</t>
  </si>
  <si>
    <t>https://www.metrocuadrado.com/proyecto/makapi-sotileza/21135-C0002-01</t>
  </si>
  <si>
    <t>1572-C0073-02</t>
  </si>
  <si>
    <t>https://www.metrocuadrado.com/proyecto/torreladera-bosque-reservado-casas-4/1572-C0073-02</t>
  </si>
  <si>
    <t>1572-C0073-01</t>
  </si>
  <si>
    <t>https://www.metrocuadrado.com/proyecto/torreladera-bosque-reservado-casas-4/1572-C0073-01</t>
  </si>
  <si>
    <t>MC6529290</t>
  </si>
  <si>
    <t>https://www.metrocuadrado.com/inmueble/venta-casa-bogota-suba-naranjos-3-habitaciones-4-banos-2-garajes/MC6529290</t>
  </si>
  <si>
    <t>MC6572902</t>
  </si>
  <si>
    <t>https://www.metrocuadrado.com/inmueble/venta-casa-bogota-banco-central-5-habitaciones-3-banos-1-garajes/MC6572902</t>
  </si>
  <si>
    <t>17465-M6223388</t>
  </si>
  <si>
    <t>NUEVO MUZU</t>
  </si>
  <si>
    <t>https://www.metrocuadrado.com/inmueble/venta-casa-bogota-nuevo-muzu-4-habitaciones-2-banos-1-garajes/17465-M6223388</t>
  </si>
  <si>
    <t>TUNJUELITO</t>
  </si>
  <si>
    <t>18294-M6139147</t>
  </si>
  <si>
    <t>https://www.metrocuadrado.com/inmueble/venta-casa-bogota-santa-rosa-3-habitaciones-2-banos-2-garajes/18294-M6139147</t>
  </si>
  <si>
    <t>16297-M6505514</t>
  </si>
  <si>
    <t>https://www.metrocuadrado.com/inmueble/venta-casa-bogota-ciudad-jardin-norte-4-habitaciones-4-banos-2-garajes/16297-M6505514</t>
  </si>
  <si>
    <t>18297-M6075427</t>
  </si>
  <si>
    <t>https://www.metrocuadrado.com/inmueble/venta-casa-bogota-la-calleja-4-habitaciones-3-banos-2-garajes/18297-M6075427</t>
  </si>
  <si>
    <t>16959-M6234609</t>
  </si>
  <si>
    <t>https://www.metrocuadrado.com/inmueble/venta-casa-bogota-cedro-bolivar-3-habitaciones-3-banos-1-garajes/16959-M6234609</t>
  </si>
  <si>
    <t>MC5857615</t>
  </si>
  <si>
    <t>CJR ALSACIA REAL</t>
  </si>
  <si>
    <t>https://www.metrocuadrado.com/inmueble/venta-casa-bogota-cjr-alsacia-real-4-habitaciones-2-banos/MC5857615</t>
  </si>
  <si>
    <t>MC5530179</t>
  </si>
  <si>
    <t>LA CAMELIA</t>
  </si>
  <si>
    <t>https://www.metrocuadrado.com/inmueble/venta-casa-bogota-la-camelia-5-habitaciones-4-banos-2-garajes/MC5530179</t>
  </si>
  <si>
    <t>MC4066763</t>
  </si>
  <si>
    <t>MARANTA III SECTOR</t>
  </si>
  <si>
    <t>https://www.metrocuadrado.com/inmueble/venta-casa-bogota-maranta-iii-sector-3-habitaciones-3-banos-2-garajes/MC4066763</t>
  </si>
  <si>
    <t>MC5957801</t>
  </si>
  <si>
    <t>JULIO FLOREZ</t>
  </si>
  <si>
    <t>https://www.metrocuadrado.com/inmueble/venta-casa-bogota-julio-florez-3-habitaciones-2-banos-1-garajes/MC5957801</t>
  </si>
  <si>
    <t>MC6334786</t>
  </si>
  <si>
    <t>https://www.metrocuadrado.com/inmueble/venta-casa-bogota-gran-britalia-5-habitaciones-3-banos-1-garajes/MC6334786</t>
  </si>
  <si>
    <t>17638-M5788215</t>
  </si>
  <si>
    <t>MARANTA</t>
  </si>
  <si>
    <t>https://www.metrocuadrado.com/inmueble/venta-casa-bogota-maranta-3-habitaciones-3-banos-2-garajes/17638-M5788215</t>
  </si>
  <si>
    <t>MC6422278</t>
  </si>
  <si>
    <t>https://www.metrocuadrado.com/inmueble/venta-casa-bogota-victoria-norte-4-habitaciones-4-banos-2-garajes/MC6422278</t>
  </si>
  <si>
    <t>10967-M3684965</t>
  </si>
  <si>
    <t>https://www.metrocuadrado.com/inmueble/venta-casa-bogota-san-jose-de-bavaria-4-habitaciones-5-banos-4-garajes/10967-M3684965</t>
  </si>
  <si>
    <t>10307-M6149637</t>
  </si>
  <si>
    <t>https://www.metrocuadrado.com/inmueble/venta-casa-bogota-conejera-4-habitaciones-4-banos-2-garajes/10307-M6149637</t>
  </si>
  <si>
    <t>21662-M6313158</t>
  </si>
  <si>
    <t>https://www.metrocuadrado.com/inmueble/venta-casa-bogota-el-batan-3-habitaciones-3-banos-2-garajes/21662-M6313158</t>
  </si>
  <si>
    <t>3774-M4477911</t>
  </si>
  <si>
    <t>https://www.metrocuadrado.com/inmueble/venta-casa-bogota-casa-blanca-4-habitaciones-5-banos-3-garajes/3774-M4477911</t>
  </si>
  <si>
    <t>10307-M6373460</t>
  </si>
  <si>
    <t>https://www.metrocuadrado.com/inmueble/venta-casa-bogota-conejera-3-habitaciones-5-banos-2-garajes/10307-M6373460</t>
  </si>
  <si>
    <t>5545-M6014412</t>
  </si>
  <si>
    <t>https://www.metrocuadrado.com/inmueble/venta-casa-bogota-4-habitaciones-4-banos-2-garajes/5545-M6014412</t>
  </si>
  <si>
    <t>19734-M5730176</t>
  </si>
  <si>
    <t>https://www.metrocuadrado.com/inmueble/venta-casa-bogota-casa-blanca-4-habitaciones-5-banos-4-garajes/19734-M5730176</t>
  </si>
  <si>
    <t>2259-M5800799</t>
  </si>
  <si>
    <t>https://www.metrocuadrado.com/inmueble/venta-casa-bogota-casa-blanca-suba-4-habitaciones-5-banos-2-garajes/2259-M5800799</t>
  </si>
  <si>
    <t>10307-M3697000</t>
  </si>
  <si>
    <t>https://www.metrocuadrado.com/inmueble/venta-casa-bogota-conejera-4-habitaciones-5-banos-2-garajes/10307-M3697000</t>
  </si>
  <si>
    <t>10307-M3068621</t>
  </si>
  <si>
    <t>https://www.metrocuadrado.com/inmueble/venta-casa-bogota-conejera-3-habitaciones-5-banos-4-garajes/10307-M3068621</t>
  </si>
  <si>
    <t>3604-M3988410</t>
  </si>
  <si>
    <t>https://www.metrocuadrado.com/inmueble/venta-casa-bogota-casa-blanca-4-habitaciones-4-banos-3-garajes/3604-M3988410</t>
  </si>
  <si>
    <t>10307-M5317391</t>
  </si>
  <si>
    <t>https://www.metrocuadrado.com/inmueble/venta-casa-bogota-conejera-4-habitaciones-4-banos-2-garajes/10307-M5317391</t>
  </si>
  <si>
    <t>20485-M5961088</t>
  </si>
  <si>
    <t>https://www.metrocuadrado.com/inmueble/venta-casa-bogota-casa-blanca-4-habitaciones-5-banos-4-garajes/20485-M5961088</t>
  </si>
  <si>
    <t>3604-M4020122</t>
  </si>
  <si>
    <t>https://www.metrocuadrado.com/inmueble/venta-casa-bogota-casa-blanca-4-habitaciones-4-banos-3-garajes/3604-M4020122</t>
  </si>
  <si>
    <t>2359-M5702765</t>
  </si>
  <si>
    <t>https://www.metrocuadrado.com/inmueble/venta-casa-bogota-cedro-bolivar-4-habitaciones-5-banos-4-garajes/2359-M5702765</t>
  </si>
  <si>
    <t>10967-M2526902</t>
  </si>
  <si>
    <t>https://www.metrocuadrado.com/inmueble/venta-casa-bogota-san-jose-de-bavaria-5-habitaciones-5-banos-4-garajes/10967-M2526902</t>
  </si>
  <si>
    <t>10967-M6108392</t>
  </si>
  <si>
    <t>https://www.metrocuadrado.com/inmueble/venta-casa-bogota-san-jose-de-bavaria-5-habitaciones-5-banos-4-garajes/10967-M6108392</t>
  </si>
  <si>
    <t>3340-M5237266</t>
  </si>
  <si>
    <t>LOS ANDES NORTE</t>
  </si>
  <si>
    <t>https://www.metrocuadrado.com/inmueble/venta-casa-bogota-los-andes-norte-4-habitaciones-5-banos-2-garajes/3340-M5237266</t>
  </si>
  <si>
    <t>3604-M3905107</t>
  </si>
  <si>
    <t>https://www.metrocuadrado.com/inmueble/venta-casa-bogota-san-jose-de-bavaria-3-habitaciones-4-banos-3-garajes/3604-M3905107</t>
  </si>
  <si>
    <t>13634-M5839046</t>
  </si>
  <si>
    <t>https://www.metrocuadrado.com/inmueble/venta-casa-bogota-san-jose-de-bavaria-4-habitaciones-5-banos-4-garajes/13634-M5839046</t>
  </si>
  <si>
    <t>20485-M6105478</t>
  </si>
  <si>
    <t>https://www.metrocuadrado.com/inmueble/venta-casa-bogota-casa-blanca-5-habitaciones-5-banos-4-garajes/20485-M6105478</t>
  </si>
  <si>
    <t>651-M2698510</t>
  </si>
  <si>
    <t>URBANIZACION SANTA COLOMA</t>
  </si>
  <si>
    <t>https://www.metrocuadrado.com/inmueble/venta-casa-bogota-urbanizacion-santa-coloma-3-habitaciones-5-banos-2-garajes/651-M2698510</t>
  </si>
  <si>
    <t>16108-M6075021</t>
  </si>
  <si>
    <t>https://www.metrocuadrado.com/inmueble/venta-casa-bogota-cerros-de-niza-3-habitaciones-4-banos-4-garajes/16108-M6075021</t>
  </si>
  <si>
    <t>4830-M2711134</t>
  </si>
  <si>
    <t>https://www.metrocuadrado.com/inmueble/venta-casa-bogota-los-andes-norte-5-habitaciones-5-banos-2-garajes/4830-M2711134</t>
  </si>
  <si>
    <t>4830-M4513952</t>
  </si>
  <si>
    <t>https://www.metrocuadrado.com/inmueble/venta-casa-bogota-potosi-5-habitaciones-5-banos-2-garajes/4830-M4513952</t>
  </si>
  <si>
    <t>11068-M5339462</t>
  </si>
  <si>
    <t>https://www.metrocuadrado.com/inmueble/venta-casa-bogota-quinta-camacho-5-habitaciones-5-banos-3-garajes/11068-M5339462</t>
  </si>
  <si>
    <t>4887-M6484760</t>
  </si>
  <si>
    <t>https://www.metrocuadrado.com/inmueble/venta-casa-bogota-la-camelia-3-habitaciones-5-banos-3-garajes/4887-M6484760</t>
  </si>
  <si>
    <t>17553-M6149114</t>
  </si>
  <si>
    <t>https://www.metrocuadrado.com/inmueble/venta-casa-bogota-maranta-iii-sector-4-habitaciones-3-banos-2-garajes/17553-M6149114</t>
  </si>
  <si>
    <t>16996-M5474431</t>
  </si>
  <si>
    <t>https://www.metrocuadrado.com/inmueble/venta-casa-bogota-banco-central-5-habitaciones-5-banos-1-garajes/16996-M5474431</t>
  </si>
  <si>
    <t>156-M5857292</t>
  </si>
  <si>
    <t>SANTA TERESITA</t>
  </si>
  <si>
    <t>https://www.metrocuadrado.com/inmueble/venta-casa-bogota-santa-teresita-3-habitaciones-2-banos/156-M5857292</t>
  </si>
  <si>
    <t>17237-M6311143</t>
  </si>
  <si>
    <t>VIVEROS</t>
  </si>
  <si>
    <t>https://www.metrocuadrado.com/inmueble/venta-casa-bogota-viveros-4-habitaciones-5-banos-4-garajes/17237-M6311143</t>
  </si>
  <si>
    <t>156-M6438709</t>
  </si>
  <si>
    <t>https://www.metrocuadrado.com/inmueble/venta-casa-bogota-san-antonio-nor-occidental-3-habitaciones-2-banos/156-M6438709</t>
  </si>
  <si>
    <t>660-M6400016</t>
  </si>
  <si>
    <t>CR CIUDAD TINTAL</t>
  </si>
  <si>
    <t>https://www.metrocuadrado.com/inmueble/venta-casa-bogota-cr-ciudad-tintal-3-habitaciones-1-banos/660-M6400016</t>
  </si>
  <si>
    <t>16145-M5526941</t>
  </si>
  <si>
    <t>https://www.metrocuadrado.com/inmueble/venta-casa-bogota-conejera-4-habitaciones-5-banos-2-garajes/16145-M5526941</t>
  </si>
  <si>
    <t>14121-M3700482</t>
  </si>
  <si>
    <t>https://www.metrocuadrado.com/inmueble/venta-casa-bogota-san-jose-de-bavaria-4-habitaciones-5-banos-4-garajes/14121-M3700482</t>
  </si>
  <si>
    <t>14121-M6006535</t>
  </si>
  <si>
    <t>https://www.metrocuadrado.com/inmueble/venta-casa-bogota-niza-suba-4-habitaciones-4-banos-3-garajes/14121-M6006535</t>
  </si>
  <si>
    <t>14121-M6430691</t>
  </si>
  <si>
    <t>https://www.metrocuadrado.com/inmueble/venta-casa-bogota-la-salle-5-habitaciones-5-banos-2-garajes/14121-M6430691</t>
  </si>
  <si>
    <t>14121-M6094137</t>
  </si>
  <si>
    <t>https://www.metrocuadrado.com/inmueble/venta-casa-bogota-niza-suba-3-habitaciones-5-banos-2-garajes/14121-M6094137</t>
  </si>
  <si>
    <t>13374-M6427994</t>
  </si>
  <si>
    <t>https://www.metrocuadrado.com/inmueble/venta-casa-bogota-santa-barbara-alta-4-habitaciones-5-banos-4-garajes/13374-M6427994</t>
  </si>
  <si>
    <t>MC6108165</t>
  </si>
  <si>
    <t>BELMIRA</t>
  </si>
  <si>
    <t>https://www.metrocuadrado.com/inmueble/venta-casa-bogota-belmira-5-habitaciones-5-banos-2-garajes/MC6108165</t>
  </si>
  <si>
    <t>MC6375512</t>
  </si>
  <si>
    <t>https://www.metrocuadrado.com/inmueble/venta-casa-bogota-quinta-paredes-3-habitaciones-3-banos-2-garajes/MC6375512</t>
  </si>
  <si>
    <t>MC6582887</t>
  </si>
  <si>
    <t>CAPELLANIA</t>
  </si>
  <si>
    <t>https://www.metrocuadrado.com/inmueble/venta-casa-bogota-capellania-3-habitaciones-2-banos-2-garajes/MC6582887</t>
  </si>
  <si>
    <t>MC6422277</t>
  </si>
  <si>
    <t>https://www.metrocuadrado.com/inmueble/venta-casa-bogota-mazuren-3-habitaciones-3-banos-2-garajes/MC6422277</t>
  </si>
  <si>
    <t>19954-M6006700</t>
  </si>
  <si>
    <t>NORMANDIA OCCIDENTAL</t>
  </si>
  <si>
    <t>https://www.metrocuadrado.com/inmueble/venta-casa-bogota-normandia-occidental-5-habitaciones-5-banos-4-garajes/19954-M6006700</t>
  </si>
  <si>
    <t>MC6391880</t>
  </si>
  <si>
    <t>CENTENARIO</t>
  </si>
  <si>
    <t>https://www.metrocuadrado.com/inmueble/venta-casa-bogota-centenario-2-habitaciones-2-banos/MC6391880</t>
  </si>
  <si>
    <t>MC6570357</t>
  </si>
  <si>
    <t>https://www.metrocuadrado.com/inmueble/venta-casa-bogota-el-plan-3-habitaciones-2-banos-1-garajes/MC6570357</t>
  </si>
  <si>
    <t>MC6536537</t>
  </si>
  <si>
    <t>https://www.metrocuadrado.com/inmueble/venta-casa-bogota-san-miguel-4-habitaciones-5-banos-1-garajes/MC6536537</t>
  </si>
  <si>
    <t>MC4174439</t>
  </si>
  <si>
    <t>ESTRELLA DEL SUR</t>
  </si>
  <si>
    <t>https://www.metrocuadrado.com/inmueble/venta-casa-bogota-estrella-del-sur-5-habitaciones-5-banos/MC4174439</t>
  </si>
  <si>
    <t>Usme</t>
  </si>
  <si>
    <t>USM</t>
  </si>
  <si>
    <t>Carrera 11 # 65 D 50 Sur</t>
  </si>
  <si>
    <t>16399-M6541429</t>
  </si>
  <si>
    <t>SAN BERNARDINO DIECISIETE</t>
  </si>
  <si>
    <t>https://www.metrocuadrado.com/inmueble/venta-casa-bogota-san-bernardino-diecisiete-3-habitaciones-1-banos-1-garajes/16399-M6541429</t>
  </si>
  <si>
    <t>MC6568158</t>
  </si>
  <si>
    <t>VILLA DEL RIO</t>
  </si>
  <si>
    <t>https://www.metrocuadrado.com/inmueble/venta-casa-bogota-villa-del-rio-5-habitaciones-2-banos-1-garajes/MC6568158</t>
  </si>
  <si>
    <t>MC6577287</t>
  </si>
  <si>
    <t>CR  BOLIVIA ORIENTAL ET  II</t>
  </si>
  <si>
    <t>https://www.metrocuadrado.com/inmueble/venta-casa-bogota-cr.-bolivia-oriental-et.-ii-4-habitaciones-3-banos-1-garajes/MC6577287</t>
  </si>
  <si>
    <t>14271-M6068427</t>
  </si>
  <si>
    <t>https://www.metrocuadrado.com/inmueble/venta-casa-bogota-potosi-4-habitaciones-4-banos-2-garajes/14271-M6068427</t>
  </si>
  <si>
    <t>14271-M6318526</t>
  </si>
  <si>
    <t>https://www.metrocuadrado.com/inmueble/venta-casa-bogota-molinos-norte-5-habitaciones-5-banos-4-garajes/14271-M6318526</t>
  </si>
  <si>
    <t>22224-M6496845</t>
  </si>
  <si>
    <t>https://www.metrocuadrado.com/inmueble/venta-casa-bogota-maranta-iii-sector-4-habitaciones-3-banos-1-garajes/22224-M6496845</t>
  </si>
  <si>
    <t>10967-M3598478</t>
  </si>
  <si>
    <t>https://www.metrocuadrado.com/inmueble/venta-casa-bogota-san-jose-de-bavaria-5-habitaciones-5-banos-4-garajes/10967-M3598478</t>
  </si>
  <si>
    <t>2764-M6516822</t>
  </si>
  <si>
    <t>https://www.metrocuadrado.com/inmueble/venta-casa-bogota-iberia-4-habitaciones-4-banos-2-garajes/2764-M6516822</t>
  </si>
  <si>
    <t>10967-M5154914</t>
  </si>
  <si>
    <t>https://www.metrocuadrado.com/inmueble/venta-casa-bogota-san-jose-de-bavaria-4-habitaciones-5-banos-3-garajes/10967-M5154914</t>
  </si>
  <si>
    <t>10967-M5140178</t>
  </si>
  <si>
    <t>CJR ENTREPINOS</t>
  </si>
  <si>
    <t>https://www.metrocuadrado.com/inmueble/venta-casa-bogota-cjr-entrepinos-4-habitaciones-4-banos-3-garajes/10967-M5140178</t>
  </si>
  <si>
    <t>2671-M5793857</t>
  </si>
  <si>
    <t>https://www.metrocuadrado.com/inmueble/venta-casa-bogota-sotileza-3-habitaciones-5-banos-4-garajes/2671-M5793857</t>
  </si>
  <si>
    <t>21302-M6097855</t>
  </si>
  <si>
    <t>https://www.metrocuadrado.com/inmueble/venta-casa-bogota-monaco-5-habitaciones-5-banos-3-garajes/21302-M6097855</t>
  </si>
  <si>
    <t>21187-M6583432</t>
  </si>
  <si>
    <t>https://www.metrocuadrado.com/inmueble/venta-casa-bogota-san-patricio-3-habitaciones-3-banos-2-garajes/21187-M6583432</t>
  </si>
  <si>
    <t>2259-M5994755</t>
  </si>
  <si>
    <t>https://www.metrocuadrado.com/inmueble/venta-casa-bogota-san-jose-del-prado-3-habitaciones-4-banos-2-garajes/2259-M5994755</t>
  </si>
  <si>
    <t>10967-M4507376</t>
  </si>
  <si>
    <t>https://www.metrocuadrado.com/inmueble/venta-casa-bogota-san-jose-de-bavaria-4-habitaciones-5-banos-4-garajes/10967-M4507376</t>
  </si>
  <si>
    <t>20704-M6493375</t>
  </si>
  <si>
    <t>CR CIUDAD TINTAL 2 ET I</t>
  </si>
  <si>
    <t>https://www.metrocuadrado.com/inmueble/venta-casa-bogota-cr-ciudad-tintal-2-et-i-3-habitaciones-2-banos/20704-M6493375</t>
  </si>
  <si>
    <t>10967-M4213868</t>
  </si>
  <si>
    <t>https://www.metrocuadrado.com/inmueble/venta-casa-bogota-san-jose-de-bavaria-5-habitaciones-5-banos-4-garajes/10967-M4213868</t>
  </si>
  <si>
    <t>21414-M6484533</t>
  </si>
  <si>
    <t>SAN SIMON</t>
  </si>
  <si>
    <t>https://www.metrocuadrado.com/inmueble/venta-casa-bogota-san-simon-4-habitaciones-4-banos-4-garajes/21414-M6484533</t>
  </si>
  <si>
    <t>10307-M4900072</t>
  </si>
  <si>
    <t>https://www.metrocuadrado.com/inmueble/venta-casa-bogota-casa-blanca-3-habitaciones-4-banos-3-garajes/10307-M4900072</t>
  </si>
  <si>
    <t>10967-M5301184</t>
  </si>
  <si>
    <t>AVENIDA CUNDINAMARCA</t>
  </si>
  <si>
    <t>https://www.metrocuadrado.com/inmueble/venta-casa-bogota-avenida-cundinamarca-4-habitaciones-5-banos-2-garajes/10967-M5301184</t>
  </si>
  <si>
    <t>2671-M5835490</t>
  </si>
  <si>
    <t>https://www.metrocuadrado.com/inmueble/venta-casa-bogota-bosque-medina-3-habitaciones-5-banos-4-garajes/2671-M5835490</t>
  </si>
  <si>
    <t>10967-M3921257</t>
  </si>
  <si>
    <t>https://www.metrocuadrado.com/inmueble/venta-casa-bogota-san-jose-de-bavaria-3-habitaciones-3-banos-2-garajes/10967-M3921257</t>
  </si>
  <si>
    <t>11204-M6579290</t>
  </si>
  <si>
    <t>https://www.metrocuadrado.com/inmueble/venta-casa-bogota-san-jose-de-bavaria-4-habitaciones-5-banos-4-garajes/11204-M6579290</t>
  </si>
  <si>
    <t>368-M6309768</t>
  </si>
  <si>
    <t>https://www.metrocuadrado.com/inmueble/venta-casa-bogota-ciudad-salitre-suroriental-3-habitaciones-2-banos-2-garajes/368-M6309768</t>
  </si>
  <si>
    <t>11204-M6579312</t>
  </si>
  <si>
    <t>https://www.metrocuadrado.com/inmueble/venta-casa-bogota-san-jose-de-bavaria-3-habitaciones-4-banos-4-garajes/11204-M6579312</t>
  </si>
  <si>
    <t>2671-M5794526</t>
  </si>
  <si>
    <t>https://www.metrocuadrado.com/inmueble/venta-casa-bogota-sotileza-3-habitaciones-5-banos-4-garajes/2671-M5794526</t>
  </si>
  <si>
    <t>4830-M3133103</t>
  </si>
  <si>
    <t>https://www.metrocuadrado.com/inmueble/venta-casa-bogota-ciudad-jardin-norte-5-habitaciones-4-banos-4-garajes/4830-M3133103</t>
  </si>
  <si>
    <t>4830-M5032288</t>
  </si>
  <si>
    <t>CIUDAD GALAN</t>
  </si>
  <si>
    <t>https://www.metrocuadrado.com/inmueble/venta-casa-bogota-ciudad-galan-5-habitaciones-5-banos/4830-M5032288</t>
  </si>
  <si>
    <t>4830-M4618939</t>
  </si>
  <si>
    <t>https://www.metrocuadrado.com/inmueble/venta-casa-bogota-santander-sur-3-habitaciones-3-banos/4830-M4618939</t>
  </si>
  <si>
    <t>11589-M6577474</t>
  </si>
  <si>
    <t>https://www.metrocuadrado.com/inmueble/venta-casa-bogota-quinta-camacho-5-habitaciones-5-banos-4-garajes/11589-M6577474</t>
  </si>
  <si>
    <t>4887-M6157713</t>
  </si>
  <si>
    <t>https://www.metrocuadrado.com/inmueble/venta-casa-bogota-casa-blanca-3-habitaciones-4-banos-3-garajes/4887-M6157713</t>
  </si>
  <si>
    <t>17636-M5839122</t>
  </si>
  <si>
    <t>LA PATRIA</t>
  </si>
  <si>
    <t>https://www.metrocuadrado.com/inmueble/venta-casa-bogota-la-patria-5-habitaciones-5-banos-4-garajes/17636-M5839122</t>
  </si>
  <si>
    <t>16108-M6481205</t>
  </si>
  <si>
    <t>https://www.metrocuadrado.com/inmueble/venta-casa-bogota-santa-barbara-5-habitaciones-5-banos-3-garajes/16108-M6481205</t>
  </si>
  <si>
    <t>SUCRE</t>
  </si>
  <si>
    <t>3065-M4882988</t>
  </si>
  <si>
    <t>CJR EL CYPRESS</t>
  </si>
  <si>
    <t>https://www.metrocuadrado.com/inmueble/venta-casa-bogota-cjr-el-cypress-3-habitaciones-4-banos-2-garajes/3065-M4882988</t>
  </si>
  <si>
    <t>16634-M6497645</t>
  </si>
  <si>
    <t>https://www.metrocuadrado.com/inmueble/venta-casa-bogota-san-antonio-nor-occidental-3-habitaciones-3-banos-1-garajes/16634-M6497645</t>
  </si>
  <si>
    <t>16145-M5672956</t>
  </si>
  <si>
    <t>https://www.metrocuadrado.com/inmueble/venta-casa-bogota-las-villas-4-habitaciones-5-banos-2-garajes/16145-M5672956</t>
  </si>
  <si>
    <t>660-M4988595</t>
  </si>
  <si>
    <t>https://www.metrocuadrado.com/inmueble/venta-casa-bogota-cedro-bolivar-4-habitaciones-4-banos-2-garajes/660-M4988595</t>
  </si>
  <si>
    <t>4535-M5978639</t>
  </si>
  <si>
    <t>https://www.metrocuadrado.com/inmueble/venta-casa-bogota-casa-blanca-5-habitaciones-5-banos-4-garajes/4535-M5978639</t>
  </si>
  <si>
    <t>832-M6403561</t>
  </si>
  <si>
    <t>https://www.metrocuadrado.com/inmueble/venta-casa-bogota-santa-catalina-3-habitaciones-3-banos-2-garajes/832-M6403561</t>
  </si>
  <si>
    <t>14121-M4467946</t>
  </si>
  <si>
    <t>https://www.metrocuadrado.com/inmueble/venta-casa-bogota-casa-blanca-4-habitaciones-5-banos-2-garajes/14121-M4467946</t>
  </si>
  <si>
    <t>18378-M6496112</t>
  </si>
  <si>
    <t>GARCES NAVAS</t>
  </si>
  <si>
    <t>https://www.metrocuadrado.com/inmueble/venta-casa-bogota-garces-navas-4-habitaciones-3-banos-1-garajes/18378-M6496112</t>
  </si>
  <si>
    <t>14121-M5690358</t>
  </si>
  <si>
    <t>https://www.metrocuadrado.com/inmueble/venta-casa-bogota-normandia-4-habitaciones-5-banos-2-garajes/14121-M5690358</t>
  </si>
  <si>
    <t>MC6305420</t>
  </si>
  <si>
    <t>https://www.metrocuadrado.com/inmueble/venta-casa-bogota-barrancas-norte-5-habitaciones-4-banos/MC6305420</t>
  </si>
  <si>
    <t>MC6048474</t>
  </si>
  <si>
    <t>https://www.metrocuadrado.com/inmueble/venta-casa-bogota-cedro-bolivar-5-habitaciones-3-banos-2-garajes/MC6048474</t>
  </si>
  <si>
    <t>MC6587566</t>
  </si>
  <si>
    <t>https://www.metrocuadrado.com/inmueble/venta-casa-bogota-paris-5-habitaciones-5-banos-2-garajes/MC6587566</t>
  </si>
  <si>
    <t>MC6114176</t>
  </si>
  <si>
    <t>VILLA MAYOR</t>
  </si>
  <si>
    <t>https://www.metrocuadrado.com/inmueble/venta-casa-bogota-villa-mayor-4-habitaciones-4-banos-2-garajes/MC6114176</t>
  </si>
  <si>
    <t>2671-M5793376</t>
  </si>
  <si>
    <t>https://www.metrocuadrado.com/inmueble/venta-casa-bogota-cerros-de-suba-4-habitaciones-4-banos-2-garajes/2671-M5793376</t>
  </si>
  <si>
    <t>2671-M6114280</t>
  </si>
  <si>
    <t>https://www.metrocuadrado.com/inmueble/venta-casa-bogota-sotileza-3-habitaciones-4-banos-2-garajes/2671-M6114280</t>
  </si>
  <si>
    <t>2671-M6466604</t>
  </si>
  <si>
    <t>https://www.metrocuadrado.com/inmueble/venta-casa-bogota-cerros-de-suba-3-habitaciones-4-banos-2-garajes/2671-M6466604</t>
  </si>
  <si>
    <t>2671-M5793051</t>
  </si>
  <si>
    <t>LA ALHAMBRA</t>
  </si>
  <si>
    <t>https://www.metrocuadrado.com/inmueble/venta-casa-bogota-la-alhambra-3-habitaciones-5-banos-4-garajes/2671-M5793051</t>
  </si>
  <si>
    <t>2671-M5996863</t>
  </si>
  <si>
    <t>https://www.metrocuadrado.com/inmueble/venta-casa-bogota-pasadena-5-habitaciones-5-banos-4-garajes/2671-M5996863</t>
  </si>
  <si>
    <t>10307-M4532126</t>
  </si>
  <si>
    <t>https://www.metrocuadrado.com/inmueble/venta-casa-bogota-casa-blanca-4-habitaciones-5-banos-3-garajes/10307-M4532126</t>
  </si>
  <si>
    <t>21486-M6495170</t>
  </si>
  <si>
    <t>https://www.metrocuadrado.com/inmueble/venta-casa-bogota-jose-joaquin-vargas-5-habitaciones-4-banos-4-garajes/21486-M6495170</t>
  </si>
  <si>
    <t>14383-M6230775</t>
  </si>
  <si>
    <t>EL PALMAR</t>
  </si>
  <si>
    <t>https://www.metrocuadrado.com/inmueble/venta-casa-bogota-el-palmar-5-habitaciones-3-banos/14383-M6230775</t>
  </si>
  <si>
    <t>2671-M5794268</t>
  </si>
  <si>
    <t>https://www.metrocuadrado.com/inmueble/venta-casa-bogota-pasadena-4-habitaciones-5-banos-3-garajes/2671-M5794268</t>
  </si>
  <si>
    <t>2671-M5819849</t>
  </si>
  <si>
    <t>https://www.metrocuadrado.com/inmueble/venta-casa-bogota-pontevedra-5-habitaciones-5-banos-4-garajes/2671-M5819849</t>
  </si>
  <si>
    <t>21539-M6303834</t>
  </si>
  <si>
    <t>VILLA DEL MAR</t>
  </si>
  <si>
    <t>https://www.metrocuadrado.com/inmueble/venta-casa-bogota-villa-del-mar-4-habitaciones-4-banos-2-garajes/21539-M6303834</t>
  </si>
  <si>
    <t>2671-M6023854</t>
  </si>
  <si>
    <t>https://www.metrocuadrado.com/inmueble/venta-casa-bogota-cerros-de-niza-4-habitaciones-5-banos-3-garajes/2671-M6023854</t>
  </si>
  <si>
    <t>10967-M3681236</t>
  </si>
  <si>
    <t>https://www.metrocuadrado.com/inmueble/venta-casa-bogota-san-jose-de-bavaria-4-habitaciones-3-banos-2-garajes/10967-M3681236</t>
  </si>
  <si>
    <t>2671-M5999230</t>
  </si>
  <si>
    <t>https://www.metrocuadrado.com/inmueble/venta-casa-bogota-las-villas-4-habitaciones-3-banos-4-garajes/2671-M5999230</t>
  </si>
  <si>
    <t>2671-M6002345</t>
  </si>
  <si>
    <t>CALATRAVA</t>
  </si>
  <si>
    <t>https://www.metrocuadrado.com/inmueble/venta-casa-bogota-calatrava-3-habitaciones-3-banos-2-garajes/2671-M6002345</t>
  </si>
  <si>
    <t>836-M5826810</t>
  </si>
  <si>
    <t>LOS ANGELES</t>
  </si>
  <si>
    <t>https://www.metrocuadrado.com/inmueble/venta-casa-bogota-los-angeles-5-habitaciones-3-banos-1-garajes/836-M5826810</t>
  </si>
  <si>
    <t>10967-M5281783</t>
  </si>
  <si>
    <t>https://www.metrocuadrado.com/inmueble/venta-casa-bogota-san-jose-de-bavaria-4-habitaciones-5-banos-4-garajes/10967-M5281783</t>
  </si>
  <si>
    <t>2671-M5835634</t>
  </si>
  <si>
    <t>CONJUNTOS CERROS NORTE</t>
  </si>
  <si>
    <t>https://www.metrocuadrado.com/inmueble/venta-casa-bogota-conjuntos-cerros-norte-4-habitaciones-4-banos-4-garajes/2671-M5835634</t>
  </si>
  <si>
    <t>22562-M6579306</t>
  </si>
  <si>
    <t>https://www.metrocuadrado.com/inmueble/venta-casa-bogota-el-batan-4-habitaciones-4-banos-3-garajes/22562-M6579306</t>
  </si>
  <si>
    <t>2671-M6034750</t>
  </si>
  <si>
    <t>ILARCO</t>
  </si>
  <si>
    <t>https://www.metrocuadrado.com/inmueble/venta-casa-bogota-ilarco-3-habitaciones-4-banos-3-garajes/2671-M6034750</t>
  </si>
  <si>
    <t>19895-M5751586</t>
  </si>
  <si>
    <t>GUAYMARAL</t>
  </si>
  <si>
    <t>https://www.metrocuadrado.com/inmueble/venta-casa-bogota-guaymaral-3-habitaciones-3-banos-4-garajes/19895-M5751586</t>
  </si>
  <si>
    <t>290-M6312283</t>
  </si>
  <si>
    <t>AMERICAS OCCIDENTAL ET I</t>
  </si>
  <si>
    <t>https://www.metrocuadrado.com/inmueble/venta-casa-bogota-americas-occidental-et-i-3-habitaciones-2-banos-1-garajes/290-M6312283</t>
  </si>
  <si>
    <t>2671-M5992294</t>
  </si>
  <si>
    <t>https://www.metrocuadrado.com/inmueble/venta-casa-bogota-pontevedra-3-habitaciones-5-banos-2-garajes/2671-M5992294</t>
  </si>
  <si>
    <t>2671-M5840915</t>
  </si>
  <si>
    <t>https://www.metrocuadrado.com/inmueble/venta-casa-bogota-sotileza-4-habitaciones-5-banos-2-garajes/2671-M5840915</t>
  </si>
  <si>
    <t>15738-M5562564</t>
  </si>
  <si>
    <t>https://www.metrocuadrado.com/inmueble/venta-casa-bogota-bosque-izquierdo-5-habitaciones-4-banos-2-garajes/15738-M5562564</t>
  </si>
  <si>
    <t>14356-M5972702</t>
  </si>
  <si>
    <t>https://www.metrocuadrado.com/inmueble/venta-casa-bogota-pontevedra-4-habitaciones-3-banos-3-garajes/14356-M5972702</t>
  </si>
  <si>
    <t>15738-M4822662</t>
  </si>
  <si>
    <t>https://www.metrocuadrado.com/inmueble/venta-casa-bogota-cedritos-4-habitaciones-3-banos-3-garajes/15738-M4822662</t>
  </si>
  <si>
    <t>16996-M6554628</t>
  </si>
  <si>
    <t>LAS GUACAMAYAS</t>
  </si>
  <si>
    <t>https://www.metrocuadrado.com/inmueble/venta-casa-bogota-las-guacamayas-5-habitaciones-3-banos/16996-M6554628</t>
  </si>
  <si>
    <t>15738-M5562616</t>
  </si>
  <si>
    <t>https://www.metrocuadrado.com/inmueble/venta-casa-bogota-bosque-izquierdo-5-habitaciones-4-banos-2-garajes/15738-M5562616</t>
  </si>
  <si>
    <t>3065-M4886790</t>
  </si>
  <si>
    <t>https://www.metrocuadrado.com/inmueble/venta-casa-bogota-niza-suba-3-habitaciones-5-banos-2-garajes/3065-M4886790</t>
  </si>
  <si>
    <t>14356-M6002000</t>
  </si>
  <si>
    <t>CARIMAGUA</t>
  </si>
  <si>
    <t>https://www.metrocuadrado.com/inmueble/venta-casa-bogota-carimagua-5-habitaciones-5-banos/14356-M6002000</t>
  </si>
  <si>
    <t>19339-M5809609</t>
  </si>
  <si>
    <t>COUNTRY SUR</t>
  </si>
  <si>
    <t>https://www.metrocuadrado.com/inmueble/venta-casa-bogota-country-sur-4-habitaciones-2-banos-2-garajes/19339-M5809609</t>
  </si>
  <si>
    <t>16413-M5726246</t>
  </si>
  <si>
    <t>https://www.metrocuadrado.com/inmueble/venta-casa-bogota-san-jose-de-bavaria-5-habitaciones-5-banos-4-garajes/16413-M5726246</t>
  </si>
  <si>
    <t>15704-M5760684</t>
  </si>
  <si>
    <t>BARRANCAS</t>
  </si>
  <si>
    <t>https://www.metrocuadrado.com/inmueble/venta-casa-bogota-barrancas-4-habitaciones-5-banos/15704-M5760684</t>
  </si>
  <si>
    <t>660-M4694028</t>
  </si>
  <si>
    <t>TORREMOLINOS</t>
  </si>
  <si>
    <t>https://www.metrocuadrado.com/inmueble/venta-casa-bogota-torremolinos-4-habitaciones-2-banos-1-garajes/660-M4694028</t>
  </si>
  <si>
    <t>11203-M4849466</t>
  </si>
  <si>
    <t>TORCA</t>
  </si>
  <si>
    <t>https://www.metrocuadrado.com/inmueble/venta-casa-bogota-torca-3-habitaciones-5-banos-4-garajes/11203-M4849466</t>
  </si>
  <si>
    <t>156-M5074779</t>
  </si>
  <si>
    <t>LAS DOS AVENIDAS ET  II</t>
  </si>
  <si>
    <t>https://www.metrocuadrado.com/inmueble/venta-casa-bogota-las-dos-avenidas-et.-ii-3-habitaciones-3-banos-1-garajes/156-M5074779</t>
  </si>
  <si>
    <t>660-M4960947</t>
  </si>
  <si>
    <t>TABORA</t>
  </si>
  <si>
    <t>https://www.metrocuadrado.com/inmueble/venta-casa-bogota-tabora-5-habitaciones-4-banos-2-garajes/660-M4960947</t>
  </si>
  <si>
    <t>2564-M6228984</t>
  </si>
  <si>
    <t>https://www.metrocuadrado.com/inmueble/venta-casa-bogota-iberia-3-habitaciones-3-banos-2-garajes/2564-M6228984</t>
  </si>
  <si>
    <t>17268-M6498361</t>
  </si>
  <si>
    <t>CR BRISAS DE SOTAVENTO</t>
  </si>
  <si>
    <t>https://www.metrocuadrado.com/inmueble/venta-casa-bogota-cr-brisas-de-sotavento-3-habitaciones-2-banos-1-garajes/17268-M6498361</t>
  </si>
  <si>
    <t>14121-M3752017</t>
  </si>
  <si>
    <t>https://www.metrocuadrado.com/inmueble/venta-casa-bogota-niza-suba-4-habitaciones-5-banos-2-garajes/14121-M3752017</t>
  </si>
  <si>
    <t>14836-M6585146</t>
  </si>
  <si>
    <t>https://www.metrocuadrado.com/inmueble/venta-casa-bogota-los-cedritos-4-habitaciones-4-banos-2-garajes/14836-M6585146</t>
  </si>
  <si>
    <t>15942-M5256182</t>
  </si>
  <si>
    <t>https://www.metrocuadrado.com/inmueble/venta-casa-bogota-santa-barbara-central-3-habitaciones-4-banos-3-garajes/15942-M5256182</t>
  </si>
  <si>
    <t>14255-M6403149</t>
  </si>
  <si>
    <t>https://www.metrocuadrado.com/inmueble/venta-casa-bogota-lisboa-5-habitaciones-5-banos-1-garajes/14255-M6403149</t>
  </si>
  <si>
    <t>MC6285727</t>
  </si>
  <si>
    <t>MODELIA OCCIDENTAL</t>
  </si>
  <si>
    <t>https://www.metrocuadrado.com/inmueble/venta-casa-bogota-modelia-occidental-5-habitaciones-3-banos-2-garajes/MC6285727</t>
  </si>
  <si>
    <t>MC6352222</t>
  </si>
  <si>
    <t>https://www.metrocuadrado.com/inmueble/venta-casa-bogota-casa-blanca-suba-4-habitaciones-5-banos-2-garajes/MC6352222</t>
  </si>
  <si>
    <t>MC6413636</t>
  </si>
  <si>
    <t>https://www.metrocuadrado.com/inmueble/venta-casa-bogota-casa-blanca-4-habitaciones-5-banos-4-garajes/MC6413636</t>
  </si>
  <si>
    <t>MC6476576</t>
  </si>
  <si>
    <t>https://www.metrocuadrado.com/inmueble/venta-casa-bogota-santa-fe-5-habitaciones-5-banos/MC6476576</t>
  </si>
  <si>
    <t>20719-M6117182</t>
  </si>
  <si>
    <t>https://www.metrocuadrado.com/inmueble/venta-casa-bogota-viveros-3-habitaciones-3-banos-4-garajes/20719-M6117182</t>
  </si>
  <si>
    <t>2671-M6063701</t>
  </si>
  <si>
    <t>https://www.metrocuadrado.com/inmueble/venta-casa-bogota-las-villas-5-habitaciones-5-banos-4-garajes/2671-M6063701</t>
  </si>
  <si>
    <t>2266-M5649487</t>
  </si>
  <si>
    <t>https://www.metrocuadrado.com/inmueble/venta-casa-bogota-san-jose-de-bavaria-4-habitaciones-5-banos-4-garajes/2266-M5649487</t>
  </si>
  <si>
    <t>20706-M6371927</t>
  </si>
  <si>
    <t>EL PINO</t>
  </si>
  <si>
    <t>https://www.metrocuadrado.com/inmueble/venta-casa-bogota-el-pino-3-habitaciones-2-banos/20706-M6371927</t>
  </si>
  <si>
    <t>2671-M6046687</t>
  </si>
  <si>
    <t>https://www.metrocuadrado.com/inmueble/venta-casa-bogota-colina-campestre-5-habitaciones-4-banos-3-garajes/2671-M6046687</t>
  </si>
  <si>
    <t>5340-M3750664</t>
  </si>
  <si>
    <t>https://www.metrocuadrado.com/inmueble/venta-casa-bogota-santa-barbara-alta-3-habitaciones-3-banos-2-garajes/5340-M3750664</t>
  </si>
  <si>
    <t>TIERRA LINDA</t>
  </si>
  <si>
    <t>17565-M6309670</t>
  </si>
  <si>
    <t>LAS DELICIAS</t>
  </si>
  <si>
    <t>https://www.metrocuadrado.com/inmueble/venta-casa-bogota-las-delicias-4-habitaciones-4-banos-3-garajes/17565-M6309670</t>
  </si>
  <si>
    <t>20485-M6146912</t>
  </si>
  <si>
    <t>https://www.metrocuadrado.com/inmueble/venta-casa-bogota-casa-blanca-4-habitaciones-5-banos-4-garajes/20485-M6146912</t>
  </si>
  <si>
    <t>20728-M6489588</t>
  </si>
  <si>
    <t>https://www.metrocuadrado.com/inmueble/venta-casa-bogota-chico-navarra-3-habitaciones-5-banos-4-garajes/20728-M6489588</t>
  </si>
  <si>
    <t>836-M6013437</t>
  </si>
  <si>
    <t>VILLA CLAUDIA</t>
  </si>
  <si>
    <t>https://www.metrocuadrado.com/inmueble/venta-casa-bogota-villa-claudia-4-habitaciones-3-banos-1-garajes/836-M6013437</t>
  </si>
  <si>
    <t>2671-M6032711</t>
  </si>
  <si>
    <t>https://www.metrocuadrado.com/inmueble/venta-casa-bogota-rosales-4-habitaciones-5-banos-4-garajes/2671-M6032711</t>
  </si>
  <si>
    <t>2259-M6096427</t>
  </si>
  <si>
    <t>https://www.metrocuadrado.com/inmueble/venta-casa-bogota-britalia-3-habitaciones-3-banos-1-garajes/2259-M6096427</t>
  </si>
  <si>
    <t>2671-M5836946</t>
  </si>
  <si>
    <t>https://www.metrocuadrado.com/inmueble/venta-casa-bogota-puente-largo-4-habitaciones-3-banos-4-garajes/2671-M5836946</t>
  </si>
  <si>
    <t>22161-M6430960</t>
  </si>
  <si>
    <t>https://www.metrocuadrado.com/inmueble/venta-casa-bogota-santa-ana-occidental-3-habitaciones-5-banos-1-garajes/22161-M6430960</t>
  </si>
  <si>
    <t>2671-M5793029</t>
  </si>
  <si>
    <t>https://www.metrocuadrado.com/inmueble/venta-casa-bogota-niza-4-habitaciones-3-banos-4-garajes/2671-M5793029</t>
  </si>
  <si>
    <t>19678-M6046022</t>
  </si>
  <si>
    <t>CJR BOLIVIA RESERVADA MANZANA 3</t>
  </si>
  <si>
    <t>https://www.metrocuadrado.com/inmueble/venta-casa-bogota-cjr-bolivia-reservada-manzana-3-3-habitaciones-2-banos-1-garajes/19678-M6046022</t>
  </si>
  <si>
    <t>20706-M6111971</t>
  </si>
  <si>
    <t>HIPOTECHO ET  II</t>
  </si>
  <si>
    <t>https://www.metrocuadrado.com/inmueble/venta-casa-bogota-hipotecho-et.-ii-3-habitaciones-2-banos-1-garajes/20706-M6111971</t>
  </si>
  <si>
    <t>USME</t>
  </si>
  <si>
    <t>2671-M6308116</t>
  </si>
  <si>
    <t>https://www.metrocuadrado.com/inmueble/venta-casa-bogota-lisboa-3-habitaciones-4-banos-2-garajes/2671-M6308116</t>
  </si>
  <si>
    <t>3220-M4413082</t>
  </si>
  <si>
    <t>https://www.metrocuadrado.com/inmueble/venta-casa-bogota-santa-ana-oriental-5-habitaciones-4-banos-2-garajes/3220-M4413082</t>
  </si>
  <si>
    <t>2671-M6150841</t>
  </si>
  <si>
    <t>https://www.metrocuadrado.com/inmueble/venta-casa-bogota-colina-campestre-5-habitaciones-4-banos-2-garajes/2671-M6150841</t>
  </si>
  <si>
    <t>16577-M6316377</t>
  </si>
  <si>
    <t>https://www.metrocuadrado.com/inmueble/venta-casa-bogota-niza-norte-3-habitaciones-3-banos-3-garajes/16577-M6316377</t>
  </si>
  <si>
    <t>651-M6291671</t>
  </si>
  <si>
    <t>UB SANTA COLOMA</t>
  </si>
  <si>
    <t>https://www.metrocuadrado.com/inmueble/venta-casa-bogota-ub-santa-coloma-4-habitaciones-5-banos-2-garajes/651-M6291671</t>
  </si>
  <si>
    <t>16577-M6495567</t>
  </si>
  <si>
    <t>https://www.metrocuadrado.com/inmueble/venta-casa-bogota-la-calleja-3-habitaciones-4-banos-3-garajes/16577-M6495567</t>
  </si>
  <si>
    <t>17636-M6068770</t>
  </si>
  <si>
    <t>LA FRAGUITA</t>
  </si>
  <si>
    <t>https://www.metrocuadrado.com/inmueble/venta-casa-bogota-la-fraguita-5-habitaciones-5-banos-4-garajes/17636-M6068770</t>
  </si>
  <si>
    <t>16108-M6527314</t>
  </si>
  <si>
    <t>https://www.metrocuadrado.com/inmueble/venta-casa-bogota-cedritos-3-habitaciones-3-banos-1-garajes/16108-M6527314</t>
  </si>
  <si>
    <t>957-M6363884</t>
  </si>
  <si>
    <t>https://www.metrocuadrado.com/inmueble/venta-casa-bogota-cedritos-5-habitaciones-4-banos-2-garajes/957-M6363884</t>
  </si>
  <si>
    <t>15062-M6466789</t>
  </si>
  <si>
    <t>CASTILLA</t>
  </si>
  <si>
    <t>https://www.metrocuadrado.com/inmueble/venta-casa-bogota-castilla-4-habitaciones-2-banos-1-garajes/15062-M6466789</t>
  </si>
  <si>
    <t>4830-M5564768</t>
  </si>
  <si>
    <t>https://www.metrocuadrado.com/inmueble/venta-casa-bogota-florencia-5-habitaciones-5-banos-2-garajes/4830-M5564768</t>
  </si>
  <si>
    <t>15062-M6466863</t>
  </si>
  <si>
    <t>https://www.metrocuadrado.com/inmueble/venta-casa-bogota-castilla-4-habitaciones-3-banos-1-garajes/15062-M6466863</t>
  </si>
  <si>
    <t>12095-M6087149</t>
  </si>
  <si>
    <t>https://www.metrocuadrado.com/inmueble/venta-casa-bogota-casa-blanca-4-habitaciones-5-banos-3-garajes/12095-M6087149</t>
  </si>
  <si>
    <t>156-M5073076</t>
  </si>
  <si>
    <t>URD LAS NAVETAS II</t>
  </si>
  <si>
    <t>https://www.metrocuadrado.com/inmueble/venta-casa-bogota-urd-las-navetas-ii-4-habitaciones-3-banos-2-garajes/156-M5073076</t>
  </si>
  <si>
    <t>12633-M6116789</t>
  </si>
  <si>
    <t>VILLAS DE GRANADA</t>
  </si>
  <si>
    <t>https://www.metrocuadrado.com/inmueble/venta-casa-bogota-villas-de-granada-4-habitaciones-2-banos-1-garajes/12633-M6116789</t>
  </si>
  <si>
    <t>13845-M5802055</t>
  </si>
  <si>
    <t>RAFAEL URIBE</t>
  </si>
  <si>
    <t>https://www.metrocuadrado.com/inmueble/venta-casa-bogota-rafael-uribe-5-habitaciones-5-banos/13845-M5802055</t>
  </si>
  <si>
    <t>3858-M6481219</t>
  </si>
  <si>
    <t>https://www.metrocuadrado.com/inmueble/venta-casa-bogota-belmira-4-habitaciones-4-banos-2-garajes/3858-M6481219</t>
  </si>
  <si>
    <t>17000-M5042692</t>
  </si>
  <si>
    <t>https://www.metrocuadrado.com/inmueble/venta-casa-bogota-casa-blanca-4-habitaciones-5-banos-4-garajes/17000-M5042692</t>
  </si>
  <si>
    <t>17093-M5700858</t>
  </si>
  <si>
    <t>MANDALAY ET  II</t>
  </si>
  <si>
    <t>https://www.metrocuadrado.com/inmueble/venta-casa-bogota-mandalay-et.-ii-5-habitaciones-4-banos-4-garajes/17093-M5700858</t>
  </si>
  <si>
    <t>10145-M6580962</t>
  </si>
  <si>
    <t>CR BACATA RESERVADO</t>
  </si>
  <si>
    <t>https://www.metrocuadrado.com/inmueble/venta-casa-bogota-cr-bacata-reservado-3-habitaciones-3-banos-1-garajes/10145-M6580962</t>
  </si>
  <si>
    <t>17019-M5168112</t>
  </si>
  <si>
    <t>CAMPIN OCCIDENTAL</t>
  </si>
  <si>
    <t>https://www.metrocuadrado.com/inmueble/venta-casa-bogota-campin-occidental-5-habitaciones-5-banos-3-garajes/17019-M5168112</t>
  </si>
  <si>
    <t>MC5962449</t>
  </si>
  <si>
    <t>RESTREPO</t>
  </si>
  <si>
    <t>https://www.metrocuadrado.com/inmueble/venta-casa-bogota-restrepo-5-habitaciones-5-banos-1-garajes/MC5962449</t>
  </si>
  <si>
    <t>MC6569965</t>
  </si>
  <si>
    <t>https://www.metrocuadrado.com/inmueble/venta-casa-bogota-parque-popular-salitre-3-habitaciones-3-banos-2-garajes/MC6569965</t>
  </si>
  <si>
    <t>MC6399795</t>
  </si>
  <si>
    <t>https://www.metrocuadrado.com/inmueble/venta-casa-bogota-ciudad-jardin-norte-5-habitaciones-5-banos-1-garajes/MC6399795</t>
  </si>
  <si>
    <t>MC6256582</t>
  </si>
  <si>
    <t>https://www.metrocuadrado.com/inmueble/venta-casa-bogota-niza-suba-4-habitaciones-5-banos-4-garajes/MC6256582</t>
  </si>
  <si>
    <t>20706-M6331668</t>
  </si>
  <si>
    <t>https://www.metrocuadrado.com/inmueble/venta-casa-bogota-campo-alegre-3-habitaciones-1-banos/20706-M6331668</t>
  </si>
  <si>
    <t>3340-M4899217</t>
  </si>
  <si>
    <t>https://www.metrocuadrado.com/inmueble/venta-casa-bogota-niza-norte-3-habitaciones-4-banos-2-garajes/3340-M4899217</t>
  </si>
  <si>
    <t>17565-M5794682</t>
  </si>
  <si>
    <t>https://www.metrocuadrado.com/inmueble/venta-casa-bogota-cedritos-4-habitaciones-3-banos-2-garajes/17565-M5794682</t>
  </si>
  <si>
    <t>2266-M5377898</t>
  </si>
  <si>
    <t>https://www.metrocuadrado.com/inmueble/venta-casa-bogota-niza-4-habitaciones-5-banos-2-garajes/2266-M5377898</t>
  </si>
  <si>
    <t>3604-M3987224</t>
  </si>
  <si>
    <t>https://www.metrocuadrado.com/inmueble/venta-casa-bogota-casa-blanca-4-habitaciones-4-banos-3-garajes/3604-M3987224</t>
  </si>
  <si>
    <t>3604-M3987136</t>
  </si>
  <si>
    <t>https://www.metrocuadrado.com/inmueble/venta-casa-bogota-san-jose-de-bavaria-4-habitaciones-4-banos-3-garajes/3604-M3987136</t>
  </si>
  <si>
    <t>5044-3037970</t>
  </si>
  <si>
    <t>https://www.metrocuadrado.com/inmueble/venta-casa-bogota-usaquen-5-habitaciones-5-banos-4-garajes/5044-3037970</t>
  </si>
  <si>
    <t>5545-M5538444</t>
  </si>
  <si>
    <t>https://www.metrocuadrado.com/inmueble/venta-casa-bogota-estrella-del-norte-3-habitaciones-4-banos-2-garajes/5545-M5538444</t>
  </si>
  <si>
    <t>20728-M5977841</t>
  </si>
  <si>
    <t>https://www.metrocuadrado.com/inmueble/venta-casa-bogota-monaco-3-habitaciones-5-banos-4-garajes/20728-M5977841</t>
  </si>
  <si>
    <t>20839-M6031851</t>
  </si>
  <si>
    <t>https://www.metrocuadrado.com/inmueble/venta-casa-bogota-casa-blanca-3-habitaciones-5-banos-4-garajes/20839-M6031851</t>
  </si>
  <si>
    <t>20485-M6146991</t>
  </si>
  <si>
    <t>https://www.metrocuadrado.com/inmueble/venta-casa-bogota-casa-blanca-4-habitaciones-4-banos-4-garajes/20485-M6146991</t>
  </si>
  <si>
    <t>5031-M5974849</t>
  </si>
  <si>
    <t>https://www.metrocuadrado.com/inmueble/venta-casa-bogota-cedritos-5-habitaciones-3-banos-2-garajes/5031-M5974849</t>
  </si>
  <si>
    <t>17565-M5679600</t>
  </si>
  <si>
    <t>https://www.metrocuadrado.com/inmueble/venta-casa-bogota-cedritos-3-habitaciones-3-banos-1-garajes/17565-M5679600</t>
  </si>
  <si>
    <t>20234-M5792522</t>
  </si>
  <si>
    <t>GRATAMIRA</t>
  </si>
  <si>
    <t>https://www.metrocuadrado.com/inmueble/venta-casa-bogota-gratamira-4-habitaciones-4-banos-3-garajes/20234-M5792522</t>
  </si>
  <si>
    <t>21663-M6293431</t>
  </si>
  <si>
    <t>https://www.metrocuadrado.com/inmueble/venta-casa-bogota-chapinero-5-habitaciones-5-banos-2-garajes/21663-M6293431</t>
  </si>
  <si>
    <t>10967-M3278603</t>
  </si>
  <si>
    <t>https://www.metrocuadrado.com/inmueble/venta-casa-bogota-san-jose-de-bavaria-4-habitaciones-5-banos-4-garajes/10967-M3278603</t>
  </si>
  <si>
    <t>5031-M5596512</t>
  </si>
  <si>
    <t>https://www.metrocuadrado.com/inmueble/venta-casa-bogota-cedritos-4-habitaciones-3-banos-2-garajes/5031-M5596512</t>
  </si>
  <si>
    <t>290-M6016862</t>
  </si>
  <si>
    <t>https://www.metrocuadrado.com/inmueble/venta-casa-bogota-bosa-5-habitaciones-4-banos-1-garajes/290-M6016862</t>
  </si>
  <si>
    <t>2671-M5793054</t>
  </si>
  <si>
    <t>https://www.metrocuadrado.com/inmueble/venta-casa-bogota-cerros-de-suba-3-habitaciones-4-banos-3-garajes/2671-M5793054</t>
  </si>
  <si>
    <t>5044-M6162767</t>
  </si>
  <si>
    <t>https://www.metrocuadrado.com/inmueble/venta-casa-bogota-niza-suba-4-habitaciones-4-banos-4-garajes/5044-M6162767</t>
  </si>
  <si>
    <t>20847-M6584803</t>
  </si>
  <si>
    <t>https://www.metrocuadrado.com/inmueble/venta-casa-bogota-cr-bacata-reservado-3-habitaciones-3-banos-1-garajes/20847-M6584803</t>
  </si>
  <si>
    <t>3395-M5008848</t>
  </si>
  <si>
    <t>CJR LA ARBORADA DE SAN JOSE</t>
  </si>
  <si>
    <t>https://www.metrocuadrado.com/inmueble/venta-casa-bogota-cjr-la-arborada-de-san-jose-4-habitaciones-5-banos-4-garajes/3395-M5008848</t>
  </si>
  <si>
    <t>16819-M6577593</t>
  </si>
  <si>
    <t>https://www.metrocuadrado.com/inmueble/venta-casa-bogota-modelia-4-habitaciones-3-banos-2-garajes/16819-M6577593</t>
  </si>
  <si>
    <t>3395-M5304177</t>
  </si>
  <si>
    <t>https://www.metrocuadrado.com/inmueble/venta-casa-bogota-san-jose-de-bavaria-4-habitaciones-5-banos-4-garajes/3395-M5304177</t>
  </si>
  <si>
    <t>3065-M6472787</t>
  </si>
  <si>
    <t>https://www.metrocuadrado.com/inmueble/venta-casa-bogota-5-habitaciones-5-banos/3065-M6472787</t>
  </si>
  <si>
    <t>15062-M6583731</t>
  </si>
  <si>
    <t>https://www.metrocuadrado.com/inmueble/venta-casa-bogota-castilla-4-habitaciones-1-banos-1-garajes/15062-M6583731</t>
  </si>
  <si>
    <t>3395-M5957619</t>
  </si>
  <si>
    <t>https://www.metrocuadrado.com/inmueble/venta-casa-bogota-ciudad-jardin-norte-3-habitaciones-4-banos-4-garajes/3395-M5957619</t>
  </si>
  <si>
    <t>15062-M6583876</t>
  </si>
  <si>
    <t>BARRIO CUIDAD JARDIN NORTE</t>
  </si>
  <si>
    <t>https://www.metrocuadrado.com/inmueble/venta-casa-bogota-barrio-cuidad-jardin-norte-4-habitaciones-3-banos-2-garajes/15062-M6583876</t>
  </si>
  <si>
    <t>14984-M6311060</t>
  </si>
  <si>
    <t>https://www.metrocuadrado.com/inmueble/venta-casa-bogota-potosi-4-habitaciones-3-banos-2-garajes/14984-M6311060</t>
  </si>
  <si>
    <t>14033-M5570268</t>
  </si>
  <si>
    <t>https://www.metrocuadrado.com/inmueble/venta-casa-bogota-san-jose-de-bavaria-4-habitaciones-3-banos-4-garajes/14033-M5570268</t>
  </si>
  <si>
    <t>11589-M6382680</t>
  </si>
  <si>
    <t>EL ESPARTILLAL</t>
  </si>
  <si>
    <t>https://www.metrocuadrado.com/inmueble/venta-casa-bogota-el-espartillal-5-habitaciones-4-banos-2-garajes/11589-M6382680</t>
  </si>
  <si>
    <t>3858-M6397949</t>
  </si>
  <si>
    <t>https://www.metrocuadrado.com/inmueble/venta-casa-bogota-santa-barbara-oriental-5-habitaciones-5-banos-4-garajes/3858-M6397949</t>
  </si>
  <si>
    <t>3858-M6318952</t>
  </si>
  <si>
    <t>https://www.metrocuadrado.com/inmueble/venta-casa-bogota-santa-barbara-oriental-5-habitaciones-5-banos-4-garajes/3858-M6318952</t>
  </si>
  <si>
    <t>4535-M6013182</t>
  </si>
  <si>
    <t>https://www.metrocuadrado.com/inmueble/venta-casa-bogota-niza-suba-3-habitaciones-4-banos-2-garajes/4535-M6013182</t>
  </si>
  <si>
    <t>3858-M5755797</t>
  </si>
  <si>
    <t>NORTE LAGOS DE TORCA</t>
  </si>
  <si>
    <t>https://www.metrocuadrado.com/inmueble/venta-casa-bogota-norte-lagos-de-torca-4-habitaciones-5-banos-4-garajes/3858-M5755797</t>
  </si>
  <si>
    <t>16547-M6143749</t>
  </si>
  <si>
    <t>LOS CEREZOS</t>
  </si>
  <si>
    <t>https://www.metrocuadrado.com/inmueble/venta-casa-bogota-los-cerezos-5-habitaciones-4-banos/16547-M6143749</t>
  </si>
  <si>
    <t>14255-M6161003</t>
  </si>
  <si>
    <t>https://www.metrocuadrado.com/inmueble/venta-casa-bogota-niza-norte-4-habitaciones-4-banos-2-garajes/14255-M6161003</t>
  </si>
  <si>
    <t>17019-M5586152</t>
  </si>
  <si>
    <t>https://www.metrocuadrado.com/inmueble/venta-casa-bogota-san-jose-de-bavaria-5-habitaciones-5-banos-2-garajes/17019-M5586152</t>
  </si>
  <si>
    <t>2453-M4533395</t>
  </si>
  <si>
    <t>BOSQUES DE MARIANA</t>
  </si>
  <si>
    <t>https://www.metrocuadrado.com/inmueble/venta-casa-bogota-bosques-de-mariana-5-habitaciones-4-banos-2-garajes/2453-M4533395</t>
  </si>
  <si>
    <t>17245-M6011541</t>
  </si>
  <si>
    <t>https://www.metrocuadrado.com/inmueble/venta-casa-bogota-bosque-de-pinos-4-habitaciones-4-banos-3-garajes/17245-M6011541</t>
  </si>
  <si>
    <t>MC6538835</t>
  </si>
  <si>
    <t>https://www.metrocuadrado.com/inmueble/venta-casa-bogota-tibabuyes-5-habitaciones-4-banos-1-garajes/MC6538835</t>
  </si>
  <si>
    <t>MC6432914</t>
  </si>
  <si>
    <t>https://www.metrocuadrado.com/inmueble/venta-casa-bogota-campo-alegre-4-habitaciones-2-banos-1-garajes/MC6432914</t>
  </si>
  <si>
    <t>MC6495809</t>
  </si>
  <si>
    <t>POLO CLUB</t>
  </si>
  <si>
    <t>https://www.metrocuadrado.com/inmueble/venta-casa-bogota-polo-club-5-habitaciones-4-banos-2-garajes/MC6495809</t>
  </si>
  <si>
    <t>MC5379922</t>
  </si>
  <si>
    <t>CJR BACATA RESERVADO</t>
  </si>
  <si>
    <t>https://www.metrocuadrado.com/inmueble/venta-casa-bogota-cjr-bacata-reservado-3-habitaciones-3-banos-2-garajes/MC5379922</t>
  </si>
  <si>
    <t>10967-M3271873</t>
  </si>
  <si>
    <t>https://www.metrocuadrado.com/inmueble/venta-casa-bogota-san-jose-de-bavaria-5-habitaciones-5-banos-4-garajes/10967-M3271873</t>
  </si>
  <si>
    <t>5031-M6321082</t>
  </si>
  <si>
    <t>https://www.metrocuadrado.com/inmueble/venta-casa-bogota-cedritos-3-habitaciones-3-banos-2-garajes/5031-M6321082</t>
  </si>
  <si>
    <t>771-M5273293</t>
  </si>
  <si>
    <t>https://www.metrocuadrado.com/inmueble/venta-casa-bogota-casa-blanca-4-habitaciones-5-banos-4-garajes/771-M5273293</t>
  </si>
  <si>
    <t>20264-M6498832</t>
  </si>
  <si>
    <t>LA FLORESTA</t>
  </si>
  <si>
    <t>https://www.metrocuadrado.com/inmueble/venta-casa-bogota-la-floresta-4-habitaciones-3-banos-2-garajes/20264-M6498832</t>
  </si>
  <si>
    <t>21884-M6376662</t>
  </si>
  <si>
    <t>https://www.metrocuadrado.com/inmueble/venta-casa-bogota-monaco-4-habitaciones-3-banos-2-garajes/21884-M6376662</t>
  </si>
  <si>
    <t>771-M5273142</t>
  </si>
  <si>
    <t>GRATAMIRA ALTA</t>
  </si>
  <si>
    <t>https://www.metrocuadrado.com/inmueble/venta-casa-bogota-gratamira-alta-4-habitaciones-4-banos-3-garajes/771-M5273142</t>
  </si>
  <si>
    <t>17565-M5253717</t>
  </si>
  <si>
    <t>CR GRATAMIRA CAMPESTRE</t>
  </si>
  <si>
    <t>https://www.metrocuadrado.com/inmueble/venta-casa-bogota-cr-gratamira-campestre-4-habitaciones-4-banos-2-garajes/17565-M5253717</t>
  </si>
  <si>
    <t>11204-M6396367</t>
  </si>
  <si>
    <t>https://www.metrocuadrado.com/inmueble/venta-casa-bogota-san-jose-de-bavaria-4-habitaciones-4-banos-3-garajes/11204-M6396367</t>
  </si>
  <si>
    <t>771-M5273229</t>
  </si>
  <si>
    <t>https://www.metrocuadrado.com/inmueble/venta-casa-bogota-ub.-bosques-de-medina-4-habitaciones-3-banos-3-garajes/771-M5273229</t>
  </si>
  <si>
    <t>20197-M6495437</t>
  </si>
  <si>
    <t>https://www.metrocuadrado.com/inmueble/venta-casa-bogota-casa-blanca-3-habitaciones-4-banos-2-garajes/20197-M6495437</t>
  </si>
  <si>
    <t>17565-M5736145</t>
  </si>
  <si>
    <t>JARDIN BOTANICO</t>
  </si>
  <si>
    <t>https://www.metrocuadrado.com/inmueble/venta-casa-bogota-jardin-botanico-5-habitaciones-4-banos-2-garajes/17565-M5736145</t>
  </si>
  <si>
    <t>3774-M6403454</t>
  </si>
  <si>
    <t>https://www.metrocuadrado.com/inmueble/venta-casa-bogota-quinta-camacho-5-habitaciones-3-banos-2-garajes/3774-M6403454</t>
  </si>
  <si>
    <t>11079-M4558178</t>
  </si>
  <si>
    <t>https://www.metrocuadrado.com/inmueble/venta-casa-bogota-niza-suba-5-habitaciones-5-banos-4-garajes/11079-M4558178</t>
  </si>
  <si>
    <t>897-M6586074</t>
  </si>
  <si>
    <t>https://www.metrocuadrado.com/inmueble/venta-casa-bogota-guaymaral-4-habitaciones-5-banos-2-garajes/897-M6586074</t>
  </si>
  <si>
    <t>17285-M5944607</t>
  </si>
  <si>
    <t>https://www.metrocuadrado.com/inmueble/venta-casa-bogota-guaymaral-4-habitaciones-5-banos-4-garajes/17285-M5944607</t>
  </si>
  <si>
    <t>920-M6308727</t>
  </si>
  <si>
    <t>CIUDAD SALITRE NORORIENTAL</t>
  </si>
  <si>
    <t>https://www.metrocuadrado.com/inmueble/venta-casa-bogota-ciudad-salitre-nororiental-4-habitaciones-3-banos-1-garajes/920-M6308727</t>
  </si>
  <si>
    <t>10967-M3346967</t>
  </si>
  <si>
    <t>https://www.metrocuadrado.com/inmueble/venta-casa-bogota-san-jose-de-bavaria-5-habitaciones-5-banos-4-garajes/10967-M3346967</t>
  </si>
  <si>
    <t>3220-M4400642</t>
  </si>
  <si>
    <t>https://www.metrocuadrado.com/inmueble/venta-casa-bogota-santa-ana-oriental-4-habitaciones-5-banos-4-garajes/3220-M4400642</t>
  </si>
  <si>
    <t>12673-M6304386</t>
  </si>
  <si>
    <t>https://www.metrocuadrado.com/inmueble/venta-casa-bogota-casa-blanca-4-habitaciones-5-banos-4-garajes/12673-M6304386</t>
  </si>
  <si>
    <t>4830-M3278639</t>
  </si>
  <si>
    <t>https://www.metrocuadrado.com/inmueble/venta-casa-bogota-cedritos-5-habitaciones-3-banos-4-garajes/4830-M3278639</t>
  </si>
  <si>
    <t>11964-M4861817</t>
  </si>
  <si>
    <t>https://www.metrocuadrado.com/inmueble/venta-casa-bogota-cerros-de-suba-4-habitaciones-3-banos-4-garajes/11964-M4861817</t>
  </si>
  <si>
    <t>17144-M6573867</t>
  </si>
  <si>
    <t>https://www.metrocuadrado.com/inmueble/venta-casa-bogota-monaco-5-habitaciones-3-banos-4-garajes/17144-M6573867</t>
  </si>
  <si>
    <t>19476-M6584097</t>
  </si>
  <si>
    <t>AUTOPISTA MUZU</t>
  </si>
  <si>
    <t>https://www.metrocuadrado.com/inmueble/venta-casa-bogota-autopista-muzu-5-habitaciones-2-banos-1-garajes/19476-M6584097</t>
  </si>
  <si>
    <t>17166-M6404350</t>
  </si>
  <si>
    <t>LA ESMERALDA</t>
  </si>
  <si>
    <t>https://www.metrocuadrado.com/inmueble/venta-casa-bogota-la-esmeralda-3-habitaciones-3-banos-2-garajes/17166-M6404350</t>
  </si>
  <si>
    <t>2147-M6195997</t>
  </si>
  <si>
    <t>https://www.metrocuadrado.com/inmueble/venta-casa-bogota-guaymaral-3-habitaciones-5-banos-4-garajes/2147-M6195997</t>
  </si>
  <si>
    <t>3395-M3181063</t>
  </si>
  <si>
    <t>https://www.metrocuadrado.com/inmueble/venta-casa-bogota-san-jose-de-bavaria-3-habitaciones-3-banos-4-garajes/3395-M3181063</t>
  </si>
  <si>
    <t>13694-M4149884</t>
  </si>
  <si>
    <t>LA PRADERA</t>
  </si>
  <si>
    <t>https://www.metrocuadrado.com/inmueble/venta-casa-bogota-la-pradera-5-habitaciones-5-banos-2-garajes/13694-M4149884</t>
  </si>
  <si>
    <t>2571-M5019015</t>
  </si>
  <si>
    <t>https://www.metrocuadrado.com/inmueble/venta-casa-bogota-el-batan-5-habitaciones-3-banos-3-garajes/2571-M5019015</t>
  </si>
  <si>
    <t>18948-M5567647</t>
  </si>
  <si>
    <t>https://www.metrocuadrado.com/inmueble/venta-casa-bogota-a.s.d.-3-habitaciones-4-banos-3-garajes/18948-M5567647</t>
  </si>
  <si>
    <t>156-M6035314</t>
  </si>
  <si>
    <t>https://www.metrocuadrado.com/inmueble/venta-casa-bogota-santa-rosa-4-habitaciones-2-banos/156-M6035314</t>
  </si>
  <si>
    <t>156-M2087204</t>
  </si>
  <si>
    <t>https://www.metrocuadrado.com/inmueble/venta-casa-bogota-villa-elisa-5-habitaciones-5-banos-1-garajes/156-M2087204</t>
  </si>
  <si>
    <t>2571-M6403379</t>
  </si>
  <si>
    <t>LA ALMERIA</t>
  </si>
  <si>
    <t>https://www.metrocuadrado.com/inmueble/venta-casa-bogota-la-almeria-3-habitaciones-1-banos-1-garajes/2571-M6403379</t>
  </si>
  <si>
    <t>12033-M5264854</t>
  </si>
  <si>
    <t>https://www.metrocuadrado.com/inmueble/venta-casa-bogota-puente-largo-3-habitaciones-2-banos-2-garajes/12033-M5264854</t>
  </si>
  <si>
    <t>16933-M6309613</t>
  </si>
  <si>
    <t>https://www.metrocuadrado.com/inmueble/venta-casa-bogota-san-jose-de-bavaria-4-habitaciones-3-banos-2-garajes/16933-M6309613</t>
  </si>
  <si>
    <t>13757-M6089798</t>
  </si>
  <si>
    <t>https://www.metrocuadrado.com/inmueble/venta-casa-bogota-los-cerezos-5-habitaciones-3-banos-2-garajes/13757-M6089798</t>
  </si>
  <si>
    <t>MC5954419</t>
  </si>
  <si>
    <t>https://www.metrocuadrado.com/inmueble/venta-casa-bogota-monaco-4-habitaciones-3-banos-2-garajes/MC5954419</t>
  </si>
  <si>
    <t>MC6562003</t>
  </si>
  <si>
    <t>https://www.metrocuadrado.com/inmueble/venta-casa-bogota-polo-club-5-habitaciones-4-banos-2-garajes/MC6562003</t>
  </si>
  <si>
    <t>MC6582775</t>
  </si>
  <si>
    <t>https://www.metrocuadrado.com/inmueble/venta-casa-bogota-cedro-narvaez-4-habitaciones-4-banos-2-garajes/MC6582775</t>
  </si>
  <si>
    <t>MC6418827</t>
  </si>
  <si>
    <t>UB  CASTILLA</t>
  </si>
  <si>
    <t>https://www.metrocuadrado.com/inmueble/venta-casa-bogota-ub.-castilla-5-habitaciones-3-banos-3-garajes/MC6418827</t>
  </si>
  <si>
    <t>771-M5759481</t>
  </si>
  <si>
    <t>https://www.metrocuadrado.com/inmueble/venta-casa-bogota-la-calleja-3-habitaciones-3-banos-2-garajes/771-M5759481</t>
  </si>
  <si>
    <t>20234-M6114949</t>
  </si>
  <si>
    <t>https://www.metrocuadrado.com/inmueble/venta-casa-bogota-niza-suba-4-habitaciones-4-banos-2-garajes/20234-M6114949</t>
  </si>
  <si>
    <t>20026-M6003194</t>
  </si>
  <si>
    <t>https://www.metrocuadrado.com/inmueble/venta-casa-bogota-niza-4-habitaciones-3-banos-3-garajes/20026-M6003194</t>
  </si>
  <si>
    <t>20451-M6468477</t>
  </si>
  <si>
    <t>https://www.metrocuadrado.com/inmueble/venta-casa-bogota-cedritos-3-habitaciones-2-banos-2-garajes/20451-M6468477</t>
  </si>
  <si>
    <t>14-M3905345</t>
  </si>
  <si>
    <t>CENTRO</t>
  </si>
  <si>
    <t>https://www.metrocuadrado.com/inmueble/venta-casa-bogota-centro-5-habitaciones-4-banos-1-garajes/14-M3905345</t>
  </si>
  <si>
    <t>19895-M5751583</t>
  </si>
  <si>
    <t>https://www.metrocuadrado.com/inmueble/venta-casa-bogota-la-alhambra-4-habitaciones-5-banos-3-garajes/19895-M5751583</t>
  </si>
  <si>
    <t>5044-M5837095</t>
  </si>
  <si>
    <t>https://www.metrocuadrado.com/inmueble/venta-casa-bogota-cedro-narvaez-3-habitaciones-4-banos-2-garajes/5044-M5837095</t>
  </si>
  <si>
    <t>771-M5273146</t>
  </si>
  <si>
    <t>https://www.metrocuadrado.com/inmueble/venta-casa-bogota-niza-5-habitaciones-5-banos-4-garajes/771-M5273146</t>
  </si>
  <si>
    <t>21628-M6470793</t>
  </si>
  <si>
    <t>ROMA</t>
  </si>
  <si>
    <t>https://www.metrocuadrado.com/inmueble/venta-casa-bogota-roma-5-habitaciones-3-banos-1-garajes/21628-M6470793</t>
  </si>
  <si>
    <t>20451-M6348763</t>
  </si>
  <si>
    <t>https://www.metrocuadrado.com/inmueble/venta-casa-bogota-cedritos-4-habitaciones-3-banos-3-garajes/20451-M6348763</t>
  </si>
  <si>
    <t>10967-M5069322</t>
  </si>
  <si>
    <t>https://www.metrocuadrado.com/inmueble/venta-casa-bogota-avenida-cundinamarca-4-habitaciones-3-banos-2-garajes/10967-M5069322</t>
  </si>
  <si>
    <t>21432-M6525630</t>
  </si>
  <si>
    <t>https://www.metrocuadrado.com/inmueble/venta-casa-bogota-modelia-5-habitaciones-5-banos-3-garajes/21432-M6525630</t>
  </si>
  <si>
    <t>20205-M6026317</t>
  </si>
  <si>
    <t>BOSA CENTRO</t>
  </si>
  <si>
    <t>https://www.metrocuadrado.com/inmueble/venta-casa-bogota-bosa-centro-5-habitaciones-5-banos-1-garajes/20205-M6026317</t>
  </si>
  <si>
    <t>11079-M5774303</t>
  </si>
  <si>
    <t>https://www.metrocuadrado.com/inmueble/venta-casa-bogota-santa-barbara-alta-3-habitaciones-3-banos-3-garajes/11079-M5774303</t>
  </si>
  <si>
    <t>20690-M6018051</t>
  </si>
  <si>
    <t>https://www.metrocuadrado.com/inmueble/venta-casa-bogota-bosque-de-pinos-3-habitaciones-4-banos-3-garajes/20690-M6018051</t>
  </si>
  <si>
    <t>20205-M5807371</t>
  </si>
  <si>
    <t>https://www.metrocuadrado.com/inmueble/venta-casa-bogota-quinta-paredes-5-habitaciones-5-banos-2-garajes/20205-M5807371</t>
  </si>
  <si>
    <t>5031-M5474829</t>
  </si>
  <si>
    <t>https://www.metrocuadrado.com/inmueble/venta-casa-bogota-pasadena-5-habitaciones-3-banos-1-garajes/5031-M5474829</t>
  </si>
  <si>
    <t>17565-M5620636</t>
  </si>
  <si>
    <t>https://www.metrocuadrado.com/inmueble/venta-casa-bogota-san-luis-5-habitaciones-2-banos/17565-M5620636</t>
  </si>
  <si>
    <t>2832-M2032634</t>
  </si>
  <si>
    <t>https://www.metrocuadrado.com/inmueble/venta-casa-bogota-prado-veraniego-norte-4-habitaciones-5-banos-4-garajes/2832-M2032634</t>
  </si>
  <si>
    <t>17091-M5449154</t>
  </si>
  <si>
    <t>KASANDRA</t>
  </si>
  <si>
    <t>https://www.metrocuadrado.com/inmueble/venta-casa-bogota-kasandra-5-habitaciones-3-banos-1-garajes/17091-M5449154</t>
  </si>
  <si>
    <t>16437-M6102706</t>
  </si>
  <si>
    <t>https://www.metrocuadrado.com/inmueble/venta-casa-bogota-la-colina-campestre-5-habitaciones-5-banos-2-garajes/16437-M6102706</t>
  </si>
  <si>
    <t>2147-M4613324</t>
  </si>
  <si>
    <t>https://www.metrocuadrado.com/inmueble/venta-casa-bogota-guaymaral-5-habitaciones-5-banos-4-garajes/2147-M4613324</t>
  </si>
  <si>
    <t>3065-M6473464</t>
  </si>
  <si>
    <t>LA FLORIDA</t>
  </si>
  <si>
    <t>https://www.metrocuadrado.com/inmueble/venta-casa-bogota-la-florida-5-habitaciones-5-banos/3065-M6473464</t>
  </si>
  <si>
    <t>14896-M4185249</t>
  </si>
  <si>
    <t>https://www.metrocuadrado.com/inmueble/venta-casa-bogota-las-villas-5-habitaciones-5-banos-4-garajes/14896-M4185249</t>
  </si>
  <si>
    <t>4830-M5822577</t>
  </si>
  <si>
    <t>SUBA URBANO</t>
  </si>
  <si>
    <t>https://www.metrocuadrado.com/inmueble/venta-casa-bogota-suba-urbano-3-habitaciones-5-banos-3-garajes/4830-M5822577</t>
  </si>
  <si>
    <t>2147-M4081242</t>
  </si>
  <si>
    <t>https://www.metrocuadrado.com/inmueble/venta-casa-bogota-la-uribe-3-habitaciones-3-banos-1-garajes/2147-M4081242</t>
  </si>
  <si>
    <t>2147-M5047651</t>
  </si>
  <si>
    <t>https://www.metrocuadrado.com/inmueble/venta-casa-bogota-guaymaral-5-habitaciones-5-banos-4-garajes/2147-M5047651</t>
  </si>
  <si>
    <t>755-M6577301</t>
  </si>
  <si>
    <t>MALLORCA</t>
  </si>
  <si>
    <t>https://www.metrocuadrado.com/inmueble/venta-casa-bogota-mallorca-4-habitaciones-3-banos-2-garajes/755-M6577301</t>
  </si>
  <si>
    <t>18948-M5566146</t>
  </si>
  <si>
    <t>https://www.metrocuadrado.com/inmueble/venta-casa-bogota-casa-blanca-4-habitaciones-5-banos-4-garajes/18948-M5566146</t>
  </si>
  <si>
    <t>18948-M6015265</t>
  </si>
  <si>
    <t>https://www.metrocuadrado.com/inmueble/venta-casa-bogota-la-carolina-4-habitaciones-4-banos-2-garajes/18948-M6015265</t>
  </si>
  <si>
    <t>2162-M5561422</t>
  </si>
  <si>
    <t>https://www.metrocuadrado.com/inmueble/venta-casa-bogota-monaco-5-habitaciones-5-banos-4-garajes/2162-M5561422</t>
  </si>
  <si>
    <t>16145-M5026491</t>
  </si>
  <si>
    <t>https://www.metrocuadrado.com/inmueble/venta-casa-bogota-polo-club-4-habitaciones-2-banos-4-garajes/16145-M5026491</t>
  </si>
  <si>
    <t>15942-M4604229</t>
  </si>
  <si>
    <t>https://www.metrocuadrado.com/inmueble/venta-casa-bogota-suba-naranjos-4-habitaciones-5-banos-4-garajes/15942-M4604229</t>
  </si>
  <si>
    <t>12364-M5778577</t>
  </si>
  <si>
    <t>https://www.metrocuadrado.com/inmueble/venta-casa-bogota-sotileza-4-habitaciones-3-banos-3-garajes/12364-M5778577</t>
  </si>
  <si>
    <t>11369-M6492166</t>
  </si>
  <si>
    <t>https://www.metrocuadrado.com/inmueble/venta-casa-bogota-cedro-salazar-3-habitaciones-3-banos-1-garajes/11369-M6492166</t>
  </si>
  <si>
    <t>12364-M6301746</t>
  </si>
  <si>
    <t>https://www.metrocuadrado.com/inmueble/venta-casa-bogota-bosque-medina-3-habitaciones-3-banos-2-garajes/12364-M6301746</t>
  </si>
  <si>
    <t>3438-M3250823</t>
  </si>
  <si>
    <t>https://www.metrocuadrado.com/inmueble/venta-casa-bogota-quesada-5-habitaciones-3-banos-1-garajes/3438-M3250823</t>
  </si>
  <si>
    <t>MC6396972</t>
  </si>
  <si>
    <t>SANTA MARIA</t>
  </si>
  <si>
    <t>https://www.metrocuadrado.com/inmueble/venta-casa-bogota-santa-maria-5-habitaciones-5-banos/MC6396972</t>
  </si>
  <si>
    <t>MC6396973</t>
  </si>
  <si>
    <t>LAS FERIAS</t>
  </si>
  <si>
    <t>https://www.metrocuadrado.com/inmueble/venta-casa-bogota-las-ferias-5-habitaciones-4-banos/MC6396973</t>
  </si>
  <si>
    <t>MC6413092</t>
  </si>
  <si>
    <t>MARCO FIDEL SUAREZ NO  1</t>
  </si>
  <si>
    <t>https://www.metrocuadrado.com/inmueble/venta-casa-bogota-marco-fidel-suarez-no.-1-5-habitaciones-4-banos/MC6413092</t>
  </si>
  <si>
    <t>MC6425333</t>
  </si>
  <si>
    <t>https://www.metrocuadrado.com/inmueble/venta-casa-bogota-prados-de-la-calleja-4-habitaciones-3-banos-2-garajes/MC6425333</t>
  </si>
  <si>
    <t>5031-M5474844</t>
  </si>
  <si>
    <t>SAN CRISTOBAL SUR</t>
  </si>
  <si>
    <t>https://www.metrocuadrado.com/inmueble/venta-casa-bogota-san-cristobal-sur-5-habitaciones-4-banos-2-garajes/5031-M5474844</t>
  </si>
  <si>
    <t>478-M5815114</t>
  </si>
  <si>
    <t>https://www.metrocuadrado.com/inmueble/venta-casa-bogota-la-calleja-5-habitaciones-5-banos-2-garajes/478-M5815114</t>
  </si>
  <si>
    <t>17565-M5194748</t>
  </si>
  <si>
    <t>https://www.metrocuadrado.com/inmueble/venta-casa-bogota-casa-blanca-suba-4-habitaciones-4-banos-3-garajes/17565-M5194748</t>
  </si>
  <si>
    <t>17565-M6396428</t>
  </si>
  <si>
    <t>LAS MARGRITAS NORTE</t>
  </si>
  <si>
    <t>https://www.metrocuadrado.com/inmueble/venta-casa-bogota-las-margritas-norte-4-habitaciones-5-banos-4-garajes/17565-M6396428</t>
  </si>
  <si>
    <t>20447-M5844763</t>
  </si>
  <si>
    <t>https://www.metrocuadrado.com/inmueble/venta-casa-bogota-monaco-5-habitaciones-4-banos-2-garajes/20447-M5844763</t>
  </si>
  <si>
    <t>5031-M5475052</t>
  </si>
  <si>
    <t>BOSQUES DE PINO</t>
  </si>
  <si>
    <t>https://www.metrocuadrado.com/inmueble/venta-casa-bogota-bosques-de-pino-4-habitaciones-5-banos-4-garajes/5031-M5475052</t>
  </si>
  <si>
    <t>5545-M5569745</t>
  </si>
  <si>
    <t>https://www.metrocuadrado.com/inmueble/venta-casa-bogota-casa-blanca-4-habitaciones-5-banos-4-garajes/5545-M5569745</t>
  </si>
  <si>
    <t>17565-M5183821</t>
  </si>
  <si>
    <t>BALCARES</t>
  </si>
  <si>
    <t>https://www.metrocuadrado.com/inmueble/venta-casa-bogota-balcares-5-habitaciones-3-banos-3-garajes/17565-M5183821</t>
  </si>
  <si>
    <t>20859-M6024544</t>
  </si>
  <si>
    <t>GRANCOLOMBIANO</t>
  </si>
  <si>
    <t>https://www.metrocuadrado.com/inmueble/venta-casa-bogota-grancolombiano-5-habitaciones-5-banos/20859-M6024544</t>
  </si>
  <si>
    <t>920-M5847165</t>
  </si>
  <si>
    <t>https://www.metrocuadrado.com/inmueble/venta-casa-bogota-la-soledad-5-habitaciones-5-banos/920-M5847165</t>
  </si>
  <si>
    <t>2671-M5793745</t>
  </si>
  <si>
    <t>https://www.metrocuadrado.com/inmueble/venta-casa-bogota-cerros-de-suba-3-habitaciones-5-banos-4-garajes/2671-M5793745</t>
  </si>
  <si>
    <t>21638-M6290839</t>
  </si>
  <si>
    <t>https://www.metrocuadrado.com/inmueble/venta-casa-bogota-cedritos-3-habitaciones-3-banos-1-garajes/21638-M6290839</t>
  </si>
  <si>
    <t>20847-M6399831</t>
  </si>
  <si>
    <t>https://www.metrocuadrado.com/inmueble/venta-casa-bogota-portales-del-norte-4-habitaciones-3-banos-1-garajes/20847-M6399831</t>
  </si>
  <si>
    <t>2671-M5792450</t>
  </si>
  <si>
    <t>https://www.metrocuadrado.com/inmueble/venta-casa-bogota-la-alhambra-4-habitaciones-4-banos-3-garajes/2671-M5792450</t>
  </si>
  <si>
    <t>21884-M6362045</t>
  </si>
  <si>
    <t>https://www.metrocuadrado.com/inmueble/venta-casa-bogota-cedritos-4-habitaciones-4-banos-2-garajes/21884-M6362045</t>
  </si>
  <si>
    <t>21128-M6311100</t>
  </si>
  <si>
    <t>EL ENCANTO</t>
  </si>
  <si>
    <t>https://www.metrocuadrado.com/inmueble/venta-casa-bogota-el-encanto-4-habitaciones-4-banos-3-garajes/21128-M6311100</t>
  </si>
  <si>
    <t>478-M3684960</t>
  </si>
  <si>
    <t>https://www.metrocuadrado.com/inmueble/venta-casa-bogota-san-jose-del-prado-3-habitaciones-4-banos-2-garajes/478-M3684960</t>
  </si>
  <si>
    <t>478-M5827239</t>
  </si>
  <si>
    <t>https://www.metrocuadrado.com/inmueble/venta-casa-bogota-batan-5-habitaciones-4-banos-4-garajes/478-M5827239</t>
  </si>
  <si>
    <t>771-M5273128</t>
  </si>
  <si>
    <t>https://www.metrocuadrado.com/inmueble/venta-casa-bogota-autopista-muzu-5-habitaciones-4-banos-2-garajes/771-M5273128</t>
  </si>
  <si>
    <t>771-M6481451</t>
  </si>
  <si>
    <t>https://www.metrocuadrado.com/inmueble/venta-casa-bogota-gran-granada-3-habitaciones-1-banos/771-M6481451</t>
  </si>
  <si>
    <t>5031-M6050989</t>
  </si>
  <si>
    <t>RIONEGRO</t>
  </si>
  <si>
    <t>https://www.metrocuadrado.com/inmueble/venta-casa-bogota-rionegro-5-habitaciones-4-banos/5031-M6050989</t>
  </si>
  <si>
    <t>20026-M6003203</t>
  </si>
  <si>
    <t>https://www.metrocuadrado.com/inmueble/venta-casa-bogota-colina-campestre-4-habitaciones-3-banos-4-garajes/20026-M6003203</t>
  </si>
  <si>
    <t>10797-M6573409</t>
  </si>
  <si>
    <t>https://www.metrocuadrado.com/inmueble/venta-casa-bogota-santa-barbara-alta-4-habitaciones-5-banos-4-garajes/10797-M6573409</t>
  </si>
  <si>
    <t>2147-M4594645</t>
  </si>
  <si>
    <t>https://www.metrocuadrado.com/inmueble/venta-casa-bogota-normandia-4-habitaciones-4-banos-2-garajes/2147-M4594645</t>
  </si>
  <si>
    <t>16400-M5620298</t>
  </si>
  <si>
    <t>SAN CAYETANO</t>
  </si>
  <si>
    <t>https://www.metrocuadrado.com/inmueble/venta-casa-bogota-san-cayetano-5-habitaciones-3-banos-2-garajes/16400-M5620298</t>
  </si>
  <si>
    <t>16577-M5643501</t>
  </si>
  <si>
    <t>LA CALLEJA ALTA</t>
  </si>
  <si>
    <t>https://www.metrocuadrado.com/inmueble/venta-casa-bogota-la-calleja-alta-4-habitaciones-5-banos-4-garajes/16577-M5643501</t>
  </si>
  <si>
    <t>16274-M6457449</t>
  </si>
  <si>
    <t>https://www.metrocuadrado.com/inmueble/venta-casa-bogota-santa-teresa-4-habitaciones-3-banos-2-garajes/16274-M6457449</t>
  </si>
  <si>
    <t>2974-M5691351</t>
  </si>
  <si>
    <t>https://www.metrocuadrado.com/inmueble/venta-casa-bogota-polo-club-4-habitaciones-4-banos-3-garajes/2974-M5691351</t>
  </si>
  <si>
    <t>2974-M6136109</t>
  </si>
  <si>
    <t>https://www.metrocuadrado.com/inmueble/venta-casa-bogota-los-naranjos-4-habitaciones-5-banos-3-garajes/2974-M6136109</t>
  </si>
  <si>
    <t>2147-M5047588</t>
  </si>
  <si>
    <t>https://www.metrocuadrado.com/inmueble/venta-casa-bogota-el-nogal-5-habitaciones-5-banos-1-garajes/2147-M5047588</t>
  </si>
  <si>
    <t>482-M6010632</t>
  </si>
  <si>
    <t>https://www.metrocuadrado.com/inmueble/venta-casa-bogota-santa-catalina-3-habitaciones-3-banos-1-garajes/482-M6010632</t>
  </si>
  <si>
    <t>512-M4295645</t>
  </si>
  <si>
    <t>https://www.metrocuadrado.com/inmueble/venta-casa-bogota-monaco-5-habitaciones-5-banos-3-garajes/512-M4295645</t>
  </si>
  <si>
    <t>512-M4438134</t>
  </si>
  <si>
    <t>https://www.metrocuadrado.com/inmueble/venta-casa-bogota-bosque-de-pinos-usaquen-4-habitaciones-5-banos-4-garajes/512-M4438134</t>
  </si>
  <si>
    <t>18948-M5566157</t>
  </si>
  <si>
    <t>https://www.metrocuadrado.com/inmueble/venta-casa-bogota-san-jose-de-bavaria-4-habitaciones-5-banos-4-garajes/18948-M5566157</t>
  </si>
  <si>
    <t>2123-3336654</t>
  </si>
  <si>
    <t>https://www.metrocuadrado.com/inmueble/venta-casa-bogota-san-jose-de-bavaria-3-habitaciones-5-banos-4-garajes/2123-3336654</t>
  </si>
  <si>
    <t>14121-M6359387</t>
  </si>
  <si>
    <t>https://www.metrocuadrado.com/inmueble/venta-casa-bogota-niza-suba-4-habitaciones-5-banos-2-garajes/14121-M6359387</t>
  </si>
  <si>
    <t>3438-M6361101</t>
  </si>
  <si>
    <t>OSPINA PEREZ SUR</t>
  </si>
  <si>
    <t>https://www.metrocuadrado.com/inmueble/venta-casa-bogota-ospina-perez-sur-4-habitaciones-2-banos/3438-M6361101</t>
  </si>
  <si>
    <t>12364-M5778542</t>
  </si>
  <si>
    <t>https://www.metrocuadrado.com/inmueble/venta-casa-bogota-casa-blanca-4-habitaciones-5-banos-4-garajes/12364-M5778542</t>
  </si>
  <si>
    <t>13757-M5727731</t>
  </si>
  <si>
    <t>https://www.metrocuadrado.com/inmueble/venta-casa-bogota-villa-del-mar-4-habitaciones-3-banos-1-garajes/13757-M5727731</t>
  </si>
  <si>
    <t>393-M6114508</t>
  </si>
  <si>
    <t>https://www.metrocuadrado.com/inmueble/venta-casa-bogota-pontevedra-3-habitaciones-2-banos-2-garajes/393-M6114508</t>
  </si>
  <si>
    <t>MC6554657</t>
  </si>
  <si>
    <t>https://www.metrocuadrado.com/inmueble/venta-casa-bogota-santa-barbara-central-5-habitaciones-3-banos-2-garajes/MC6554657</t>
  </si>
  <si>
    <t>MC6439212</t>
  </si>
  <si>
    <t>RECREO DE LOS ANGELES ET  I</t>
  </si>
  <si>
    <t>https://www.metrocuadrado.com/inmueble/venta-casa-bogota-recreo-de-los-angeles-et.-i-4-habitaciones-2-banos/MC6439212</t>
  </si>
  <si>
    <t>MC4630007</t>
  </si>
  <si>
    <t>MARGARITAS I SECTOR</t>
  </si>
  <si>
    <t>https://www.metrocuadrado.com/inmueble/venta-casa-bogota-margaritas-i-sector-5-habitaciones-5-banos-2-garajes/MC4630007</t>
  </si>
  <si>
    <t>MC6331821</t>
  </si>
  <si>
    <t>PALERMO SUR</t>
  </si>
  <si>
    <t>https://www.metrocuadrado.com/inmueble/venta-casa-bogota-palermo-sur-5-habitaciones-4-banos/MC6331821</t>
  </si>
  <si>
    <t>2671-M5794270</t>
  </si>
  <si>
    <t>LOS ANDES</t>
  </si>
  <si>
    <t>https://www.metrocuadrado.com/inmueble/venta-casa-bogota-los-andes-4-habitaciones-4-banos-2-garajes/2671-M5794270</t>
  </si>
  <si>
    <t>2671-M5836174</t>
  </si>
  <si>
    <t>https://www.metrocuadrado.com/inmueble/venta-casa-bogota-bosque-de-pinos-4-habitaciones-5-banos-4-garajes/2671-M5836174</t>
  </si>
  <si>
    <t>5031-M6308788</t>
  </si>
  <si>
    <t>GUSTAVO RESTREPO</t>
  </si>
  <si>
    <t>https://www.metrocuadrado.com/inmueble/venta-casa-bogota-gustavo-restrepo-5-habitaciones-5-banos-1-garajes/5031-M6308788</t>
  </si>
  <si>
    <t>771-M5302207</t>
  </si>
  <si>
    <t>TUNDAMA</t>
  </si>
  <si>
    <t>https://www.metrocuadrado.com/inmueble/venta-casa-bogota-tundama-4-habitaciones-4-banos-4-garajes/771-M5302207</t>
  </si>
  <si>
    <t>2671-M5835908</t>
  </si>
  <si>
    <t>https://www.metrocuadrado.com/inmueble/venta-casa-bogota-la-carolina-4-habitaciones-5-banos-3-garajes/2671-M5835908</t>
  </si>
  <si>
    <t>10139-M3930291</t>
  </si>
  <si>
    <t>https://www.metrocuadrado.com/inmueble/venta-casa-bogota-chico-3-habitaciones-4-banos-3-garajes/10139-M3930291</t>
  </si>
  <si>
    <t>2671-M5836244</t>
  </si>
  <si>
    <t>https://www.metrocuadrado.com/inmueble/venta-casa-bogota-santa-paula-5-habitaciones-3-banos-4-garajes/2671-M5836244</t>
  </si>
  <si>
    <t>771-M5556756</t>
  </si>
  <si>
    <t>https://www.metrocuadrado.com/inmueble/venta-casa-bogota-monaco-4-habitaciones-3-banos-3-garajes/771-M5556756</t>
  </si>
  <si>
    <t>20026-M6126070</t>
  </si>
  <si>
    <t>DELMONTE</t>
  </si>
  <si>
    <t>https://www.metrocuadrado.com/inmueble/venta-casa-bogota-delmonte-3-habitaciones-4-banos-2-garajes/20026-M6126070</t>
  </si>
  <si>
    <t>771-M6377049</t>
  </si>
  <si>
    <t>https://www.metrocuadrado.com/inmueble/venta-casa-bogota-san-luis-5-habitaciones-5-banos-4-garajes/771-M6377049</t>
  </si>
  <si>
    <t>2671-M5793052</t>
  </si>
  <si>
    <t>https://www.metrocuadrado.com/inmueble/venta-casa-bogota-la-alhambra-3-habitaciones-3-banos-3-garajes/2671-M5793052</t>
  </si>
  <si>
    <t>17565-M6358380</t>
  </si>
  <si>
    <t>VENECIA</t>
  </si>
  <si>
    <t>https://www.metrocuadrado.com/inmueble/venta-casa-bogota-venecia-3-habitaciones-2-banos-1-garajes/17565-M6358380</t>
  </si>
  <si>
    <t>20451-M5954908</t>
  </si>
  <si>
    <t>12 DE OCTUBRE</t>
  </si>
  <si>
    <t>https://www.metrocuadrado.com/inmueble/venta-casa-bogota-12-de-octubre-5-habitaciones-3-banos-1-garajes/20451-M5954908</t>
  </si>
  <si>
    <t>20343-M5832841</t>
  </si>
  <si>
    <t>https://www.metrocuadrado.com/inmueble/venta-casa-bogota-iberia-4-habitaciones-5-banos-2-garajes/20343-M5832841</t>
  </si>
  <si>
    <t>17565-M5190485</t>
  </si>
  <si>
    <t>MODELO NORTE EL LABRADOR</t>
  </si>
  <si>
    <t>https://www.metrocuadrado.com/inmueble/venta-casa-bogota-modelo-norte-el-labrador-3-habitaciones-3-banos-2-garajes/17565-M5190485</t>
  </si>
  <si>
    <t>2671-M5835848</t>
  </si>
  <si>
    <t>https://www.metrocuadrado.com/inmueble/venta-casa-bogota-bosque-de-pinos-3-habitaciones-4-banos-3-garajes/2671-M5835848</t>
  </si>
  <si>
    <t>10139-M6535296</t>
  </si>
  <si>
    <t>https://www.metrocuadrado.com/inmueble/venta-casa-bogota-cerros-de-santa-barbara-2-habitaciones-3-banos-3-garajes/10139-M6535296</t>
  </si>
  <si>
    <t>20451-M6005477</t>
  </si>
  <si>
    <t>https://www.metrocuadrado.com/inmueble/venta-casa-bogota-prado-pinzon-5-habitaciones-4-banos/20451-M6005477</t>
  </si>
  <si>
    <t>21638-M6357024</t>
  </si>
  <si>
    <t>https://www.metrocuadrado.com/inmueble/venta-casa-bogota-batan-4-habitaciones-2-banos-4-garajes/21638-M6357024</t>
  </si>
  <si>
    <t>2147-M5253751</t>
  </si>
  <si>
    <t>https://www.metrocuadrado.com/inmueble/venta-casa-bogota-san-jose-del-prado-4-habitaciones-4-banos-2-garajes/2147-M5253751</t>
  </si>
  <si>
    <t>2147-M6016344</t>
  </si>
  <si>
    <t>https://www.metrocuadrado.com/inmueble/venta-casa-bogota-5-habitaciones-4-banos-3-garajes/2147-M6016344</t>
  </si>
  <si>
    <t>2147-M4190097</t>
  </si>
  <si>
    <t>https://www.metrocuadrado.com/inmueble/venta-casa-bogota-el-batan-5-habitaciones-5-banos-3-garajes/2147-M4190097</t>
  </si>
  <si>
    <t>2974-M6282373</t>
  </si>
  <si>
    <t>https://www.metrocuadrado.com/inmueble/venta-casa-bogota-tierra-linda-3-habitaciones-3-banos-3-garajes/2974-M6282373</t>
  </si>
  <si>
    <t>2974-M3692501</t>
  </si>
  <si>
    <t>https://www.metrocuadrado.com/inmueble/venta-casa-bogota-niza-suba-5-habitaciones-4-banos-4-garajes/2974-M3692501</t>
  </si>
  <si>
    <t>16400-M5620791</t>
  </si>
  <si>
    <t>https://www.metrocuadrado.com/inmueble/venta-casa-bogota-santa-cecilia-4-habitaciones-2-banos-2-garajes/16400-M5620791</t>
  </si>
  <si>
    <t>17166-M6395167</t>
  </si>
  <si>
    <t>https://www.metrocuadrado.com/inmueble/venta-casa-bogota-acacias-usaquen-3-habitaciones-2-banos-2-garajes/17166-M6395167</t>
  </si>
  <si>
    <t>2147-M5071414</t>
  </si>
  <si>
    <t>https://www.metrocuadrado.com/inmueble/venta-casa-bogota-teusaquillo-5-habitaciones-5-banos-3-garajes/2147-M5071414</t>
  </si>
  <si>
    <t>4830-M5715270</t>
  </si>
  <si>
    <t>https://www.metrocuadrado.com/inmueble/venta-casa-bogota-balcones-de-oriente-4-habitaciones-3-banos-1-garajes/4830-M5715270</t>
  </si>
  <si>
    <t>2974-M3692460</t>
  </si>
  <si>
    <t>https://www.metrocuadrado.com/inmueble/venta-casa-bogota-niza-suba-5-habitaciones-4-banos-4-garajes/2974-M3692460</t>
  </si>
  <si>
    <t>15060-M6017813</t>
  </si>
  <si>
    <t>https://www.metrocuadrado.com/inmueble/venta-casa-bogota-el-batan-3-habitaciones-3-banos-1-garajes/15060-M6017813</t>
  </si>
  <si>
    <t>13873-M6230223</t>
  </si>
  <si>
    <t>https://www.metrocuadrado.com/inmueble/venta-casa-bogota-prado-veraniego-norte-5-habitaciones-5-banos-2-garajes/13873-M6230223</t>
  </si>
  <si>
    <t>11203-M5639338</t>
  </si>
  <si>
    <t>https://www.metrocuadrado.com/inmueble/venta-casa-bogota-santa-teresita-3-habitaciones-3-banos-2-garajes/11203-M5639338</t>
  </si>
  <si>
    <t>14236-M5170289</t>
  </si>
  <si>
    <t>https://www.metrocuadrado.com/inmueble/venta-casa-bogota-cedro-bolivar-5-habitaciones-5-banos-4-garajes/14236-M5170289</t>
  </si>
  <si>
    <t>14236-M6478656</t>
  </si>
  <si>
    <t>https://www.metrocuadrado.com/inmueble/venta-casa-bogota-guaymaral-5-habitaciones-5-banos-4-garajes/14236-M6478656</t>
  </si>
  <si>
    <t>2648-M4291113</t>
  </si>
  <si>
    <t>LA ESTRELLA SECTOR LAGOS</t>
  </si>
  <si>
    <t>https://www.metrocuadrado.com/inmueble/venta-casa-bogota-la-estrella-sector-lagos-5-habitaciones-5-banos/2648-M4291113</t>
  </si>
  <si>
    <t>832-M5677270</t>
  </si>
  <si>
    <t>https://www.metrocuadrado.com/inmueble/venta-casa-bogota-maranta-iii-sector-3-habitaciones-3-banos-2-garajes/832-M5677270</t>
  </si>
  <si>
    <t>12364-M6377307</t>
  </si>
  <si>
    <t>https://www.metrocuadrado.com/inmueble/venta-casa-bogota-chico-navarra-3-habitaciones-3-banos-3-garajes/12364-M6377307</t>
  </si>
  <si>
    <t>393-M5671195</t>
  </si>
  <si>
    <t>PAULO VI NORTE</t>
  </si>
  <si>
    <t>https://www.metrocuadrado.com/inmueble/venta-casa-bogota-paulo-vi-norte-3-habitaciones-4-banos-2-garajes/393-M5671195</t>
  </si>
  <si>
    <t>MC6584987</t>
  </si>
  <si>
    <t>SAN ANTONIO NOR   OCCIDENTAL</t>
  </si>
  <si>
    <t>https://www.metrocuadrado.com/inmueble/venta-casa-bogota-san-antonio-nor-occidental-3-habitaciones-3-banos-2-garajes/MC6584987</t>
  </si>
  <si>
    <t>MC6558466</t>
  </si>
  <si>
    <t>https://www.metrocuadrado.com/inmueble/venta-casa-bogota-rincon-del-norte-3-habitaciones-3-banos-1-garajes/MC6558466</t>
  </si>
  <si>
    <t>MC6434404</t>
  </si>
  <si>
    <t>AMERICAS OCCIDENTAL ET  I</t>
  </si>
  <si>
    <t>https://www.metrocuadrado.com/inmueble/venta-casa-bogota-americas-occidental-et.-i-4-habitaciones-5-banos-2-garajes/MC6434404</t>
  </si>
  <si>
    <t>MC6333166</t>
  </si>
  <si>
    <t>https://www.metrocuadrado.com/inmueble/venta-casa-bogota-la-esperanza-5-habitaciones-5-banos/MC6333166</t>
  </si>
  <si>
    <t>2671-M6011500</t>
  </si>
  <si>
    <t>https://www.metrocuadrado.com/inmueble/venta-casa-bogota-santa-barbara-alta-3-habitaciones-4-banos-2-garajes/2671-M6011500</t>
  </si>
  <si>
    <t>2671-M5792463</t>
  </si>
  <si>
    <t>https://www.metrocuadrado.com/inmueble/venta-casa-bogota-niza-5-habitaciones-5-banos-3-garajes/2671-M5792463</t>
  </si>
  <si>
    <t>771-M5834184</t>
  </si>
  <si>
    <t>https://www.metrocuadrado.com/inmueble/venta-casa-bogota-polo-club-4-habitaciones-4-banos-1-garajes/771-M5834184</t>
  </si>
  <si>
    <t>603-M5730503</t>
  </si>
  <si>
    <t>https://www.metrocuadrado.com/inmueble/venta-casa-bogota-los-cedros-4-habitaciones-4-banos-1-garajes/603-M5730503</t>
  </si>
  <si>
    <t>464-M6014431</t>
  </si>
  <si>
    <t>https://www.metrocuadrado.com/inmueble/venta-casa-bogota-la-soledad-5-habitaciones-5-banos-2-garajes/464-M6014431</t>
  </si>
  <si>
    <t>175-M5345615</t>
  </si>
  <si>
    <t>https://www.metrocuadrado.com/inmueble/venta-casa-bogota-bosque-medina-4-habitaciones-5-banos-3-garajes/175-M5345615</t>
  </si>
  <si>
    <t>2671-M6332949</t>
  </si>
  <si>
    <t>https://www.metrocuadrado.com/inmueble/venta-casa-bogota-cerros-de-suba-4-habitaciones-5-banos-4-garajes/2671-M6332949</t>
  </si>
  <si>
    <t>2671-M5792438</t>
  </si>
  <si>
    <t>https://www.metrocuadrado.com/inmueble/venta-casa-bogota-la-alhambra-4-habitaciones-4-banos-3-garajes/2671-M5792438</t>
  </si>
  <si>
    <t>771-M5983998</t>
  </si>
  <si>
    <t>https://www.metrocuadrado.com/inmueble/venta-casa-bogota-las-orquideas-4-habitaciones-2-banos-1-garajes/771-M5983998</t>
  </si>
  <si>
    <t>771-M6132686</t>
  </si>
  <si>
    <t>https://www.metrocuadrado.com/inmueble/venta-casa-bogota-san-luis-5-habitaciones-5-banos-4-garajes/771-M6132686</t>
  </si>
  <si>
    <t>771-M5274006</t>
  </si>
  <si>
    <t>MARSELLA</t>
  </si>
  <si>
    <t>https://www.metrocuadrado.com/inmueble/venta-casa-bogota-marsella-5-habitaciones-3-banos-2-garajes/771-M5274006</t>
  </si>
  <si>
    <t>5044-M5032169</t>
  </si>
  <si>
    <t>https://www.metrocuadrado.com/inmueble/venta-casa-bogota-cedritos-5-habitaciones-4-banos-2-garajes/5044-M5032169</t>
  </si>
  <si>
    <t>2671-M5792443</t>
  </si>
  <si>
    <t>https://www.metrocuadrado.com/inmueble/venta-casa-bogota-niza-5-habitaciones-5-banos-3-garajes/2671-M5792443</t>
  </si>
  <si>
    <t>2671-M5792448</t>
  </si>
  <si>
    <t>https://www.metrocuadrado.com/inmueble/venta-casa-bogota-cerros-de-suba-4-habitaciones-5-banos-2-garajes/2671-M5792448</t>
  </si>
  <si>
    <t>661-M4575137</t>
  </si>
  <si>
    <t>EL CENTAURO</t>
  </si>
  <si>
    <t>https://www.metrocuadrado.com/inmueble/venta-casa-bogota-el-centauro-5-habitaciones-5-banos-2-garajes/661-M4575137</t>
  </si>
  <si>
    <t>17565-M6535114</t>
  </si>
  <si>
    <t>https://www.metrocuadrado.com/inmueble/venta-casa-bogota-nuevo-contry-5-habitaciones-5-banos-4-garajes/17565-M6535114</t>
  </si>
  <si>
    <t>19328-M6394436</t>
  </si>
  <si>
    <t>SAN ANTONIO SUR</t>
  </si>
  <si>
    <t>https://www.metrocuadrado.com/inmueble/venta-casa-bogota-san-antonio-sur-5-habitaciones-3-banos/19328-M6394436</t>
  </si>
  <si>
    <t>20258-M6397414</t>
  </si>
  <si>
    <t>SANTA ISABEL SUR</t>
  </si>
  <si>
    <t>https://www.metrocuadrado.com/inmueble/venta-casa-bogota-santa-isabel-sur-5-habitaciones-5-banos-2-garajes/20258-M6397414</t>
  </si>
  <si>
    <t>20026-M6003250</t>
  </si>
  <si>
    <t>NIZA CORDOBA</t>
  </si>
  <si>
    <t>https://www.metrocuadrado.com/inmueble/venta-casa-bogota-niza-cordoba-5-habitaciones-5-banos-3-garajes/20026-M6003250</t>
  </si>
  <si>
    <t>478-M6388032</t>
  </si>
  <si>
    <t>https://www.metrocuadrado.com/inmueble/venta-casa-bogota-santa-barbara-alta-3-habitaciones-3-banos-3-garajes/478-M6388032</t>
  </si>
  <si>
    <t>4830-M5467390</t>
  </si>
  <si>
    <t>https://www.metrocuadrado.com/inmueble/venta-casa-bogota-niza-5-habitaciones-5-banos-3-garajes/4830-M5467390</t>
  </si>
  <si>
    <t>2147-M5845494</t>
  </si>
  <si>
    <t>https://www.metrocuadrado.com/inmueble/venta-casa-bogota-bellavista-3-habitaciones-5-banos-2-garajes/2147-M5845494</t>
  </si>
  <si>
    <t>15062-M5468133</t>
  </si>
  <si>
    <t>BELLA VISTA</t>
  </si>
  <si>
    <t>https://www.metrocuadrado.com/inmueble/venta-casa-bogota-bella-vista-5-habitaciones-5-banos/15062-M5468133</t>
  </si>
  <si>
    <t>3307-M4822431</t>
  </si>
  <si>
    <t>SAN EUSEBIO</t>
  </si>
  <si>
    <t>https://www.metrocuadrado.com/inmueble/venta-casa-bogota-san-eusebio-5-habitaciones-5-banos-2-garajes/3307-M4822431</t>
  </si>
  <si>
    <t>2147-M6294777</t>
  </si>
  <si>
    <t>https://www.metrocuadrado.com/inmueble/venta-casa-bogota-casa-blanca-4-habitaciones-5-banos-3-garajes/2147-M6294777</t>
  </si>
  <si>
    <t>2974-M5784130</t>
  </si>
  <si>
    <t>https://www.metrocuadrado.com/inmueble/venta-casa-bogota-san-jose-del-prado-4-habitaciones-5-banos-4-garajes/2974-M5784130</t>
  </si>
  <si>
    <t>934-M6115742</t>
  </si>
  <si>
    <t>EL TRIUNFO DE LAS AMERICAS</t>
  </si>
  <si>
    <t>https://www.metrocuadrado.com/inmueble/venta-casa-bogota-el-triunfo-de-las-americas-3-habitaciones-4-banos-3-garajes/934-M6115742</t>
  </si>
  <si>
    <t>19339-M5632393</t>
  </si>
  <si>
    <t>https://www.metrocuadrado.com/inmueble/venta-casa-bogota-rionegro-4-habitaciones-2-banos-1-garajes/19339-M5632393</t>
  </si>
  <si>
    <t>2147-M6016373</t>
  </si>
  <si>
    <t>https://www.metrocuadrado.com/inmueble/venta-casa-bogota-estoril-5-habitaciones-4-banos-1-garajes/2147-M6016373</t>
  </si>
  <si>
    <t>4554-M2601202</t>
  </si>
  <si>
    <t>https://www.metrocuadrado.com/inmueble/venta-casa-bogota-monaco-4-habitaciones-4-banos-3-garajes/4554-M2601202</t>
  </si>
  <si>
    <t>512-M6017405</t>
  </si>
  <si>
    <t>https://www.metrocuadrado.com/inmueble/venta-casa-bogota-julio-florez-4-habitaciones-4-banos-2-garajes/512-M6017405</t>
  </si>
  <si>
    <t>512-M4356715</t>
  </si>
  <si>
    <t>SANTA MATILDE</t>
  </si>
  <si>
    <t>https://www.metrocuadrado.com/inmueble/venta-casa-bogota-santa-matilde-4-habitaciones-3-banos-1-garajes/512-M4356715</t>
  </si>
  <si>
    <t>16474-M6308251</t>
  </si>
  <si>
    <t>https://www.metrocuadrado.com/inmueble/venta-casa-bogota-guaymaral-4-habitaciones-5-banos-4-garajes/16474-M6308251</t>
  </si>
  <si>
    <t>13845-M3194332</t>
  </si>
  <si>
    <t>https://www.metrocuadrado.com/inmueble/venta-casa-bogota-la-camelia-5-habitaciones-5-banos-4-garajes/13845-M3194332</t>
  </si>
  <si>
    <t>17181-M5786328</t>
  </si>
  <si>
    <t>https://www.metrocuadrado.com/inmueble/venta-casa-bogota-casa-blanca-4-habitaciones-5-banos-4-garajes/17181-M5786328</t>
  </si>
  <si>
    <t>12364-M5778580</t>
  </si>
  <si>
    <t>https://www.metrocuadrado.com/inmueble/venta-casa-bogota-marly-4-habitaciones-3-banos-2-garajes/12364-M5778580</t>
  </si>
  <si>
    <t>393-M6207850</t>
  </si>
  <si>
    <t>https://www.metrocuadrado.com/inmueble/venta-casa-bogota-la-esmeralda-4-habitaciones-2-banos-1-garajes/393-M6207850</t>
  </si>
  <si>
    <t>393-M6013851</t>
  </si>
  <si>
    <t>VERAGUAS</t>
  </si>
  <si>
    <t>https://www.metrocuadrado.com/inmueble/venta-casa-bogota-veraguas-5-habitaciones-5-banos-1-garajes/393-M6013851</t>
  </si>
  <si>
    <t>2648-M5967887</t>
  </si>
  <si>
    <t>VILLA NOHORA BOSA CENTRAL</t>
  </si>
  <si>
    <t>https://www.metrocuadrado.com/inmueble/venta-casa-bogota-villa-nohora-bosa-central-5-habitaciones-4-banos/2648-M5967887</t>
  </si>
  <si>
    <t>MC3029289</t>
  </si>
  <si>
    <t>LA ESTRADA</t>
  </si>
  <si>
    <t>https://www.metrocuadrado.com/inmueble/venta-casa-bogota-la-estrada-5-habitaciones-5-banos-2-garajes/MC3029289</t>
  </si>
  <si>
    <t>MC6482152</t>
  </si>
  <si>
    <t>https://www.metrocuadrado.com/inmueble/venta-casa-bogota-el-tintal-a.s.d.-3-habitaciones-2-banos-1-garajes/MC6482152</t>
  </si>
  <si>
    <t>MC6422037</t>
  </si>
  <si>
    <t>https://www.metrocuadrado.com/inmueble/venta-casa-bogota-san-francisco-3-habitaciones-2-banos-1-garajes/MC6422037</t>
  </si>
  <si>
    <t>771-M5733025</t>
  </si>
  <si>
    <t>https://www.metrocuadrado.com/inmueble/venta-casa-bogota-los-cedros-4-habitaciones-3-banos-3-garajes/771-M5733025</t>
  </si>
  <si>
    <t>5031-M5581340</t>
  </si>
  <si>
    <t>https://www.metrocuadrado.com/inmueble/venta-casa-bogota-suba-3-habitaciones-2-banos/5031-M5581340</t>
  </si>
  <si>
    <t>603-M6013288</t>
  </si>
  <si>
    <t>https://www.metrocuadrado.com/inmueble/venta-casa-bogota-casa-blanca-3-habitaciones-3-banos-2-garajes/603-M6013288</t>
  </si>
  <si>
    <t>771-M5855781</t>
  </si>
  <si>
    <t>EL SALITRE</t>
  </si>
  <si>
    <t>https://www.metrocuadrado.com/inmueble/venta-casa-bogota-el-salitre-4-habitaciones-4-banos-2-garajes/771-M5855781</t>
  </si>
  <si>
    <t>603-M6014790</t>
  </si>
  <si>
    <t>https://www.metrocuadrado.com/inmueble/venta-casa-bogota-casa-blanca-3-habitaciones-3-banos-2-garajes/603-M6014790</t>
  </si>
  <si>
    <t>661-M3154942</t>
  </si>
  <si>
    <t>https://www.metrocuadrado.com/inmueble/venta-casa-bogota-santa-cecilia-5-habitaciones-5-banos/661-M3154942</t>
  </si>
  <si>
    <t>22173-M6496248</t>
  </si>
  <si>
    <t>https://www.metrocuadrado.com/inmueble/venta-casa-bogota-niza-norte-3-habitaciones-3-banos-2-garajes/22173-M6496248</t>
  </si>
  <si>
    <t>478-M4623905</t>
  </si>
  <si>
    <t>PALERMO</t>
  </si>
  <si>
    <t>https://www.metrocuadrado.com/inmueble/venta-casa-bogota-palermo-5-habitaciones-4-banos-1-garajes/478-M4623905</t>
  </si>
  <si>
    <t>603-M6004820</t>
  </si>
  <si>
    <t>RECREO DE LOS FRAILES</t>
  </si>
  <si>
    <t>https://www.metrocuadrado.com/inmueble/venta-casa-bogota-recreo-de-los-frailes-3-habitaciones-3-banos-4-garajes/603-M6004820</t>
  </si>
  <si>
    <t>3774-M6585210</t>
  </si>
  <si>
    <t>https://www.metrocuadrado.com/inmueble/venta-casa-bogota-viveros-4-habitaciones-5-banos-4-garajes/3774-M6585210</t>
  </si>
  <si>
    <t>21216-M6081104</t>
  </si>
  <si>
    <t>BONANZA</t>
  </si>
  <si>
    <t>https://www.metrocuadrado.com/inmueble/venta-casa-bogota-bonanza-5-habitaciones-2-banos-1-garajes/21216-M6081104</t>
  </si>
  <si>
    <t>290-M6308558</t>
  </si>
  <si>
    <t>AMERICAS OCCIDENTAL</t>
  </si>
  <si>
    <t>https://www.metrocuadrado.com/inmueble/venta-casa-bogota-americas-occidental-4-habitaciones-4-banos-1-garajes/290-M6308558</t>
  </si>
  <si>
    <t>3774-M6401213</t>
  </si>
  <si>
    <t>NUEVA COLINA</t>
  </si>
  <si>
    <t>https://www.metrocuadrado.com/inmueble/venta-casa-bogota-nueva-colina-4-habitaciones-4-banos-1-garajes/3774-M6401213</t>
  </si>
  <si>
    <t>603-M6013671</t>
  </si>
  <si>
    <t>https://www.metrocuadrado.com/inmueble/venta-casa-bogota-casa-blanca-3-habitaciones-3-banos-2-garajes/603-M6013671</t>
  </si>
  <si>
    <t>2671-M5836119</t>
  </si>
  <si>
    <t>https://www.metrocuadrado.com/inmueble/venta-casa-bogota-santa-barbara-alta-3-habitaciones-3-banos-4-garajes/2671-M5836119</t>
  </si>
  <si>
    <t>603-M6013137</t>
  </si>
  <si>
    <t>https://www.metrocuadrado.com/inmueble/venta-casa-bogota-casa-blanca-3-habitaciones-3-banos-2-garajes/603-M6013137</t>
  </si>
  <si>
    <t>5031-M5475060</t>
  </si>
  <si>
    <t>https://www.metrocuadrado.com/inmueble/venta-casa-bogota-candelaria-5-habitaciones-4-banos/5031-M5475060</t>
  </si>
  <si>
    <t>603-M6013779</t>
  </si>
  <si>
    <t>https://www.metrocuadrado.com/inmueble/venta-casa-bogota-casa-blanca-3-habitaciones-3-banos-2-garajes/603-M6013779</t>
  </si>
  <si>
    <t>771-M6237854</t>
  </si>
  <si>
    <t>https://www.metrocuadrado.com/inmueble/venta-casa-bogota-modelia-4-habitaciones-3-banos-2-garajes/771-M6237854</t>
  </si>
  <si>
    <t>5175-M5326564</t>
  </si>
  <si>
    <t>https://www.metrocuadrado.com/inmueble/venta-casa-bogota-niza-5-habitaciones-5-banos-3-garajes/5175-M5326564</t>
  </si>
  <si>
    <t>20039-M6146508</t>
  </si>
  <si>
    <t>SERRANIAS</t>
  </si>
  <si>
    <t>https://www.metrocuadrado.com/inmueble/venta-casa-bogota-serranias-5-habitaciones-4-banos-1-garajes/20039-M6146508</t>
  </si>
  <si>
    <t>2974-M5063783</t>
  </si>
  <si>
    <t>BOSTON</t>
  </si>
  <si>
    <t>https://www.metrocuadrado.com/inmueble/venta-casa-bogota-boston-3-habitaciones-3-banos-1-garajes/2974-M5063783</t>
  </si>
  <si>
    <t>2147-M5712785</t>
  </si>
  <si>
    <t>CJR RESERVA DE LA COLINA ETAPAS III Y IV</t>
  </si>
  <si>
    <t>https://www.metrocuadrado.com/inmueble/venta-casa-bogota-cjr-reserva-de-la-colina-etapas-iii-y-iv-5-habitaciones-5-banos-2-garajes/2147-M5712785</t>
  </si>
  <si>
    <t>2147-M3638499</t>
  </si>
  <si>
    <t>https://www.metrocuadrado.com/inmueble/venta-casa-bogota-niza-5-habitaciones-4-banos-2-garajes/2147-M3638499</t>
  </si>
  <si>
    <t>2147-M4647966</t>
  </si>
  <si>
    <t>PLAZUELAS DEL VIRREY</t>
  </si>
  <si>
    <t>https://www.metrocuadrado.com/inmueble/venta-casa-bogota-plazuelas-del-virrey-4-habitaciones-3-banos-1-garajes/2147-M4647966</t>
  </si>
  <si>
    <t>2147-M5745752</t>
  </si>
  <si>
    <t>BAQUERO</t>
  </si>
  <si>
    <t>https://www.metrocuadrado.com/inmueble/venta-casa-bogota-baquero-5-habitaciones-4-banos-2-garajes/2147-M5745752</t>
  </si>
  <si>
    <t>2147-M5949568</t>
  </si>
  <si>
    <t>https://www.metrocuadrado.com/inmueble/venta-casa-bogota-nuevo-contry-5-habitaciones-5-banos-4-garajes/2147-M5949568</t>
  </si>
  <si>
    <t>2147-M4588945</t>
  </si>
  <si>
    <t>https://www.metrocuadrado.com/inmueble/venta-casa-bogota-atenas-5-habitaciones-5-banos-2-garajes/2147-M4588945</t>
  </si>
  <si>
    <t>16108-M5713027</t>
  </si>
  <si>
    <t>https://www.metrocuadrado.com/inmueble/venta-casa-bogota-las-villas-5-habitaciones-5-banos/16108-M5713027</t>
  </si>
  <si>
    <t>668-M6400693</t>
  </si>
  <si>
    <t>https://www.metrocuadrado.com/inmueble/venta-casa-bogota-puente-largo-3-habitaciones-4-banos-3-garajes/668-M6400693</t>
  </si>
  <si>
    <t>14236-M6473104</t>
  </si>
  <si>
    <t>https://www.metrocuadrado.com/inmueble/venta-casa-bogota-cedritos-5-habitaciones-4-banos-3-garajes/14236-M6473104</t>
  </si>
  <si>
    <t>13845-M4499151</t>
  </si>
  <si>
    <t>EL CHILCAL</t>
  </si>
  <si>
    <t>https://www.metrocuadrado.com/inmueble/venta-casa-bogota-el-chilcal-5-habitaciones-2-banos/13845-M4499151</t>
  </si>
  <si>
    <t>5168-M6069702</t>
  </si>
  <si>
    <t>https://www.metrocuadrado.com/inmueble/venta-casa-bogota-san-jose-de-bavaria-3-habitaciones-2-banos-1-garajes/5168-M6069702</t>
  </si>
  <si>
    <t>11676-M5321591</t>
  </si>
  <si>
    <t>https://www.metrocuadrado.com/inmueble/venta-casa-bogota-casablanca-suba-5-habitaciones-4-banos-4-garajes/11676-M5321591</t>
  </si>
  <si>
    <t>17552-M5207848</t>
  </si>
  <si>
    <t>CJR SALAMANCA Y CALATAYUD I Y II</t>
  </si>
  <si>
    <t>https://www.metrocuadrado.com/inmueble/venta-casa-bogota-cjr-salamanca-y-calatayud-i-y-ii-3-habitaciones-3-banos-3-garajes/17552-M5207848</t>
  </si>
  <si>
    <t>4326-M6071231</t>
  </si>
  <si>
    <t>LA FRAGUA</t>
  </si>
  <si>
    <t>https://www.metrocuadrado.com/inmueble/venta-casa-bogota-la-fragua-5-habitaciones-5-banos-3-garajes/4326-M6071231</t>
  </si>
  <si>
    <t>5410-M5308077</t>
  </si>
  <si>
    <t>https://www.metrocuadrado.com/inmueble/venta-casa-bogota-casa-blanca-4-habitaciones-4-banos-4-garajes/5410-M5308077</t>
  </si>
  <si>
    <t>11369-M5707395</t>
  </si>
  <si>
    <t>https://www.metrocuadrado.com/inmueble/venta-casa-bogota-san-jose-de-bavaria-3-habitaciones-5-banos-3-garajes/11369-M5707395</t>
  </si>
  <si>
    <t>MC2545568</t>
  </si>
  <si>
    <t>https://www.metrocuadrado.com/inmueble/venta-casa-bogota-monaco-5-habitaciones-5-banos-4-garajes/MC2545568</t>
  </si>
  <si>
    <t>MC6305875</t>
  </si>
  <si>
    <t>https://www.metrocuadrado.com/inmueble/venta-casa-bogota-balcares-4-habitaciones-5-banos-2-garajes/MC6305875</t>
  </si>
  <si>
    <t>MC6505655</t>
  </si>
  <si>
    <t>https://www.metrocuadrado.com/inmueble/venta-casa-bogota-quiroga-5-habitaciones-3-banos-1-garajes/MC6505655</t>
  </si>
  <si>
    <t>MC5581884</t>
  </si>
  <si>
    <t>VERACRUZ</t>
  </si>
  <si>
    <t>https://www.metrocuadrado.com/inmueble/venta-casa-bogota-veracruz-5-habitaciones-5-banos-1-garajes/MC5581884</t>
  </si>
  <si>
    <t>175-M5270492</t>
  </si>
  <si>
    <t>https://www.metrocuadrado.com/inmueble/venta-casa-bogota-quinta-camacho-5-habitaciones-3-banos-4-garajes/175-M5270492</t>
  </si>
  <si>
    <t>5175-M6494868</t>
  </si>
  <si>
    <t>https://www.metrocuadrado.com/inmueble/venta-casa-bogota-normandia-5-habitaciones-4-banos-2-garajes/5175-M6494868</t>
  </si>
  <si>
    <t>17565-M6054797</t>
  </si>
  <si>
    <t>https://www.metrocuadrado.com/inmueble/venta-casa-bogota-cedritos-5-habitaciones-4-banos-3-garajes/17565-M6054797</t>
  </si>
  <si>
    <t>290-M6308835</t>
  </si>
  <si>
    <t>SAN ANDRES</t>
  </si>
  <si>
    <t>https://www.metrocuadrado.com/inmueble/venta-casa-bogota-san-andres-5-habitaciones-5-banos-1-garajes/290-M6308835</t>
  </si>
  <si>
    <t>20859-M6024226</t>
  </si>
  <si>
    <t>BOSA SAN PABLO</t>
  </si>
  <si>
    <t>https://www.metrocuadrado.com/inmueble/venta-casa-bogota-bosa-san-pablo-5-habitaciones-4-banos-1-garajes/20859-M6024226</t>
  </si>
  <si>
    <t>771-M5273195</t>
  </si>
  <si>
    <t>https://www.metrocuadrado.com/inmueble/venta-casa-bogota-san-jose-de-bavaria-4-habitaciones-5-banos-3-garajes/771-M5273195</t>
  </si>
  <si>
    <t>10307-M4671025</t>
  </si>
  <si>
    <t>https://www.metrocuadrado.com/inmueble/venta-casa-bogota-conejera-3-habitaciones-5-banos-2-garajes/10307-M4671025</t>
  </si>
  <si>
    <t>5031-M6448893</t>
  </si>
  <si>
    <t>LA PRADERA NORTE</t>
  </si>
  <si>
    <t>https://www.metrocuadrado.com/inmueble/venta-casa-bogota-la-pradera-norte-3-habitaciones-3-banos-1-garajes/5031-M6448893</t>
  </si>
  <si>
    <t>20859-M6163630</t>
  </si>
  <si>
    <t>REMANSO</t>
  </si>
  <si>
    <t>https://www.metrocuadrado.com/inmueble/venta-casa-bogota-remanso-5-habitaciones-3-banos-1-garajes/20859-M6163630</t>
  </si>
  <si>
    <t>17565-M6379827</t>
  </si>
  <si>
    <t>https://www.metrocuadrado.com/inmueble/venta-casa-bogota-villa-magdala-4-habitaciones-4-banos-2-garajes/17565-M6379827</t>
  </si>
  <si>
    <t>21638-M6291008</t>
  </si>
  <si>
    <t>LINDARAJA</t>
  </si>
  <si>
    <t>https://www.metrocuadrado.com/inmueble/venta-casa-bogota-lindaraja-4-habitaciones-5-banos-2-garajes/21638-M6291008</t>
  </si>
  <si>
    <t>603-M6110221</t>
  </si>
  <si>
    <t>https://www.metrocuadrado.com/inmueble/venta-casa-bogota-pontevedra-5-habitaciones-5-banos-2-garajes/603-M6110221</t>
  </si>
  <si>
    <t>603-M5643204</t>
  </si>
  <si>
    <t>https://www.metrocuadrado.com/inmueble/venta-casa-bogota-barrancas-norte-5-habitaciones-3-banos-1-garajes/603-M5643204</t>
  </si>
  <si>
    <t>771-M5273593</t>
  </si>
  <si>
    <t>https://www.metrocuadrado.com/inmueble/venta-casa-bogota-casa-blanca-3-habitaciones-4-banos-4-garajes/771-M5273593</t>
  </si>
  <si>
    <t>2671-M6498366</t>
  </si>
  <si>
    <t>https://www.metrocuadrado.com/inmueble/venta-casa-bogota-chico-4-habitaciones-4-banos-3-garajes/2671-M6498366</t>
  </si>
  <si>
    <t>9914-M4427523</t>
  </si>
  <si>
    <t>NUEVA MARSELLA</t>
  </si>
  <si>
    <t>https://www.metrocuadrado.com/inmueble/venta-casa-bogota-nueva-marsella-5-habitaciones-5-banos-2-garajes/9914-M4427523</t>
  </si>
  <si>
    <t>17565-M6534674</t>
  </si>
  <si>
    <t>https://www.metrocuadrado.com/inmueble/venta-casa-bogota-villa-magdala-3-habitaciones-5-banos-2-garajes/17565-M6534674</t>
  </si>
  <si>
    <t>5175-M6111602</t>
  </si>
  <si>
    <t>https://www.metrocuadrado.com/inmueble/venta-casa-bogota-la-castellana-5-habitaciones-3-banos-3-garajes/5175-M6111602</t>
  </si>
  <si>
    <t>771-M5276440</t>
  </si>
  <si>
    <t>https://www.metrocuadrado.com/inmueble/venta-casa-bogota-san-jose-de-bavaria-4-habitaciones-3-banos-4-garajes/771-M5276440</t>
  </si>
  <si>
    <t>603-M5722601</t>
  </si>
  <si>
    <t>https://www.metrocuadrado.com/inmueble/venta-casa-bogota-niza-cordoba-5-habitaciones-5-banos-2-garajes/603-M5722601</t>
  </si>
  <si>
    <t>5031-M5475139</t>
  </si>
  <si>
    <t>https://www.metrocuadrado.com/inmueble/venta-casa-bogota-techo-4-habitaciones-4-banos/5031-M5475139</t>
  </si>
  <si>
    <t>21641-M6579289</t>
  </si>
  <si>
    <t>https://www.metrocuadrado.com/inmueble/venta-casa-bogota-santa-cecilia-4-habitaciones-3-banos/21641-M6579289</t>
  </si>
  <si>
    <t>16274-M5748360</t>
  </si>
  <si>
    <t>https://www.metrocuadrado.com/inmueble/venta-casa-bogota-teusaquillo-5-habitaciones-5-banos/16274-M5748360</t>
  </si>
  <si>
    <t>16577-M5492376</t>
  </si>
  <si>
    <t>https://www.metrocuadrado.com/inmueble/venta-casa-bogota-niza-cordoba-2-habitaciones-2-banos-1-garajes/16577-M5492376</t>
  </si>
  <si>
    <t>3307-M4961533</t>
  </si>
  <si>
    <t>https://www.metrocuadrado.com/inmueble/venta-casa-bogota-ub.-castilla-4-habitaciones-3-banos-1-garajes/3307-M4961533</t>
  </si>
  <si>
    <t>15795-M5959839</t>
  </si>
  <si>
    <t>https://www.metrocuadrado.com/inmueble/venta-casa-bogota-los-cerezos-4-habitaciones-2-banos-2-garajes/15795-M5959839</t>
  </si>
  <si>
    <t>4830-M5679690</t>
  </si>
  <si>
    <t>https://www.metrocuadrado.com/inmueble/venta-casa-bogota-monaco-4-habitaciones-4-banos-4-garajes/4830-M5679690</t>
  </si>
  <si>
    <t>12073-M6172624</t>
  </si>
  <si>
    <t>https://www.metrocuadrado.com/inmueble/venta-casa-bogota-prado-veraniego-sur-5-habitaciones-4-banos-1-garajes/12073-M6172624</t>
  </si>
  <si>
    <t>17636-M5240297</t>
  </si>
  <si>
    <t>https://www.metrocuadrado.com/inmueble/venta-casa-bogota-normandia-5-habitaciones-5-banos-3-garajes/17636-M5240297</t>
  </si>
  <si>
    <t>14335-M6583984</t>
  </si>
  <si>
    <t>https://www.metrocuadrado.com/inmueble/venta-casa-bogota-el-verbenal-3-habitaciones-3-banos-3-garajes/14335-M6583984</t>
  </si>
  <si>
    <t>17592-M5346330</t>
  </si>
  <si>
    <t>SAN FELIPE</t>
  </si>
  <si>
    <t>https://www.metrocuadrado.com/inmueble/venta-casa-bogota-san-felipe-5-habitaciones-4-banos-1-garajes/17592-M5346330</t>
  </si>
  <si>
    <t>CASABLANCA SUBA URBANO</t>
  </si>
  <si>
    <t>18214-M6587831</t>
  </si>
  <si>
    <t>https://www.metrocuadrado.com/inmueble/venta-casa-bogota-belmira-3-habitaciones-3-banos-2-garajes/18214-M6587831</t>
  </si>
  <si>
    <t>847-M4687032</t>
  </si>
  <si>
    <t>https://www.metrocuadrado.com/inmueble/venta-casa-bogota-cerros-de-sotileza-3-habitaciones-5-banos-3-garajes/847-M4687032</t>
  </si>
  <si>
    <t>847-M5939695</t>
  </si>
  <si>
    <t>https://www.metrocuadrado.com/inmueble/venta-casa-bogota-casablanca-suba-urbano-5-habitaciones-5-banos-4-garajes/847-M5939695</t>
  </si>
  <si>
    <t>16739-M6546630</t>
  </si>
  <si>
    <t>https://www.metrocuadrado.com/inmueble/venta-casa-bogota-san-jose-de-bavaria-4-habitaciones-4-banos-4-garajes/16739-M6546630</t>
  </si>
  <si>
    <t>14774-M6491168</t>
  </si>
  <si>
    <t>NUEVO KENNEDY</t>
  </si>
  <si>
    <t>https://www.metrocuadrado.com/inmueble/venta-casa-bogota-nuevo-kennedy-5-habitaciones-2-banos/14774-M6491168</t>
  </si>
  <si>
    <t>11369-M6026993</t>
  </si>
  <si>
    <t>https://www.metrocuadrado.com/inmueble/venta-casa-bogota-san-simon-3-habitaciones-5-banos-4-garajes/11369-M6026993</t>
  </si>
  <si>
    <t>5410-M5559274</t>
  </si>
  <si>
    <t>https://www.metrocuadrado.com/inmueble/venta-casa-bogota-casa-blanca-4-habitaciones-4-banos-4-garajes/5410-M5559274</t>
  </si>
  <si>
    <t>3438-M6361713</t>
  </si>
  <si>
    <t>https://www.metrocuadrado.com/inmueble/venta-casa-bogota-maranta-iii-sector-4-habitaciones-4-banos-2-garajes/3438-M6361713</t>
  </si>
  <si>
    <t>12715-M6488901</t>
  </si>
  <si>
    <t>SANTA ISABEL</t>
  </si>
  <si>
    <t>https://www.metrocuadrado.com/inmueble/venta-casa-bogota-santa-isabel-5-habitaciones-5-banos-1-garajes/12715-M6488901</t>
  </si>
  <si>
    <t>MC5818838</t>
  </si>
  <si>
    <t>https://www.metrocuadrado.com/inmueble/venta-casa-bogota-la-soledad-5-habitaciones-4-banos/MC5818838</t>
  </si>
  <si>
    <t>MC6472554</t>
  </si>
  <si>
    <t>https://www.metrocuadrado.com/inmueble/venta-casa-bogota-prado-veraniego-norte-4-habitaciones-4-banos-2-garajes/MC6472554</t>
  </si>
  <si>
    <t>MC6509435</t>
  </si>
  <si>
    <t>https://www.metrocuadrado.com/inmueble/venta-casa-bogota-torca-3-habitaciones-5-banos-4-garajes/MC6509435</t>
  </si>
  <si>
    <t>MC2864070</t>
  </si>
  <si>
    <t>https://www.metrocuadrado.com/inmueble/venta-casa-bogota-caobos-salazar-3-habitaciones-3-banos-1-garajes/MC2864070</t>
  </si>
  <si>
    <t>20859-M6094807</t>
  </si>
  <si>
    <t>https://www.metrocuadrado.com/inmueble/venta-casa-bogota-olaya-5-habitaciones-5-banos/20859-M6094807</t>
  </si>
  <si>
    <t>20610-M6144867</t>
  </si>
  <si>
    <t>https://www.metrocuadrado.com/inmueble/venta-casa-bogota-florencia-5-habitaciones-5-banos-2-garajes/20610-M6144867</t>
  </si>
  <si>
    <t>897-M5017015</t>
  </si>
  <si>
    <t>https://www.metrocuadrado.com/inmueble/venta-casa-bogota-conejera-4-habitaciones-4-banos-2-garajes/897-M5017015</t>
  </si>
  <si>
    <t>20859-M6023933</t>
  </si>
  <si>
    <t>https://www.metrocuadrado.com/inmueble/venta-casa-bogota-castilla-5-habitaciones-2-banos-1-garajes/20859-M6023933</t>
  </si>
  <si>
    <t>20859-M6500425</t>
  </si>
  <si>
    <t>https://www.metrocuadrado.com/inmueble/venta-casa-bogota-quinta-camacho-5-habitaciones-4-banos-4-garajes/20859-M6500425</t>
  </si>
  <si>
    <t>20036-M5776254</t>
  </si>
  <si>
    <t>https://www.metrocuadrado.com/inmueble/venta-casa-bogota-la-carolina-4-habitaciones-5-banos-2-garajes/20036-M5776254</t>
  </si>
  <si>
    <t>20859-M6025062</t>
  </si>
  <si>
    <t>https://www.metrocuadrado.com/inmueble/venta-casa-bogota-restrepo-5-habitaciones-4-banos-1-garajes/20859-M6025062</t>
  </si>
  <si>
    <t>5175-M5326553</t>
  </si>
  <si>
    <t>https://www.metrocuadrado.com/inmueble/venta-casa-bogota-niza-5-habitaciones-5-banos-3-garajes/5175-M5326553</t>
  </si>
  <si>
    <t>20607-M6400245</t>
  </si>
  <si>
    <t>HIPOTECHO ET III</t>
  </si>
  <si>
    <t>https://www.metrocuadrado.com/inmueble/venta-casa-bogota-hipotecho-et-iii-3-habitaciones-2-banos-1-garajes/20607-M6400245</t>
  </si>
  <si>
    <t>2559-M6016081</t>
  </si>
  <si>
    <t>https://www.metrocuadrado.com/inmueble/venta-casa-bogota-casa-blanca-4-habitaciones-4-banos-3-garajes/2559-M6016081</t>
  </si>
  <si>
    <t>11256-3446070</t>
  </si>
  <si>
    <t>ARRAYANES</t>
  </si>
  <si>
    <t>https://www.metrocuadrado.com/inmueble/venta-casa-bogota-arrayanes-4-habitaciones-4-banos-3-garajes/11256-3446070</t>
  </si>
  <si>
    <t>3604-M4074213</t>
  </si>
  <si>
    <t>https://www.metrocuadrado.com/inmueble/venta-casa-bogota-san-jose-de-bavaria-4-habitaciones-4-banos-3-garajes/3604-M4074213</t>
  </si>
  <si>
    <t>20682-M6166779</t>
  </si>
  <si>
    <t>GRANADA NORTE</t>
  </si>
  <si>
    <t>https://www.metrocuadrado.com/inmueble/venta-casa-bogota-granada-norte-4-habitaciones-3-banos-1-garajes/20682-M6166779</t>
  </si>
  <si>
    <t>897-M5016682</t>
  </si>
  <si>
    <t>https://www.metrocuadrado.com/inmueble/venta-casa-bogota-guaymaral-4-habitaciones-5-banos-4-garajes/897-M5016682</t>
  </si>
  <si>
    <t>3553-M4746825</t>
  </si>
  <si>
    <t>GUADUAL FONTIBON</t>
  </si>
  <si>
    <t>https://www.metrocuadrado.com/inmueble/venta-casa-bogota-guadual-fontibon-5-habitaciones-5-banos-1-garajes/3553-M4746825</t>
  </si>
  <si>
    <t>19701-M5760120</t>
  </si>
  <si>
    <t>https://www.metrocuadrado.com/inmueble/venta-casa-bogota-san-jose-de-bavaria-4-habitaciones-5-banos-4-garajes/19701-M5760120</t>
  </si>
  <si>
    <t>20610-M6588895</t>
  </si>
  <si>
    <t>https://www.metrocuadrado.com/inmueble/venta-casa-bogota-arrayanes-4-habitaciones-4-banos-2-garajes/20610-M6588895</t>
  </si>
  <si>
    <t>20447-M5845092</t>
  </si>
  <si>
    <t>https://www.metrocuadrado.com/inmueble/venta-casa-bogota-guacani-4-habitaciones-3-banos-1-garajes/20447-M5845092</t>
  </si>
  <si>
    <t>3604-M3985279</t>
  </si>
  <si>
    <t>https://www.metrocuadrado.com/inmueble/venta-casa-bogota-casa-blanca-4-habitaciones-4-banos-2-garajes/3604-M3985279</t>
  </si>
  <si>
    <t>771-M5273996</t>
  </si>
  <si>
    <t>https://www.metrocuadrado.com/inmueble/venta-casa-bogota-multicentro-3-habitaciones-3-banos-2-garajes/771-M5273996</t>
  </si>
  <si>
    <t>20640-M6292747</t>
  </si>
  <si>
    <t>https://www.metrocuadrado.com/inmueble/venta-casa-bogota-victoria-norte-3-habitaciones-3-banos-2-garajes/20640-M6292747</t>
  </si>
  <si>
    <t>20859-M6025211</t>
  </si>
  <si>
    <t>LA PAZ</t>
  </si>
  <si>
    <t>https://www.metrocuadrado.com/inmueble/venta-casa-bogota-la-paz-5-habitaciones-4-banos/20859-M6025211</t>
  </si>
  <si>
    <t>10967-M4392608</t>
  </si>
  <si>
    <t>https://www.metrocuadrado.com/inmueble/venta-casa-bogota-san-jose-de-bavaria-3-habitaciones-5-banos-4-garajes/10967-M4392608</t>
  </si>
  <si>
    <t>2832-M6004433</t>
  </si>
  <si>
    <t>LOS MONJES</t>
  </si>
  <si>
    <t>https://www.metrocuadrado.com/inmueble/venta-casa-bogota-los-monjes-4-habitaciones-2-banos-2-garajes/2832-M6004433</t>
  </si>
  <si>
    <t>2832-M4485456</t>
  </si>
  <si>
    <t>https://www.metrocuadrado.com/inmueble/venta-casa-bogota-sucre-5-habitaciones-5-banos-4-garajes/2832-M4485456</t>
  </si>
  <si>
    <t>39-M6521170</t>
  </si>
  <si>
    <t>https://www.metrocuadrado.com/inmueble/venta-casa-bogota-santa-barbara-alta-4-habitaciones-4-banos-4-garajes/39-M6521170</t>
  </si>
  <si>
    <t>14241-M6470465</t>
  </si>
  <si>
    <t>https://www.metrocuadrado.com/inmueble/venta-casa-bogota-polo-club-4-habitaciones-4-banos-2-garajes/14241-M6470465</t>
  </si>
  <si>
    <t>15738-M6232124</t>
  </si>
  <si>
    <t>CANDELARIA LA NUEVA</t>
  </si>
  <si>
    <t>https://www.metrocuadrado.com/inmueble/venta-casa-bogota-candelaria-la-nueva-3-habitaciones-3-banos/15738-M6232124</t>
  </si>
  <si>
    <t>11233-M4581988</t>
  </si>
  <si>
    <t>https://www.metrocuadrado.com/inmueble/venta-casa-bogota-conejera-4-habitaciones-4-banos-2-garajes/11233-M4581988</t>
  </si>
  <si>
    <t>11233-M5210591</t>
  </si>
  <si>
    <t>CIUDAD MONTES</t>
  </si>
  <si>
    <t>https://www.metrocuadrado.com/inmueble/venta-casa-bogota-ciudad-montes-4-habitaciones-4-banos/11233-M5210591</t>
  </si>
  <si>
    <t>15062-M6203449</t>
  </si>
  <si>
    <t>PLAZA DE LAS AMERICAS</t>
  </si>
  <si>
    <t>https://www.metrocuadrado.com/inmueble/venta-casa-bogota-plaza-de-las-americas-4-habitaciones-3-banos-3-garajes/15062-M6203449</t>
  </si>
  <si>
    <t>11233-M5160148</t>
  </si>
  <si>
    <t>LOS ALCAZARES</t>
  </si>
  <si>
    <t>https://www.metrocuadrado.com/inmueble/venta-casa-bogota-los-alcazares-5-habitaciones-3-banos-1-garajes/11233-M5160148</t>
  </si>
  <si>
    <t>13845-M4221210</t>
  </si>
  <si>
    <t>https://www.metrocuadrado.com/inmueble/venta-casa-bogota-paris-5-habitaciones-5-banos/13845-M4221210</t>
  </si>
  <si>
    <t>16685-M6586179</t>
  </si>
  <si>
    <t>https://www.metrocuadrado.com/inmueble/venta-casa-bogota-belmira-3-habitaciones-3-banos-2-garajes/16685-M6586179</t>
  </si>
  <si>
    <t>14236-M5260799</t>
  </si>
  <si>
    <t>https://www.metrocuadrado.com/inmueble/venta-casa-bogota-san-jose-de-bavaria-3-habitaciones-4-banos-4-garajes/14236-M5260799</t>
  </si>
  <si>
    <t>17575-M6488159</t>
  </si>
  <si>
    <t>https://www.metrocuadrado.com/inmueble/venta-casa-bogota-ciudad-salitre-suroriental-3-habitaciones-2-banos-2-garajes/17575-M6488159</t>
  </si>
  <si>
    <t>4660-M6475862</t>
  </si>
  <si>
    <t>https://www.metrocuadrado.com/inmueble/venta-casa-bogota-guaymaral-4-habitaciones-5-banos-4-garajes/4660-M6475862</t>
  </si>
  <si>
    <t>2214-M5341562</t>
  </si>
  <si>
    <t>https://www.metrocuadrado.com/inmueble/venta-casa-bogota-pontevedra-4-habitaciones-3-banos-3-garajes/2214-M5341562</t>
  </si>
  <si>
    <t>16430-M6108399</t>
  </si>
  <si>
    <t>https://www.metrocuadrado.com/inmueble/venta-casa-bogota-3-habitaciones-5-banos-4-garajes/16430-M6108399</t>
  </si>
  <si>
    <t>12364-M5778568</t>
  </si>
  <si>
    <t>https://www.metrocuadrado.com/inmueble/venta-casa-bogota-cedritos-3-habitaciones-3-banos-2-garajes/12364-M5778568</t>
  </si>
  <si>
    <t>MC2640920</t>
  </si>
  <si>
    <t>https://www.metrocuadrado.com/inmueble/venta-casa-bogota-monaco-5-habitaciones-5-banos-2-garajes/MC2640920</t>
  </si>
  <si>
    <t>MC6328855</t>
  </si>
  <si>
    <t>https://www.metrocuadrado.com/inmueble/venta-casa-bogota-ciudad-galan-5-habitaciones-5-banos-1-garajes/MC6328855</t>
  </si>
  <si>
    <t>MC6386545</t>
  </si>
  <si>
    <t>https://www.metrocuadrado.com/inmueble/venta-casa-bogota-el-plan-4-habitaciones-3-banos-2-garajes/MC6386545</t>
  </si>
  <si>
    <t>MC6476574</t>
  </si>
  <si>
    <t>https://www.metrocuadrado.com/inmueble/venta-casa-bogota-santa-fe-5-habitaciones-4-banos/MC6476574</t>
  </si>
  <si>
    <t>21515-C0001-01</t>
  </si>
  <si>
    <t>apartaestudio</t>
  </si>
  <si>
    <t>https://www.metrocuadrado.com/proyecto/altus-124-apartaestudios-vis-precio-fijo/21515-C0001-01</t>
  </si>
  <si>
    <t>21962-C0005-01</t>
  </si>
  <si>
    <t>https://www.metrocuadrado.com/proyecto/urban-72/21962-C0005-01</t>
  </si>
  <si>
    <t>21962-C0005-02</t>
  </si>
  <si>
    <t>https://www.metrocuadrado.com/proyecto/urban-72/21962-C0005-02</t>
  </si>
  <si>
    <t>21962-C0005-03</t>
  </si>
  <si>
    <t>https://www.metrocuadrado.com/proyecto/urban-72/21962-C0005-03</t>
  </si>
  <si>
    <t>MC6572909</t>
  </si>
  <si>
    <t>https://www.metrocuadrado.com/inmueble/venta-apartaestudio-bogota-lisboa-1-habitaciones-1-banos/MC6572909</t>
  </si>
  <si>
    <t>21341-M6163625</t>
  </si>
  <si>
    <t>ZARZAMORA</t>
  </si>
  <si>
    <t>https://www.metrocuadrado.com/inmueble/venta-apartaestudio-bogota-zarzamora-1-habitaciones-1-banos/21341-M6163625</t>
  </si>
  <si>
    <t>MC6587600</t>
  </si>
  <si>
    <t>https://www.metrocuadrado.com/inmueble/venta-apartaestudio-bogota-chico-norte-et.-iii-1-habitaciones-1-banos-1-garajes/MC6587600</t>
  </si>
  <si>
    <t>MC6583950</t>
  </si>
  <si>
    <t>TERMINAL DE TRANSPORTES</t>
  </si>
  <si>
    <t>https://www.metrocuadrado.com/inmueble/venta-apartaestudio-bogota-terminal-de-transportes-1-habitaciones-1-banos/MC6583950</t>
  </si>
  <si>
    <t>16959-M6583697</t>
  </si>
  <si>
    <t>https://www.metrocuadrado.com/inmueble/venta-apartaestudio-bogota-puente-largo-1-habitaciones-2-banos-1-garajes/16959-M6583697</t>
  </si>
  <si>
    <t>MC6574674</t>
  </si>
  <si>
    <t>https://www.metrocuadrado.com/inmueble/venta-apartaestudio-bogota-ciudad-jardin-norte-1-habitaciones-1-banos/MC6574674</t>
  </si>
  <si>
    <t>MC6570184</t>
  </si>
  <si>
    <t>https://www.metrocuadrado.com/inmueble/venta-apartaestudio-bogota-las-nieves-1-habitaciones-1-banos/MC6570184</t>
  </si>
  <si>
    <t>18222-M6456860</t>
  </si>
  <si>
    <t>https://www.metrocuadrado.com/inmueble/venta-apartaestudio-bogota-jose-joaquin-vargas-1-habitaciones-1-banos-1-garajes/18222-M6456860</t>
  </si>
  <si>
    <t>MC6587628</t>
  </si>
  <si>
    <t>https://www.metrocuadrado.com/inmueble/venta-apartaestudio-bogota-nuevo-contry-1-habitaciones-1-banos-1-garajes/MC6587628</t>
  </si>
  <si>
    <t>19701-M6449928</t>
  </si>
  <si>
    <t>https://www.metrocuadrado.com/inmueble/venta-apartaestudio-bogota-chico-1-habitaciones-2-banos-1-garajes/19701-M6449928</t>
  </si>
  <si>
    <t>13016-M6075810</t>
  </si>
  <si>
    <t>https://www.metrocuadrado.com/inmueble/venta-apartaestudio-bogota-san-patricio-1-habitaciones-1-banos-1-garajes/13016-M6075810</t>
  </si>
  <si>
    <t>897-M5567611</t>
  </si>
  <si>
    <t>https://www.metrocuadrado.com/inmueble/venta-apartaestudio-bogota-polo-club-1-habitaciones-1-banos-1-garajes/897-M5567611</t>
  </si>
  <si>
    <t>21549-M6570378</t>
  </si>
  <si>
    <t>https://www.metrocuadrado.com/inmueble/venta-apartaestudio-bogota-mazuren-3-habitaciones-3-banos-2-garajes/21549-M6570378</t>
  </si>
  <si>
    <t>21503-M6573831</t>
  </si>
  <si>
    <t>https://www.metrocuadrado.com/inmueble/venta-apartaestudio-bogota-santa-bibiana-1-habitaciones-2-banos-2-garajes/21503-M6573831</t>
  </si>
  <si>
    <t>20859-M6150606</t>
  </si>
  <si>
    <t>SALITRE</t>
  </si>
  <si>
    <t>https://www.metrocuadrado.com/inmueble/venta-apartaestudio-bogota-salitre-1-habitaciones-1-banos/20859-M6150606</t>
  </si>
  <si>
    <t>897-M6404211</t>
  </si>
  <si>
    <t>https://www.metrocuadrado.com/inmueble/venta-apartaestudio-bogota-el-encanto-1-habitaciones-1-banos/897-M6404211</t>
  </si>
  <si>
    <t>2731-M6116848</t>
  </si>
  <si>
    <t>https://www.metrocuadrado.com/inmueble/venta-apartaestudio-bogota-la-castellana-1-habitaciones-1-banos/2731-M6116848</t>
  </si>
  <si>
    <t>464-M6036422</t>
  </si>
  <si>
    <t>https://www.metrocuadrado.com/inmueble/venta-apartaestudio-bogota-chapinero-norte-1-habitaciones-1-banos/464-M6036422</t>
  </si>
  <si>
    <t>897-M6064869</t>
  </si>
  <si>
    <t>https://www.metrocuadrado.com/inmueble/venta-apartaestudio-bogota-pasadena-1-habitaciones-1-banos/897-M6064869</t>
  </si>
  <si>
    <t>17285-M5861886</t>
  </si>
  <si>
    <t>https://www.metrocuadrado.com/inmueble/venta-apartaestudio-bogota-guaymaral-4-habitaciones-5-banos-4-garajes/17285-M5861886</t>
  </si>
  <si>
    <t>20451-M6460428</t>
  </si>
  <si>
    <t>https://www.metrocuadrado.com/inmueble/venta-apartaestudio-bogota-barrancas-1-habitaciones-1-banos/20451-M6460428</t>
  </si>
  <si>
    <t>17285-M6372762</t>
  </si>
  <si>
    <t>https://www.metrocuadrado.com/inmueble/venta-apartaestudio-bogota-chico-navarra-3-habitaciones-4-banos-2-garajes/17285-M6372762</t>
  </si>
  <si>
    <t>20451-M6051986</t>
  </si>
  <si>
    <t>https://www.metrocuadrado.com/inmueble/venta-apartaestudio-bogota-nueva-zelandia-1-habitaciones-1-banos/20451-M6051986</t>
  </si>
  <si>
    <t>21341-M6163670</t>
  </si>
  <si>
    <t>https://www.metrocuadrado.com/inmueble/venta-apartaestudio-bogota-los-olivos-1-habitaciones-1-banos/21341-M6163670</t>
  </si>
  <si>
    <t>14-M4807976</t>
  </si>
  <si>
    <t>https://www.metrocuadrado.com/inmueble/venta-apartaestudio-bogota-santa-barbara-1-habitaciones-2-banos-1-garajes/14-M4807976</t>
  </si>
  <si>
    <t>897-M5567605</t>
  </si>
  <si>
    <t>https://www.metrocuadrado.com/inmueble/venta-apartaestudio-bogota-polo-club-1-habitaciones-1-banos-1-garajes/897-M5567605</t>
  </si>
  <si>
    <t>20859-M6024012</t>
  </si>
  <si>
    <t>https://www.metrocuadrado.com/inmueble/venta-apartaestudio-bogota-las-nieves-1-habitaciones-1-banos/20859-M6024012</t>
  </si>
  <si>
    <t>20451-M6052059</t>
  </si>
  <si>
    <t>https://www.metrocuadrado.com/inmueble/venta-apartaestudio-bogota-nueva-zelandia-1-habitaciones-1-banos/20451-M6052059</t>
  </si>
  <si>
    <t>20859-M6139976</t>
  </si>
  <si>
    <t>https://www.metrocuadrado.com/inmueble/venta-apartaestudio-bogota-las-nieves-1-habitaciones-1-banos/20859-M6139976</t>
  </si>
  <si>
    <t>21242-M6490530</t>
  </si>
  <si>
    <t>https://www.metrocuadrado.com/inmueble/venta-apartaestudio-bogota-la-castellana-1-habitaciones-1-banos/21242-M6490530</t>
  </si>
  <si>
    <t>19701-M6449812</t>
  </si>
  <si>
    <t>https://www.metrocuadrado.com/inmueble/venta-apartaestudio-bogota-chico-1-habitaciones-2-banos-1-garajes/19701-M6449812</t>
  </si>
  <si>
    <t>17091-M6058757</t>
  </si>
  <si>
    <t>EDIFICIO DC 26</t>
  </si>
  <si>
    <t>https://www.metrocuadrado.com/inmueble/venta-apartaestudio-bogota-edificio-dc-26-1-habitaciones-1-banos/17091-M6058757</t>
  </si>
  <si>
    <t>2974-M5976390</t>
  </si>
  <si>
    <t>https://www.metrocuadrado.com/inmueble/venta-apartaestudio-bogota-samper-1-habitaciones-1-banos/2974-M5976390</t>
  </si>
  <si>
    <t>15704-M6371993</t>
  </si>
  <si>
    <t>https://www.metrocuadrado.com/inmueble/venta-apartaestudio-bogota-toberin-1-habitaciones-1-banos-1-garajes/15704-M6371993</t>
  </si>
  <si>
    <t>15738-M6396814</t>
  </si>
  <si>
    <t>https://www.metrocuadrado.com/inmueble/venta-apartaestudio-bogota-galerias-1-habitaciones-1-banos/15738-M6396814</t>
  </si>
  <si>
    <t>16437-M6492301</t>
  </si>
  <si>
    <t>https://www.metrocuadrado.com/inmueble/venta-apartaestudio-bogota-chico-norte-1-habitaciones-1-banos-1-garajes/16437-M6492301</t>
  </si>
  <si>
    <t>4830-M2877183</t>
  </si>
  <si>
    <t>https://www.metrocuadrado.com/inmueble/venta-apartaestudio-bogota-las-nieves-1-habitaciones-1-banos-1-garajes/4830-M2877183</t>
  </si>
  <si>
    <t>2974-M5976442</t>
  </si>
  <si>
    <t>https://www.metrocuadrado.com/inmueble/venta-apartaestudio-bogota-samper-1-habitaciones-1-banos/2974-M5976442</t>
  </si>
  <si>
    <t>15704-M6447529</t>
  </si>
  <si>
    <t>https://www.metrocuadrado.com/inmueble/venta-apartaestudio-bogota-chapinero-1-habitaciones-1-banos/15704-M6447529</t>
  </si>
  <si>
    <t>15738-M5636938</t>
  </si>
  <si>
    <t>SANTA TERESA NORTE</t>
  </si>
  <si>
    <t>https://www.metrocuadrado.com/inmueble/venta-apartaestudio-bogota-santa-teresa-norte-1-habitaciones-1-banos/15738-M5636938</t>
  </si>
  <si>
    <t>2147-M6081618</t>
  </si>
  <si>
    <t>https://www.metrocuadrado.com/inmueble/venta-apartaestudio-bogota-los-olivos-1-habitaciones-1-banos-1-garajes/2147-M6081618</t>
  </si>
  <si>
    <t>3858-M6470612</t>
  </si>
  <si>
    <t>https://www.metrocuadrado.com/inmueble/venta-apartaestudio-bogota-chico-norte-et.-iii-1-habitaciones-2-banos-2-garajes/3858-M6470612</t>
  </si>
  <si>
    <t>2162-M6162870</t>
  </si>
  <si>
    <t>https://www.metrocuadrado.com/inmueble/venta-apartaestudio-bogota-a.s.d.-1-habitaciones-1-banos/2162-M6162870</t>
  </si>
  <si>
    <t>3858-M6405048</t>
  </si>
  <si>
    <t>https://www.metrocuadrado.com/inmueble/venta-apartaestudio-bogota-chico-norte-et.-iii-1-habitaciones-2-banos-2-garajes/3858-M6405048</t>
  </si>
  <si>
    <t>2123-M6492759</t>
  </si>
  <si>
    <t>https://www.metrocuadrado.com/inmueble/venta-apartaestudio-bogota-cedritos-1-habitaciones-2-banos-1-garajes/2123-M6492759</t>
  </si>
  <si>
    <t>3858-M6212328</t>
  </si>
  <si>
    <t>https://www.metrocuadrado.com/inmueble/venta-apartaestudio-bogota-chico-norte-et.-iii-1-habitaciones-2-banos-2-garajes/3858-M6212328</t>
  </si>
  <si>
    <t>16933-M6309683</t>
  </si>
  <si>
    <t>https://www.metrocuadrado.com/inmueble/venta-apartaestudio-bogota-quesada-1-habitaciones-1-banos-1-garajes/16933-M6309683</t>
  </si>
  <si>
    <t>2377-M6068130</t>
  </si>
  <si>
    <t>ALAMEDA</t>
  </si>
  <si>
    <t>https://www.metrocuadrado.com/inmueble/venta-apartaestudio-bogota-alameda-1-habitaciones-1-banos/2377-M6068130</t>
  </si>
  <si>
    <t>12364-M5778574</t>
  </si>
  <si>
    <t>CLUB DE LOS LAGARTOS</t>
  </si>
  <si>
    <t>https://www.metrocuadrado.com/inmueble/venta-apartaestudio-bogota-club-de-los-lagartos-1-habitaciones-2-banos-1-garajes/12364-M5778574</t>
  </si>
  <si>
    <t>12473-M6117293</t>
  </si>
  <si>
    <t>https://www.metrocuadrado.com/inmueble/venta-apartaestudio-bogota-las-nieves-1-habitaciones-1-banos/12473-M6117293</t>
  </si>
  <si>
    <t>17176-M6151361</t>
  </si>
  <si>
    <t>LA SABANA</t>
  </si>
  <si>
    <t>https://www.metrocuadrado.com/inmueble/venta-apartaestudio-bogota-la-sabana-1-habitaciones-2-banos/17176-M6151361</t>
  </si>
  <si>
    <t>MC6574035</t>
  </si>
  <si>
    <t>https://www.metrocuadrado.com/inmueble/venta-apartaestudio-bogota-el-porvenir-1-habitaciones-1-banos/MC6574035</t>
  </si>
  <si>
    <t>MC6499449</t>
  </si>
  <si>
    <t>https://www.metrocuadrado.com/inmueble/venta-apartaestudio-bogota-santa-teresa-2-habitaciones-1-banos/MC6499449</t>
  </si>
  <si>
    <t>MC6529210</t>
  </si>
  <si>
    <t>https://www.metrocuadrado.com/inmueble/venta-apartaestudio-bogota-nuevo-contry-1-habitaciones-2-banos-1-garajes/MC6529210</t>
  </si>
  <si>
    <t>MC6441901</t>
  </si>
  <si>
    <t>https://www.metrocuadrado.com/inmueble/venta-apartaestudio-bogota-monaco-1-habitaciones-1-banos-1-garajes/MC6441901</t>
  </si>
  <si>
    <t>21515-C0001-03</t>
  </si>
  <si>
    <t>https://www.metrocuadrado.com/proyecto/altus-124-apartaestudios-vis-precio-fijo/21515-C0001-03</t>
  </si>
  <si>
    <t>21515-C0001-04</t>
  </si>
  <si>
    <t>https://www.metrocuadrado.com/proyecto/altus-124-apartaestudios-vis-precio-fijo/21515-C0001-04</t>
  </si>
  <si>
    <t>21515-C0001-02</t>
  </si>
  <si>
    <t>https://www.metrocuadrado.com/proyecto/altus-124-apartaestudios-vis-precio-fijo/21515-C0001-02</t>
  </si>
  <si>
    <t>9914-M6367063</t>
  </si>
  <si>
    <t>https://www.metrocuadrado.com/inmueble/venta-apartaestudio-bogota-chico-norte-1-habitaciones-1-banos/9914-M6367063</t>
  </si>
  <si>
    <t>14271-M5773790</t>
  </si>
  <si>
    <t>https://www.metrocuadrado.com/inmueble/venta-apartaestudio-bogota-las-nieves-1-habitaciones-1-banos/14271-M5773790</t>
  </si>
  <si>
    <t>CHICONAVARRA</t>
  </si>
  <si>
    <t>17285-M5861896</t>
  </si>
  <si>
    <t>https://www.metrocuadrado.com/inmueble/venta-apartaestudio-bogota-chapinero-1-habitaciones-1-banos/17285-M5861896</t>
  </si>
  <si>
    <t>20859-M6301502</t>
  </si>
  <si>
    <t>https://www.metrocuadrado.com/inmueble/venta-apartaestudio-bogota-chapinero-1-habitaciones-1-banos/20859-M6301502</t>
  </si>
  <si>
    <t>14271-M5773776</t>
  </si>
  <si>
    <t>https://www.metrocuadrado.com/inmueble/venta-apartaestudio-bogota-las-nieves-1-habitaciones-1-banos/14271-M5773776</t>
  </si>
  <si>
    <t>20859-M6023945</t>
  </si>
  <si>
    <t>https://www.metrocuadrado.com/inmueble/venta-apartaestudio-bogota-chapinero-alto-1-habitaciones-1-banos/20859-M6023945</t>
  </si>
  <si>
    <t>72-M6173757</t>
  </si>
  <si>
    <t>https://www.metrocuadrado.com/inmueble/venta-apartaestudio-bogota-chico-norte-1-habitaciones-2-banos-1-garajes/72-M6173757</t>
  </si>
  <si>
    <t>661-M6521920</t>
  </si>
  <si>
    <t>https://www.metrocuadrado.com/inmueble/venta-apartaestudio-bogota-las-aguas-1-habitaciones-1-banos/661-M6521920</t>
  </si>
  <si>
    <t>14271-M5493864</t>
  </si>
  <si>
    <t>CJR QUO 97</t>
  </si>
  <si>
    <t>https://www.metrocuadrado.com/inmueble/venta-apartaestudio-bogota-cjr-quo-97-2-habitaciones-2-banos/14271-M5493864</t>
  </si>
  <si>
    <t>20832-M6034329</t>
  </si>
  <si>
    <t>https://www.metrocuadrado.com/inmueble/venta-apartaestudio-bogota-chico-1-habitaciones-1-banos/20832-M6034329</t>
  </si>
  <si>
    <t>14271-M5493855</t>
  </si>
  <si>
    <t>https://www.metrocuadrado.com/inmueble/venta-apartaestudio-bogota-cjr-quo-97-1-habitaciones-1-banos/14271-M5493855</t>
  </si>
  <si>
    <t>20610-M6245077</t>
  </si>
  <si>
    <t>https://www.metrocuadrado.com/inmueble/venta-apartaestudio-bogota-rosales-1-habitaciones-1-banos-1-garajes/20610-M6245077</t>
  </si>
  <si>
    <t>22203-M6575952</t>
  </si>
  <si>
    <t>https://www.metrocuadrado.com/inmueble/venta-apartaestudio-bogota-chico-norte-1-habitaciones-1-banos/22203-M6575952</t>
  </si>
  <si>
    <t>661-M6079268</t>
  </si>
  <si>
    <t>https://www.metrocuadrado.com/inmueble/venta-apartaestudio-bogota-barrancas-1-habitaciones-1-banos/661-M6079268</t>
  </si>
  <si>
    <t>897-M6425906</t>
  </si>
  <si>
    <t>https://www.metrocuadrado.com/inmueble/venta-apartaestudio-bogota-chapinero-central-1-habitaciones-1-banos/897-M6425906</t>
  </si>
  <si>
    <t>21822-M6343408</t>
  </si>
  <si>
    <t>https://www.metrocuadrado.com/inmueble/venta-apartaestudio-bogota-santa-barbara-oriental-1-habitaciones-1-banos-1-garajes/21822-M6343408</t>
  </si>
  <si>
    <t>18335-M6090659</t>
  </si>
  <si>
    <t>https://www.metrocuadrado.com/inmueble/venta-apartaestudio-bogota-polo-club-1-habitaciones-1-banos/18335-M6090659</t>
  </si>
  <si>
    <t>771-M6053744</t>
  </si>
  <si>
    <t>https://www.metrocuadrado.com/inmueble/venta-apartaestudio-bogota-chiconavarra-1-habitaciones-1-banos-2-garajes/771-M6053744</t>
  </si>
  <si>
    <t>771-M6491001</t>
  </si>
  <si>
    <t>https://www.metrocuadrado.com/inmueble/venta-apartaestudio-bogota-cedritos-1-habitaciones-1-banos-1-garajes/771-M6491001</t>
  </si>
  <si>
    <t>20859-M6024375</t>
  </si>
  <si>
    <t>LA ESTANZUELA</t>
  </si>
  <si>
    <t>https://www.metrocuadrado.com/inmueble/venta-apartaestudio-bogota-la-estanzuela-1-habitaciones-1-banos/20859-M6024375</t>
  </si>
  <si>
    <t>20804-M6521244</t>
  </si>
  <si>
    <t>https://www.metrocuadrado.com/inmueble/venta-apartaestudio-bogota-asd-1-habitaciones-1-banos/20804-M6521244</t>
  </si>
  <si>
    <t>14271-M5773769</t>
  </si>
  <si>
    <t>https://www.metrocuadrado.com/inmueble/venta-apartaestudio-bogota-las-nieves-1-habitaciones-1-banos/14271-M5773769</t>
  </si>
  <si>
    <t>2974-M6192856</t>
  </si>
  <si>
    <t>https://www.metrocuadrado.com/inmueble/venta-apartaestudio-bogota-mazuren-1-habitaciones-1-banos-1-garajes/2974-M6192856</t>
  </si>
  <si>
    <t>2974-M5791486</t>
  </si>
  <si>
    <t>https://www.metrocuadrado.com/inmueble/venta-apartaestudio-bogota-teusaquillo-1-habitaciones-1-banos/2974-M5791486</t>
  </si>
  <si>
    <t>15738-M6340065</t>
  </si>
  <si>
    <t>https://www.metrocuadrado.com/inmueble/venta-apartaestudio-bogota-nueva-zelandia-1-habitaciones-1-banos-1-garajes/15738-M6340065</t>
  </si>
  <si>
    <t>2147-M6536099</t>
  </si>
  <si>
    <t>https://www.metrocuadrado.com/inmueble/venta-apartaestudio-bogota-chico-norte-et-iii-1-habitaciones-1-banos-1-garajes/2147-M6536099</t>
  </si>
  <si>
    <t>2974-M5967892</t>
  </si>
  <si>
    <t>https://www.metrocuadrado.com/inmueble/venta-apartaestudio-bogota-samper-1-habitaciones-1-banos/2974-M5967892</t>
  </si>
  <si>
    <t>325-M6395411</t>
  </si>
  <si>
    <t>https://www.metrocuadrado.com/inmueble/venta-apartaestudio-bogota-primavera-occidental-1-habitaciones-1-banos-1-garajes/325-M6395411</t>
  </si>
  <si>
    <t>18516-M6071252</t>
  </si>
  <si>
    <t>EL RECUERDO</t>
  </si>
  <si>
    <t>https://www.metrocuadrado.com/inmueble/venta-apartaestudio-bogota-el-recuerdo-1-habitaciones-1-banos/18516-M6071252</t>
  </si>
  <si>
    <t>2974-M6214695</t>
  </si>
  <si>
    <t>https://www.metrocuadrado.com/inmueble/venta-apartaestudio-bogota-mazuren-1-habitaciones-1-banos-1-garajes/2974-M6214695</t>
  </si>
  <si>
    <t>15062-M5555614</t>
  </si>
  <si>
    <t>https://www.metrocuadrado.com/inmueble/venta-apartaestudio-bogota-teusaquillo-1-habitaciones-1-banos/15062-M5555614</t>
  </si>
  <si>
    <t>2974-M5976464</t>
  </si>
  <si>
    <t>https://www.metrocuadrado.com/inmueble/venta-apartaestudio-bogota-samper-1-habitaciones-1-banos/2974-M5976464</t>
  </si>
  <si>
    <t>18214-M6073854</t>
  </si>
  <si>
    <t>https://www.metrocuadrado.com/inmueble/venta-apartaestudio-bogota-chico-1-habitaciones-1-banos-2-garajes/18214-M6073854</t>
  </si>
  <si>
    <t>3535-M5462655</t>
  </si>
  <si>
    <t>https://www.metrocuadrado.com/inmueble/venta-apartaestudio-bogota-san-martin-1-habitaciones-2-banos-1-garajes/3535-M5462655</t>
  </si>
  <si>
    <t>2162-M6405263</t>
  </si>
  <si>
    <t>https://www.metrocuadrado.com/inmueble/venta-apartaestudio-bogota-san-patricio-1-habitaciones-2-banos-1-garajes/2162-M6405263</t>
  </si>
  <si>
    <t>14236-M6473088</t>
  </si>
  <si>
    <t>https://www.metrocuadrado.com/inmueble/venta-apartaestudio-bogota-chapinero-1-habitaciones-1-banos/14236-M6473088</t>
  </si>
  <si>
    <t>16124-M5703864</t>
  </si>
  <si>
    <t>EL POLO</t>
  </si>
  <si>
    <t>https://www.metrocuadrado.com/inmueble/venta-apartaestudio-bogota-el-polo-1-habitaciones-1-banos/16124-M5703864</t>
  </si>
  <si>
    <t>11369-M5761162</t>
  </si>
  <si>
    <t>https://www.metrocuadrado.com/inmueble/venta-apartaestudio-bogota-la-castellana-1-habitaciones-1-banos/11369-M5761162</t>
  </si>
  <si>
    <t>12033-M6505767</t>
  </si>
  <si>
    <t>LAS AGUAS UNIVERSIDAD DE LOS ANDES</t>
  </si>
  <si>
    <t>https://www.metrocuadrado.com/inmueble/venta-apartaestudio-bogota-las-aguas-universidad-de-los-andes-1-habitaciones-1-banos/12033-M6505767</t>
  </si>
  <si>
    <t>11369-M6353573</t>
  </si>
  <si>
    <t>https://www.metrocuadrado.com/inmueble/venta-apartaestudio-bogota-refugio-1-habitaciones-1-banos/11369-M6353573</t>
  </si>
  <si>
    <t>12364-M6390146</t>
  </si>
  <si>
    <t>https://www.metrocuadrado.com/inmueble/venta-apartaestudio-bogota-chico-norte-iii-1-habitaciones-1-banos/12364-M6390146</t>
  </si>
  <si>
    <t>3032-M6579622</t>
  </si>
  <si>
    <t>https://www.metrocuadrado.com/inmueble/venta-apartaestudio-bogota-la-castellana-1-habitaciones-1-banos/3032-M6579622</t>
  </si>
  <si>
    <t>MC6564161</t>
  </si>
  <si>
    <t>https://www.metrocuadrado.com/inmueble/venta-apartaestudio-bogota-el-contador-1-habitaciones-1-banos/MC6564161</t>
  </si>
  <si>
    <t>MC6547377</t>
  </si>
  <si>
    <t>https://www.metrocuadrado.com/inmueble/venta-apartaestudio-bogota-el-recuerdo-1-habitaciones-1-banos/MC6547377</t>
  </si>
  <si>
    <t>MC5796895</t>
  </si>
  <si>
    <t>https://www.metrocuadrado.com/inmueble/venta-apartaestudio-bogota-cjr.-pratum-1-habitaciones-1-banos-1-garajes/MC5796895</t>
  </si>
  <si>
    <t>MC6099719</t>
  </si>
  <si>
    <t>LAS FERIAS OCCIDENTAL</t>
  </si>
  <si>
    <t>https://www.metrocuadrado.com/inmueble/venta-apartaestudio-bogota-las-ferias-occidental-1-habitaciones-1-banos/MC6099719</t>
  </si>
  <si>
    <t>19578-M6080895</t>
  </si>
  <si>
    <t>CIUDAD SALITRE OCCIDENTE</t>
  </si>
  <si>
    <t>https://www.metrocuadrado.com/inmueble/venta-apartaestudio-bogota-ciudad-salitre-occidente-1-habitaciones-1-banos/19578-M6080895</t>
  </si>
  <si>
    <t>5031-M6070072</t>
  </si>
  <si>
    <t>URBANIZACION CASTILLA REAL</t>
  </si>
  <si>
    <t>https://www.metrocuadrado.com/inmueble/venta-apartaestudio-bogota-urbanizacion-castilla-real-1-habitaciones-1-banos/5031-M6070072</t>
  </si>
  <si>
    <t>20859-M6140153</t>
  </si>
  <si>
    <t>SAN VICTORINO</t>
  </si>
  <si>
    <t>https://www.metrocuadrado.com/inmueble/venta-apartaestudio-bogota-san-victorino-1-habitaciones-2-banos/20859-M6140153</t>
  </si>
  <si>
    <t>20434-M5854179</t>
  </si>
  <si>
    <t>https://www.metrocuadrado.com/inmueble/venta-apartaestudio-bogota-los-rosales-1-habitaciones-1-banos-1-garajes/20434-M5854179</t>
  </si>
  <si>
    <t>20859-M6139956</t>
  </si>
  <si>
    <t>https://www.metrocuadrado.com/inmueble/venta-apartaestudio-bogota-chapinero-1-habitaciones-1-banos/20859-M6139956</t>
  </si>
  <si>
    <t>72-M5762796</t>
  </si>
  <si>
    <t>https://www.metrocuadrado.com/inmueble/venta-apartaestudio-bogota-chico-1-habitaciones-2-banos-1-garajes/72-M5762796</t>
  </si>
  <si>
    <t>20610-M5958570</t>
  </si>
  <si>
    <t>https://www.metrocuadrado.com/inmueble/venta-apartaestudio-bogota-san-martin-1-habitaciones-2-banos-1-garajes/20610-M5958570</t>
  </si>
  <si>
    <t>20982-M6037283</t>
  </si>
  <si>
    <t>https://www.metrocuadrado.com/inmueble/venta-apartaestudio-bogota-cedritos-1-habitaciones-2-banos-1-garajes/20982-M6037283</t>
  </si>
  <si>
    <t>661-M6511589</t>
  </si>
  <si>
    <t>LOS CEDROS ORIENTAL</t>
  </si>
  <si>
    <t>https://www.metrocuadrado.com/inmueble/venta-apartaestudio-bogota-los-cedros-oriental-1-habitaciones-1-banos-1-garajes/661-M6511589</t>
  </si>
  <si>
    <t>5031-M6050381</t>
  </si>
  <si>
    <t>PRIMAVERA</t>
  </si>
  <si>
    <t>https://www.metrocuadrado.com/inmueble/venta-apartaestudio-bogota-primavera-1-habitaciones-1-banos/5031-M6050381</t>
  </si>
  <si>
    <t>20842-M6076720</t>
  </si>
  <si>
    <t>https://www.metrocuadrado.com/inmueble/venta-apartaestudio-bogota-san-martin-1-habitaciones-1-banos/20842-M6076720</t>
  </si>
  <si>
    <t>368-M6241921</t>
  </si>
  <si>
    <t>https://www.metrocuadrado.com/inmueble/venta-apartaestudio-bogota-chico-norte-1-habitaciones-1-banos-1-garajes/368-M6241921</t>
  </si>
  <si>
    <t>22366-M6571630</t>
  </si>
  <si>
    <t>https://www.metrocuadrado.com/inmueble/venta-apartaestudio-bogota-maria-cristina-1-habitaciones-2-banos-1-garajes/22366-M6571630</t>
  </si>
  <si>
    <t>21982-M6395928</t>
  </si>
  <si>
    <t>https://www.metrocuadrado.com/inmueble/venta-apartaestudio-bogota-santa-paula-1-habitaciones-2-banos-1-garajes/21982-M6395928</t>
  </si>
  <si>
    <t>72-M5762697</t>
  </si>
  <si>
    <t>CENTRO INTERNACIONAL</t>
  </si>
  <si>
    <t>https://www.metrocuadrado.com/inmueble/venta-apartaestudio-bogota-centro-internacional-1-habitaciones-2-banos-1-garajes/72-M5762697</t>
  </si>
  <si>
    <t>11256-M6579101</t>
  </si>
  <si>
    <t>https://www.metrocuadrado.com/inmueble/venta-apartaestudio-bogota-chapinero-central-1-habitaciones-1-banos-1-garajes/11256-M6579101</t>
  </si>
  <si>
    <t>20859-M6343327</t>
  </si>
  <si>
    <t>https://www.metrocuadrado.com/inmueble/venta-apartaestudio-bogota-marly-1-habitaciones-1-banos/20859-M6343327</t>
  </si>
  <si>
    <t>20859-M6023734</t>
  </si>
  <si>
    <t>PARQUE CENTRAL BAVARIA</t>
  </si>
  <si>
    <t>https://www.metrocuadrado.com/inmueble/venta-apartaestudio-bogota-parque-central-bavaria-1-habitaciones-1-banos/20859-M6023734</t>
  </si>
  <si>
    <t>771-M6124056</t>
  </si>
  <si>
    <t>https://www.metrocuadrado.com/inmueble/venta-apartaestudio-bogota-cedritos-1-habitaciones-2-banos-1-garajes/771-M6124056</t>
  </si>
  <si>
    <t>20859-M6024036</t>
  </si>
  <si>
    <t>https://www.metrocuadrado.com/inmueble/venta-apartaestudio-bogota-chapinero-central-1-habitaciones-1-banos/20859-M6024036</t>
  </si>
  <si>
    <t>4186-M6328096</t>
  </si>
  <si>
    <t>LA CANDELARIA</t>
  </si>
  <si>
    <t>https://www.metrocuadrado.com/inmueble/venta-apartaestudio-bogota-la-candelaria-1-habitaciones-1-banos/4186-M6328096</t>
  </si>
  <si>
    <t>5044-M5412205</t>
  </si>
  <si>
    <t>ALTOS DE SOTILEZA</t>
  </si>
  <si>
    <t>https://www.metrocuadrado.com/inmueble/venta-apartaestudio-bogota-altos-de-sotileza-4-habitaciones-5-banos-3-garajes/5044-M5412205</t>
  </si>
  <si>
    <t>21362-M6125133</t>
  </si>
  <si>
    <t>https://www.metrocuadrado.com/inmueble/venta-apartaestudio-bogota-chico-norte-1-habitaciones-1-banos/21362-M6125133</t>
  </si>
  <si>
    <t>5044-M5951319</t>
  </si>
  <si>
    <t>https://www.metrocuadrado.com/inmueble/venta-apartaestudio-bogota-bella-suiza-1-habitaciones-2-banos-1-garajes/5044-M5951319</t>
  </si>
  <si>
    <t>21373-M6481216</t>
  </si>
  <si>
    <t>https://www.metrocuadrado.com/inmueble/venta-apartaestudio-bogota-rincon-del-chico-1-habitaciones-1-banos-1-garajes/21373-M6481216</t>
  </si>
  <si>
    <t>16437-M6492302</t>
  </si>
  <si>
    <t>https://www.metrocuadrado.com/inmueble/venta-apartaestudio-bogota-santa-barbara-1-habitaciones-1-banos/16437-M6492302</t>
  </si>
  <si>
    <t>9894-M6554526</t>
  </si>
  <si>
    <t>https://www.metrocuadrado.com/inmueble/venta-apartaestudio-bogota-santa-barbara-occidental-1-habitaciones-1-banos-1-garajes/9894-M6554526</t>
  </si>
  <si>
    <t>16108-M5556989</t>
  </si>
  <si>
    <t>https://www.metrocuadrado.com/inmueble/venta-apartaestudio-bogota-samper-1-habitaciones-1-banos/16108-M5556989</t>
  </si>
  <si>
    <t>2974-M6513935</t>
  </si>
  <si>
    <t>https://www.metrocuadrado.com/inmueble/venta-apartaestudio-bogota-los-olivos-1-habitaciones-1-banos/2974-M6513935</t>
  </si>
  <si>
    <t>VALPARAISO</t>
  </si>
  <si>
    <t>16959-M6574265</t>
  </si>
  <si>
    <t>https://www.metrocuadrado.com/inmueble/venta-apartaestudio-bogota-victoria-norte-1-habitaciones-1-banos/16959-M6574265</t>
  </si>
  <si>
    <t>2147-M5992392</t>
  </si>
  <si>
    <t>https://www.metrocuadrado.com/inmueble/venta-apartaestudio-bogota-santa-bibiana-1-habitaciones-1-banos-2-garajes/2147-M5992392</t>
  </si>
  <si>
    <t>12073-M6521798</t>
  </si>
  <si>
    <t>https://www.metrocuadrado.com/inmueble/venta-apartaestudio-bogota-la-castellana-1-habitaciones-1-banos/12073-M6521798</t>
  </si>
  <si>
    <t>5143-M6505224</t>
  </si>
  <si>
    <t>https://www.metrocuadrado.com/inmueble/venta-apartaestudio-bogota-chapinero-1-habitaciones-1-banos/5143-M6505224</t>
  </si>
  <si>
    <t>15515-M6251596</t>
  </si>
  <si>
    <t>https://www.metrocuadrado.com/inmueble/venta-apartaestudio-bogota-el-recuerdo-1-habitaciones-1-banos/15515-M6251596</t>
  </si>
  <si>
    <t>17178-M6500148</t>
  </si>
  <si>
    <t>https://www.metrocuadrado.com/inmueble/venta-apartaestudio-bogota-barrancas-1-habitaciones-1-banos/17178-M6500148</t>
  </si>
  <si>
    <t>14236-M6312753</t>
  </si>
  <si>
    <t>https://www.metrocuadrado.com/inmueble/venta-apartaestudio-bogota-chico-1-habitaciones-1-banos-2-garajes/14236-M6312753</t>
  </si>
  <si>
    <t>2444-M5956868</t>
  </si>
  <si>
    <t>https://www.metrocuadrado.com/inmueble/venta-apartaestudio-bogota-santa-ana-1-habitaciones-2-banos-1-garajes/2444-M5956868</t>
  </si>
  <si>
    <t>703-M5756582</t>
  </si>
  <si>
    <t>https://www.metrocuadrado.com/inmueble/venta-apartaestudio-bogota-chapinero-norte-1-habitaciones-1-banos/703-M5756582</t>
  </si>
  <si>
    <t>703-M5756589</t>
  </si>
  <si>
    <t>https://www.metrocuadrado.com/inmueble/venta-apartaestudio-bogota-chapinero-norte-1-habitaciones-1-banos/703-M5756589</t>
  </si>
  <si>
    <t>614-M6224810</t>
  </si>
  <si>
    <t>https://www.metrocuadrado.com/inmueble/venta-apartaestudio-bogota-bonanza-1-habitaciones-1-banos/614-M6224810</t>
  </si>
  <si>
    <t>5440-M5774391</t>
  </si>
  <si>
    <t>https://www.metrocuadrado.com/inmueble/venta-apartaestudio-bogota-los-olivos-1-habitaciones-1-banos/5440-M5774391</t>
  </si>
  <si>
    <t>17290-M6400111</t>
  </si>
  <si>
    <t>https://www.metrocuadrado.com/inmueble/venta-apartaestudio-bogota-asd-1-habitaciones-1-banos/17290-M6400111</t>
  </si>
  <si>
    <t>2648-M6584265</t>
  </si>
  <si>
    <t>SAN PABLO JERICO</t>
  </si>
  <si>
    <t>https://www.metrocuadrado.com/inmueble/venta-apartaestudio-bogota-san-pablo-jerico-1-habitaciones-1-banos/2648-M6584265</t>
  </si>
  <si>
    <t>12364-M6358838</t>
  </si>
  <si>
    <t>https://www.metrocuadrado.com/inmueble/venta-apartaestudio-bogota-chapinero-central-1-habitaciones-1-banos/12364-M6358838</t>
  </si>
  <si>
    <t>MC6560577</t>
  </si>
  <si>
    <t>INGLES</t>
  </si>
  <si>
    <t>https://www.metrocuadrado.com/inmueble/venta-apartaestudio-bogota-ingles-1-habitaciones-1-banos/MC6560577</t>
  </si>
  <si>
    <t>MC6516290</t>
  </si>
  <si>
    <t>ALCAZARES</t>
  </si>
  <si>
    <t>https://www.metrocuadrado.com/inmueble/venta-apartaestudio-bogota-alcazares-1-habitaciones-1-banos-1-garajes/MC6516290</t>
  </si>
  <si>
    <t>MC6552712</t>
  </si>
  <si>
    <t>https://www.metrocuadrado.com/inmueble/venta-apartaestudio-bogota-santa-isabel-sur-1-habitaciones-1-banos-1-garajes/MC6552712</t>
  </si>
  <si>
    <t>MC6441903</t>
  </si>
  <si>
    <t>https://www.metrocuadrado.com/inmueble/venta-apartaestudio-bogota-los-olivos-1-habitaciones-1-banos/MC6441903</t>
  </si>
  <si>
    <t>20859-M6024003</t>
  </si>
  <si>
    <t>https://www.metrocuadrado.com/inmueble/venta-apartaestudio-bogota-cedritos-1-habitaciones-1-banos-1-garajes/20859-M6024003</t>
  </si>
  <si>
    <t>5545-M5462900</t>
  </si>
  <si>
    <t>https://www.metrocuadrado.com/inmueble/venta-apartaestudio-bogota-chico-1-habitaciones-2-banos-1-garajes/5545-M5462900</t>
  </si>
  <si>
    <t>21486-M6574953</t>
  </si>
  <si>
    <t>https://www.metrocuadrado.com/inmueble/venta-apartaestudio-bogota-la-porciuncula-1-habitaciones-2-banos-1-garajes/21486-M6574953</t>
  </si>
  <si>
    <t>20859-M6150599</t>
  </si>
  <si>
    <t>https://www.metrocuadrado.com/inmueble/venta-apartaestudio-bogota-chapinero-1-habitaciones-1-banos/20859-M6150599</t>
  </si>
  <si>
    <t>20859-M6421762</t>
  </si>
  <si>
    <t>https://www.metrocuadrado.com/inmueble/venta-apartaestudio-bogota-marly-1-habitaciones-1-banos/20859-M6421762</t>
  </si>
  <si>
    <t>14271-M5963676</t>
  </si>
  <si>
    <t>https://www.metrocuadrado.com/inmueble/venta-apartaestudio-bogota-las-nieves-2-habitaciones-2-banos/14271-M5963676</t>
  </si>
  <si>
    <t>304-M5790699</t>
  </si>
  <si>
    <t>https://www.metrocuadrado.com/inmueble/venta-apartaestudio-bogota-polo-club-1-habitaciones-1-banos/304-M5790699</t>
  </si>
  <si>
    <t>72-M5801667</t>
  </si>
  <si>
    <t>EL CHICO</t>
  </si>
  <si>
    <t>https://www.metrocuadrado.com/inmueble/venta-apartaestudio-bogota-el-chico-1-habitaciones-2-banos-1-garajes/72-M5801667</t>
  </si>
  <si>
    <t>3496-M6579778</t>
  </si>
  <si>
    <t>LA MACARENA</t>
  </si>
  <si>
    <t>https://www.metrocuadrado.com/inmueble/venta-apartaestudio-bogota-la-macarena-1-habitaciones-1-banos-1-garajes/3496-M6579778</t>
  </si>
  <si>
    <t>72-M5829573</t>
  </si>
  <si>
    <t>https://www.metrocuadrado.com/inmueble/venta-apartaestudio-bogota-chico-norte-ii-1-habitaciones-2-banos-1-garajes/72-M5829573</t>
  </si>
  <si>
    <t>72-M6384131</t>
  </si>
  <si>
    <t>https://www.metrocuadrado.com/inmueble/venta-apartaestudio-bogota-chico-norte-1-habitaciones-2-banos-1-garajes/72-M6384131</t>
  </si>
  <si>
    <t>20859-M6024297</t>
  </si>
  <si>
    <t>https://www.metrocuadrado.com/inmueble/venta-apartaestudio-bogota-la-estanzuela-1-habitaciones-1-banos/20859-M6024297</t>
  </si>
  <si>
    <t>20447-M5861243</t>
  </si>
  <si>
    <t>ALFONSO LOPEZ</t>
  </si>
  <si>
    <t>https://www.metrocuadrado.com/inmueble/venta-apartaestudio-bogota-alfonso-lopez-1-habitaciones-2-banos-1-garajes/20447-M5861243</t>
  </si>
  <si>
    <t>21373-M6401106</t>
  </si>
  <si>
    <t>https://www.metrocuadrado.com/inmueble/venta-apartaestudio-bogota-chico-1-habitaciones-1-banos-1-garajes/21373-M6401106</t>
  </si>
  <si>
    <t>19578-M6574046</t>
  </si>
  <si>
    <t>https://www.metrocuadrado.com/inmueble/venta-apartaestudio-bogota-teusaquillo-1-habitaciones-1-banos/19578-M6574046</t>
  </si>
  <si>
    <t>21638-M6290889</t>
  </si>
  <si>
    <t>https://www.metrocuadrado.com/inmueble/venta-apartaestudio-bogota-santa-teresita-1-habitaciones-1-banos-1-garajes/21638-M6290889</t>
  </si>
  <si>
    <t>72-M5852658</t>
  </si>
  <si>
    <t>https://www.metrocuadrado.com/inmueble/venta-apartaestudio-bogota-centro-internacional-1-habitaciones-2-banos/72-M5852658</t>
  </si>
  <si>
    <t>20804-M6481082</t>
  </si>
  <si>
    <t>https://www.metrocuadrado.com/inmueble/venta-apartaestudio-bogota-rincon-del-chico-1-habitaciones-1-banos-1-garajes/20804-M6481082</t>
  </si>
  <si>
    <t>13436-M6588617</t>
  </si>
  <si>
    <t>https://www.metrocuadrado.com/inmueble/venta-apartaestudio-bogota-asd-1-habitaciones-1-banos-1-garajes/13436-M6588617</t>
  </si>
  <si>
    <t>20704-M6297958</t>
  </si>
  <si>
    <t>https://www.metrocuadrado.com/inmueble/venta-apartaestudio-bogota-los-andes-norte-1-habitaciones-2-banos-1-garajes/20704-M6297958</t>
  </si>
  <si>
    <t>5545-M6173824</t>
  </si>
  <si>
    <t>https://www.metrocuadrado.com/inmueble/venta-apartaestudio-bogota-chico-1-habitaciones-2-banos-1-garajes/5545-M6173824</t>
  </si>
  <si>
    <t>14953-M6494960</t>
  </si>
  <si>
    <t>https://www.metrocuadrado.com/inmueble/venta-apartaestudio-bogota-chico-norte-1-habitaciones-1-banos/14953-M6494960</t>
  </si>
  <si>
    <t>20859-M6023711</t>
  </si>
  <si>
    <t>https://www.metrocuadrado.com/inmueble/venta-apartaestudio-bogota-la-castellana-1-habitaciones-1-banos/20859-M6023711</t>
  </si>
  <si>
    <t>2996-M5676283</t>
  </si>
  <si>
    <t>https://www.metrocuadrado.com/inmueble/venta-apartaestudio-bogota-los-andes-norte-1-habitaciones-2-banos-1-garajes/2996-M5676283</t>
  </si>
  <si>
    <t>16959-M6366524</t>
  </si>
  <si>
    <t>https://www.metrocuadrado.com/inmueble/venta-apartaestudio-bogota-las-nieves-1-habitaciones-1-banos/16959-M6366524</t>
  </si>
  <si>
    <t>14033-M6434780</t>
  </si>
  <si>
    <t>https://www.metrocuadrado.com/inmueble/venta-apartaestudio-bogota-santa-cecilia-1-habitaciones-1-banos/14033-M6434780</t>
  </si>
  <si>
    <t>14984-M6372333</t>
  </si>
  <si>
    <t>https://www.metrocuadrado.com/inmueble/venta-apartaestudio-bogota-el-plan-1-habitaciones-1-banos/14984-M6372333</t>
  </si>
  <si>
    <t>4887-M6290312</t>
  </si>
  <si>
    <t>MULTIFAMILIAR LAS BRISAS</t>
  </si>
  <si>
    <t>https://www.metrocuadrado.com/inmueble/venta-apartaestudio-bogota-multifamiliar-las-brisas-1-habitaciones-1-banos/4887-M6290312</t>
  </si>
  <si>
    <t>11295-M6454218</t>
  </si>
  <si>
    <t>https://www.metrocuadrado.com/inmueble/venta-apartaestudio-bogota-las-nieves-1-habitaciones-2-banos/11295-M6454218</t>
  </si>
  <si>
    <t>159-M6587218</t>
  </si>
  <si>
    <t>https://www.metrocuadrado.com/inmueble/venta-apartaestudio-bogota-chapinero-norte-1-habitaciones-1-banos/159-M6587218</t>
  </si>
  <si>
    <t>18343-M5773699</t>
  </si>
  <si>
    <t>https://www.metrocuadrado.com/inmueble/venta-apartaestudio-bogota-la-veracruz-1-habitaciones-1-banos/18343-M5773699</t>
  </si>
  <si>
    <t>15704-M5760540</t>
  </si>
  <si>
    <t>SAN FERNANDO</t>
  </si>
  <si>
    <t>https://www.metrocuadrado.com/inmueble/venta-apartaestudio-bogota-san-fernando-1-habitaciones-1-banos/15704-M5760540</t>
  </si>
  <si>
    <t>17091-M5958493</t>
  </si>
  <si>
    <t>CONJUNTO RESIDENCIAL CENTENARI</t>
  </si>
  <si>
    <t>https://www.metrocuadrado.com/inmueble/venta-apartaestudio-bogota-conjunto-residencial-centenari-1-habitaciones-1-banos/17091-M5958493</t>
  </si>
  <si>
    <t>11295-M6319065</t>
  </si>
  <si>
    <t>https://www.metrocuadrado.com/inmueble/venta-apartaestudio-bogota-santa-barbara-occidental-1-habitaciones-2-banos-2-garajes/11295-M6319065</t>
  </si>
  <si>
    <t>73-M6441862</t>
  </si>
  <si>
    <t>https://www.metrocuadrado.com/inmueble/venta-apartaestudio-bogota-los-monjes-1-habitaciones-1-banos/73-M6441862</t>
  </si>
  <si>
    <t>11013-M5634511</t>
  </si>
  <si>
    <t>https://www.metrocuadrado.com/inmueble/venta-apartaestudio-bogota-chico-norte-1-habitaciones-2-banos-1-garajes/11013-M5634511</t>
  </si>
  <si>
    <t>2751-M5592643</t>
  </si>
  <si>
    <t>https://www.metrocuadrado.com/inmueble/venta-apartaestudio-bogota-marly-1-habitaciones-1-banos/2751-M5592643</t>
  </si>
  <si>
    <t>258-M5045267</t>
  </si>
  <si>
    <t>https://www.metrocuadrado.com/inmueble/venta-apartaestudio-bogota-santa-paula-3-habitaciones-4-banos-2-garajes/258-M5045267</t>
  </si>
  <si>
    <t>11013-M5619689</t>
  </si>
  <si>
    <t>https://www.metrocuadrado.com/inmueble/venta-apartaestudio-bogota-santa-barbara-1-habitaciones-2-banos-1-garajes/11013-M5619689</t>
  </si>
  <si>
    <t>2377-M6142654</t>
  </si>
  <si>
    <t>https://www.metrocuadrado.com/inmueble/venta-apartaestudio-bogota-montevideo-1-habitaciones-1-banos/2377-M6142654</t>
  </si>
  <si>
    <t>12364-M6111526</t>
  </si>
  <si>
    <t>https://www.metrocuadrado.com/inmueble/venta-apartaestudio-bogota-centro-internacional-1-habitaciones-2-banos-1-garajes/12364-M6111526</t>
  </si>
  <si>
    <t>2398-M6335094</t>
  </si>
  <si>
    <t>https://www.metrocuadrado.com/inmueble/venta-apartaestudio-bogota-el-chico-1-habitaciones-1-banos/2398-M6335094</t>
  </si>
  <si>
    <t>2368-M5703737</t>
  </si>
  <si>
    <t>https://www.metrocuadrado.com/inmueble/venta-apartaestudio-bogota-san-diego-1-habitaciones-1-banos-1-garajes/2368-M5703737</t>
  </si>
  <si>
    <t>347-M5459612</t>
  </si>
  <si>
    <t>CJR SAN REMO II</t>
  </si>
  <si>
    <t>https://www.metrocuadrado.com/inmueble/venta-apartaestudio-bogota-cjr-san-remo-ii-1-habitaciones-1-banos-2-garajes/347-M5459612</t>
  </si>
  <si>
    <t>MC6560967</t>
  </si>
  <si>
    <t>https://www.metrocuadrado.com/inmueble/venta-apartaestudio-bogota-las-nieves-1-habitaciones-1-banos-1-garajes/MC6560967</t>
  </si>
  <si>
    <t>MC6399041</t>
  </si>
  <si>
    <t>CENTRO FONTIBON</t>
  </si>
  <si>
    <t>https://www.metrocuadrado.com/inmueble/venta-apartaestudio-bogota-centro-fontibon-1-habitaciones-1-banos/MC6399041</t>
  </si>
  <si>
    <t>MC6259177</t>
  </si>
  <si>
    <t>https://www.metrocuadrado.com/inmueble/venta-apartaestudio-bogota-a.s.d.-1-habitaciones-1-banos/MC6259177</t>
  </si>
  <si>
    <t>MC6441902</t>
  </si>
  <si>
    <t>https://www.metrocuadrado.com/inmueble/venta-apartaestudio-bogota-el-retiro-1-habitaciones-1-banos-1-garajes/MC6441902</t>
  </si>
  <si>
    <t>19579-M6301076</t>
  </si>
  <si>
    <t>https://www.metrocuadrado.com/inmueble/venta-apartaestudio-bogota-niza-suba-3-habitaciones-4-banos-4-garajes/19579-M6301076</t>
  </si>
  <si>
    <t>21216-M6567425</t>
  </si>
  <si>
    <t>https://www.metrocuadrado.com/inmueble/venta-apartaestudio-bogota-pasadena-1-habitaciones-1-banos/21216-M6567425</t>
  </si>
  <si>
    <t>20859-M6024693</t>
  </si>
  <si>
    <t>https://www.metrocuadrado.com/inmueble/venta-apartaestudio-bogota-chapinero-alto-1-habitaciones-1-banos/20859-M6024693</t>
  </si>
  <si>
    <t>734-M6135036</t>
  </si>
  <si>
    <t>https://www.metrocuadrado.com/inmueble/venta-apartaestudio-bogota-los-andes-1-habitaciones-1-banos/734-M6135036</t>
  </si>
  <si>
    <t>20859-M6140037</t>
  </si>
  <si>
    <t>https://www.metrocuadrado.com/inmueble/venta-apartaestudio-bogota-veraguas-1-habitaciones-1-banos/20859-M6140037</t>
  </si>
  <si>
    <t>17565-M6186646</t>
  </si>
  <si>
    <t>FONTIBON SAN PABLO</t>
  </si>
  <si>
    <t>https://www.metrocuadrado.com/inmueble/venta-apartaestudio-bogota-fontibon-san-pablo-2-habitaciones-1-banos/17565-M6186646</t>
  </si>
  <si>
    <t>19579-M6523407</t>
  </si>
  <si>
    <t>https://www.metrocuadrado.com/inmueble/venta-apartaestudio-bogota-santa-ana-oriental-1-habitaciones-2-banos-1-garajes/19579-M6523407</t>
  </si>
  <si>
    <t>20031-M6113407</t>
  </si>
  <si>
    <t>https://www.metrocuadrado.com/inmueble/venta-apartaestudio-bogota-teusaquillo-1-habitaciones-1-banos/20031-M6113407</t>
  </si>
  <si>
    <t>4186-M6025607</t>
  </si>
  <si>
    <t>https://www.metrocuadrado.com/inmueble/venta-apartaestudio-bogota-chico-norte-1-habitaciones-1-banos/4186-M6025607</t>
  </si>
  <si>
    <t>21438-M6132426</t>
  </si>
  <si>
    <t>https://www.metrocuadrado.com/inmueble/venta-apartaestudio-bogota-las-nieves-1-habitaciones-1-banos/21438-M6132426</t>
  </si>
  <si>
    <t>897-M6354718</t>
  </si>
  <si>
    <t>https://www.metrocuadrado.com/inmueble/venta-apartaestudio-bogota-el-chico-1-habitaciones-1-banos/897-M6354718</t>
  </si>
  <si>
    <t>5545-M5585402</t>
  </si>
  <si>
    <t>https://www.metrocuadrado.com/inmueble/venta-apartaestudio-bogota-samper-1-habitaciones-1-banos/5545-M5585402</t>
  </si>
  <si>
    <t>20682-M6451648</t>
  </si>
  <si>
    <t>https://www.metrocuadrado.com/inmueble/venta-apartaestudio-bogota-el-dorado-2-habitaciones-1-banos/20682-M6451648</t>
  </si>
  <si>
    <t>21532-M6406219</t>
  </si>
  <si>
    <t>https://www.metrocuadrado.com/inmueble/venta-apartaestudio-bogota-prado-pinzon-1-habitaciones-1-banos/21532-M6406219</t>
  </si>
  <si>
    <t>5044-M4886902</t>
  </si>
  <si>
    <t>https://www.metrocuadrado.com/inmueble/venta-apartaestudio-bogota-santa-ana-occidental-1-habitaciones-1-banos/5044-M4886902</t>
  </si>
  <si>
    <t>11104-M6083694</t>
  </si>
  <si>
    <t>https://www.metrocuadrado.com/inmueble/venta-apartaestudio-bogota-la-estanzuela-1-habitaciones-1-banos/11104-M6083694</t>
  </si>
  <si>
    <t>304-M5657914</t>
  </si>
  <si>
    <t>https://www.metrocuadrado.com/inmueble/venta-apartaestudio-bogota-santa-paula-1-habitaciones-1-banos/304-M5657914</t>
  </si>
  <si>
    <t>2748-M5396977</t>
  </si>
  <si>
    <t>https://www.metrocuadrado.com/inmueble/venta-apartaestudio-bogota-chico-norte-et.-iii-1-habitaciones-1-banos/2748-M5396977</t>
  </si>
  <si>
    <t>21414-M6220055</t>
  </si>
  <si>
    <t>ARMENIA</t>
  </si>
  <si>
    <t>https://www.metrocuadrado.com/inmueble/venta-apartaestudio-bogota-armenia-1-habitaciones-1-banos-1-garajes/21414-M6220055</t>
  </si>
  <si>
    <t>72-M5762803</t>
  </si>
  <si>
    <t>https://www.metrocuadrado.com/inmueble/venta-apartaestudio-bogota-chico-1-habitaciones-2-banos-1-garajes/72-M5762803</t>
  </si>
  <si>
    <t>17285-M6227681</t>
  </si>
  <si>
    <t>https://www.metrocuadrado.com/inmueble/venta-apartaestudio-bogota-chico-navarra-3-habitaciones-3-banos-2-garajes/17285-M6227681</t>
  </si>
  <si>
    <t>18599-M6388697</t>
  </si>
  <si>
    <t>SAN JORGE SUR</t>
  </si>
  <si>
    <t>https://www.metrocuadrado.com/inmueble/venta-apartaestudio-bogota-san-jorge-sur-1-habitaciones-2-banos-1-garajes/18599-M6388697</t>
  </si>
  <si>
    <t>5545-M6572146</t>
  </si>
  <si>
    <t>https://www.metrocuadrado.com/inmueble/venta-apartaestudio-bogota-santa-barbara-1-habitaciones-1-banos-1-garajes/5545-M6572146</t>
  </si>
  <si>
    <t>20859-M6140143</t>
  </si>
  <si>
    <t>https://www.metrocuadrado.com/inmueble/venta-apartaestudio-bogota-centro-internacional-1-habitaciones-1-banos-1-garajes/20859-M6140143</t>
  </si>
  <si>
    <t>17565-M6397616</t>
  </si>
  <si>
    <t>https://www.metrocuadrado.com/inmueble/venta-apartaestudio-bogota-san-luis-1-habitaciones-1-banos/17565-M6397616</t>
  </si>
  <si>
    <t>20859-M6025050</t>
  </si>
  <si>
    <t>VILLA DEL PRADO</t>
  </si>
  <si>
    <t>https://www.metrocuadrado.com/inmueble/venta-apartaestudio-bogota-villa-del-prado-1-habitaciones-1-banos/20859-M6025050</t>
  </si>
  <si>
    <t>2147-M5642233</t>
  </si>
  <si>
    <t>CJR C 118</t>
  </si>
  <si>
    <t>https://www.metrocuadrado.com/inmueble/venta-apartaestudio-bogota-cjr-c-118-1-habitaciones-1-banos-1-garajes/2147-M5642233</t>
  </si>
  <si>
    <t>11057-M5821147</t>
  </si>
  <si>
    <t>BELALCAZAR</t>
  </si>
  <si>
    <t>https://www.metrocuadrado.com/inmueble/venta-apartaestudio-bogota-belalcazar-1-habitaciones-1-banos/11057-M5821147</t>
  </si>
  <si>
    <t>2147-M5245519</t>
  </si>
  <si>
    <t>SAN PATRICIO   EDIF SANT AGUA</t>
  </si>
  <si>
    <t>https://www.metrocuadrado.com/inmueble/venta-apartaestudio-bogota-san-patricio-edif-sant-agua-1-habitaciones-1-banos-1-garajes/2147-M5245519</t>
  </si>
  <si>
    <t>11295-M6585542</t>
  </si>
  <si>
    <t>https://www.metrocuadrado.com/inmueble/venta-apartaestudio-bogota-estoril-1-habitaciones-1-banos-1-garajes/11295-M6585542</t>
  </si>
  <si>
    <t>17271-M6064072</t>
  </si>
  <si>
    <t>https://www.metrocuadrado.com/inmueble/venta-apartaestudio-bogota-chapinero-central-1-habitaciones-1-banos/17271-M6064072</t>
  </si>
  <si>
    <t>2147-M6524795</t>
  </si>
  <si>
    <t>https://www.metrocuadrado.com/inmueble/venta-apartaestudio-bogota-santa-bibiana-1-habitaciones-1-banos-1-garajes/2147-M6524795</t>
  </si>
  <si>
    <t>11295-M6585600</t>
  </si>
  <si>
    <t>https://www.metrocuadrado.com/inmueble/venta-apartaestudio-bogota-santa-barbara-oriental-1-habitaciones-1-banos-1-garajes/11295-M6585600</t>
  </si>
  <si>
    <t>2147-M6465804</t>
  </si>
  <si>
    <t>https://www.metrocuadrado.com/inmueble/venta-apartaestudio-bogota-los-cedritos-1-habitaciones-1-banos-1-garajes/2147-M6465804</t>
  </si>
  <si>
    <t>16385-M4597432</t>
  </si>
  <si>
    <t>https://www.metrocuadrado.com/inmueble/venta-apartaestudio-bogota-santa-barbara-occidental-1-habitaciones-2-banos-1-garajes/16385-M4597432</t>
  </si>
  <si>
    <t>2147-M6473831</t>
  </si>
  <si>
    <t>EL REAL</t>
  </si>
  <si>
    <t>https://www.metrocuadrado.com/inmueble/venta-apartaestudio-bogota-el-real-1-habitaciones-1-banos-1-garajes/2147-M6473831</t>
  </si>
  <si>
    <t>384-M4909802</t>
  </si>
  <si>
    <t>BARRANCAS USAQUEN</t>
  </si>
  <si>
    <t>https://www.metrocuadrado.com/inmueble/venta-apartaestudio-bogota-barrancas-usaquen-1-habitaciones-1-banos/384-M4909802</t>
  </si>
  <si>
    <t>73-M6328427</t>
  </si>
  <si>
    <t>https://www.metrocuadrado.com/inmueble/venta-apartaestudio-bogota-la-colina-campestre-2-habitaciones-1-banos/73-M6328427</t>
  </si>
  <si>
    <t>10119-M6368979</t>
  </si>
  <si>
    <t>https://www.metrocuadrado.com/inmueble/venta-apartaestudio-bogota-nicolas-de-federman-1-habitaciones-1-banos-1-garajes/10119-M6368979</t>
  </si>
  <si>
    <t>73-M6441988</t>
  </si>
  <si>
    <t>https://www.metrocuadrado.com/inmueble/venta-apartaestudio-bogota-los-monjes-1-habitaciones-1-banos/73-M6441988</t>
  </si>
  <si>
    <t>312-M6149303</t>
  </si>
  <si>
    <t>https://www.metrocuadrado.com/inmueble/venta-apartaestudio-bogota-santa-barbara-1-habitaciones-1-banos/312-M6149303</t>
  </si>
  <si>
    <t>14255-M6489701</t>
  </si>
  <si>
    <t>https://www.metrocuadrado.com/inmueble/venta-apartaestudio-bogota-santa-bibiana-1-habitaciones-2-banos-2-garajes/14255-M6489701</t>
  </si>
  <si>
    <t>14255-M6553855</t>
  </si>
  <si>
    <t>https://www.metrocuadrado.com/inmueble/venta-apartaestudio-bogota-bella-suiza-1-habitaciones-2-banos-1-garajes/14255-M6553855</t>
  </si>
  <si>
    <t>432-M6322396</t>
  </si>
  <si>
    <t>https://www.metrocuadrado.com/inmueble/venta-apartaestudio-bogota-san-diego-1-habitaciones-1-banos/432-M6322396</t>
  </si>
  <si>
    <t>19337-M6151338</t>
  </si>
  <si>
    <t>https://www.metrocuadrado.com/inmueble/venta-apartaestudio-bogota-la-calleja-1-habitaciones-2-banos-1-garajes/19337-M6151338</t>
  </si>
  <si>
    <t>5035-M6470584</t>
  </si>
  <si>
    <t>https://www.metrocuadrado.com/inmueble/venta-apartaestudio-bogota-san-martin-1-habitaciones-2-banos-1-garajes/5035-M6470584</t>
  </si>
  <si>
    <t>MC6553198</t>
  </si>
  <si>
    <t>https://www.metrocuadrado.com/inmueble/venta-apartaestudio-bogota-los-cedritos-1-habitaciones-1-banos/MC6553198</t>
  </si>
  <si>
    <t>MC6434521</t>
  </si>
  <si>
    <t>https://www.metrocuadrado.com/inmueble/venta-apartaestudio-bogota-la-veracruz-1-habitaciones-1-banos-1-garajes/MC6434521</t>
  </si>
  <si>
    <t>MC6510251</t>
  </si>
  <si>
    <t>https://www.metrocuadrado.com/inmueble/venta-apartaestudio-bogota-la-castellana-1-habitaciones-1-banos/MC6510251</t>
  </si>
  <si>
    <t>72-M5762608</t>
  </si>
  <si>
    <t>https://www.metrocuadrado.com/inmueble/venta-apartaestudio-bogota-el-refugio-1-habitaciones-1-banos-1-garajes/72-M5762608</t>
  </si>
  <si>
    <t>20451-M6028205</t>
  </si>
  <si>
    <t>https://www.metrocuadrado.com/inmueble/venta-apartaestudio-bogota-prado-pinzon-1-habitaciones-1-banos/20451-M6028205</t>
  </si>
  <si>
    <t>20837-M6467998</t>
  </si>
  <si>
    <t>https://www.metrocuadrado.com/inmueble/venta-apartaestudio-bogota-santa-teresa-1-habitaciones-1-banos/20837-M6467998</t>
  </si>
  <si>
    <t>20610-M5961901</t>
  </si>
  <si>
    <t>https://www.metrocuadrado.com/inmueble/venta-apartaestudio-bogota-quiroga-1-habitaciones-1-banos-1-garajes/20610-M5961901</t>
  </si>
  <si>
    <t>3774-M5796205</t>
  </si>
  <si>
    <t>https://www.metrocuadrado.com/inmueble/venta-apartaestudio-bogota-pasadena-1-habitaciones-1-banos/3774-M5796205</t>
  </si>
  <si>
    <t>20859-M6047468</t>
  </si>
  <si>
    <t>https://www.metrocuadrado.com/inmueble/venta-apartaestudio-bogota-la-estanzuela-1-habitaciones-1-banos/20859-M6047468</t>
  </si>
  <si>
    <t>19701-M6416010</t>
  </si>
  <si>
    <t>https://www.metrocuadrado.com/inmueble/venta-apartaestudio-bogota-santa-barbara-1-habitaciones-1-banos-1-garajes/19701-M6416010</t>
  </si>
  <si>
    <t>20859-M6469572</t>
  </si>
  <si>
    <t>BOCHICA</t>
  </si>
  <si>
    <t>https://www.metrocuadrado.com/inmueble/venta-apartaestudio-bogota-bochica-1-habitaciones-1-banos/20859-M6469572</t>
  </si>
  <si>
    <t>10139-M4987934</t>
  </si>
  <si>
    <t>https://www.metrocuadrado.com/inmueble/venta-apartaestudio-bogota-chico-3-habitaciones-4-banos-3-garajes/10139-M4987934</t>
  </si>
  <si>
    <t>2412-M6499864</t>
  </si>
  <si>
    <t>https://www.metrocuadrado.com/inmueble/venta-apartaestudio-bogota-chico-reservado-1-habitaciones-1-banos-2-garajes/2412-M6499864</t>
  </si>
  <si>
    <t>13436-M6315047</t>
  </si>
  <si>
    <t>https://www.metrocuadrado.com/inmueble/venta-apartaestudio-bogota-antiguo-country-1-habitaciones-1-banos-1-garajes/13436-M6315047</t>
  </si>
  <si>
    <t>72-M5762571</t>
  </si>
  <si>
    <t>https://www.metrocuadrado.com/inmueble/venta-apartaestudio-bogota-chico-1-habitaciones-2-banos-1-garajes/72-M5762571</t>
  </si>
  <si>
    <t>20451-M6028235</t>
  </si>
  <si>
    <t>https://www.metrocuadrado.com/inmueble/venta-apartaestudio-bogota-santa-bibiana-1-habitaciones-1-banos/20451-M6028235</t>
  </si>
  <si>
    <t>17565-M6296949</t>
  </si>
  <si>
    <t>https://www.metrocuadrado.com/inmueble/venta-apartaestudio-bogota-santa-barbara-central-1-habitaciones-2-banos-2-garajes/17565-M6296949</t>
  </si>
  <si>
    <t>72-M6163327</t>
  </si>
  <si>
    <t>https://www.metrocuadrado.com/inmueble/venta-apartaestudio-bogota-bosque-calderon-1-habitaciones-2-banos-1-garajes/72-M6163327</t>
  </si>
  <si>
    <t>22173-M6440903</t>
  </si>
  <si>
    <t>https://www.metrocuadrado.com/inmueble/venta-apartaestudio-bogota-la-estanzuela-1-habitaciones-1-banos/22173-M6440903</t>
  </si>
  <si>
    <t>21503-M6268759</t>
  </si>
  <si>
    <t>https://www.metrocuadrado.com/inmueble/venta-apartaestudio-bogota-cedritos-1-habitaciones-2-banos-1-garajes/21503-M6268759</t>
  </si>
  <si>
    <t>20804-M6496972</t>
  </si>
  <si>
    <t>https://www.metrocuadrado.com/inmueble/venta-apartaestudio-bogota-1-habitaciones-1-banos-1-garajes/20804-M6496972</t>
  </si>
  <si>
    <t>20859-M6024252</t>
  </si>
  <si>
    <t>https://www.metrocuadrado.com/inmueble/venta-apartaestudio-bogota-ricaurte-1-habitaciones-1-banos/20859-M6024252</t>
  </si>
  <si>
    <t>17565-M6508366</t>
  </si>
  <si>
    <t>https://www.metrocuadrado.com/inmueble/venta-apartaestudio-bogota-chico-1-habitaciones-1-banos/17565-M6508366</t>
  </si>
  <si>
    <t>17565-M5791187</t>
  </si>
  <si>
    <t>https://www.metrocuadrado.com/inmueble/venta-apartaestudio-bogota-chapinero-1-habitaciones-1-banos-1-garajes/17565-M5791187</t>
  </si>
  <si>
    <t>2120-M2292473</t>
  </si>
  <si>
    <t>https://www.metrocuadrado.com/inmueble/venta-apartaestudio-bogota-rincon-del-chico-1-habitaciones-2-banos-2-garajes/2120-M2292473</t>
  </si>
  <si>
    <t>897-M6375259</t>
  </si>
  <si>
    <t>https://www.metrocuadrado.com/inmueble/venta-apartaestudio-bogota-el-chico-1-habitaciones-1-banos-1-garajes/897-M6375259</t>
  </si>
  <si>
    <t>20837-M6456809</t>
  </si>
  <si>
    <t>https://www.metrocuadrado.com/inmueble/venta-apartaestudio-bogota-san-martin-1-habitaciones-1-banos/20837-M6456809</t>
  </si>
  <si>
    <t>897-M6375256</t>
  </si>
  <si>
    <t>https://www.metrocuadrado.com/inmueble/venta-apartaestudio-bogota-el-chico-1-habitaciones-1-banos-1-garajes/897-M6375256</t>
  </si>
  <si>
    <t>897-M6375253</t>
  </si>
  <si>
    <t>https://www.metrocuadrado.com/inmueble/venta-apartaestudio-bogota-el-chico-1-habitaciones-1-banos-1-garajes/897-M6375253</t>
  </si>
  <si>
    <t>14390-M6351204</t>
  </si>
  <si>
    <t>https://www.metrocuadrado.com/inmueble/venta-apartaestudio-bogota-los-cedritos-1-habitaciones-1-banos-1-garajes/14390-M6351204</t>
  </si>
  <si>
    <t>18942-M6420992</t>
  </si>
  <si>
    <t>https://www.metrocuadrado.com/inmueble/venta-apartaestudio-bogota-chico-norte-et.-iii-1-habitaciones-1-banos/18942-M6420992</t>
  </si>
  <si>
    <t>16108-M5020420</t>
  </si>
  <si>
    <t>https://www.metrocuadrado.com/inmueble/venta-apartaestudio-bogota-chapinero-1-habitaciones-2-banos-1-garajes/16108-M5020420</t>
  </si>
  <si>
    <t>11295-M6292126</t>
  </si>
  <si>
    <t>https://www.metrocuadrado.com/inmueble/venta-apartaestudio-bogota-la-salle-1-habitaciones-1-banos-1-garajes/11295-M6292126</t>
  </si>
  <si>
    <t>374-M6145285</t>
  </si>
  <si>
    <t>https://www.metrocuadrado.com/inmueble/venta-apartaestudio-bogota-molinos-norte-1-habitaciones-1-banos-1-garajes/374-M6145285</t>
  </si>
  <si>
    <t>17779-M6559542</t>
  </si>
  <si>
    <t>SAN ANTONIO DE PADUA</t>
  </si>
  <si>
    <t>https://www.metrocuadrado.com/inmueble/venta-apartaestudio-bogota-san-antonio-de-padua-1-habitaciones-1-banos-1-garajes/17779-M6559542</t>
  </si>
  <si>
    <t>16767-M6089989</t>
  </si>
  <si>
    <t>https://www.metrocuadrado.com/inmueble/venta-apartaestudio-bogota-samper-1-habitaciones-1-banos/16767-M6089989</t>
  </si>
  <si>
    <t>15062-M6466198</t>
  </si>
  <si>
    <t>https://www.metrocuadrado.com/inmueble/venta-apartaestudio-bogota-ciudad-salitre-occidente-1-habitaciones-1-banos/15062-M6466198</t>
  </si>
  <si>
    <t>17305-M6408453</t>
  </si>
  <si>
    <t>https://www.metrocuadrado.com/inmueble/venta-apartaestudio-bogota-la-veracruz-1-habitaciones-1-banos/17305-M6408453</t>
  </si>
  <si>
    <t>4973-M6521931</t>
  </si>
  <si>
    <t>SEARS</t>
  </si>
  <si>
    <t>https://www.metrocuadrado.com/inmueble/venta-apartaestudio-bogota-sears-1-habitaciones-1-banos/4973-M6521931</t>
  </si>
  <si>
    <t>73-M5125735</t>
  </si>
  <si>
    <t>https://www.metrocuadrado.com/inmueble/venta-apartaestudio-bogota-chapinero-central-1-habitaciones-1-banos/73-M5125735</t>
  </si>
  <si>
    <t>646-M5605922</t>
  </si>
  <si>
    <t>EL LISTON</t>
  </si>
  <si>
    <t>https://www.metrocuadrado.com/inmueble/venta-apartaestudio-bogota-el-liston-1-habitaciones-1-banos/646-M5605922</t>
  </si>
  <si>
    <t>703-M5941768</t>
  </si>
  <si>
    <t>https://www.metrocuadrado.com/inmueble/venta-apartaestudio-bogota-chico-norte-1-habitaciones-1-banos-1-garajes/703-M5941768</t>
  </si>
  <si>
    <t>646-M6575927</t>
  </si>
  <si>
    <t>https://www.metrocuadrado.com/inmueble/venta-apartaestudio-bogota-chapinero-central-1-habitaciones-1-banos/646-M6575927</t>
  </si>
  <si>
    <t>703-M5941771</t>
  </si>
  <si>
    <t>https://www.metrocuadrado.com/inmueble/venta-apartaestudio-bogota-chico-norte-iii-1-habitaciones-1-banos-1-garajes/703-M5941771</t>
  </si>
  <si>
    <t>2821-M2436072</t>
  </si>
  <si>
    <t>https://www.metrocuadrado.com/inmueble/venta-apartaestudio-bogota-chapinero-central-1-habitaciones-2-banos-1-garajes/2821-M2436072</t>
  </si>
  <si>
    <t>709-M6588344</t>
  </si>
  <si>
    <t>https://www.metrocuadrado.com/inmueble/venta-apartaestudio-bogota-bella-suiza-1-habitaciones-1-banos-1-garajes/709-M6588344</t>
  </si>
  <si>
    <t>12364-M6474507</t>
  </si>
  <si>
    <t>https://www.metrocuadrado.com/inmueble/venta-apartaestudio-bogota-santa-barbara-1-habitaciones-2-banos-1-garajes/12364-M6474507</t>
  </si>
  <si>
    <t>17369-M6498967</t>
  </si>
  <si>
    <t>https://www.metrocuadrado.com/inmueble/venta-apartaestudio-bogota-chico-norte-et-iii-1-habitaciones-1-banos/17369-M6498967</t>
  </si>
  <si>
    <t>17245-M6584427</t>
  </si>
  <si>
    <t>https://www.metrocuadrado.com/inmueble/venta-apartaestudio-bogota-galerias-1-habitaciones-2-banos-1-garajes/17245-M6584427</t>
  </si>
  <si>
    <t>MC6194344</t>
  </si>
  <si>
    <t>CJR TORRES DE PENUEL II</t>
  </si>
  <si>
    <t>https://www.metrocuadrado.com/inmueble/venta-apartaestudio-bogota-cjr-torres-de-penuel-ii-1-habitaciones-1-banos/MC6194344</t>
  </si>
  <si>
    <t>MC6348127</t>
  </si>
  <si>
    <t>https://www.metrocuadrado.com/inmueble/venta-apartaestudio-bogota-cedritos-1-habitaciones-2-banos-1-garajes/MC6348127</t>
  </si>
  <si>
    <t>MC6391368</t>
  </si>
  <si>
    <t>https://www.metrocuadrado.com/inmueble/venta-apartaestudio-bogota-santa-barbara-oriental-1-habitaciones-2-banos-1-garajes/MC6391368</t>
  </si>
  <si>
    <t>MC6042232</t>
  </si>
  <si>
    <t>https://www.metrocuadrado.com/inmueble/venta-apartaestudio-bogota-a.s.d.-1-habitaciones-1-banos/MC6042232</t>
  </si>
  <si>
    <t>20859-M6024622</t>
  </si>
  <si>
    <t>https://www.metrocuadrado.com/inmueble/venta-apartaestudio-bogota-chico-norte-1-habitaciones-1-banos/20859-M6024622</t>
  </si>
  <si>
    <t>19578-M6574726</t>
  </si>
  <si>
    <t>https://www.metrocuadrado.com/inmueble/venta-apartaestudio-bogota-los-andes-1-habitaciones-1-banos/19578-M6574726</t>
  </si>
  <si>
    <t>17754-M6373316</t>
  </si>
  <si>
    <t>https://www.metrocuadrado.com/inmueble/venta-apartaestudio-bogota-chico-1-habitaciones-1-banos-1-garajes/17754-M6373316</t>
  </si>
  <si>
    <t>897-M6553014</t>
  </si>
  <si>
    <t>https://www.metrocuadrado.com/inmueble/venta-apartaestudio-bogota-polo-club-1-habitaciones-1-banos-1-garajes/897-M6553014</t>
  </si>
  <si>
    <t>3774-M5561169</t>
  </si>
  <si>
    <t>https://www.metrocuadrado.com/inmueble/venta-apartaestudio-bogota-samper-1-habitaciones-1-banos/3774-M5561169</t>
  </si>
  <si>
    <t>20426-M6058095</t>
  </si>
  <si>
    <t>https://www.metrocuadrado.com/inmueble/venta-apartaestudio-bogota-chico-norte-et-ii-1-habitaciones-1-banos/20426-M6058095</t>
  </si>
  <si>
    <t>2996-M6485710</t>
  </si>
  <si>
    <t>https://www.metrocuadrado.com/inmueble/venta-apartaestudio-bogota-santa-barbara-occidental-1-habitaciones-2-banos-1-garajes/2996-M6485710</t>
  </si>
  <si>
    <t>771-M5273718</t>
  </si>
  <si>
    <t>https://www.metrocuadrado.com/inmueble/venta-apartaestudio-bogota-santa-barbara-central-1-habitaciones-2-banos-1-garajes/771-M5273718</t>
  </si>
  <si>
    <t>10139-M6489614</t>
  </si>
  <si>
    <t>https://www.metrocuadrado.com/inmueble/venta-apartaestudio-bogota-chico-norte-1-habitaciones-1-banos/10139-M6489614</t>
  </si>
  <si>
    <t>20859-M6047470</t>
  </si>
  <si>
    <t>https://www.metrocuadrado.com/inmueble/venta-apartaestudio-bogota-la-estanzuela-1-habitaciones-1-banos/20859-M6047470</t>
  </si>
  <si>
    <t>20859-M6421774</t>
  </si>
  <si>
    <t>https://www.metrocuadrado.com/inmueble/venta-apartaestudio-bogota-marly-1-habitaciones-1-banos/20859-M6421774</t>
  </si>
  <si>
    <t>20859-M6024308</t>
  </si>
  <si>
    <t>https://www.metrocuadrado.com/inmueble/venta-apartaestudio-bogota-las-nieves-1-habitaciones-1-banos/20859-M6024308</t>
  </si>
  <si>
    <t>20842-M6172330</t>
  </si>
  <si>
    <t>https://www.metrocuadrado.com/inmueble/venta-apartaestudio-bogota-polo-club-1-habitaciones-1-banos/20842-M6172330</t>
  </si>
  <si>
    <t>20686-M6454877</t>
  </si>
  <si>
    <t>EL PROGRESO</t>
  </si>
  <si>
    <t>https://www.metrocuadrado.com/inmueble/venta-apartaestudio-bogota-el-progreso-1-habitaciones-1-banos-1-garajes/20686-M6454877</t>
  </si>
  <si>
    <t>21216-M6478058</t>
  </si>
  <si>
    <t>NICOLAS FEDERMAN</t>
  </si>
  <si>
    <t>https://www.metrocuadrado.com/inmueble/venta-apartaestudio-bogota-nicolas-federman-1-habitaciones-1-banos/21216-M6478058</t>
  </si>
  <si>
    <t>2328-M6456226</t>
  </si>
  <si>
    <t>https://www.metrocuadrado.com/inmueble/venta-apartaestudio-bogota-chico-norte-et-iii-1-habitaciones-1-banos-1-garajes/2328-M6456226</t>
  </si>
  <si>
    <t>897-M6553248</t>
  </si>
  <si>
    <t>https://www.metrocuadrado.com/inmueble/venta-apartaestudio-bogota-polo-club-1-habitaciones-1-banos-1-garajes/897-M6553248</t>
  </si>
  <si>
    <t>21922-M6376294</t>
  </si>
  <si>
    <t>https://www.metrocuadrado.com/inmueble/venta-apartaestudio-bogota-chico-norte-et-iii-1-habitaciones-1-banos-1-garajes/21922-M6376294</t>
  </si>
  <si>
    <t>20363-M6066640</t>
  </si>
  <si>
    <t>https://www.metrocuadrado.com/inmueble/venta-apartaestudio-bogota-chapinero-sur-occidental-1-habitaciones-1-banos/20363-M6066640</t>
  </si>
  <si>
    <t>21438-M6132403</t>
  </si>
  <si>
    <t>https://www.metrocuadrado.com/inmueble/venta-apartaestudio-bogota-quinta-paredes-1-habitaciones-2-banos-1-garajes/21438-M6132403</t>
  </si>
  <si>
    <t>3774-M5565515</t>
  </si>
  <si>
    <t>https://www.metrocuadrado.com/inmueble/venta-apartaestudio-bogota-polo-club-1-habitaciones-1-banos/3774-M5565515</t>
  </si>
  <si>
    <t>20744-M6491201</t>
  </si>
  <si>
    <t>https://www.metrocuadrado.com/inmueble/venta-apartaestudio-bogota-la-veracruz-1-habitaciones-1-banos-1-garajes/20744-M6491201</t>
  </si>
  <si>
    <t>5255-M6446561</t>
  </si>
  <si>
    <t>https://www.metrocuadrado.com/inmueble/venta-apartaestudio-bogota-rincon-del-chico-1-habitaciones-1-banos/5255-M6446561</t>
  </si>
  <si>
    <t>72-M5762659</t>
  </si>
  <si>
    <t>https://www.metrocuadrado.com/inmueble/venta-apartaestudio-bogota-virrey-1-habitaciones-2-banos-2-garajes/72-M5762659</t>
  </si>
  <si>
    <t>17565-M5337143</t>
  </si>
  <si>
    <t>https://www.metrocuadrado.com/inmueble/venta-apartaestudio-bogota-san-cristobal-norte-1-habitaciones-1-banos/17565-M5337143</t>
  </si>
  <si>
    <t>790-M4438353</t>
  </si>
  <si>
    <t>PRADO</t>
  </si>
  <si>
    <t>https://www.metrocuadrado.com/inmueble/venta-apartaestudio-bogota-prado-1-habitaciones-1-banos/790-M4438353</t>
  </si>
  <si>
    <t>16172-M6171656</t>
  </si>
  <si>
    <t>https://www.metrocuadrado.com/inmueble/venta-apartaestudio-bogota-la-castellana-1-habitaciones-1-banos/16172-M6171656</t>
  </si>
  <si>
    <t>18015-M5745170</t>
  </si>
  <si>
    <t>https://www.metrocuadrado.com/inmueble/venta-apartaestudio-bogota-samper-1-habitaciones-1-banos/18015-M5745170</t>
  </si>
  <si>
    <t>4973-M6520334</t>
  </si>
  <si>
    <t>https://www.metrocuadrado.com/inmueble/venta-apartaestudio-bogota-sears-1-habitaciones-1-banos/4973-M6520334</t>
  </si>
  <si>
    <t>19414-M6523288</t>
  </si>
  <si>
    <t>https://www.metrocuadrado.com/inmueble/venta-apartaestudio-bogota-santa-barbara-central-1-habitaciones-1-banos-1-garajes/19414-M6523288</t>
  </si>
  <si>
    <t>11233-3723209</t>
  </si>
  <si>
    <t>https://www.metrocuadrado.com/inmueble/venta-apartaestudio-bogota-centro-internacional-1-habitaciones-1-banos/11233-3723209</t>
  </si>
  <si>
    <t>17586-M6501113</t>
  </si>
  <si>
    <t>https://www.metrocuadrado.com/inmueble/venta-apartaestudio-bogota-asd-1-habitaciones-1-banos/17586-M6501113</t>
  </si>
  <si>
    <t>17586-M6501097</t>
  </si>
  <si>
    <t>https://www.metrocuadrado.com/inmueble/venta-apartaestudio-bogota-el-liston-1-habitaciones-1-banos/17586-M6501097</t>
  </si>
  <si>
    <t>15062-M6531931</t>
  </si>
  <si>
    <t>https://www.metrocuadrado.com/inmueble/venta-apartaestudio-bogota-galerias-1-habitaciones-1-banos/15062-M6531931</t>
  </si>
  <si>
    <t>4973-M6521976</t>
  </si>
  <si>
    <t>https://www.metrocuadrado.com/inmueble/venta-apartaestudio-bogota-sears-1-habitaciones-1-banos/4973-M6521976</t>
  </si>
  <si>
    <t>384-M5951448</t>
  </si>
  <si>
    <t>https://www.metrocuadrado.com/inmueble/venta-apartaestudio-bogota-cantalejo-1-habitaciones-1-banos-1-garajes/384-M5951448</t>
  </si>
  <si>
    <t>12095-M6583610</t>
  </si>
  <si>
    <t>https://www.metrocuadrado.com/inmueble/venta-apartaestudio-bogota-chico-1-habitaciones-1-banos/12095-M6583610</t>
  </si>
  <si>
    <t>16474-M6139395</t>
  </si>
  <si>
    <t>https://www.metrocuadrado.com/inmueble/venta-apartaestudio-bogota-santa-barbara-1-habitaciones-2-banos-2-garajes/16474-M6139395</t>
  </si>
  <si>
    <t>703-M5854661</t>
  </si>
  <si>
    <t>https://www.metrocuadrado.com/inmueble/venta-apartaestudio-bogota-chapinero-alto-1-habitaciones-1-banos/703-M5854661</t>
  </si>
  <si>
    <t>258-M5769820</t>
  </si>
  <si>
    <t>https://www.metrocuadrado.com/inmueble/venta-apartaestudio-bogota-santa-ana-occidental-1-habitaciones-2-banos-1-garajes/258-M5769820</t>
  </si>
  <si>
    <t>19534-M6209044</t>
  </si>
  <si>
    <t>https://www.metrocuadrado.com/inmueble/venta-apartaestudio-bogota-la-macarena-1-habitaciones-1-banos/19534-M6209044</t>
  </si>
  <si>
    <t>12364-M6525113</t>
  </si>
  <si>
    <t>https://www.metrocuadrado.com/inmueble/venta-apartaestudio-bogota-chapinero-alto-1-habitaciones-2-banos-1-garajes/12364-M6525113</t>
  </si>
  <si>
    <t>2648-M6224364</t>
  </si>
  <si>
    <t>https://www.metrocuadrado.com/inmueble/venta-apartaestudio-bogota-el-contador-1-habitaciones-1-banos-2-garajes/2648-M6224364</t>
  </si>
  <si>
    <t>19534-M6057050</t>
  </si>
  <si>
    <t>https://www.metrocuadrado.com/inmueble/venta-apartaestudio-bogota-galerias-1-habitaciones-1-banos-1-garajes/19534-M6057050</t>
  </si>
  <si>
    <t>17742-M6388989</t>
  </si>
  <si>
    <t>https://www.metrocuadrado.com/inmueble/venta-apartaestudio-bogota-la-candelaria-1-habitaciones-1-banos/17742-M6388989</t>
  </si>
  <si>
    <t>MC6567234</t>
  </si>
  <si>
    <t>LA ALAMEDA</t>
  </si>
  <si>
    <t>https://www.metrocuadrado.com/inmueble/venta-apartaestudio-bogota-la-alameda-1-habitaciones-1-banos/MC6567234</t>
  </si>
  <si>
    <t>MC6181150</t>
  </si>
  <si>
    <t>CJR LOS JAZMINES</t>
  </si>
  <si>
    <t>https://www.metrocuadrado.com/inmueble/venta-apartaestudio-bogota-cjr-los-jazmines-2-habitaciones-1-banos-2-garajes/MC6181150</t>
  </si>
  <si>
    <t>MC6510471</t>
  </si>
  <si>
    <t>https://www.metrocuadrado.com/inmueble/venta-apartaestudio-bogota-belalcazar-1-habitaciones-2-banos-1-garajes/MC6510471</t>
  </si>
  <si>
    <t>MC6406927</t>
  </si>
  <si>
    <t>https://www.metrocuadrado.com/inmueble/venta-apartaestudio-bogota-armenia-1-habitaciones-1-banos/MC6406927</t>
  </si>
  <si>
    <t>21503-M6453883</t>
  </si>
  <si>
    <t>https://www.metrocuadrado.com/inmueble/venta-apartaestudio-bogota-bosque-calderon-1-habitaciones-2-banos-1-garajes/21503-M6453883</t>
  </si>
  <si>
    <t>21414-M6483716</t>
  </si>
  <si>
    <t>https://www.metrocuadrado.com/inmueble/venta-apartaestudio-bogota-chico-navarra-1-habitaciones-1-banos-1-garajes/21414-M6483716</t>
  </si>
  <si>
    <t>368-M6489220</t>
  </si>
  <si>
    <t>https://www.metrocuadrado.com/inmueble/venta-apartaestudio-bogota-1-habitaciones-1-banos-1-garajes/368-M6489220</t>
  </si>
  <si>
    <t>11104-M6488812</t>
  </si>
  <si>
    <t>https://www.metrocuadrado.com/inmueble/venta-apartaestudio-bogota-el-tintal-1-habitaciones-1-banos/11104-M6488812</t>
  </si>
  <si>
    <t>3437-M6454665</t>
  </si>
  <si>
    <t>https://www.metrocuadrado.com/inmueble/venta-apartaestudio-bogota-chico-norte-et-ii-1-habitaciones-1-banos-2-garajes/3437-M6454665</t>
  </si>
  <si>
    <t>684-M6280854</t>
  </si>
  <si>
    <t>https://www.metrocuadrado.com/inmueble/venta-apartaestudio-bogota-chapinero-central-1-habitaciones-1-banos/684-M6280854</t>
  </si>
  <si>
    <t>20179-M6208108</t>
  </si>
  <si>
    <t>GRANJA NORTE</t>
  </si>
  <si>
    <t>https://www.metrocuadrado.com/inmueble/venta-apartaestudio-bogota-granja-norte-1-habitaciones-1-banos/20179-M6208108</t>
  </si>
  <si>
    <t>22563-M6577719</t>
  </si>
  <si>
    <t>https://www.metrocuadrado.com/inmueble/venta-apartaestudio-bogota-santa-barbara-central-1-habitaciones-2-banos-2-garajes/22563-M6577719</t>
  </si>
  <si>
    <t>196-M5812675</t>
  </si>
  <si>
    <t>https://www.metrocuadrado.com/inmueble/venta-apartaestudio-bogota-molinos-norte-1-habitaciones-1-banos/196-M5812675</t>
  </si>
  <si>
    <t>20610-M6452340</t>
  </si>
  <si>
    <t>https://www.metrocuadrado.com/inmueble/venta-apartaestudio-bogota-chapinero-alto-1-habitaciones-1-banos/20610-M6452340</t>
  </si>
  <si>
    <t>21549-M6377796</t>
  </si>
  <si>
    <t>https://www.metrocuadrado.com/inmueble/venta-apartaestudio-bogota-santa-barbara-oriental-1-habitaciones-1-banos/21549-M6377796</t>
  </si>
  <si>
    <t>21503-M6564442</t>
  </si>
  <si>
    <t>https://www.metrocuadrado.com/inmueble/venta-apartaestudio-bogota-santa-barbara-occidental-1-habitaciones-2-banos-2-garajes/21503-M6564442</t>
  </si>
  <si>
    <t>2412-M6559994</t>
  </si>
  <si>
    <t>NOGAL</t>
  </si>
  <si>
    <t>https://www.metrocuadrado.com/inmueble/venta-apartaestudio-bogota-nogal-1-habitaciones-1-banos/2412-M6559994</t>
  </si>
  <si>
    <t>13436-M6071942</t>
  </si>
  <si>
    <t>https://www.metrocuadrado.com/inmueble/venta-apartaestudio-bogota-cedritos-1-habitaciones-1-banos-1-garajes/13436-M6071942</t>
  </si>
  <si>
    <t>19709-M6365373</t>
  </si>
  <si>
    <t>https://www.metrocuadrado.com/inmueble/venta-apartaestudio-bogota-caobos-salazar-1-habitaciones-2-banos-1-garajes/19709-M6365373</t>
  </si>
  <si>
    <t>21345-M6443162</t>
  </si>
  <si>
    <t>https://www.metrocuadrado.com/inmueble/venta-apartaestudio-bogota-las-nieves-1-habitaciones-1-banos-1-garajes/21345-M6443162</t>
  </si>
  <si>
    <t>21945-M6450461</t>
  </si>
  <si>
    <t>https://www.metrocuadrado.com/inmueble/venta-apartaestudio-bogota-centro-internacional-1-habitaciones-1-banos/21945-M6450461</t>
  </si>
  <si>
    <t>21982-M6395854</t>
  </si>
  <si>
    <t>https://www.metrocuadrado.com/inmueble/venta-apartaestudio-bogota-chico-norte-1-habitaciones-1-banos/21982-M6395854</t>
  </si>
  <si>
    <t>17285-M6429176</t>
  </si>
  <si>
    <t>https://www.metrocuadrado.com/inmueble/venta-apartaestudio-bogota-chico-2-habitaciones-2-banos-2-garajes/17285-M6429176</t>
  </si>
  <si>
    <t>897-M5412275</t>
  </si>
  <si>
    <t>https://www.metrocuadrado.com/inmueble/venta-apartaestudio-bogota-los-alcazares-1-habitaciones-1-banos-1-garajes/897-M5412275</t>
  </si>
  <si>
    <t>836-M5751430</t>
  </si>
  <si>
    <t>https://www.metrocuadrado.com/inmueble/venta-apartaestudio-bogota-el-redil-1-habitaciones-1-banos-1-garajes/836-M5751430</t>
  </si>
  <si>
    <t>72-M6492076</t>
  </si>
  <si>
    <t>https://www.metrocuadrado.com/inmueble/venta-apartaestudio-bogota-el-chico-1-habitaciones-2-banos-1-garajes/72-M6492076</t>
  </si>
  <si>
    <t>10139-M6489630</t>
  </si>
  <si>
    <t>https://www.metrocuadrado.com/inmueble/venta-apartaestudio-bogota-chico-norte-1-habitaciones-1-banos/10139-M6489630</t>
  </si>
  <si>
    <t>5255-M6464640</t>
  </si>
  <si>
    <t>https://www.metrocuadrado.com/inmueble/venta-apartaestudio-bogota-santa-cecilia-1-habitaciones-1-banos/5255-M6464640</t>
  </si>
  <si>
    <t>13436-M6072873</t>
  </si>
  <si>
    <t>https://www.metrocuadrado.com/inmueble/venta-apartaestudio-bogota-cedritos-1-habitaciones-1-banos-1-garajes/13436-M6072873</t>
  </si>
  <si>
    <t>21438-M6132590</t>
  </si>
  <si>
    <t>https://www.metrocuadrado.com/inmueble/venta-apartaestudio-bogota-san-martin-1-habitaciones-2-banos-1-garajes/21438-M6132590</t>
  </si>
  <si>
    <t>21945-M6365225</t>
  </si>
  <si>
    <t>LA CLARITA</t>
  </si>
  <si>
    <t>https://www.metrocuadrado.com/inmueble/venta-apartaestudio-bogota-la-clarita-1-habitaciones-1-banos-1-garajes/21945-M6365225</t>
  </si>
  <si>
    <t>3774-M5542036</t>
  </si>
  <si>
    <t>https://www.metrocuadrado.com/inmueble/venta-apartaestudio-bogota-antiguo-country-1-habitaciones-1-banos/3774-M5542036</t>
  </si>
  <si>
    <t>11104-M6574824</t>
  </si>
  <si>
    <t>https://www.metrocuadrado.com/inmueble/venta-apartaestudio-bogota-la-estanzuela-1-habitaciones-1-banos/11104-M6574824</t>
  </si>
  <si>
    <t>21373-M6116360</t>
  </si>
  <si>
    <t>https://www.metrocuadrado.com/inmueble/venta-apartaestudio-bogota-chico-1-habitaciones-1-banos/21373-M6116360</t>
  </si>
  <si>
    <t>18015-M6257509</t>
  </si>
  <si>
    <t>https://www.metrocuadrado.com/inmueble/venta-apartaestudio-bogota-samper-1-habitaciones-1-banos/18015-M6257509</t>
  </si>
  <si>
    <t>15062-M6507968</t>
  </si>
  <si>
    <t>https://www.metrocuadrado.com/inmueble/venta-apartaestudio-bogota-centro-internacional-1-habitaciones-1-banos/15062-M6507968</t>
  </si>
  <si>
    <t>18015-M6139581</t>
  </si>
  <si>
    <t>https://www.metrocuadrado.com/inmueble/venta-apartaestudio-bogota-samper-1-habitaciones-1-banos/18015-M6139581</t>
  </si>
  <si>
    <t>14390-M5833771</t>
  </si>
  <si>
    <t>https://www.metrocuadrado.com/inmueble/venta-apartaestudio-bogota-las-nieves-1-habitaciones-1-banos/14390-M5833771</t>
  </si>
  <si>
    <t>703-M5756575</t>
  </si>
  <si>
    <t>https://www.metrocuadrado.com/inmueble/venta-apartaestudio-bogota-chapinero-alto-1-habitaciones-1-banos/703-M5756575</t>
  </si>
  <si>
    <t>703-M5756572</t>
  </si>
  <si>
    <t>https://www.metrocuadrado.com/inmueble/venta-apartaestudio-bogota-chapinero-alto-1-habitaciones-1-banos/703-M5756572</t>
  </si>
  <si>
    <t>14236-M5954114</t>
  </si>
  <si>
    <t>https://www.metrocuadrado.com/inmueble/venta-apartaestudio-bogota-nicolas-de-federman-1-habitaciones-1-banos-1-garajes/14236-M5954114</t>
  </si>
  <si>
    <t>10119-M6365607</t>
  </si>
  <si>
    <t>https://www.metrocuadrado.com/inmueble/venta-apartaestudio-bogota-marly-1-habitaciones-1-banos-1-garajes/10119-M6365607</t>
  </si>
  <si>
    <t>703-M5756588</t>
  </si>
  <si>
    <t>https://www.metrocuadrado.com/inmueble/venta-apartaestudio-bogota-chapinero-alto-1-habitaciones-1-banos/703-M5756588</t>
  </si>
  <si>
    <t>17587-M6485408</t>
  </si>
  <si>
    <t>https://www.metrocuadrado.com/inmueble/venta-apartaestudio-bogota-la-candelaria-1-habitaciones-1-banos/17587-M6485408</t>
  </si>
  <si>
    <t>17575-M6491177</t>
  </si>
  <si>
    <t>https://www.metrocuadrado.com/inmueble/venta-apartaestudio-bogota-santa-cecilia-1-habitaciones-1-banos/17575-M6491177</t>
  </si>
  <si>
    <t>11698-M5600934</t>
  </si>
  <si>
    <t>CJR AVANTI TOWER</t>
  </si>
  <si>
    <t>https://www.metrocuadrado.com/inmueble/venta-apartaestudio-bogota-cjr-avanti-tower-1-habitaciones-1-banos/11698-M5600934</t>
  </si>
  <si>
    <t>614-M6224815</t>
  </si>
  <si>
    <t>https://www.metrocuadrado.com/inmueble/venta-apartaestudio-bogota-bonanza-1-habitaciones-1-banos/614-M6224815</t>
  </si>
  <si>
    <t>14836-M5787086</t>
  </si>
  <si>
    <t>https://www.metrocuadrado.com/inmueble/venta-apartaestudio-bogota-el-redil-1-habitaciones-1-banos-1-garajes/14836-M5787086</t>
  </si>
  <si>
    <t>MC6558240</t>
  </si>
  <si>
    <t>https://www.metrocuadrado.com/inmueble/venta-apartaestudio-bogota-la-castellana-1-habitaciones-1-banos/MC6558240</t>
  </si>
  <si>
    <t>MC6442740</t>
  </si>
  <si>
    <t>https://www.metrocuadrado.com/inmueble/venta-apartaestudio-bogota-chapinero-central-1-habitaciones-1-banos-1-garajes/MC6442740</t>
  </si>
  <si>
    <t>MC6549629</t>
  </si>
  <si>
    <t>https://www.metrocuadrado.com/inmueble/venta-apartaestudio-bogota-el-recuerdo-1-habitaciones-1-banos/MC6549629</t>
  </si>
  <si>
    <t>MC6489534</t>
  </si>
  <si>
    <t>https://www.metrocuadrado.com/inmueble/venta-apartaestudio-bogota-la-esperanza-1-habitaciones-1-banos/MC6489534</t>
  </si>
  <si>
    <t>12041-M6583306</t>
  </si>
  <si>
    <t>https://www.metrocuadrado.com/inmueble/venta-apartaestudio-bogota-santa-paula-1-habitaciones-1-banos/12041-M6583306</t>
  </si>
  <si>
    <t>3636-M5579155</t>
  </si>
  <si>
    <t>https://www.metrocuadrado.com/inmueble/venta-apartaestudio-bogota-quinta-paredes-1-habitaciones-2-banos/3636-M5579155</t>
  </si>
  <si>
    <t>20343-M5824814</t>
  </si>
  <si>
    <t>GRAN AMERICA</t>
  </si>
  <si>
    <t>https://www.metrocuadrado.com/inmueble/venta-apartaestudio-bogota-gran-america-1-habitaciones-1-banos/20343-M5824814</t>
  </si>
  <si>
    <t>17565-M6453661</t>
  </si>
  <si>
    <t>https://www.metrocuadrado.com/inmueble/venta-apartaestudio-bogota-pasadena-1-habitaciones-1-banos-1-garajes/17565-M6453661</t>
  </si>
  <si>
    <t>11256-M5822273</t>
  </si>
  <si>
    <t>https://www.metrocuadrado.com/inmueble/venta-apartaestudio-bogota-emaus-3-habitaciones-3-banos-2-garajes/11256-M5822273</t>
  </si>
  <si>
    <t>5031-M5996854</t>
  </si>
  <si>
    <t>CEDRO GOLF</t>
  </si>
  <si>
    <t>https://www.metrocuadrado.com/inmueble/venta-apartaestudio-bogota-cedro-golf-1-habitaciones-2-banos-1-garajes/5031-M5996854</t>
  </si>
  <si>
    <t>19936-M6537890</t>
  </si>
  <si>
    <t>https://www.metrocuadrado.com/inmueble/venta-apartaestudio-bogota-mazuren-3-habitaciones-2-banos-1-garajes/19936-M6537890</t>
  </si>
  <si>
    <t>20179-M6347915</t>
  </si>
  <si>
    <t>https://www.metrocuadrado.com/inmueble/venta-apartaestudio-bogota-nueva-zelandia-1-habitaciones-1-banos/20179-M6347915</t>
  </si>
  <si>
    <t>5031-M6141545</t>
  </si>
  <si>
    <t>https://www.metrocuadrado.com/inmueble/venta-apartaestudio-bogota-galerias-1-habitaciones-1-banos/5031-M6141545</t>
  </si>
  <si>
    <t>2996-M6146626</t>
  </si>
  <si>
    <t>https://www.metrocuadrado.com/inmueble/venta-apartaestudio-bogota-polo-club-1-habitaciones-2-banos-1-garajes/2996-M6146626</t>
  </si>
  <si>
    <t>771-M6124028</t>
  </si>
  <si>
    <t>https://www.metrocuadrado.com/inmueble/venta-apartaestudio-bogota-cedritos-1-habitaciones-2-banos-1-garajes/771-M6124028</t>
  </si>
  <si>
    <t>21480-M6425111</t>
  </si>
  <si>
    <t>https://www.metrocuadrado.com/inmueble/venta-apartaestudio-bogota-los-cedros-1-habitaciones-2-banos-1-garajes/21480-M6425111</t>
  </si>
  <si>
    <t>19709-M6348828</t>
  </si>
  <si>
    <t>https://www.metrocuadrado.com/inmueble/venta-apartaestudio-bogota-belmira-1-habitaciones-2-banos-1-garajes/19709-M6348828</t>
  </si>
  <si>
    <t>20134-M6449309</t>
  </si>
  <si>
    <t>https://www.metrocuadrado.com/inmueble/venta-apartaestudio-bogota-primavera-occidental-1-habitaciones-1-banos-1-garajes/20134-M6449309</t>
  </si>
  <si>
    <t>603-M5827028</t>
  </si>
  <si>
    <t>https://www.metrocuadrado.com/inmueble/venta-apartaestudio-bogota-polo-club-1-habitaciones-1-banos/603-M5827028</t>
  </si>
  <si>
    <t>21539-M6404322</t>
  </si>
  <si>
    <t>https://www.metrocuadrado.com/inmueble/venta-apartaestudio-bogota-las-nieves-1-habitaciones-1-banos/21539-M6404322</t>
  </si>
  <si>
    <t>34-M5824259</t>
  </si>
  <si>
    <t>https://www.metrocuadrado.com/inmueble/venta-apartaestudio-bogota-las-nieves-1-habitaciones-1-banos/34-M5824259</t>
  </si>
  <si>
    <t>21486-M6479984</t>
  </si>
  <si>
    <t>SAGRADO CORAZON</t>
  </si>
  <si>
    <t>https://www.metrocuadrado.com/inmueble/venta-apartaestudio-bogota-sagrado-corazon-1-habitaciones-1-banos/21486-M6479984</t>
  </si>
  <si>
    <t>21365-M6516128</t>
  </si>
  <si>
    <t>https://www.metrocuadrado.com/inmueble/venta-apartaestudio-bogota-club-los-lagartos-1-habitaciones-2-banos-1-garajes/21365-M6516128</t>
  </si>
  <si>
    <t>771-M6239016</t>
  </si>
  <si>
    <t>https://www.metrocuadrado.com/inmueble/venta-apartaestudio-bogota-chapinero-alto-1-habitaciones-1-banos-1-garajes/771-M6239016</t>
  </si>
  <si>
    <t>368-M6489034</t>
  </si>
  <si>
    <t>https://www.metrocuadrado.com/inmueble/venta-apartaestudio-bogota-1-habitaciones-1-banos-1-garajes/368-M6489034</t>
  </si>
  <si>
    <t>20859-M6572795</t>
  </si>
  <si>
    <t>https://www.metrocuadrado.com/inmueble/venta-apartaestudio-bogota-cedritos-1-habitaciones-2-banos-1-garajes/20859-M6572795</t>
  </si>
  <si>
    <t>21216-M6353859</t>
  </si>
  <si>
    <t>https://www.metrocuadrado.com/inmueble/venta-apartaestudio-bogota-chapinero-1-habitaciones-1-banos/21216-M6353859</t>
  </si>
  <si>
    <t>21187-M6078344</t>
  </si>
  <si>
    <t>https://www.metrocuadrado.com/inmueble/venta-apartaestudio-bogota-gratamira-3-habitaciones-3-banos-2-garajes/21187-M6078344</t>
  </si>
  <si>
    <t>20255-M6377522</t>
  </si>
  <si>
    <t>https://www.metrocuadrado.com/inmueble/venta-apartaestudio-bogota-chico-norte-et.-ii-1-habitaciones-1-banos-1-garajes/20255-M6377522</t>
  </si>
  <si>
    <t>22204-M6563899</t>
  </si>
  <si>
    <t>https://www.metrocuadrado.com/inmueble/venta-apartaestudio-bogota-colina-campestre-1-habitaciones-1-banos/22204-M6563899</t>
  </si>
  <si>
    <t>3636-M5570004</t>
  </si>
  <si>
    <t>https://www.metrocuadrado.com/inmueble/venta-apartaestudio-bogota-quinta-paredes-1-habitaciones-2-banos/3636-M5570004</t>
  </si>
  <si>
    <t>19578-M6577755</t>
  </si>
  <si>
    <t>https://www.metrocuadrado.com/inmueble/venta-apartaestudio-bogota-nueva-zelandia-2-habitaciones-1-banos/19578-M6577755</t>
  </si>
  <si>
    <t>11104-M6577316</t>
  </si>
  <si>
    <t>https://www.metrocuadrado.com/inmueble/venta-apartaestudio-bogota-el-recuerdo-1-habitaciones-1-banos/11104-M6577316</t>
  </si>
  <si>
    <t>21945-M6450344</t>
  </si>
  <si>
    <t>https://www.metrocuadrado.com/inmueble/venta-apartaestudio-bogota-chapinero-1-habitaciones-1-banos/21945-M6450344</t>
  </si>
  <si>
    <t>771-M6152444</t>
  </si>
  <si>
    <t>https://www.metrocuadrado.com/inmueble/venta-apartaestudio-bogota-usaquen-1-habitaciones-2-banos-1-garajes/771-M6152444</t>
  </si>
  <si>
    <t>2996-M6380239</t>
  </si>
  <si>
    <t>https://www.metrocuadrado.com/inmueble/venta-apartaestudio-bogota-san-martin-1-habitaciones-1-banos-1-garajes/2996-M6380239</t>
  </si>
  <si>
    <t>5563-M6309509</t>
  </si>
  <si>
    <t>https://www.metrocuadrado.com/inmueble/venta-apartaestudio-bogota-barrancas-norte-2-habitaciones-1-banos/5563-M6309509</t>
  </si>
  <si>
    <t>19077-M6303847</t>
  </si>
  <si>
    <t>https://www.metrocuadrado.com/inmueble/venta-apartaestudio-bogota-teusaquillo-1-habitaciones-1-banos/19077-M6303847</t>
  </si>
  <si>
    <t>20258-M6357239</t>
  </si>
  <si>
    <t>INDUSTRIAL CENTENARIO</t>
  </si>
  <si>
    <t>https://www.metrocuadrado.com/inmueble/venta-apartaestudio-bogota-industrial-centenario-1-habitaciones-1-banos/20258-M6357239</t>
  </si>
  <si>
    <t>2266-M6442908</t>
  </si>
  <si>
    <t>https://www.metrocuadrado.com/inmueble/venta-apartaestudio-bogota-chico-1-habitaciones-1-banos-1-garajes/2266-M6442908</t>
  </si>
  <si>
    <t>16124-M6352078</t>
  </si>
  <si>
    <t>https://www.metrocuadrado.com/inmueble/venta-apartaestudio-bogota-santa-bibiana-4-habitaciones-4-banos-4-garajes/16124-M6352078</t>
  </si>
  <si>
    <t>73-M6189095</t>
  </si>
  <si>
    <t>https://www.metrocuadrado.com/inmueble/venta-apartaestudio-bogota-modelia-1-habitaciones-1-banos/73-M6189095</t>
  </si>
  <si>
    <t>12095-M6291186</t>
  </si>
  <si>
    <t>NORTE  NUEVO COUNTRY</t>
  </si>
  <si>
    <t>https://www.metrocuadrado.com/inmueble/venta-apartaestudio-bogota-norte-nuevo-country-1-habitaciones-1-banos/12095-M6291186</t>
  </si>
  <si>
    <t>11013-M6554493</t>
  </si>
  <si>
    <t>https://www.metrocuadrado.com/inmueble/venta-apartaestudio-bogota-salitre-1-habitaciones-1-banos/11013-M6554493</t>
  </si>
  <si>
    <t>675-M6404106</t>
  </si>
  <si>
    <t>https://www.metrocuadrado.com/inmueble/venta-apartaestudio-bogota-cedritos-1-habitaciones-2-banos-1-garajes/675-M6404106</t>
  </si>
  <si>
    <t>93-M6118581</t>
  </si>
  <si>
    <t>https://www.metrocuadrado.com/inmueble/venta-apartaestudio-bogota-la-candelaria-1-habitaciones-1-banos/93-M6118581</t>
  </si>
  <si>
    <t>4428-M5549498</t>
  </si>
  <si>
    <t>https://www.metrocuadrado.com/inmueble/venta-apartaestudio-bogota-chapinero-norte-1-habitaciones-2-banos-1-garajes/4428-M5549498</t>
  </si>
  <si>
    <t>17245-M6481071</t>
  </si>
  <si>
    <t>https://www.metrocuadrado.com/inmueble/venta-apartaestudio-bogota-la-candelaria-1-habitaciones-1-banos/17245-M6481071</t>
  </si>
  <si>
    <t>16703-M6498991</t>
  </si>
  <si>
    <t>https://www.metrocuadrado.com/inmueble/venta-apartaestudio-bogota-lisboa-1-habitaciones-1-banos-1-garajes/16703-M6498991</t>
  </si>
  <si>
    <t>12473-M6523540</t>
  </si>
  <si>
    <t>https://www.metrocuadrado.com/inmueble/venta-apartaestudio-bogota-las-nieves-1-habitaciones-1-banos/12473-M6523540</t>
  </si>
  <si>
    <t>MC6380915</t>
  </si>
  <si>
    <t>https://www.metrocuadrado.com/inmueble/venta-apartaestudio-bogota-teusaquillo-1-habitaciones-1-banos/MC6380915</t>
  </si>
  <si>
    <t>MC6489183</t>
  </si>
  <si>
    <t>https://www.metrocuadrado.com/inmueble/venta-apartaestudio-bogota-industrial-centenario-1-habitaciones-1-banos/MC6489183</t>
  </si>
  <si>
    <t>MC6439083</t>
  </si>
  <si>
    <t>https://www.metrocuadrado.com/inmueble/venta-apartaestudio-bogota-san-antonio-nor-occidental-1-habitaciones-1-banos/MC6439083</t>
  </si>
  <si>
    <t>MC6049404</t>
  </si>
  <si>
    <t>https://www.metrocuadrado.com/inmueble/venta-apartaestudio-bogota-la-felicidad-1-habitaciones-1-banos/MC6049404</t>
  </si>
  <si>
    <t>5545-M6584969</t>
  </si>
  <si>
    <t>https://www.metrocuadrado.com/inmueble/venta-apartaestudio-bogota-marly-1-habitaciones-1-banos-1-garajes/5545-M6584969</t>
  </si>
  <si>
    <t>10780-M6034751</t>
  </si>
  <si>
    <t>https://www.metrocuadrado.com/inmueble/venta-apartaestudio-bogota-marly-1-habitaciones-1-banos/10780-M6034751</t>
  </si>
  <si>
    <t>11104-M6501549</t>
  </si>
  <si>
    <t>https://www.metrocuadrado.com/inmueble/venta-apartaestudio-bogota-chico-norte-et-iii-1-habitaciones-1-banos/11104-M6501549</t>
  </si>
  <si>
    <t>2412-M6170985</t>
  </si>
  <si>
    <t>https://www.metrocuadrado.com/inmueble/venta-apartaestudio-bogota-centro-internacional-1-habitaciones-1-banos/2412-M6170985</t>
  </si>
  <si>
    <t>11301-M6066652</t>
  </si>
  <si>
    <t>https://www.metrocuadrado.com/inmueble/venta-apartaestudio-bogota-el-chico-1-habitaciones-1-banos-1-garajes/11301-M6066652</t>
  </si>
  <si>
    <t>21438-M6164167</t>
  </si>
  <si>
    <t>https://www.metrocuadrado.com/inmueble/venta-apartaestudio-bogota-la-candelaria-1-habitaciones-1-banos-1-garajes/21438-M6164167</t>
  </si>
  <si>
    <t>2266-M6388907</t>
  </si>
  <si>
    <t>NORTH POINT  BOSQUE DE PINOS</t>
  </si>
  <si>
    <t>https://www.metrocuadrado.com/inmueble/venta-apartaestudio-bogota-north-point-bosque-de-pinos-1-habitaciones-1-banos/2266-M6388907</t>
  </si>
  <si>
    <t>20859-M6025092</t>
  </si>
  <si>
    <t>https://www.metrocuadrado.com/inmueble/venta-apartaestudio-bogota-chapinero-central-1-habitaciones-1-banos-1-garajes/20859-M6025092</t>
  </si>
  <si>
    <t>19709-M6347672</t>
  </si>
  <si>
    <t>https://www.metrocuadrado.com/inmueble/venta-apartaestudio-bogota-belmira-1-habitaciones-2-banos-1-garajes/19709-M6347672</t>
  </si>
  <si>
    <t>21638-M6290952</t>
  </si>
  <si>
    <t>https://www.metrocuadrado.com/inmueble/venta-apartaestudio-bogota-chico-norte-1-habitaciones-1-banos/21638-M6290952</t>
  </si>
  <si>
    <t>20690-M6049650</t>
  </si>
  <si>
    <t>https://www.metrocuadrado.com/inmueble/venta-apartaestudio-bogota-santa-barbara-central-1-habitaciones-2-banos-1-garajes/20690-M6049650</t>
  </si>
  <si>
    <t>11301-M6395139</t>
  </si>
  <si>
    <t>https://www.metrocuadrado.com/inmueble/venta-apartaestudio-bogota-la-candelaria-1-habitaciones-1-banos-1-garajes/11301-M6395139</t>
  </si>
  <si>
    <t>21762-M6350859</t>
  </si>
  <si>
    <t>https://www.metrocuadrado.com/inmueble/venta-apartaestudio-bogota-la-sabana-1-habitaciones-2-banos/21762-M6350859</t>
  </si>
  <si>
    <t>21446-M6355710</t>
  </si>
  <si>
    <t>https://www.metrocuadrado.com/inmueble/venta-apartaestudio-bogota-valparaiso-1-habitaciones-1-banos/21446-M6355710</t>
  </si>
  <si>
    <t>21391-M6499262</t>
  </si>
  <si>
    <t>https://www.metrocuadrado.com/inmueble/venta-apartaestudio-bogota-chico-norte-et-iii-1-habitaciones-1-banos-1-garajes/21391-M6499262</t>
  </si>
  <si>
    <t>2412-M6170993</t>
  </si>
  <si>
    <t>https://www.metrocuadrado.com/inmueble/venta-apartaestudio-bogota-centro-internacional-1-habitaciones-1-banos/2412-M6170993</t>
  </si>
  <si>
    <t>21408-M6410313</t>
  </si>
  <si>
    <t>https://www.metrocuadrado.com/inmueble/venta-apartaestudio-bogota-los-cedros-1-habitaciones-1-banos/21408-M6410313</t>
  </si>
  <si>
    <t>21503-M6569341</t>
  </si>
  <si>
    <t>https://www.metrocuadrado.com/inmueble/venta-apartaestudio-bogota-chico-norte-1-habitaciones-2-banos-1-garajes/21503-M6569341</t>
  </si>
  <si>
    <t>21438-M6132580</t>
  </si>
  <si>
    <t>https://www.metrocuadrado.com/inmueble/venta-apartaestudio-bogota-san-diego-1-habitaciones-1-banos/21438-M6132580</t>
  </si>
  <si>
    <t>5340-M4551520</t>
  </si>
  <si>
    <t>https://www.metrocuadrado.com/inmueble/venta-apartaestudio-bogota-el-retiro-2-habitaciones-2-banos-1-garajes/5340-M4551520</t>
  </si>
  <si>
    <t>20447-M5940502</t>
  </si>
  <si>
    <t>https://www.metrocuadrado.com/inmueble/venta-apartaestudio-bogota-los-andes-norte-1-habitaciones-2-banos-1-garajes/20447-M5940502</t>
  </si>
  <si>
    <t>2412-M6297771</t>
  </si>
  <si>
    <t>https://www.metrocuadrado.com/inmueble/venta-apartaestudio-bogota-san-patricio-1-habitaciones-1-banos-2-garajes/2412-M6297771</t>
  </si>
  <si>
    <t>20804-M6521038</t>
  </si>
  <si>
    <t>https://www.metrocuadrado.com/inmueble/venta-apartaestudio-bogota-san-victorino-1-habitaciones-2-banos/20804-M6521038</t>
  </si>
  <si>
    <t>2996-M6448629</t>
  </si>
  <si>
    <t>https://www.metrocuadrado.com/inmueble/venta-apartaestudio-bogota-la-carolina-1-habitaciones-1-banos-1-garajes/2996-M6448629</t>
  </si>
  <si>
    <t>304-M3987589</t>
  </si>
  <si>
    <t>ALHAMBRA</t>
  </si>
  <si>
    <t>https://www.metrocuadrado.com/inmueble/venta-apartaestudio-bogota-alhambra-1-habitaciones-1-banos-1-garajes/304-M3987589</t>
  </si>
  <si>
    <t>20179-M6354995</t>
  </si>
  <si>
    <t>https://www.metrocuadrado.com/inmueble/venta-apartaestudio-bogota-los-naranjos-2-habitaciones-1-banos/20179-M6354995</t>
  </si>
  <si>
    <t>22189-M6578447</t>
  </si>
  <si>
    <t>https://www.metrocuadrado.com/inmueble/venta-apartaestudio-bogota-niza-norte-1-habitaciones-2-banos-2-garajes/22189-M6578447</t>
  </si>
  <si>
    <t>2412-M5716400</t>
  </si>
  <si>
    <t>https://www.metrocuadrado.com/inmueble/venta-apartaestudio-bogota-santa-barbara-1-habitaciones-2-banos-2-garajes/2412-M5716400</t>
  </si>
  <si>
    <t>20426-M6495045</t>
  </si>
  <si>
    <t>https://www.metrocuadrado.com/inmueble/venta-apartaestudio-bogota-chico-norte-et-ii-1-habitaciones-1-banos/20426-M6495045</t>
  </si>
  <si>
    <t>20610-M5956824</t>
  </si>
  <si>
    <t>https://www.metrocuadrado.com/inmueble/venta-apartaestudio-bogota-el-contador-1-habitaciones-1-banos/20610-M5956824</t>
  </si>
  <si>
    <t>72-M6315118</t>
  </si>
  <si>
    <t>https://www.metrocuadrado.com/inmueble/venta-apartaestudio-bogota-santa-paula-1-habitaciones-1-banos/72-M6315118</t>
  </si>
  <si>
    <t>2630-M5629637</t>
  </si>
  <si>
    <t>https://www.metrocuadrado.com/inmueble/venta-apartaestudio-bogota-bosque-calderon-1-habitaciones-2-banos-1-garajes/2630-M5629637</t>
  </si>
  <si>
    <t>20610-M5957518</t>
  </si>
  <si>
    <t>https://www.metrocuadrado.com/inmueble/venta-apartaestudio-bogota-prado-pinzon-1-habitaciones-1-banos/20610-M5957518</t>
  </si>
  <si>
    <t>13436-M6116062</t>
  </si>
  <si>
    <t>https://www.metrocuadrado.com/inmueble/venta-apartaestudio-bogota-el-tintal-1-habitaciones-1-banos-1-garajes/13436-M6116062</t>
  </si>
  <si>
    <t>11104-M5770845</t>
  </si>
  <si>
    <t>https://www.metrocuadrado.com/inmueble/venta-apartaestudio-bogota-antiguo-country-1-habitaciones-1-banos-1-garajes/11104-M5770845</t>
  </si>
  <si>
    <t>16630-M6576641</t>
  </si>
  <si>
    <t>https://www.metrocuadrado.com/inmueble/venta-apartaestudio-bogota-nueva-zelandia-1-habitaciones-1-banos/16630-M6576641</t>
  </si>
  <si>
    <t>2162-M6061922</t>
  </si>
  <si>
    <t>https://www.metrocuadrado.com/inmueble/venta-apartaestudio-bogota-chico-norte-et.-iii-1-habitaciones-1-banos-2-garajes/2162-M6061922</t>
  </si>
  <si>
    <t>2123-M5133854</t>
  </si>
  <si>
    <t>https://www.metrocuadrado.com/inmueble/venta-apartaestudio-bogota-santa-barbara-oriental-1-habitaciones-1-banos/2123-M5133854</t>
  </si>
  <si>
    <t>703-M5551727</t>
  </si>
  <si>
    <t>https://www.metrocuadrado.com/inmueble/venta-apartaestudio-bogota-chapinero-alto-1-habitaciones-1-banos/703-M5551727</t>
  </si>
  <si>
    <t>2123-M4776290</t>
  </si>
  <si>
    <t>https://www.metrocuadrado.com/inmueble/venta-apartaestudio-bogota-caobos-salazar-1-habitaciones-2-banos-1-garajes/2123-M4776290</t>
  </si>
  <si>
    <t>10046-M4856158</t>
  </si>
  <si>
    <t>https://www.metrocuadrado.com/inmueble/venta-apartaestudio-bogota-chico-norte-et.-iii-1-habitaciones-1-banos/10046-M4856158</t>
  </si>
  <si>
    <t>2821-M6550388</t>
  </si>
  <si>
    <t>https://www.metrocuadrado.com/inmueble/venta-apartaestudio-bogota-julio-florez-1-habitaciones-1-banos/2821-M6550388</t>
  </si>
  <si>
    <t>3576-M6487452</t>
  </si>
  <si>
    <t>https://www.metrocuadrado.com/inmueble/venta-apartaestudio-bogota-sagrado-corazon-1-habitaciones-1-banos-1-garajes/3576-M6487452</t>
  </si>
  <si>
    <t>3576-M6487425</t>
  </si>
  <si>
    <t>https://www.metrocuadrado.com/inmueble/venta-apartaestudio-bogota-sagrado-corazon-1-habitaciones-1-banos-1-garajes/3576-M6487425</t>
  </si>
  <si>
    <t>17723-M5262570</t>
  </si>
  <si>
    <t>RINCON DEL CHICO   EDIF ROUND POINT CALLE 100</t>
  </si>
  <si>
    <t>https://www.metrocuadrado.com/inmueble/venta-apartaestudio-bogota-rincon-del-chico-edif-round-point-calle-100-1-habitaciones-1-banos/17723-M5262570</t>
  </si>
  <si>
    <t>MC6512001</t>
  </si>
  <si>
    <t>https://www.metrocuadrado.com/inmueble/venta-apartaestudio-bogota-los-monjes-1-habitaciones-1-banos/MC6512001</t>
  </si>
  <si>
    <t>MC6427686</t>
  </si>
  <si>
    <t>https://www.metrocuadrado.com/inmueble/venta-apartaestudio-bogota-la-esperanza-norte-1-habitaciones-1-banos/MC6427686</t>
  </si>
  <si>
    <t>MC6426295</t>
  </si>
  <si>
    <t>https://www.metrocuadrado.com/inmueble/venta-apartaestudio-bogota-samper-1-habitaciones-1-banos/MC6426295</t>
  </si>
  <si>
    <t>MC6564797</t>
  </si>
  <si>
    <t>SANTA ANA SUR</t>
  </si>
  <si>
    <t>https://www.metrocuadrado.com/inmueble/venta-apartaestudio-bogota-santa-ana-sur-1-habitaciones-1-banos-1-garajes/MC6564797</t>
  </si>
  <si>
    <t>20610-M5961899</t>
  </si>
  <si>
    <t>https://www.metrocuadrado.com/inmueble/venta-apartaestudio-bogota-galerias-1-habitaciones-1-banos/20610-M5961899</t>
  </si>
  <si>
    <t>34-M5758258</t>
  </si>
  <si>
    <t>https://www.metrocuadrado.com/inmueble/venta-apartaestudio-bogota-san-martin-1-habitaciones-2-banos-1-garajes/34-M5758258</t>
  </si>
  <si>
    <t>20847-M6514759</t>
  </si>
  <si>
    <t>https://www.metrocuadrado.com/inmueble/venta-apartaestudio-bogota-1-habitaciones-1-banos-1-garajes/20847-M6514759</t>
  </si>
  <si>
    <t>5031-M6063589</t>
  </si>
  <si>
    <t>ALAMEDA 170</t>
  </si>
  <si>
    <t>https://www.metrocuadrado.com/inmueble/venta-apartaestudio-bogota-alameda-170-1-habitaciones-1-banos/5031-M6063589</t>
  </si>
  <si>
    <t>17285-M6409377</t>
  </si>
  <si>
    <t>https://www.metrocuadrado.com/inmueble/venta-apartaestudio-bogota-chico-navarra-4-habitaciones-5-banos-4-garajes/17285-M6409377</t>
  </si>
  <si>
    <t>771-M6053750</t>
  </si>
  <si>
    <t>https://www.metrocuadrado.com/inmueble/venta-apartaestudio-bogota-san-patricio-1-habitaciones-1-banos-1-garajes/771-M6053750</t>
  </si>
  <si>
    <t>734-M5945575</t>
  </si>
  <si>
    <t>https://www.metrocuadrado.com/inmueble/venta-apartaestudio-bogota-suba-1-habitaciones-1-banos/734-M5945575</t>
  </si>
  <si>
    <t>22190-M6579249</t>
  </si>
  <si>
    <t>SAN FERNANDO OCCIDENTAL</t>
  </si>
  <si>
    <t>https://www.metrocuadrado.com/inmueble/venta-apartaestudio-bogota-san-fernando-occidental-1-habitaciones-1-banos/22190-M6579249</t>
  </si>
  <si>
    <t>2748-M5591109</t>
  </si>
  <si>
    <t>https://www.metrocuadrado.com/inmueble/venta-apartaestudio-bogota-lisboa-1-habitaciones-2-banos-1-garajes/2748-M5591109</t>
  </si>
  <si>
    <t>21187-M6445296</t>
  </si>
  <si>
    <t>https://www.metrocuadrado.com/inmueble/venta-apartaestudio-bogota-bella-suiza-1-habitaciones-1-banos-1-garajes/21187-M6445296</t>
  </si>
  <si>
    <t>20031-M5765598</t>
  </si>
  <si>
    <t>https://www.metrocuadrado.com/inmueble/venta-apartaestudio-bogota-centro-internacional-1-habitaciones-1-banos/20031-M5765598</t>
  </si>
  <si>
    <t>20686-M6328501</t>
  </si>
  <si>
    <t>https://www.metrocuadrado.com/inmueble/venta-apartaestudio-bogota-eduardo-santos-1-habitaciones-1-banos/20686-M6328501</t>
  </si>
  <si>
    <t>2996-M6448361</t>
  </si>
  <si>
    <t>https://www.metrocuadrado.com/inmueble/venta-apartaestudio-bogota-santa-barbara-central-1-habitaciones-1-banos-1-garajes/2996-M6448361</t>
  </si>
  <si>
    <t>20861-M6434017</t>
  </si>
  <si>
    <t>https://www.metrocuadrado.com/inmueble/venta-apartaestudio-bogota-marly-1-habitaciones-1-banos/20861-M6434017</t>
  </si>
  <si>
    <t>19578-M6176258</t>
  </si>
  <si>
    <t>https://www.metrocuadrado.com/inmueble/venta-apartaestudio-bogota-gilmar-1-habitaciones-1-banos/19578-M6176258</t>
  </si>
  <si>
    <t>22189-M6472348</t>
  </si>
  <si>
    <t>https://www.metrocuadrado.com/inmueble/venta-apartaestudio-bogota-santa-barbara-occidental-1-habitaciones-1-banos-1-garajes/22189-M6472348</t>
  </si>
  <si>
    <t>72-M5762582</t>
  </si>
  <si>
    <t>https://www.metrocuadrado.com/inmueble/venta-apartaestudio-bogota-santa-ana-occidental-1-habitaciones-1-banos/72-M5762582</t>
  </si>
  <si>
    <t>5044-M6519820</t>
  </si>
  <si>
    <t>https://www.metrocuadrado.com/inmueble/venta-apartaestudio-bogota-los-cedros-oriental-1-habitaciones-1-banos-1-garajes/5044-M6519820</t>
  </si>
  <si>
    <t>2412-M6499799</t>
  </si>
  <si>
    <t>https://www.metrocuadrado.com/inmueble/venta-apartaestudio-bogota-chico-norte-1-habitaciones-1-banos-2-garajes/2412-M6499799</t>
  </si>
  <si>
    <t>20139-M6376518</t>
  </si>
  <si>
    <t>https://www.metrocuadrado.com/inmueble/venta-apartaestudio-bogota-1-habitaciones-2-banos-1-garajes/20139-M6376518</t>
  </si>
  <si>
    <t>20610-M5957528</t>
  </si>
  <si>
    <t>PRADO VERANIEGO</t>
  </si>
  <si>
    <t>https://www.metrocuadrado.com/inmueble/venta-apartaestudio-bogota-prado-veraniego-1-habitaciones-1-banos/20610-M5957528</t>
  </si>
  <si>
    <t>19578-M6239714</t>
  </si>
  <si>
    <t>https://www.metrocuadrado.com/inmueble/venta-apartaestudio-bogota-chapinero-1-habitaciones-1-banos/19578-M6239714</t>
  </si>
  <si>
    <t>290-M6102678</t>
  </si>
  <si>
    <t>https://www.metrocuadrado.com/inmueble/venta-apartaestudio-bogota-quesada-1-habitaciones-1-banos/290-M6102678</t>
  </si>
  <si>
    <t>5545-M5525622</t>
  </si>
  <si>
    <t>https://www.metrocuadrado.com/inmueble/venta-apartaestudio-bogota-chico-norte-et.-iii-1-habitaciones-2-banos-1-garajes/5545-M5525622</t>
  </si>
  <si>
    <t>2412-M5307617</t>
  </si>
  <si>
    <t>https://www.metrocuadrado.com/inmueble/venta-apartaestudio-bogota-sierras-del-moral-3-habitaciones-4-banos-3-garajes/2412-M5307617</t>
  </si>
  <si>
    <t>20845-M6102477</t>
  </si>
  <si>
    <t>RESTREPO OCCIDENTAL</t>
  </si>
  <si>
    <t>https://www.metrocuadrado.com/inmueble/venta-apartaestudio-bogota-restrepo-occidental-1-habitaciones-1-banos/20845-M6102477</t>
  </si>
  <si>
    <t>20031-M5808776</t>
  </si>
  <si>
    <t>https://www.metrocuadrado.com/inmueble/venta-apartaestudio-bogota-centro-internacional-1-habitaciones-1-banos/20031-M5808776</t>
  </si>
  <si>
    <t>11104-M6336893</t>
  </si>
  <si>
    <t>https://www.metrocuadrado.com/inmueble/venta-apartaestudio-bogota-restrepo-1-habitaciones-1-banos/11104-M6336893</t>
  </si>
  <si>
    <t>19077-M6290694</t>
  </si>
  <si>
    <t>https://www.metrocuadrado.com/inmueble/venta-apartaestudio-bogota-pasadena-2-habitaciones-1-banos-1-garajes/19077-M6290694</t>
  </si>
  <si>
    <t>20139-M6471026</t>
  </si>
  <si>
    <t>https://www.metrocuadrado.com/inmueble/venta-apartaestudio-bogota-marly-1-habitaciones-1-banos-1-garajes/20139-M6471026</t>
  </si>
  <si>
    <t>22147-M6451397</t>
  </si>
  <si>
    <t>https://www.metrocuadrado.com/inmueble/venta-apartaestudio-bogota-polo-club-1-habitaciones-1-banos/22147-M6451397</t>
  </si>
  <si>
    <t>20837-M6401849</t>
  </si>
  <si>
    <t>https://www.metrocuadrado.com/inmueble/venta-apartaestudio-bogota-chico-1-habitaciones-1-banos/20837-M6401849</t>
  </si>
  <si>
    <t>21945-M6365228</t>
  </si>
  <si>
    <t>CENTRO HISTORICO</t>
  </si>
  <si>
    <t>https://www.metrocuadrado.com/inmueble/venta-apartaestudio-bogota-centro-historico-1-habitaciones-1-banos/21945-M6365228</t>
  </si>
  <si>
    <t>20686-M6496884</t>
  </si>
  <si>
    <t>https://www.metrocuadrado.com/inmueble/venta-apartaestudio-bogota-eduardo-santos-1-habitaciones-1-banos/20686-M6496884</t>
  </si>
  <si>
    <t>17565-M6179381</t>
  </si>
  <si>
    <t>https://www.metrocuadrado.com/inmueble/venta-apartaestudio-bogota-chico-1-habitaciones-1-banos/17565-M6179381</t>
  </si>
  <si>
    <t>21438-M6132425</t>
  </si>
  <si>
    <t>https://www.metrocuadrado.com/inmueble/venta-apartaestudio-bogota-santa-barbara-oriental-1-habitaciones-1-banos-1-garajes/21438-M6132425</t>
  </si>
  <si>
    <t>3240-M6115967</t>
  </si>
  <si>
    <t>https://www.metrocuadrado.com/inmueble/venta-apartaestudio-bogota-1-habitaciones-2-banos-2-garajes/3240-M6115967</t>
  </si>
  <si>
    <t>3422-M6588549</t>
  </si>
  <si>
    <t>https://www.metrocuadrado.com/inmueble/venta-apartaestudio-bogota-el-contador-1-habitaciones-2-banos-1-garajes/3422-M6588549</t>
  </si>
  <si>
    <t>703-M5756586</t>
  </si>
  <si>
    <t>https://www.metrocuadrado.com/inmueble/venta-apartaestudio-bogota-chapinero-alto-1-habitaciones-1-banos/703-M5756586</t>
  </si>
  <si>
    <t>755-M6508193</t>
  </si>
  <si>
    <t>https://www.metrocuadrado.com/inmueble/venta-apartaestudio-bogota-cedritos-1-habitaciones-2-banos-1-garajes/755-M6508193</t>
  </si>
  <si>
    <t>703-M6163746</t>
  </si>
  <si>
    <t>https://www.metrocuadrado.com/inmueble/venta-apartaestudio-bogota-chapinero-alto-1-habitaciones-1-banos/703-M6163746</t>
  </si>
  <si>
    <t>2377-M6049872</t>
  </si>
  <si>
    <t>https://www.metrocuadrado.com/inmueble/venta-apartaestudio-bogota-el-recuerdo-1-habitaciones-1-banos-1-garajes/2377-M6049872</t>
  </si>
  <si>
    <t>2361-M5280797</t>
  </si>
  <si>
    <t>https://www.metrocuadrado.com/inmueble/venta-apartaestudio-bogota-el-contador-1-habitaciones-2-banos-1-garajes/2361-M5280797</t>
  </si>
  <si>
    <t>2941-M6492194</t>
  </si>
  <si>
    <t>https://www.metrocuadrado.com/inmueble/venta-apartaestudio-bogota-chapinero-1-habitaciones-1-banos-1-garajes/2941-M6492194</t>
  </si>
  <si>
    <t>12364-M6503920</t>
  </si>
  <si>
    <t>https://www.metrocuadrado.com/inmueble/venta-apartaestudio-bogota-el-chico-1-habitaciones-1-banos/12364-M6503920</t>
  </si>
  <si>
    <t>14836-M6427717</t>
  </si>
  <si>
    <t>https://www.metrocuadrado.com/inmueble/venta-apartaestudio-bogota-chico-norte-et-iii-1-habitaciones-2-banos-1-garajes/14836-M6427717</t>
  </si>
  <si>
    <t>MC6485363</t>
  </si>
  <si>
    <t>LAGO GAITAN</t>
  </si>
  <si>
    <t>https://www.metrocuadrado.com/inmueble/venta-apartaestudio-bogota-lago-gaitan-1-habitaciones-1-banos-4-garajes/MC6485363</t>
  </si>
  <si>
    <t>MC6449641</t>
  </si>
  <si>
    <t>https://www.metrocuadrado.com/inmueble/venta-apartaestudio-bogota-chico-norte-et.-iii-1-habitaciones-1-banos-1-garajes/MC6449641</t>
  </si>
  <si>
    <t>MC6321087</t>
  </si>
  <si>
    <t>https://www.metrocuadrado.com/inmueble/venta-apartaestudio-bogota-chico-norte-et.-iii-1-habitaciones-1-banos-1-garajes/MC6321087</t>
  </si>
  <si>
    <t>MC6564798</t>
  </si>
  <si>
    <t>https://www.metrocuadrado.com/inmueble/venta-apartaestudio-bogota-santa-ana-sur-1-habitaciones-1-banos/MC6564798</t>
  </si>
  <si>
    <t>11104-M6056265</t>
  </si>
  <si>
    <t>https://www.metrocuadrado.com/inmueble/venta-apartaestudio-bogota-chapinero-sur-occidental-1-habitaciones-1-banos/11104-M6056265</t>
  </si>
  <si>
    <t>2709-M5996823</t>
  </si>
  <si>
    <t>https://www.metrocuadrado.com/inmueble/venta-apartaestudio-bogota-chico-norte-1-habitaciones-1-banos/2709-M5996823</t>
  </si>
  <si>
    <t>3774-M6118253</t>
  </si>
  <si>
    <t>https://www.metrocuadrado.com/inmueble/venta-apartaestudio-bogota-san-patricio-1-habitaciones-1-banos-1-garajes/3774-M6118253</t>
  </si>
  <si>
    <t>5606-M6146701</t>
  </si>
  <si>
    <t>https://www.metrocuadrado.com/inmueble/venta-apartaestudio-bogota-la-alameda-1-habitaciones-1-banos/5606-M6146701</t>
  </si>
  <si>
    <t>2412-M5603035</t>
  </si>
  <si>
    <t>ROSALES BAJO</t>
  </si>
  <si>
    <t>https://www.metrocuadrado.com/inmueble/venta-apartaestudio-bogota-rosales-bajo-2-habitaciones-4-banos/2412-M5603035</t>
  </si>
  <si>
    <t>13436-M6320799</t>
  </si>
  <si>
    <t>https://www.metrocuadrado.com/inmueble/venta-apartaestudio-bogota-antiguo-country-1-habitaciones-1-banos/13436-M6320799</t>
  </si>
  <si>
    <t>2412-M6495004</t>
  </si>
  <si>
    <t>https://www.metrocuadrado.com/inmueble/venta-apartaestudio-bogota-cabrera-1-habitaciones-1-banos-2-garajes/2412-M6495004</t>
  </si>
  <si>
    <t>20263-M5802020</t>
  </si>
  <si>
    <t>https://www.metrocuadrado.com/inmueble/venta-apartaestudio-bogota-rosales-1-habitaciones-1-banos-1-garajes/20263-M5802020</t>
  </si>
  <si>
    <t>4186-M6354776</t>
  </si>
  <si>
    <t>https://www.metrocuadrado.com/inmueble/venta-apartaestudio-bogota-la-candelaria-1-habitaciones-1-banos/4186-M6354776</t>
  </si>
  <si>
    <t>20255-M6233088</t>
  </si>
  <si>
    <t>https://www.metrocuadrado.com/inmueble/venta-apartaestudio-bogota-san-patricio-1-habitaciones-2-banos-1-garajes/20255-M6233088</t>
  </si>
  <si>
    <t>20610-M6026996</t>
  </si>
  <si>
    <t>https://www.metrocuadrado.com/inmueble/venta-apartaestudio-bogota-la-sabana-1-habitaciones-2-banos/20610-M6026996</t>
  </si>
  <si>
    <t>21407-M6549161</t>
  </si>
  <si>
    <t>https://www.metrocuadrado.com/inmueble/venta-apartaestudio-bogota-belalcazar-1-habitaciones-1-banos/21407-M6549161</t>
  </si>
  <si>
    <t>72-M6555728</t>
  </si>
  <si>
    <t>https://www.metrocuadrado.com/inmueble/venta-apartaestudio-bogota-centro-internacional-1-habitaciones-2-banos-1-garajes/72-M6555728</t>
  </si>
  <si>
    <t>20686-M6496932</t>
  </si>
  <si>
    <t>https://www.metrocuadrado.com/inmueble/venta-apartaestudio-bogota-eduardo-santos-1-habitaciones-1-banos/20686-M6496932</t>
  </si>
  <si>
    <t>18758-M6560923</t>
  </si>
  <si>
    <t>https://www.metrocuadrado.com/inmueble/venta-apartaestudio-bogota-pardo-rubio-1-habitaciones-1-banos-1-garajes/18758-M6560923</t>
  </si>
  <si>
    <t>15613-M5399187</t>
  </si>
  <si>
    <t>https://www.metrocuadrado.com/inmueble/venta-apartaestudio-bogota-chico-1-habitaciones-1-banos/15613-M5399187</t>
  </si>
  <si>
    <t>21362-M6131152</t>
  </si>
  <si>
    <t>https://www.metrocuadrado.com/inmueble/venta-apartaestudio-bogota-chico-norte-1-habitaciones-2-banos/21362-M6131152</t>
  </si>
  <si>
    <t>20832-M6187871</t>
  </si>
  <si>
    <t>https://www.metrocuadrado.com/inmueble/venta-apartaestudio-bogota-paloquemao-1-habitaciones-1-banos/20832-M6187871</t>
  </si>
  <si>
    <t>21362-M6125215</t>
  </si>
  <si>
    <t>https://www.metrocuadrado.com/inmueble/venta-apartaestudio-bogota-chico-norte-1-habitaciones-1-banos/21362-M6125215</t>
  </si>
  <si>
    <t>13436-M6329597</t>
  </si>
  <si>
    <t>https://www.metrocuadrado.com/inmueble/venta-apartaestudio-bogota-el-recuerdo-1-habitaciones-1-banos/13436-M6329597</t>
  </si>
  <si>
    <t>2412-M4935728</t>
  </si>
  <si>
    <t>https://www.metrocuadrado.com/inmueble/venta-apartaestudio-bogota-el-refugio-1-habitaciones-3-banos-2-garajes/2412-M4935728</t>
  </si>
  <si>
    <t>16288-M6324740</t>
  </si>
  <si>
    <t>https://www.metrocuadrado.com/inmueble/venta-apartaestudio-bogota-paloquemao-1-habitaciones-1-banos-1-garajes/16288-M6324740</t>
  </si>
  <si>
    <t>20690-M6481793</t>
  </si>
  <si>
    <t>https://www.metrocuadrado.com/inmueble/venta-apartaestudio-bogota-santa-barbara-central-1-habitaciones-2-banos-1-garajes/20690-M6481793</t>
  </si>
  <si>
    <t>22185-M6488041</t>
  </si>
  <si>
    <t>https://www.metrocuadrado.com/inmueble/venta-apartaestudio-bogota-bonanza-1-habitaciones-1-banos/22185-M6488041</t>
  </si>
  <si>
    <t>22145-M6549889</t>
  </si>
  <si>
    <t>https://www.metrocuadrado.com/inmueble/venta-apartaestudio-bogota-ciudad-jardin-norte-1-habitaciones-1-banos-1-garajes/22145-M6549889</t>
  </si>
  <si>
    <t>22189-M6451448</t>
  </si>
  <si>
    <t>https://www.metrocuadrado.com/inmueble/venta-apartaestudio-bogota-chico-norte-et.-iii-1-habitaciones-1-banos/22189-M6451448</t>
  </si>
  <si>
    <t>13436-M6473873</t>
  </si>
  <si>
    <t>https://www.metrocuadrado.com/inmueble/venta-apartaestudio-bogota-samper-1-habitaciones-1-banos/13436-M6473873</t>
  </si>
  <si>
    <t>2266-M5818494</t>
  </si>
  <si>
    <t>https://www.metrocuadrado.com/inmueble/venta-apartaestudio-bogota-la-sabana-1-habitaciones-1-banos-1-garajes/2266-M5818494</t>
  </si>
  <si>
    <t>20690-M6447962</t>
  </si>
  <si>
    <t>https://www.metrocuadrado.com/inmueble/venta-apartaestudio-bogota-asd-1-habitaciones-1-banos/20690-M6447962</t>
  </si>
  <si>
    <t>5044-M6054421</t>
  </si>
  <si>
    <t>https://www.metrocuadrado.com/inmueble/venta-apartaestudio-bogota-cedro-narvaez-1-habitaciones-1-banos-1-garajes/5044-M6054421</t>
  </si>
  <si>
    <t>2501-M6140031</t>
  </si>
  <si>
    <t>https://www.metrocuadrado.com/inmueble/venta-apartaestudio-bogota-chico-1-habitaciones-1-banos-1-garajes/2501-M6140031</t>
  </si>
  <si>
    <t>2328-M6449046</t>
  </si>
  <si>
    <t>https://www.metrocuadrado.com/inmueble/venta-apartaestudio-bogota-san-patricio-1-habitaciones-1-banos-1-garajes/2328-M6449046</t>
  </si>
  <si>
    <t>2266-M6321880</t>
  </si>
  <si>
    <t>https://www.metrocuadrado.com/inmueble/venta-apartaestudio-bogota-chico-1-habitaciones-1-banos/2266-M6321880</t>
  </si>
  <si>
    <t>2412-M6557436</t>
  </si>
  <si>
    <t>https://www.metrocuadrado.com/inmueble/venta-apartaestudio-bogota-chico-norte-1-habitaciones-1-banos-2-garajes/2412-M6557436</t>
  </si>
  <si>
    <t>19711-M6268239</t>
  </si>
  <si>
    <t>https://www.metrocuadrado.com/inmueble/venta-apartaestudio-bogota-cedritos-1-habitaciones-2-banos-1-garajes/19711-M6268239</t>
  </si>
  <si>
    <t>18758-M6432852</t>
  </si>
  <si>
    <t>https://www.metrocuadrado.com/inmueble/venta-apartaestudio-bogota-chico-1-habitaciones-1-banos-1-garajes/18758-M6432852</t>
  </si>
  <si>
    <t>164-M6395337</t>
  </si>
  <si>
    <t>https://www.metrocuadrado.com/inmueble/venta-apartaestudio-bogota-colina-campestre-1-habitaciones-1-banos/164-M6395337</t>
  </si>
  <si>
    <t>164-M5955662</t>
  </si>
  <si>
    <t>https://www.metrocuadrado.com/inmueble/venta-apartaestudio-bogota-san-martin-1-habitaciones-1-banos-1-garajes/164-M5955662</t>
  </si>
  <si>
    <t>164-M5955655</t>
  </si>
  <si>
    <t>https://www.metrocuadrado.com/inmueble/venta-apartaestudio-bogota-chico-1-habitaciones-1-banos/164-M5955655</t>
  </si>
  <si>
    <t>2469-M6562476</t>
  </si>
  <si>
    <t>https://www.metrocuadrado.com/inmueble/venta-apartaestudio-bogota-molinos-norte-1-habitaciones-1-banos-1-garajes/2469-M6562476</t>
  </si>
  <si>
    <t>183-M6112391</t>
  </si>
  <si>
    <t>https://www.metrocuadrado.com/inmueble/venta-apartaestudio-bogota-chapinero-central-1-habitaciones-1-banos-1-garajes/183-M6112391</t>
  </si>
  <si>
    <t>709-M6432589</t>
  </si>
  <si>
    <t>https://www.metrocuadrado.com/inmueble/venta-apartaestudio-bogota-puente-aranda-1-habitaciones-1-banos/709-M6432589</t>
  </si>
  <si>
    <t>2398-M6371525</t>
  </si>
  <si>
    <t>https://www.metrocuadrado.com/inmueble/venta-apartaestudio-bogota-centro-internacional-1-habitaciones-1-banos/2398-M6371525</t>
  </si>
  <si>
    <t>14836-M5814585</t>
  </si>
  <si>
    <t>https://www.metrocuadrado.com/inmueble/venta-apartaestudio-bogota-san-luis-1-habitaciones-1-banos/14836-M5814585</t>
  </si>
  <si>
    <t>2627-M6381088</t>
  </si>
  <si>
    <t>BELLAVISTA OCCIDENTAL</t>
  </si>
  <si>
    <t>https://www.metrocuadrado.com/inmueble/venta-apartaestudio-bogota-bellavista-occidental-1-habitaciones-1-banos/2627-M6381088</t>
  </si>
  <si>
    <t>17742-M6399054</t>
  </si>
  <si>
    <t>https://www.metrocuadrado.com/inmueble/venta-apartaestudio-bogota-chapinero-alto-1-habitaciones-1-banos/17742-M6399054</t>
  </si>
  <si>
    <t>MC6539292</t>
  </si>
  <si>
    <t>AEROPUERTO EL DORADO</t>
  </si>
  <si>
    <t>https://www.metrocuadrado.com/inmueble/venta-apartaestudio-bogota-aeropuerto-el-dorado-1-habitaciones-1-banos/MC6539292</t>
  </si>
  <si>
    <t>MC6373767</t>
  </si>
  <si>
    <t>https://www.metrocuadrado.com/inmueble/venta-apartaestudio-bogota-acacias-usaquen-1-habitaciones-1-banos-1-garajes/MC6373767</t>
  </si>
  <si>
    <t>MC6449363</t>
  </si>
  <si>
    <t>https://www.metrocuadrado.com/inmueble/venta-apartaestudio-bogota-los-olivos-1-habitaciones-1-banos/MC6449363</t>
  </si>
  <si>
    <t>MC6505375</t>
  </si>
  <si>
    <t>https://www.metrocuadrado.com/inmueble/venta-apartaestudio-bogota-alfonso-lopez-1-habitaciones-1-banos-1-garajes/MC6505375</t>
  </si>
  <si>
    <t>19983-M6158861</t>
  </si>
  <si>
    <t>https://www.metrocuadrado.com/inmueble/venta-apartaestudio-bogota-barrancas-1-habitaciones-1-banos-1-garajes/19983-M6158861</t>
  </si>
  <si>
    <t>21503-M6382361</t>
  </si>
  <si>
    <t>https://www.metrocuadrado.com/inmueble/venta-apartaestudio-bogota-chico-norte-et.-iii-1-habitaciones-1-banos-1-garajes/21503-M6382361</t>
  </si>
  <si>
    <t>22147-M6452383</t>
  </si>
  <si>
    <t>https://www.metrocuadrado.com/inmueble/venta-apartaestudio-bogota-bella-suiza-1-habitaciones-2-banos-1-garajes/22147-M6452383</t>
  </si>
  <si>
    <t>19077-M6359388</t>
  </si>
  <si>
    <t>https://www.metrocuadrado.com/inmueble/venta-apartaestudio-bogota-la-veracruz-1-habitaciones-1-banos/19077-M6359388</t>
  </si>
  <si>
    <t>19578-M6137832</t>
  </si>
  <si>
    <t>https://www.metrocuadrado.com/inmueble/venta-apartaestudio-bogota-teusaquillo-1-habitaciones-1-banos/19578-M6137832</t>
  </si>
  <si>
    <t>21242-M6544762</t>
  </si>
  <si>
    <t>https://www.metrocuadrado.com/inmueble/venta-apartaestudio-bogota-sears-1-habitaciones-1-banos/21242-M6544762</t>
  </si>
  <si>
    <t>11104-M6326597</t>
  </si>
  <si>
    <t>https://www.metrocuadrado.com/inmueble/venta-apartaestudio-bogota-chapinero-sur-occidental-1-habitaciones-1-banos/11104-M6326597</t>
  </si>
  <si>
    <t>19578-M6140478</t>
  </si>
  <si>
    <t>LA GRANJA NORTE</t>
  </si>
  <si>
    <t>https://www.metrocuadrado.com/inmueble/venta-apartaestudio-bogota-la-granja-norte-1-habitaciones-1-banos/19578-M6140478</t>
  </si>
  <si>
    <t>11104-M6554480</t>
  </si>
  <si>
    <t>https://www.metrocuadrado.com/inmueble/venta-apartaestudio-bogota-el-tintal-1-habitaciones-1-banos/11104-M6554480</t>
  </si>
  <si>
    <t>19578-M6232975</t>
  </si>
  <si>
    <t>https://www.metrocuadrado.com/inmueble/venta-apartaestudio-bogota-chapinero-central-1-habitaciones-1-banos-1-garajes/19578-M6232975</t>
  </si>
  <si>
    <t>21438-M6132439</t>
  </si>
  <si>
    <t>https://www.metrocuadrado.com/inmueble/venta-apartaestudio-bogota-las-nieves-1-habitaciones-1-banos-1-garajes/21438-M6132439</t>
  </si>
  <si>
    <t>3774-M6042605</t>
  </si>
  <si>
    <t>https://www.metrocuadrado.com/inmueble/venta-apartaestudio-bogota-las-nieves-1-habitaciones-2-banos/3774-M6042605</t>
  </si>
  <si>
    <t>11104-M6553766</t>
  </si>
  <si>
    <t>https://www.metrocuadrado.com/inmueble/venta-apartaestudio-bogota-los-andes-norte-1-habitaciones-1-banos/11104-M6553766</t>
  </si>
  <si>
    <t>603-M6101201</t>
  </si>
  <si>
    <t>CAMPIN</t>
  </si>
  <si>
    <t>https://www.metrocuadrado.com/inmueble/venta-apartaestudio-bogota-campin-1-habitaciones-1-banos/603-M6101201</t>
  </si>
  <si>
    <t>20426-M6075484</t>
  </si>
  <si>
    <t>COLOMBIA</t>
  </si>
  <si>
    <t>https://www.metrocuadrado.com/inmueble/venta-apartaestudio-bogota-colombia-1-habitaciones-1-banos/20426-M6075484</t>
  </si>
  <si>
    <t>19678-M6098684</t>
  </si>
  <si>
    <t>https://www.metrocuadrado.com/inmueble/venta-apartaestudio-bogota-santa-teresa-1-habitaciones-2-banos-1-garajes/19678-M6098684</t>
  </si>
  <si>
    <t>19696-M6252962</t>
  </si>
  <si>
    <t>https://www.metrocuadrado.com/inmueble/venta-apartaestudio-bogota-san-diego-1-habitaciones-1-banos/19696-M6252962</t>
  </si>
  <si>
    <t>11104-M6455667</t>
  </si>
  <si>
    <t>VALLADOLID</t>
  </si>
  <si>
    <t>https://www.metrocuadrado.com/inmueble/venta-apartaestudio-bogota-valladolid-1-habitaciones-1-banos/11104-M6455667</t>
  </si>
  <si>
    <t>20690-M6281821</t>
  </si>
  <si>
    <t>https://www.metrocuadrado.com/inmueble/venta-apartaestudio-bogota-santa-barbara-oriental-1-habitaciones-2-banos-1-garajes/20690-M6281821</t>
  </si>
  <si>
    <t>20742-M5985127</t>
  </si>
  <si>
    <t>https://www.metrocuadrado.com/inmueble/venta-apartaestudio-bogota-asd-1-habitaciones-1-banos-1-garajes/20742-M5985127</t>
  </si>
  <si>
    <t>20859-M6023882</t>
  </si>
  <si>
    <t>FONTIBON CENTRO</t>
  </si>
  <si>
    <t>https://www.metrocuadrado.com/inmueble/venta-apartaestudio-bogota-fontibon-centro-1-habitaciones-2-banos/20859-M6023882</t>
  </si>
  <si>
    <t>10307-M6186600</t>
  </si>
  <si>
    <t>https://www.metrocuadrado.com/inmueble/venta-apartaestudio-bogota-santa-bibiana-1-habitaciones-2-banos-2-garajes/10307-M6186600</t>
  </si>
  <si>
    <t>21416-M6377272</t>
  </si>
  <si>
    <t>https://www.metrocuadrado.com/inmueble/venta-apartaestudio-bogota-chapinero-central-1-habitaciones-1-banos/21416-M6377272</t>
  </si>
  <si>
    <t>20610-M5954327</t>
  </si>
  <si>
    <t>https://www.metrocuadrado.com/inmueble/venta-apartaestudio-bogota-el-redil-1-habitaciones-1-banos/20610-M5954327</t>
  </si>
  <si>
    <t>851-M3235307</t>
  </si>
  <si>
    <t>https://www.metrocuadrado.com/inmueble/venta-apartaestudio-bogota-bosque-calderon-2-habitaciones-2-banos-1-garajes/851-M3235307</t>
  </si>
  <si>
    <t>3553-M6566945</t>
  </si>
  <si>
    <t>https://www.metrocuadrado.com/inmueble/venta-apartaestudio-bogota-la-alameda-1-habitaciones-1-banos/3553-M6566945</t>
  </si>
  <si>
    <t>11104-M6523598</t>
  </si>
  <si>
    <t>https://www.metrocuadrado.com/inmueble/venta-apartaestudio-bogota-gran-america-1-habitaciones-1-banos/11104-M6523598</t>
  </si>
  <si>
    <t>2412-M5243834</t>
  </si>
  <si>
    <t>https://www.metrocuadrado.com/inmueble/venta-apartaestudio-bogota-cabrera-1-habitaciones-2-banos-1-garajes/2412-M5243834</t>
  </si>
  <si>
    <t>5255-M6520618</t>
  </si>
  <si>
    <t>https://www.metrocuadrado.com/inmueble/venta-apartaestudio-bogota-aeropuerto-el-dorado-1-habitaciones-1-banos/5255-M6520618</t>
  </si>
  <si>
    <t>5255-M6520086</t>
  </si>
  <si>
    <t>https://www.metrocuadrado.com/inmueble/venta-apartaestudio-bogota-aeropuerto-el-dorado-1-habitaciones-1-banos/5255-M6520086</t>
  </si>
  <si>
    <t>20690-M5972191</t>
  </si>
  <si>
    <t>https://www.metrocuadrado.com/inmueble/venta-apartaestudio-bogota-san-patricio-1-habitaciones-2-banos-1-garajes/20690-M5972191</t>
  </si>
  <si>
    <t>2266-M6409417</t>
  </si>
  <si>
    <t>https://www.metrocuadrado.com/inmueble/venta-apartaestudio-bogota-santa-bibiana-1-habitaciones-2-banos-1-garajes/2266-M6409417</t>
  </si>
  <si>
    <t>21242-M6099453</t>
  </si>
  <si>
    <t>https://www.metrocuadrado.com/inmueble/venta-apartaestudio-bogota-chico-norte-et-iii-1-habitaciones-1-banos-1-garajes/21242-M6099453</t>
  </si>
  <si>
    <t>20258-M6502335</t>
  </si>
  <si>
    <t>LOS EJIDOS</t>
  </si>
  <si>
    <t>https://www.metrocuadrado.com/inmueble/venta-apartaestudio-bogota-los-ejidos-1-habitaciones-1-banos/20258-M6502335</t>
  </si>
  <si>
    <t>20136-M5850133</t>
  </si>
  <si>
    <t>https://www.metrocuadrado.com/inmueble/venta-apartaestudio-bogota-colina-campestre-1-habitaciones-1-banos-1-garajes/20136-M5850133</t>
  </si>
  <si>
    <t>11104-M6270661</t>
  </si>
  <si>
    <t>https://www.metrocuadrado.com/inmueble/venta-apartaestudio-bogota-valladolid-1-habitaciones-1-banos/11104-M6270661</t>
  </si>
  <si>
    <t>164-M5956096</t>
  </si>
  <si>
    <t>https://www.metrocuadrado.com/inmueble/venta-apartaestudio-bogota-las-aguas-1-habitaciones-1-banos/164-M5956096</t>
  </si>
  <si>
    <t>164-M5954090</t>
  </si>
  <si>
    <t>https://www.metrocuadrado.com/inmueble/venta-apartaestudio-bogota-nicolas-de-federman-1-habitaciones-1-banos/164-M5954090</t>
  </si>
  <si>
    <t>164-M6361907</t>
  </si>
  <si>
    <t>https://www.metrocuadrado.com/inmueble/venta-apartaestudio-bogota-chapinero-alto-1-habitaciones-1-banos/164-M6361907</t>
  </si>
  <si>
    <t>164-M5956084</t>
  </si>
  <si>
    <t>https://www.metrocuadrado.com/inmueble/venta-apartaestudio-bogota-las-aguas-1-habitaciones-1-banos/164-M5956084</t>
  </si>
  <si>
    <t>164-M5956104</t>
  </si>
  <si>
    <t>https://www.metrocuadrado.com/inmueble/venta-apartaestudio-bogota-rincon-del-chico-1-habitaciones-1-banos/164-M5956104</t>
  </si>
  <si>
    <t>16766-M6410349</t>
  </si>
  <si>
    <t>https://www.metrocuadrado.com/inmueble/venta-apartaestudio-bogota-usaquen-1-habitaciones-1-banos/16766-M6410349</t>
  </si>
  <si>
    <t>3032-M6373529</t>
  </si>
  <si>
    <t>https://www.metrocuadrado.com/inmueble/venta-apartaestudio-bogota-barrancas-1-habitaciones-1-banos/3032-M6373529</t>
  </si>
  <si>
    <t>3155-M6433479</t>
  </si>
  <si>
    <t>https://www.metrocuadrado.com/inmueble/venta-apartaestudio-bogota-chico-norte-et-iii-1-habitaciones-1-banos/3155-M6433479</t>
  </si>
  <si>
    <t>2398-M6511251</t>
  </si>
  <si>
    <t>https://www.metrocuadrado.com/inmueble/venta-apartaestudio-bogota-centro-internacional-1-habitaciones-1-banos-1-garajes/2398-M6511251</t>
  </si>
  <si>
    <t>16957-M6491183</t>
  </si>
  <si>
    <t>https://www.metrocuadrado.com/inmueble/venta-apartaestudio-bogota-cedritos-1-habitaciones-1-banos-1-garajes/16957-M6491183</t>
  </si>
  <si>
    <t>MC6536204</t>
  </si>
  <si>
    <t>https://www.metrocuadrado.com/inmueble/venta-apartaestudio-bogota-quinta-paredes-2-habitaciones-1-banos-1-garajes/MC6536204</t>
  </si>
  <si>
    <t>MC6374362</t>
  </si>
  <si>
    <t>https://www.metrocuadrado.com/inmueble/venta-apartaestudio-bogota-molinos-norte-1-habitaciones-1-banos-1-garajes/MC6374362</t>
  </si>
  <si>
    <t>MC6461022</t>
  </si>
  <si>
    <t>https://www.metrocuadrado.com/inmueble/venta-apartaestudio-bogota-el-recuerdo-1-habitaciones-1-banos/MC6461022</t>
  </si>
  <si>
    <t>MC6511614</t>
  </si>
  <si>
    <t>https://www.metrocuadrado.com/inmueble/venta-apartaestudio-bogota-el-porvenir-1-habitaciones-1-banos/MC6511614</t>
  </si>
  <si>
    <t>pm2_5_exp</t>
  </si>
  <si>
    <t>pm10_exp</t>
  </si>
  <si>
    <t>id</t>
  </si>
  <si>
    <t>city</t>
  </si>
  <si>
    <t>type</t>
  </si>
  <si>
    <t>town</t>
  </si>
  <si>
    <t>area</t>
  </si>
  <si>
    <t>rooms</t>
  </si>
  <si>
    <t>baths</t>
  </si>
  <si>
    <t>parkings</t>
  </si>
  <si>
    <t>rent_area</t>
  </si>
  <si>
    <t>weather_station_near</t>
  </si>
  <si>
    <t>weather_station_name</t>
  </si>
  <si>
    <t>weather_station_city</t>
  </si>
  <si>
    <t>location_weather_station</t>
  </si>
  <si>
    <t>weather_station_address</t>
  </si>
  <si>
    <t>dist_weather_station</t>
  </si>
  <si>
    <t>age</t>
  </si>
  <si>
    <t>state</t>
  </si>
  <si>
    <t>stratum</t>
  </si>
  <si>
    <t>sale</t>
  </si>
  <si>
    <t>rent</t>
  </si>
  <si>
    <t>sale_area</t>
  </si>
  <si>
    <t>business</t>
  </si>
  <si>
    <t>lat_weather_station</t>
  </si>
  <si>
    <t>lon_weather_station</t>
  </si>
  <si>
    <t>altitud_weather_station</t>
  </si>
  <si>
    <t>zone_weather_station</t>
  </si>
  <si>
    <t>type_weather_station</t>
  </si>
  <si>
    <t>measure_weather_station</t>
  </si>
  <si>
    <t>sources_weather_station</t>
  </si>
  <si>
    <t>dist_park_km</t>
  </si>
  <si>
    <t>dist_school_km</t>
  </si>
  <si>
    <t>dist_hospital_km</t>
  </si>
  <si>
    <t>dist_pripal_road_km</t>
  </si>
  <si>
    <t>temperature_y</t>
  </si>
  <si>
    <t>wind_speed</t>
  </si>
  <si>
    <t>dir_wind</t>
  </si>
  <si>
    <t>precipitation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</si>
</sst>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#,##0"/>
  </numFmts>
  <fonts count="1" x14ac:knownFonts="1"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4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329BF-2F32-B14D-98D4-576379FB1069}">
  <dimension ref="A1:BK1973"/>
  <sheetViews>
    <sheetView tabSelected="1" topLeftCell="AI1" zoomScale="140" zoomScaleNormal="140" workbookViewId="0">
      <selection activeCell="BC2" sqref="BC2"/>
    </sheetView>
  </sheetViews>
  <sheetFormatPr baseColWidth="10" defaultRowHeight="15" x14ac:dyDescent="0.2"/>
  <cols>
    <col min="1" max="4" width="10.83203125" style="2"/>
    <col min="5" max="5" width="18.5" style="2" customWidth="1"/>
    <col min="6" max="11" width="10.83203125" style="2"/>
    <col min="12" max="12" width="16.1640625" style="6" customWidth="1"/>
    <col min="13" max="13" width="17.6640625" style="2" bestFit="1" customWidth="1"/>
    <col min="14" max="19" width="10.83203125" style="2"/>
    <col min="20" max="20" width="18.83203125" style="2" customWidth="1"/>
    <col min="21" max="21" width="21" style="2" customWidth="1"/>
    <col min="22" max="22" width="19.83203125" style="2" customWidth="1"/>
    <col min="23" max="23" width="22.6640625" style="2" customWidth="1"/>
    <col min="24" max="24" width="21.6640625" style="2" customWidth="1"/>
    <col min="25" max="25" width="18.1640625" style="2" customWidth="1"/>
    <col min="26" max="57" width="10.83203125" style="2" customWidth="1"/>
  </cols>
  <sheetData>
    <row r="1" spans="1:57" x14ac:dyDescent="0.2">
      <c r="A1" s="2" t="s">
        <v>4628</v>
      </c>
      <c r="B1" s="2" t="s">
        <v>4629</v>
      </c>
      <c r="C1" s="2" t="s">
        <v>4630</v>
      </c>
      <c r="D1" s="2" t="s">
        <v>4649</v>
      </c>
      <c r="E1" s="2" t="s">
        <v>4631</v>
      </c>
      <c r="F1" s="3" t="s">
        <v>4645</v>
      </c>
      <c r="G1" s="3" t="s">
        <v>4632</v>
      </c>
      <c r="H1" s="3" t="s">
        <v>4633</v>
      </c>
      <c r="I1" s="3" t="s">
        <v>4634</v>
      </c>
      <c r="J1" s="3" t="s">
        <v>4635</v>
      </c>
      <c r="K1" s="3" t="s">
        <v>4644</v>
      </c>
      <c r="L1" s="3" t="s">
        <v>4643</v>
      </c>
      <c r="M1" s="3" t="s">
        <v>4646</v>
      </c>
      <c r="N1" s="2" t="s">
        <v>4647</v>
      </c>
      <c r="O1" s="2" t="s">
        <v>0</v>
      </c>
      <c r="P1" s="2" t="s">
        <v>1</v>
      </c>
      <c r="Q1" s="2" t="s">
        <v>2</v>
      </c>
      <c r="R1" s="2" t="s">
        <v>4648</v>
      </c>
      <c r="S1" s="2" t="s">
        <v>4636</v>
      </c>
      <c r="T1" s="1" t="s">
        <v>4637</v>
      </c>
      <c r="U1" s="1" t="s">
        <v>4638</v>
      </c>
      <c r="V1" s="1" t="s">
        <v>4639</v>
      </c>
      <c r="W1" s="1" t="s">
        <v>4640</v>
      </c>
      <c r="X1" s="1" t="s">
        <v>4641</v>
      </c>
      <c r="Y1" s="1" t="s">
        <v>4642</v>
      </c>
      <c r="Z1" s="1" t="s">
        <v>4650</v>
      </c>
      <c r="AA1" s="1" t="s">
        <v>4651</v>
      </c>
      <c r="AB1" s="1" t="s">
        <v>4652</v>
      </c>
      <c r="AC1" s="1" t="s">
        <v>4653</v>
      </c>
      <c r="AD1" s="1" t="s">
        <v>4654</v>
      </c>
      <c r="AE1" s="1" t="s">
        <v>4655</v>
      </c>
      <c r="AF1" s="1" t="s">
        <v>4656</v>
      </c>
      <c r="AG1" s="1" t="s">
        <v>3</v>
      </c>
      <c r="AH1" s="1" t="s">
        <v>4</v>
      </c>
      <c r="AI1" s="1" t="s">
        <v>4657</v>
      </c>
      <c r="AJ1" s="1" t="s">
        <v>4658</v>
      </c>
      <c r="AK1" s="1" t="s">
        <v>4659</v>
      </c>
      <c r="AL1" s="1" t="s">
        <v>4660</v>
      </c>
      <c r="AM1" s="4" t="s">
        <v>4661</v>
      </c>
      <c r="AN1" s="4" t="s">
        <v>5</v>
      </c>
      <c r="AO1" s="4" t="s">
        <v>6</v>
      </c>
      <c r="AP1" s="4" t="s">
        <v>7</v>
      </c>
      <c r="AQ1" s="4" t="s">
        <v>8</v>
      </c>
      <c r="AR1" s="4" t="s">
        <v>4662</v>
      </c>
      <c r="AS1" s="4" t="s">
        <v>4663</v>
      </c>
      <c r="AT1" s="4" t="s">
        <v>4664</v>
      </c>
      <c r="AU1" s="4" t="s">
        <v>9</v>
      </c>
      <c r="AV1" s="4" t="s">
        <v>10</v>
      </c>
      <c r="AW1" s="4" t="s">
        <v>11</v>
      </c>
      <c r="AX1" s="4" t="s">
        <v>12</v>
      </c>
      <c r="AY1" s="4" t="s">
        <v>13</v>
      </c>
      <c r="AZ1" s="4" t="s">
        <v>14</v>
      </c>
      <c r="BA1" s="4" t="s">
        <v>15</v>
      </c>
      <c r="BB1" s="4" t="s">
        <v>16</v>
      </c>
      <c r="BC1" s="4" t="s">
        <v>17</v>
      </c>
      <c r="BD1" s="4" t="s">
        <v>4626</v>
      </c>
      <c r="BE1" s="4" t="s">
        <v>4627</v>
      </c>
    </row>
    <row r="2" spans="1:57" x14ac:dyDescent="0.2">
      <c r="A2" s="2" t="s">
        <v>2211</v>
      </c>
      <c r="B2" s="2" t="s">
        <v>19</v>
      </c>
      <c r="C2" s="2" t="s">
        <v>1907</v>
      </c>
      <c r="D2" s="2" t="s">
        <v>21</v>
      </c>
      <c r="E2" s="2" t="s">
        <v>2212</v>
      </c>
      <c r="F2" s="2">
        <v>6</v>
      </c>
      <c r="G2" s="2">
        <v>2011</v>
      </c>
      <c r="H2" s="2">
        <v>3</v>
      </c>
      <c r="I2" s="2">
        <v>3</v>
      </c>
      <c r="J2" s="2">
        <v>4</v>
      </c>
      <c r="K2" s="2" t="s">
        <v>61</v>
      </c>
      <c r="L2" s="6" t="s">
        <v>113</v>
      </c>
      <c r="M2" s="5">
        <v>2100000000</v>
      </c>
      <c r="N2" s="2">
        <v>0</v>
      </c>
      <c r="O2" s="2">
        <v>4.8139590999999999</v>
      </c>
      <c r="P2" s="2">
        <v>-74.051210600000005</v>
      </c>
      <c r="Q2" s="2" t="s">
        <v>2213</v>
      </c>
      <c r="R2" s="2">
        <v>1044256.589</v>
      </c>
      <c r="S2" s="2">
        <v>0</v>
      </c>
      <c r="T2" s="2" t="s">
        <v>102</v>
      </c>
      <c r="U2" s="2" t="s">
        <v>103</v>
      </c>
      <c r="V2" s="2" t="s">
        <v>28</v>
      </c>
      <c r="W2" s="2" t="s">
        <v>70</v>
      </c>
      <c r="X2" s="2" t="s">
        <v>104</v>
      </c>
      <c r="Y2" s="2">
        <v>3.4531457190061401</v>
      </c>
      <c r="Z2" s="2">
        <v>4.7837500000000004</v>
      </c>
      <c r="AA2" s="2">
        <v>-74.044138888888895</v>
      </c>
      <c r="AB2" s="2">
        <v>2580</v>
      </c>
      <c r="AC2" s="2" t="s">
        <v>105</v>
      </c>
      <c r="AD2" s="2" t="s">
        <v>58</v>
      </c>
      <c r="AE2" s="2" t="s">
        <v>33</v>
      </c>
      <c r="AF2" s="2" t="s">
        <v>34</v>
      </c>
      <c r="AG2" s="2" t="s">
        <v>72</v>
      </c>
      <c r="AH2" s="2">
        <v>5.0599066891528199</v>
      </c>
      <c r="AI2" s="2">
        <v>1.41372080563708</v>
      </c>
      <c r="AJ2" s="2">
        <v>1.6042099739951601</v>
      </c>
      <c r="AK2" s="2">
        <v>3.92468405345869</v>
      </c>
      <c r="AL2" s="2">
        <v>0.91341736462263701</v>
      </c>
      <c r="AM2" s="2">
        <v>15.3</v>
      </c>
      <c r="AN2" s="2">
        <v>9.8000000000000007</v>
      </c>
      <c r="AO2" s="2">
        <v>29.7</v>
      </c>
      <c r="AP2" s="2">
        <v>564</v>
      </c>
      <c r="AQ2" s="2">
        <v>68</v>
      </c>
      <c r="AR2" s="2">
        <v>1.8</v>
      </c>
      <c r="AS2" s="2">
        <v>43</v>
      </c>
      <c r="AT2" s="2">
        <v>25.4</v>
      </c>
      <c r="AU2" s="2">
        <v>162</v>
      </c>
      <c r="AV2" s="2">
        <v>9.1</v>
      </c>
      <c r="AW2" s="2">
        <v>9.1999999999999993</v>
      </c>
      <c r="AX2" s="2">
        <v>18.3</v>
      </c>
      <c r="AY2" s="2">
        <v>0.34</v>
      </c>
      <c r="AZ2" s="2">
        <v>7.3</v>
      </c>
      <c r="BA2" s="2">
        <v>0.9</v>
      </c>
      <c r="BB2" s="2">
        <v>7.5</v>
      </c>
      <c r="BC2" s="2">
        <v>2.9</v>
      </c>
      <c r="BD2" s="2">
        <f>+AN2*EXP(-0.0495*Y2)</f>
        <v>8.2602237255662185</v>
      </c>
      <c r="BE2" s="2">
        <f>+AO2*EXP(-0.024*Y2)</f>
        <v>27.337832495722239</v>
      </c>
    </row>
    <row r="3" spans="1:57" x14ac:dyDescent="0.2">
      <c r="A3" s="2" t="s">
        <v>2532</v>
      </c>
      <c r="B3" s="2" t="s">
        <v>19</v>
      </c>
      <c r="C3" s="2" t="s">
        <v>1907</v>
      </c>
      <c r="D3" s="2" t="s">
        <v>21</v>
      </c>
      <c r="E3" s="2" t="s">
        <v>2212</v>
      </c>
      <c r="F3" s="2">
        <v>6</v>
      </c>
      <c r="G3" s="2">
        <v>1890</v>
      </c>
      <c r="H3" s="2">
        <v>3</v>
      </c>
      <c r="I3" s="2">
        <v>5</v>
      </c>
      <c r="J3" s="2">
        <v>4</v>
      </c>
      <c r="K3" s="2" t="s">
        <v>61</v>
      </c>
      <c r="L3" s="6" t="s">
        <v>113</v>
      </c>
      <c r="M3" s="5">
        <v>2290000000</v>
      </c>
      <c r="N3" s="2">
        <v>0</v>
      </c>
      <c r="O3" s="2">
        <v>4.8204387000000004</v>
      </c>
      <c r="P3" s="2">
        <v>-74.046757999999997</v>
      </c>
      <c r="Q3" s="2" t="s">
        <v>2533</v>
      </c>
      <c r="R3" s="2">
        <v>1211640.2120000001</v>
      </c>
      <c r="S3" s="2">
        <v>0</v>
      </c>
      <c r="T3" s="2" t="s">
        <v>102</v>
      </c>
      <c r="U3" s="2" t="s">
        <v>103</v>
      </c>
      <c r="V3" s="2" t="s">
        <v>28</v>
      </c>
      <c r="W3" s="2" t="s">
        <v>70</v>
      </c>
      <c r="X3" s="2" t="s">
        <v>104</v>
      </c>
      <c r="Y3" s="2">
        <v>4.09448821812909</v>
      </c>
      <c r="Z3" s="2">
        <v>4.7837500000000004</v>
      </c>
      <c r="AA3" s="2">
        <v>-74.044138888888895</v>
      </c>
      <c r="AB3" s="2">
        <v>2580</v>
      </c>
      <c r="AC3" s="2" t="s">
        <v>105</v>
      </c>
      <c r="AD3" s="2" t="s">
        <v>58</v>
      </c>
      <c r="AE3" s="2" t="s">
        <v>33</v>
      </c>
      <c r="AF3" s="2" t="s">
        <v>34</v>
      </c>
      <c r="AG3" s="2" t="s">
        <v>72</v>
      </c>
      <c r="AH3" s="2">
        <v>5.7155399927692496</v>
      </c>
      <c r="AI3" s="2">
        <v>0.77160018431333499</v>
      </c>
      <c r="AJ3" s="2">
        <v>2.2530691605895798</v>
      </c>
      <c r="AK3" s="2">
        <v>4.7599114586370703</v>
      </c>
      <c r="AL3" s="2">
        <v>4.3729363254590099E-2</v>
      </c>
      <c r="AM3" s="2">
        <v>15.3</v>
      </c>
      <c r="AN3" s="2">
        <v>9.8000000000000007</v>
      </c>
      <c r="AO3" s="2">
        <v>29.7</v>
      </c>
      <c r="AP3" s="2">
        <v>564</v>
      </c>
      <c r="AQ3" s="2">
        <v>68</v>
      </c>
      <c r="AR3" s="2">
        <v>1.8</v>
      </c>
      <c r="AS3" s="2">
        <v>43</v>
      </c>
      <c r="AT3" s="2">
        <v>25.4</v>
      </c>
      <c r="AU3" s="2">
        <v>162</v>
      </c>
      <c r="AV3" s="2">
        <v>9.1</v>
      </c>
      <c r="AW3" s="2">
        <v>9.1999999999999993</v>
      </c>
      <c r="AX3" s="2">
        <v>18.3</v>
      </c>
      <c r="AY3" s="2">
        <v>0.34</v>
      </c>
      <c r="AZ3" s="2">
        <v>7.3</v>
      </c>
      <c r="BA3" s="2">
        <v>0.9</v>
      </c>
      <c r="BB3" s="2">
        <v>7.5</v>
      </c>
      <c r="BC3" s="2">
        <v>2.9</v>
      </c>
      <c r="BD3" s="2">
        <f>+AN3*EXP(-0.0495*Y3)</f>
        <v>8.0021096957215097</v>
      </c>
      <c r="BE3" s="2">
        <f>+AO3*EXP(-0.024*Y3)</f>
        <v>26.920264457915</v>
      </c>
    </row>
    <row r="4" spans="1:57" x14ac:dyDescent="0.2">
      <c r="A4" s="2" t="s">
        <v>2611</v>
      </c>
      <c r="B4" s="2" t="s">
        <v>19</v>
      </c>
      <c r="C4" s="2" t="s">
        <v>1907</v>
      </c>
      <c r="D4" s="2" t="s">
        <v>21</v>
      </c>
      <c r="E4" s="2" t="s">
        <v>2212</v>
      </c>
      <c r="F4" s="2">
        <v>6</v>
      </c>
      <c r="G4" s="2">
        <v>1868</v>
      </c>
      <c r="H4" s="2">
        <v>5</v>
      </c>
      <c r="I4" s="2">
        <v>5</v>
      </c>
      <c r="J4" s="2">
        <v>4</v>
      </c>
      <c r="K4" s="2" t="s">
        <v>61</v>
      </c>
      <c r="L4" s="6" t="s">
        <v>75</v>
      </c>
      <c r="M4" s="5">
        <v>3500000000</v>
      </c>
      <c r="N4" s="2">
        <v>0</v>
      </c>
      <c r="O4" s="2">
        <v>4.8180820630000003</v>
      </c>
      <c r="P4" s="2">
        <v>-74.05574799</v>
      </c>
      <c r="Q4" s="2" t="s">
        <v>2612</v>
      </c>
      <c r="R4" s="2">
        <v>1873661.67</v>
      </c>
      <c r="S4" s="2">
        <v>0</v>
      </c>
      <c r="T4" s="2" t="s">
        <v>102</v>
      </c>
      <c r="U4" s="2" t="s">
        <v>103</v>
      </c>
      <c r="V4" s="2" t="s">
        <v>28</v>
      </c>
      <c r="W4" s="2" t="s">
        <v>70</v>
      </c>
      <c r="X4" s="2" t="s">
        <v>104</v>
      </c>
      <c r="Y4" s="2">
        <v>4.0329589698894504</v>
      </c>
      <c r="Z4" s="2">
        <v>4.7837500000000004</v>
      </c>
      <c r="AA4" s="2">
        <v>-74.044138888888895</v>
      </c>
      <c r="AB4" s="2">
        <v>2580</v>
      </c>
      <c r="AC4" s="2" t="s">
        <v>105</v>
      </c>
      <c r="AD4" s="2" t="s">
        <v>58</v>
      </c>
      <c r="AE4" s="2" t="s">
        <v>33</v>
      </c>
      <c r="AF4" s="2" t="s">
        <v>34</v>
      </c>
      <c r="AG4" s="2" t="s">
        <v>72</v>
      </c>
      <c r="AH4" s="2">
        <v>5.6090262105301703</v>
      </c>
      <c r="AI4" s="2">
        <v>0.83612551821131298</v>
      </c>
      <c r="AJ4" s="2">
        <v>2.2130557817765699</v>
      </c>
      <c r="AK4" s="2">
        <v>3.86283686422466</v>
      </c>
      <c r="AL4" s="2">
        <v>0.80468241848390498</v>
      </c>
      <c r="AM4" s="2">
        <v>15.3</v>
      </c>
      <c r="AN4" s="2">
        <v>9.8000000000000007</v>
      </c>
      <c r="AO4" s="2">
        <v>29.7</v>
      </c>
      <c r="AP4" s="2">
        <v>564</v>
      </c>
      <c r="AQ4" s="2">
        <v>68</v>
      </c>
      <c r="AR4" s="2">
        <v>1.8</v>
      </c>
      <c r="AS4" s="2">
        <v>43</v>
      </c>
      <c r="AT4" s="2">
        <v>25.4</v>
      </c>
      <c r="AU4" s="2">
        <v>162</v>
      </c>
      <c r="AV4" s="2">
        <v>9.1</v>
      </c>
      <c r="AW4" s="2">
        <v>9.1999999999999993</v>
      </c>
      <c r="AX4" s="2">
        <v>18.3</v>
      </c>
      <c r="AY4" s="2">
        <v>0.34</v>
      </c>
      <c r="AZ4" s="2">
        <v>7.3</v>
      </c>
      <c r="BA4" s="2">
        <v>0.9</v>
      </c>
      <c r="BB4" s="2">
        <v>7.5</v>
      </c>
      <c r="BC4" s="2">
        <v>2.9</v>
      </c>
      <c r="BD4" s="2">
        <f>+AN4*EXP(-0.0495*Y4)</f>
        <v>8.0265188561140679</v>
      </c>
      <c r="BE4" s="2">
        <f>+AO4*EXP(-0.024*Y4)</f>
        <v>26.960047031415957</v>
      </c>
    </row>
    <row r="5" spans="1:57" x14ac:dyDescent="0.2">
      <c r="A5" s="2" t="s">
        <v>2623</v>
      </c>
      <c r="B5" s="2" t="s">
        <v>19</v>
      </c>
      <c r="C5" s="2" t="s">
        <v>1907</v>
      </c>
      <c r="D5" s="2" t="s">
        <v>21</v>
      </c>
      <c r="E5" s="2" t="s">
        <v>2212</v>
      </c>
      <c r="F5" s="2">
        <v>6</v>
      </c>
      <c r="G5" s="2">
        <v>1868</v>
      </c>
      <c r="H5" s="2">
        <v>5</v>
      </c>
      <c r="I5" s="2">
        <v>5</v>
      </c>
      <c r="J5" s="2">
        <v>4</v>
      </c>
      <c r="K5" s="2" t="s">
        <v>61</v>
      </c>
      <c r="L5" s="6" t="s">
        <v>75</v>
      </c>
      <c r="M5" s="5">
        <v>2900000000</v>
      </c>
      <c r="N5" s="2">
        <v>0</v>
      </c>
      <c r="O5" s="2">
        <v>4.8180820630000003</v>
      </c>
      <c r="P5" s="2">
        <v>-74.05574799</v>
      </c>
      <c r="Q5" s="2" t="s">
        <v>2624</v>
      </c>
      <c r="R5" s="2">
        <v>1552462.527</v>
      </c>
      <c r="S5" s="2">
        <v>0</v>
      </c>
      <c r="T5" s="2" t="s">
        <v>102</v>
      </c>
      <c r="U5" s="2" t="s">
        <v>103</v>
      </c>
      <c r="V5" s="2" t="s">
        <v>28</v>
      </c>
      <c r="W5" s="2" t="s">
        <v>70</v>
      </c>
      <c r="X5" s="2" t="s">
        <v>104</v>
      </c>
      <c r="Y5" s="2">
        <v>4.0329589698894504</v>
      </c>
      <c r="Z5" s="2">
        <v>4.7837500000000004</v>
      </c>
      <c r="AA5" s="2">
        <v>-74.044138888888895</v>
      </c>
      <c r="AB5" s="2">
        <v>2580</v>
      </c>
      <c r="AC5" s="2" t="s">
        <v>105</v>
      </c>
      <c r="AD5" s="2" t="s">
        <v>58</v>
      </c>
      <c r="AE5" s="2" t="s">
        <v>33</v>
      </c>
      <c r="AF5" s="2" t="s">
        <v>34</v>
      </c>
      <c r="AG5" s="2" t="s">
        <v>72</v>
      </c>
      <c r="AH5" s="2">
        <v>5.6090262105301703</v>
      </c>
      <c r="AI5" s="2">
        <v>0.83612551821131298</v>
      </c>
      <c r="AJ5" s="2">
        <v>2.2130557817765699</v>
      </c>
      <c r="AK5" s="2">
        <v>3.86283686422466</v>
      </c>
      <c r="AL5" s="2">
        <v>0.80468241848390498</v>
      </c>
      <c r="AM5" s="2">
        <v>15.3</v>
      </c>
      <c r="AN5" s="2">
        <v>9.8000000000000007</v>
      </c>
      <c r="AO5" s="2">
        <v>29.7</v>
      </c>
      <c r="AP5" s="2">
        <v>564</v>
      </c>
      <c r="AQ5" s="2">
        <v>68</v>
      </c>
      <c r="AR5" s="2">
        <v>1.8</v>
      </c>
      <c r="AS5" s="2">
        <v>43</v>
      </c>
      <c r="AT5" s="2">
        <v>25.4</v>
      </c>
      <c r="AU5" s="2">
        <v>162</v>
      </c>
      <c r="AV5" s="2">
        <v>9.1</v>
      </c>
      <c r="AW5" s="2">
        <v>9.1999999999999993</v>
      </c>
      <c r="AX5" s="2">
        <v>18.3</v>
      </c>
      <c r="AY5" s="2">
        <v>0.34</v>
      </c>
      <c r="AZ5" s="2">
        <v>7.3</v>
      </c>
      <c r="BA5" s="2">
        <v>0.9</v>
      </c>
      <c r="BB5" s="2">
        <v>7.5</v>
      </c>
      <c r="BC5" s="2">
        <v>2.9</v>
      </c>
      <c r="BD5" s="2">
        <f>+AN5*EXP(-0.0495*Y5)</f>
        <v>8.0265188561140679</v>
      </c>
      <c r="BE5" s="2">
        <f>+AO5*EXP(-0.024*Y5)</f>
        <v>26.960047031415957</v>
      </c>
    </row>
    <row r="6" spans="1:57" x14ac:dyDescent="0.2">
      <c r="A6" s="2" t="s">
        <v>3129</v>
      </c>
      <c r="B6" s="2" t="s">
        <v>19</v>
      </c>
      <c r="C6" s="2" t="s">
        <v>1907</v>
      </c>
      <c r="D6" s="2" t="s">
        <v>21</v>
      </c>
      <c r="E6" s="2" t="s">
        <v>2099</v>
      </c>
      <c r="F6" s="2">
        <v>6</v>
      </c>
      <c r="G6" s="2">
        <v>1801</v>
      </c>
      <c r="H6" s="2">
        <v>3</v>
      </c>
      <c r="I6" s="2">
        <v>5</v>
      </c>
      <c r="J6" s="2">
        <v>4</v>
      </c>
      <c r="K6" s="2" t="s">
        <v>61</v>
      </c>
      <c r="L6" s="6" t="s">
        <v>113</v>
      </c>
      <c r="M6" s="5">
        <v>2500000000</v>
      </c>
      <c r="N6" s="2">
        <v>0</v>
      </c>
      <c r="O6" s="2">
        <v>4.8126021000000003</v>
      </c>
      <c r="P6" s="2">
        <v>-74.053333300000006</v>
      </c>
      <c r="Q6" s="2" t="s">
        <v>3130</v>
      </c>
      <c r="R6" s="2">
        <v>1388117.7120000001</v>
      </c>
      <c r="S6" s="2">
        <v>0</v>
      </c>
      <c r="T6" s="2" t="s">
        <v>102</v>
      </c>
      <c r="U6" s="2" t="s">
        <v>103</v>
      </c>
      <c r="V6" s="2" t="s">
        <v>28</v>
      </c>
      <c r="W6" s="2" t="s">
        <v>70</v>
      </c>
      <c r="X6" s="2" t="s">
        <v>104</v>
      </c>
      <c r="Y6" s="2">
        <v>3.3698551768797702</v>
      </c>
      <c r="Z6" s="2">
        <v>4.7837500000000004</v>
      </c>
      <c r="AA6" s="2">
        <v>-74.044138888888895</v>
      </c>
      <c r="AB6" s="2">
        <v>2580</v>
      </c>
      <c r="AC6" s="2" t="s">
        <v>105</v>
      </c>
      <c r="AD6" s="2" t="s">
        <v>58</v>
      </c>
      <c r="AE6" s="2" t="s">
        <v>33</v>
      </c>
      <c r="AF6" s="2" t="s">
        <v>34</v>
      </c>
      <c r="AG6" s="2" t="s">
        <v>72</v>
      </c>
      <c r="AH6" s="2">
        <v>4.9581115541896299</v>
      </c>
      <c r="AI6" s="2">
        <v>1.4979391259994099</v>
      </c>
      <c r="AJ6" s="2">
        <v>1.5514788581727801</v>
      </c>
      <c r="AK6" s="2">
        <v>3.6468441533585398</v>
      </c>
      <c r="AL6" s="2">
        <v>1.16905227064911</v>
      </c>
      <c r="AM6" s="2">
        <v>15.3</v>
      </c>
      <c r="AN6" s="2">
        <v>9.8000000000000007</v>
      </c>
      <c r="AO6" s="2">
        <v>29.7</v>
      </c>
      <c r="AP6" s="2">
        <v>564</v>
      </c>
      <c r="AQ6" s="2">
        <v>68</v>
      </c>
      <c r="AR6" s="2">
        <v>1.8</v>
      </c>
      <c r="AS6" s="2">
        <v>43</v>
      </c>
      <c r="AT6" s="2">
        <v>25.4</v>
      </c>
      <c r="AU6" s="2">
        <v>162</v>
      </c>
      <c r="AV6" s="2">
        <v>9.1</v>
      </c>
      <c r="AW6" s="2">
        <v>9.1999999999999993</v>
      </c>
      <c r="AX6" s="2">
        <v>18.3</v>
      </c>
      <c r="AY6" s="2">
        <v>0.34</v>
      </c>
      <c r="AZ6" s="2">
        <v>7.3</v>
      </c>
      <c r="BA6" s="2">
        <v>0.9</v>
      </c>
      <c r="BB6" s="2">
        <v>7.5</v>
      </c>
      <c r="BC6" s="2">
        <v>2.9</v>
      </c>
      <c r="BD6" s="2">
        <f>+AN6*EXP(-0.0495*Y6)</f>
        <v>8.2943499527804168</v>
      </c>
      <c r="BE6" s="2">
        <f>+AO6*EXP(-0.024*Y6)</f>
        <v>27.392534741001946</v>
      </c>
    </row>
    <row r="7" spans="1:57" x14ac:dyDescent="0.2">
      <c r="A7" s="2" t="s">
        <v>3142</v>
      </c>
      <c r="B7" s="2" t="s">
        <v>19</v>
      </c>
      <c r="C7" s="2" t="s">
        <v>1907</v>
      </c>
      <c r="D7" s="2" t="s">
        <v>21</v>
      </c>
      <c r="E7" s="2" t="s">
        <v>2249</v>
      </c>
      <c r="F7" s="2">
        <v>6</v>
      </c>
      <c r="G7" s="2">
        <v>1800</v>
      </c>
      <c r="H7" s="2">
        <v>3</v>
      </c>
      <c r="I7" s="2">
        <v>5</v>
      </c>
      <c r="J7" s="2">
        <v>4</v>
      </c>
      <c r="K7" s="2" t="s">
        <v>61</v>
      </c>
      <c r="L7" s="6" t="s">
        <v>75</v>
      </c>
      <c r="M7" s="5">
        <v>2750000000</v>
      </c>
      <c r="N7" s="2">
        <v>0</v>
      </c>
      <c r="O7" s="2">
        <v>4.8213590000000002</v>
      </c>
      <c r="P7" s="2">
        <v>-74.031360000000006</v>
      </c>
      <c r="Q7" s="2" t="s">
        <v>3143</v>
      </c>
      <c r="R7" s="2">
        <v>1527777.7779999999</v>
      </c>
      <c r="S7" s="2">
        <v>0</v>
      </c>
      <c r="T7" s="2" t="s">
        <v>102</v>
      </c>
      <c r="U7" s="2" t="s">
        <v>103</v>
      </c>
      <c r="V7" s="2" t="s">
        <v>28</v>
      </c>
      <c r="W7" s="2" t="s">
        <v>70</v>
      </c>
      <c r="X7" s="2" t="s">
        <v>104</v>
      </c>
      <c r="Y7" s="2">
        <v>4.42008787073084</v>
      </c>
      <c r="Z7" s="2">
        <v>4.7837500000000004</v>
      </c>
      <c r="AA7" s="2">
        <v>-74.044138888888895</v>
      </c>
      <c r="AB7" s="2">
        <v>2580</v>
      </c>
      <c r="AC7" s="2" t="s">
        <v>105</v>
      </c>
      <c r="AD7" s="2" t="s">
        <v>58</v>
      </c>
      <c r="AE7" s="2" t="s">
        <v>33</v>
      </c>
      <c r="AF7" s="2" t="s">
        <v>34</v>
      </c>
      <c r="AG7" s="2" t="s">
        <v>59</v>
      </c>
      <c r="AH7" s="2">
        <v>5.9620712892185903</v>
      </c>
      <c r="AI7" s="2">
        <v>1.77319389152036</v>
      </c>
      <c r="AJ7" s="2">
        <v>2.9278784134123401</v>
      </c>
      <c r="AK7" s="2">
        <v>5.0486084694380402</v>
      </c>
      <c r="AL7" s="2">
        <v>0.46653324857612399</v>
      </c>
      <c r="AM7" s="2">
        <v>15.3</v>
      </c>
      <c r="AN7" s="2">
        <v>9.8000000000000007</v>
      </c>
      <c r="AO7" s="2">
        <v>29.7</v>
      </c>
      <c r="AP7" s="2">
        <v>564</v>
      </c>
      <c r="AQ7" s="2">
        <v>68</v>
      </c>
      <c r="AR7" s="2">
        <v>1.8</v>
      </c>
      <c r="AS7" s="2">
        <v>43</v>
      </c>
      <c r="AT7" s="2">
        <v>25.4</v>
      </c>
      <c r="AU7" s="2">
        <v>162</v>
      </c>
      <c r="AV7" s="2">
        <v>9.1</v>
      </c>
      <c r="AW7" s="2">
        <v>9.1999999999999993</v>
      </c>
      <c r="AX7" s="2">
        <v>18.3</v>
      </c>
      <c r="AY7" s="2">
        <v>0.34</v>
      </c>
      <c r="AZ7" s="2">
        <v>7.3</v>
      </c>
      <c r="BA7" s="2">
        <v>0.9</v>
      </c>
      <c r="BB7" s="2">
        <v>7.5</v>
      </c>
      <c r="BC7" s="2">
        <v>2.9</v>
      </c>
      <c r="BD7" s="2">
        <f>+AN7*EXP(-0.0495*Y7)</f>
        <v>7.8741719980211693</v>
      </c>
      <c r="BE7" s="2">
        <f>+AO7*EXP(-0.024*Y7)</f>
        <v>26.710718770141646</v>
      </c>
    </row>
    <row r="8" spans="1:57" x14ac:dyDescent="0.2">
      <c r="A8" s="2" t="s">
        <v>1962</v>
      </c>
      <c r="B8" s="2" t="s">
        <v>19</v>
      </c>
      <c r="C8" s="2" t="s">
        <v>1907</v>
      </c>
      <c r="D8" s="2" t="s">
        <v>21</v>
      </c>
      <c r="E8" s="2" t="s">
        <v>218</v>
      </c>
      <c r="F8" s="2">
        <v>6</v>
      </c>
      <c r="G8" s="2">
        <v>1750</v>
      </c>
      <c r="H8" s="2">
        <v>4</v>
      </c>
      <c r="I8" s="2">
        <v>5</v>
      </c>
      <c r="J8" s="2">
        <v>4</v>
      </c>
      <c r="K8" s="2" t="s">
        <v>61</v>
      </c>
      <c r="L8" s="6" t="s">
        <v>84</v>
      </c>
      <c r="M8" s="5">
        <v>2200000000</v>
      </c>
      <c r="N8" s="2">
        <v>0</v>
      </c>
      <c r="O8" s="2">
        <v>4.8176140790000002</v>
      </c>
      <c r="P8" s="2">
        <v>-74.037132260000007</v>
      </c>
      <c r="Q8" s="2" t="s">
        <v>1963</v>
      </c>
      <c r="R8" s="2">
        <v>1257142.8570000001</v>
      </c>
      <c r="S8" s="2">
        <v>0</v>
      </c>
      <c r="T8" s="2" t="s">
        <v>102</v>
      </c>
      <c r="U8" s="2" t="s">
        <v>103</v>
      </c>
      <c r="V8" s="2" t="s">
        <v>28</v>
      </c>
      <c r="W8" s="2" t="s">
        <v>70</v>
      </c>
      <c r="X8" s="2" t="s">
        <v>104</v>
      </c>
      <c r="Y8" s="2">
        <v>3.84902307510293</v>
      </c>
      <c r="Z8" s="2">
        <v>4.7837500000000004</v>
      </c>
      <c r="AA8" s="2">
        <v>-74.044138888888895</v>
      </c>
      <c r="AB8" s="2">
        <v>2580</v>
      </c>
      <c r="AC8" s="2" t="s">
        <v>105</v>
      </c>
      <c r="AD8" s="2" t="s">
        <v>58</v>
      </c>
      <c r="AE8" s="2" t="s">
        <v>33</v>
      </c>
      <c r="AF8" s="2" t="s">
        <v>34</v>
      </c>
      <c r="AG8" s="2" t="s">
        <v>72</v>
      </c>
      <c r="AH8" s="2">
        <v>5.43951883025162</v>
      </c>
      <c r="AI8" s="2">
        <v>1.4802123942452401</v>
      </c>
      <c r="AJ8" s="2">
        <v>2.23093825414192</v>
      </c>
      <c r="AK8" s="2">
        <v>4.5017480447021097</v>
      </c>
      <c r="AL8" s="2">
        <v>0.34209670346134502</v>
      </c>
      <c r="AM8" s="2">
        <v>15.3</v>
      </c>
      <c r="AN8" s="2">
        <v>9.8000000000000007</v>
      </c>
      <c r="AO8" s="2">
        <v>29.7</v>
      </c>
      <c r="AP8" s="2">
        <v>564</v>
      </c>
      <c r="AQ8" s="2">
        <v>68</v>
      </c>
      <c r="AR8" s="2">
        <v>1.8</v>
      </c>
      <c r="AS8" s="2">
        <v>43</v>
      </c>
      <c r="AT8" s="2">
        <v>25.4</v>
      </c>
      <c r="AU8" s="2">
        <v>162</v>
      </c>
      <c r="AV8" s="2">
        <v>9.1</v>
      </c>
      <c r="AW8" s="2">
        <v>9.1999999999999993</v>
      </c>
      <c r="AX8" s="2">
        <v>18.3</v>
      </c>
      <c r="AY8" s="2">
        <v>0.34</v>
      </c>
      <c r="AZ8" s="2">
        <v>7.3</v>
      </c>
      <c r="BA8" s="2">
        <v>0.9</v>
      </c>
      <c r="BB8" s="2">
        <v>7.5</v>
      </c>
      <c r="BC8" s="2">
        <v>2.9</v>
      </c>
      <c r="BD8" s="2">
        <f>+AN8*EXP(-0.0495*Y8)</f>
        <v>8.099932622702589</v>
      </c>
      <c r="BE8" s="2">
        <f>+AO8*EXP(-0.024*Y8)</f>
        <v>27.079324198926614</v>
      </c>
    </row>
    <row r="9" spans="1:57" x14ac:dyDescent="0.2">
      <c r="A9" s="2" t="s">
        <v>1956</v>
      </c>
      <c r="B9" s="2" t="s">
        <v>19</v>
      </c>
      <c r="C9" s="2" t="s">
        <v>1907</v>
      </c>
      <c r="D9" s="2" t="s">
        <v>21</v>
      </c>
      <c r="E9" s="2" t="s">
        <v>218</v>
      </c>
      <c r="F9" s="2">
        <v>6</v>
      </c>
      <c r="G9" s="2">
        <v>1600</v>
      </c>
      <c r="H9" s="2">
        <v>4</v>
      </c>
      <c r="I9" s="2">
        <v>5</v>
      </c>
      <c r="J9" s="2">
        <v>3</v>
      </c>
      <c r="K9" s="2" t="s">
        <v>61</v>
      </c>
      <c r="L9" s="6" t="s">
        <v>62</v>
      </c>
      <c r="M9" s="5">
        <v>3300000000</v>
      </c>
      <c r="N9" s="2">
        <v>0</v>
      </c>
      <c r="O9" s="2">
        <v>4.8160290720000001</v>
      </c>
      <c r="P9" s="2">
        <v>-74.040786740000001</v>
      </c>
      <c r="Q9" s="2" t="s">
        <v>1957</v>
      </c>
      <c r="R9" s="2">
        <v>2062500</v>
      </c>
      <c r="S9" s="2">
        <v>0</v>
      </c>
      <c r="T9" s="2" t="s">
        <v>102</v>
      </c>
      <c r="U9" s="2" t="s">
        <v>103</v>
      </c>
      <c r="V9" s="2" t="s">
        <v>28</v>
      </c>
      <c r="W9" s="2" t="s">
        <v>70</v>
      </c>
      <c r="X9" s="2" t="s">
        <v>104</v>
      </c>
      <c r="Y9" s="2">
        <v>3.6124790729967402</v>
      </c>
      <c r="Z9" s="2">
        <v>4.7837500000000004</v>
      </c>
      <c r="AA9" s="2">
        <v>-74.044138888888895</v>
      </c>
      <c r="AB9" s="2">
        <v>2580</v>
      </c>
      <c r="AC9" s="2" t="s">
        <v>105</v>
      </c>
      <c r="AD9" s="2" t="s">
        <v>58</v>
      </c>
      <c r="AE9" s="2" t="s">
        <v>33</v>
      </c>
      <c r="AF9" s="2" t="s">
        <v>34</v>
      </c>
      <c r="AG9" s="2" t="s">
        <v>72</v>
      </c>
      <c r="AH9" s="2">
        <v>5.2264308223498004</v>
      </c>
      <c r="AI9" s="2">
        <v>1.3955567495507299</v>
      </c>
      <c r="AJ9" s="2">
        <v>1.89747592109792</v>
      </c>
      <c r="AK9" s="2">
        <v>4.27697971317287</v>
      </c>
      <c r="AL9" s="2">
        <v>4.4986339534027397E-3</v>
      </c>
      <c r="AM9" s="2">
        <v>15.3</v>
      </c>
      <c r="AN9" s="2">
        <v>9.8000000000000007</v>
      </c>
      <c r="AO9" s="2">
        <v>29.7</v>
      </c>
      <c r="AP9" s="2">
        <v>564</v>
      </c>
      <c r="AQ9" s="2">
        <v>68</v>
      </c>
      <c r="AR9" s="2">
        <v>1.8</v>
      </c>
      <c r="AS9" s="2">
        <v>43</v>
      </c>
      <c r="AT9" s="2">
        <v>25.4</v>
      </c>
      <c r="AU9" s="2">
        <v>162</v>
      </c>
      <c r="AV9" s="2">
        <v>9.1</v>
      </c>
      <c r="AW9" s="2">
        <v>9.1999999999999993</v>
      </c>
      <c r="AX9" s="2">
        <v>18.3</v>
      </c>
      <c r="AY9" s="2">
        <v>0.34</v>
      </c>
      <c r="AZ9" s="2">
        <v>7.3</v>
      </c>
      <c r="BA9" s="2">
        <v>0.9</v>
      </c>
      <c r="BB9" s="2">
        <v>7.5</v>
      </c>
      <c r="BC9" s="2">
        <v>2.9</v>
      </c>
      <c r="BD9" s="2">
        <f>+AN9*EXP(-0.0495*Y9)</f>
        <v>8.1953315712233348</v>
      </c>
      <c r="BE9" s="2">
        <f>+AO9*EXP(-0.024*Y9)</f>
        <v>27.233492236453881</v>
      </c>
    </row>
    <row r="10" spans="1:57" x14ac:dyDescent="0.2">
      <c r="A10" s="2" t="s">
        <v>2098</v>
      </c>
      <c r="B10" s="2" t="s">
        <v>19</v>
      </c>
      <c r="C10" s="2" t="s">
        <v>1907</v>
      </c>
      <c r="D10" s="2" t="s">
        <v>21</v>
      </c>
      <c r="E10" s="2" t="s">
        <v>2099</v>
      </c>
      <c r="F10" s="2">
        <v>6</v>
      </c>
      <c r="G10" s="2">
        <v>1600</v>
      </c>
      <c r="H10" s="2">
        <v>4</v>
      </c>
      <c r="I10" s="2">
        <v>4</v>
      </c>
      <c r="J10" s="2">
        <v>4</v>
      </c>
      <c r="K10" s="2" t="s">
        <v>61</v>
      </c>
      <c r="L10" s="6" t="s">
        <v>75</v>
      </c>
      <c r="M10" s="5">
        <v>2500000000</v>
      </c>
      <c r="N10" s="2">
        <v>0</v>
      </c>
      <c r="O10" s="2">
        <v>4.8180963180000003</v>
      </c>
      <c r="P10" s="2">
        <v>-74.050788870000005</v>
      </c>
      <c r="Q10" s="2" t="s">
        <v>2100</v>
      </c>
      <c r="R10" s="2">
        <v>1562500</v>
      </c>
      <c r="S10" s="2">
        <v>0</v>
      </c>
      <c r="T10" s="2" t="s">
        <v>102</v>
      </c>
      <c r="U10" s="2" t="s">
        <v>103</v>
      </c>
      <c r="V10" s="2" t="s">
        <v>28</v>
      </c>
      <c r="W10" s="2" t="s">
        <v>70</v>
      </c>
      <c r="X10" s="2" t="s">
        <v>104</v>
      </c>
      <c r="Y10" s="2">
        <v>3.8939265822086102</v>
      </c>
      <c r="Z10" s="2">
        <v>4.7837500000000004</v>
      </c>
      <c r="AA10" s="2">
        <v>-74.044138888888895</v>
      </c>
      <c r="AB10" s="2">
        <v>2580</v>
      </c>
      <c r="AC10" s="2" t="s">
        <v>105</v>
      </c>
      <c r="AD10" s="2" t="s">
        <v>58</v>
      </c>
      <c r="AE10" s="2" t="s">
        <v>33</v>
      </c>
      <c r="AF10" s="2" t="s">
        <v>34</v>
      </c>
      <c r="AG10" s="2" t="s">
        <v>72</v>
      </c>
      <c r="AH10" s="2">
        <v>5.5042122123604997</v>
      </c>
      <c r="AI10" s="2">
        <v>1.0065346488681499</v>
      </c>
      <c r="AJ10" s="2">
        <v>2.0363985577223001</v>
      </c>
      <c r="AK10" s="2">
        <v>4.2540235854742701</v>
      </c>
      <c r="AL10" s="2">
        <v>0.50813346522247405</v>
      </c>
      <c r="AM10" s="2">
        <v>15.3</v>
      </c>
      <c r="AN10" s="2">
        <v>9.8000000000000007</v>
      </c>
      <c r="AO10" s="2">
        <v>29.7</v>
      </c>
      <c r="AP10" s="2">
        <v>564</v>
      </c>
      <c r="AQ10" s="2">
        <v>68</v>
      </c>
      <c r="AR10" s="2">
        <v>1.8</v>
      </c>
      <c r="AS10" s="2">
        <v>43</v>
      </c>
      <c r="AT10" s="2">
        <v>25.4</v>
      </c>
      <c r="AU10" s="2">
        <v>162</v>
      </c>
      <c r="AV10" s="2">
        <v>9.1</v>
      </c>
      <c r="AW10" s="2">
        <v>9.1999999999999993</v>
      </c>
      <c r="AX10" s="2">
        <v>18.3</v>
      </c>
      <c r="AY10" s="2">
        <v>0.34</v>
      </c>
      <c r="AZ10" s="2">
        <v>7.3</v>
      </c>
      <c r="BA10" s="2">
        <v>0.9</v>
      </c>
      <c r="BB10" s="2">
        <v>7.5</v>
      </c>
      <c r="BC10" s="2">
        <v>2.9</v>
      </c>
      <c r="BD10" s="2">
        <f>+AN10*EXP(-0.0495*Y10)</f>
        <v>8.0819487053325982</v>
      </c>
      <c r="BE10" s="2">
        <f>+AO10*EXP(-0.024*Y10)</f>
        <v>27.050156959247772</v>
      </c>
    </row>
    <row r="11" spans="1:57" x14ac:dyDescent="0.2">
      <c r="A11" s="2" t="s">
        <v>2279</v>
      </c>
      <c r="B11" s="2" t="s">
        <v>19</v>
      </c>
      <c r="C11" s="2" t="s">
        <v>1907</v>
      </c>
      <c r="D11" s="2" t="s">
        <v>21</v>
      </c>
      <c r="E11" s="2" t="s">
        <v>2014</v>
      </c>
      <c r="F11" s="2">
        <v>6</v>
      </c>
      <c r="G11" s="2">
        <v>1600</v>
      </c>
      <c r="H11" s="2">
        <v>3</v>
      </c>
      <c r="I11" s="2">
        <v>3</v>
      </c>
      <c r="J11" s="2">
        <v>4</v>
      </c>
      <c r="K11" s="2" t="s">
        <v>61</v>
      </c>
      <c r="L11" s="6" t="s">
        <v>113</v>
      </c>
      <c r="M11" s="5">
        <v>1600000000</v>
      </c>
      <c r="N11" s="2">
        <v>0</v>
      </c>
      <c r="O11" s="2">
        <v>4.812307358</v>
      </c>
      <c r="P11" s="2">
        <v>-74.061531070000001</v>
      </c>
      <c r="Q11" s="2" t="s">
        <v>2280</v>
      </c>
      <c r="R11" s="2">
        <v>1000000</v>
      </c>
      <c r="S11" s="2">
        <v>0</v>
      </c>
      <c r="T11" s="2" t="s">
        <v>102</v>
      </c>
      <c r="U11" s="2" t="s">
        <v>103</v>
      </c>
      <c r="V11" s="2" t="s">
        <v>28</v>
      </c>
      <c r="W11" s="2" t="s">
        <v>70</v>
      </c>
      <c r="X11" s="2" t="s">
        <v>104</v>
      </c>
      <c r="Y11" s="2">
        <v>3.7186281706879498</v>
      </c>
      <c r="Z11" s="2">
        <v>4.7837500000000004</v>
      </c>
      <c r="AA11" s="2">
        <v>-74.044138888888895</v>
      </c>
      <c r="AB11" s="2">
        <v>2580</v>
      </c>
      <c r="AC11" s="2" t="s">
        <v>105</v>
      </c>
      <c r="AD11" s="2" t="s">
        <v>58</v>
      </c>
      <c r="AE11" s="2" t="s">
        <v>33</v>
      </c>
      <c r="AF11" s="2" t="s">
        <v>34</v>
      </c>
      <c r="AG11" s="2" t="s">
        <v>72</v>
      </c>
      <c r="AH11" s="2">
        <v>5.2020826052911104</v>
      </c>
      <c r="AI11" s="2">
        <v>1.37348578665653</v>
      </c>
      <c r="AJ11" s="2">
        <v>2.09956105718789</v>
      </c>
      <c r="AK11" s="2">
        <v>2.95958428063962</v>
      </c>
      <c r="AL11" s="2">
        <v>1.6727417783598499</v>
      </c>
      <c r="AM11" s="2">
        <v>15.3</v>
      </c>
      <c r="AN11" s="2">
        <v>9.8000000000000007</v>
      </c>
      <c r="AO11" s="2">
        <v>29.7</v>
      </c>
      <c r="AP11" s="2">
        <v>564</v>
      </c>
      <c r="AQ11" s="2">
        <v>68</v>
      </c>
      <c r="AR11" s="2">
        <v>1.8</v>
      </c>
      <c r="AS11" s="2">
        <v>43</v>
      </c>
      <c r="AT11" s="2">
        <v>25.4</v>
      </c>
      <c r="AU11" s="2">
        <v>162</v>
      </c>
      <c r="AV11" s="2">
        <v>9.1</v>
      </c>
      <c r="AW11" s="2">
        <v>9.1999999999999993</v>
      </c>
      <c r="AX11" s="2">
        <v>18.3</v>
      </c>
      <c r="AY11" s="2">
        <v>0.34</v>
      </c>
      <c r="AZ11" s="2">
        <v>7.3</v>
      </c>
      <c r="BA11" s="2">
        <v>0.9</v>
      </c>
      <c r="BB11" s="2">
        <v>7.5</v>
      </c>
      <c r="BC11" s="2">
        <v>2.9</v>
      </c>
      <c r="BD11" s="2">
        <f>+AN11*EXP(-0.0495*Y11)</f>
        <v>8.152383114745291</v>
      </c>
      <c r="BE11" s="2">
        <f>+AO11*EXP(-0.024*Y11)</f>
        <v>27.164201081183933</v>
      </c>
    </row>
    <row r="12" spans="1:57" x14ac:dyDescent="0.2">
      <c r="A12" s="2" t="s">
        <v>2628</v>
      </c>
      <c r="B12" s="2" t="s">
        <v>19</v>
      </c>
      <c r="C12" s="2" t="s">
        <v>1907</v>
      </c>
      <c r="D12" s="2" t="s">
        <v>21</v>
      </c>
      <c r="E12" s="2" t="s">
        <v>218</v>
      </c>
      <c r="F12" s="2">
        <v>6</v>
      </c>
      <c r="G12" s="2">
        <v>1504</v>
      </c>
      <c r="H12" s="2">
        <v>4</v>
      </c>
      <c r="I12" s="2">
        <v>5</v>
      </c>
      <c r="J12" s="2">
        <v>4</v>
      </c>
      <c r="K12" s="2" t="s">
        <v>61</v>
      </c>
      <c r="L12" s="6" t="s">
        <v>75</v>
      </c>
      <c r="M12" s="5">
        <v>2900000000</v>
      </c>
      <c r="N12" s="2">
        <v>0</v>
      </c>
      <c r="O12" s="2">
        <v>4.817742</v>
      </c>
      <c r="P12" s="2">
        <v>-74.052370600000003</v>
      </c>
      <c r="Q12" s="2" t="s">
        <v>2629</v>
      </c>
      <c r="R12" s="2">
        <v>1928191.4890000001</v>
      </c>
      <c r="S12" s="2">
        <v>0</v>
      </c>
      <c r="T12" s="2" t="s">
        <v>102</v>
      </c>
      <c r="U12" s="2" t="s">
        <v>103</v>
      </c>
      <c r="V12" s="2" t="s">
        <v>28</v>
      </c>
      <c r="W12" s="2" t="s">
        <v>70</v>
      </c>
      <c r="X12" s="2" t="s">
        <v>104</v>
      </c>
      <c r="Y12" s="2">
        <v>3.8925905019637201</v>
      </c>
      <c r="Z12" s="2">
        <v>4.7837500000000004</v>
      </c>
      <c r="AA12" s="2">
        <v>-74.044138888888895</v>
      </c>
      <c r="AB12" s="2">
        <v>2580</v>
      </c>
      <c r="AC12" s="2" t="s">
        <v>105</v>
      </c>
      <c r="AD12" s="2" t="s">
        <v>58</v>
      </c>
      <c r="AE12" s="2" t="s">
        <v>33</v>
      </c>
      <c r="AF12" s="2" t="s">
        <v>34</v>
      </c>
      <c r="AG12" s="2" t="s">
        <v>72</v>
      </c>
      <c r="AH12" s="2">
        <v>5.4938830719955201</v>
      </c>
      <c r="AI12" s="2">
        <v>0.97679083418824897</v>
      </c>
      <c r="AJ12" s="2">
        <v>2.0415889236104401</v>
      </c>
      <c r="AK12" s="2">
        <v>4.0986835140405704</v>
      </c>
      <c r="AL12" s="2">
        <v>0.63833532391733305</v>
      </c>
      <c r="AM12" s="2">
        <v>15.3</v>
      </c>
      <c r="AN12" s="2">
        <v>9.8000000000000007</v>
      </c>
      <c r="AO12" s="2">
        <v>29.7</v>
      </c>
      <c r="AP12" s="2">
        <v>564</v>
      </c>
      <c r="AQ12" s="2">
        <v>68</v>
      </c>
      <c r="AR12" s="2">
        <v>1.8</v>
      </c>
      <c r="AS12" s="2">
        <v>43</v>
      </c>
      <c r="AT12" s="2">
        <v>25.4</v>
      </c>
      <c r="AU12" s="2">
        <v>162</v>
      </c>
      <c r="AV12" s="2">
        <v>9.1</v>
      </c>
      <c r="AW12" s="2">
        <v>9.1999999999999993</v>
      </c>
      <c r="AX12" s="2">
        <v>18.3</v>
      </c>
      <c r="AY12" s="2">
        <v>0.34</v>
      </c>
      <c r="AZ12" s="2">
        <v>7.3</v>
      </c>
      <c r="BA12" s="2">
        <v>0.9</v>
      </c>
      <c r="BB12" s="2">
        <v>7.5</v>
      </c>
      <c r="BC12" s="2">
        <v>2.9</v>
      </c>
      <c r="BD12" s="2">
        <f>+AN12*EXP(-0.0495*Y12)</f>
        <v>8.0824832305423442</v>
      </c>
      <c r="BE12" s="2">
        <f>+AO12*EXP(-0.024*Y12)</f>
        <v>27.051024361482753</v>
      </c>
    </row>
    <row r="13" spans="1:57" x14ac:dyDescent="0.2">
      <c r="A13" s="2" t="s">
        <v>2360</v>
      </c>
      <c r="B13" s="2" t="s">
        <v>19</v>
      </c>
      <c r="C13" s="2" t="s">
        <v>1907</v>
      </c>
      <c r="D13" s="2" t="s">
        <v>21</v>
      </c>
      <c r="E13" s="2" t="s">
        <v>218</v>
      </c>
      <c r="F13" s="2">
        <v>6</v>
      </c>
      <c r="G13" s="2">
        <v>1385</v>
      </c>
      <c r="H13" s="2">
        <v>4</v>
      </c>
      <c r="I13" s="2">
        <v>5</v>
      </c>
      <c r="J13" s="2">
        <v>4</v>
      </c>
      <c r="K13" s="2" t="s">
        <v>61</v>
      </c>
      <c r="L13" s="6" t="s">
        <v>75</v>
      </c>
      <c r="M13" s="5">
        <v>3300000000</v>
      </c>
      <c r="N13" s="2">
        <v>0</v>
      </c>
      <c r="O13" s="2">
        <v>4.8190587999999996</v>
      </c>
      <c r="P13" s="2">
        <v>-74.046670199999994</v>
      </c>
      <c r="Q13" s="2" t="s">
        <v>2361</v>
      </c>
      <c r="R13" s="2">
        <v>2382671.48</v>
      </c>
      <c r="S13" s="2">
        <v>0</v>
      </c>
      <c r="T13" s="2" t="s">
        <v>102</v>
      </c>
      <c r="U13" s="2" t="s">
        <v>103</v>
      </c>
      <c r="V13" s="2" t="s">
        <v>28</v>
      </c>
      <c r="W13" s="2" t="s">
        <v>70</v>
      </c>
      <c r="X13" s="2" t="s">
        <v>104</v>
      </c>
      <c r="Y13" s="2">
        <v>3.9405747555796902</v>
      </c>
      <c r="Z13" s="2">
        <v>4.7837500000000004</v>
      </c>
      <c r="AA13" s="2">
        <v>-74.044138888888895</v>
      </c>
      <c r="AB13" s="2">
        <v>2580</v>
      </c>
      <c r="AC13" s="2" t="s">
        <v>105</v>
      </c>
      <c r="AD13" s="2" t="s">
        <v>58</v>
      </c>
      <c r="AE13" s="2" t="s">
        <v>33</v>
      </c>
      <c r="AF13" s="2" t="s">
        <v>34</v>
      </c>
      <c r="AG13" s="2" t="s">
        <v>72</v>
      </c>
      <c r="AH13" s="2">
        <v>5.5627343450081002</v>
      </c>
      <c r="AI13" s="2">
        <v>0.92392011095528503</v>
      </c>
      <c r="AJ13" s="2">
        <v>2.10076822737927</v>
      </c>
      <c r="AK13" s="2">
        <v>4.60710569471697</v>
      </c>
      <c r="AL13" s="2">
        <v>0.16535047044561901</v>
      </c>
      <c r="AM13" s="2">
        <v>15.3</v>
      </c>
      <c r="AN13" s="2">
        <v>9.8000000000000007</v>
      </c>
      <c r="AO13" s="2">
        <v>29.7</v>
      </c>
      <c r="AP13" s="2">
        <v>564</v>
      </c>
      <c r="AQ13" s="2">
        <v>68</v>
      </c>
      <c r="AR13" s="2">
        <v>1.8</v>
      </c>
      <c r="AS13" s="2">
        <v>43</v>
      </c>
      <c r="AT13" s="2">
        <v>25.4</v>
      </c>
      <c r="AU13" s="2">
        <v>162</v>
      </c>
      <c r="AV13" s="2">
        <v>9.1</v>
      </c>
      <c r="AW13" s="2">
        <v>9.1999999999999993</v>
      </c>
      <c r="AX13" s="2">
        <v>18.3</v>
      </c>
      <c r="AY13" s="2">
        <v>0.34</v>
      </c>
      <c r="AZ13" s="2">
        <v>7.3</v>
      </c>
      <c r="BA13" s="2">
        <v>0.9</v>
      </c>
      <c r="BB13" s="2">
        <v>7.5</v>
      </c>
      <c r="BC13" s="2">
        <v>2.9</v>
      </c>
      <c r="BD13" s="2">
        <f>+AN13*EXP(-0.0495*Y13)</f>
        <v>8.0633083315678338</v>
      </c>
      <c r="BE13" s="2">
        <f>+AO13*EXP(-0.024*Y13)</f>
        <v>27.019889735460431</v>
      </c>
    </row>
    <row r="14" spans="1:57" x14ac:dyDescent="0.2">
      <c r="A14" s="2" t="s">
        <v>2275</v>
      </c>
      <c r="B14" s="2" t="s">
        <v>19</v>
      </c>
      <c r="C14" s="2" t="s">
        <v>1907</v>
      </c>
      <c r="D14" s="2" t="s">
        <v>21</v>
      </c>
      <c r="E14" s="2" t="s">
        <v>218</v>
      </c>
      <c r="F14" s="2">
        <v>6</v>
      </c>
      <c r="G14" s="2">
        <v>1363</v>
      </c>
      <c r="H14" s="2">
        <v>4</v>
      </c>
      <c r="I14" s="2">
        <v>5</v>
      </c>
      <c r="J14" s="2">
        <v>4</v>
      </c>
      <c r="K14" s="2" t="s">
        <v>61</v>
      </c>
      <c r="L14" s="6" t="s">
        <v>75</v>
      </c>
      <c r="M14" s="5">
        <v>2950000000</v>
      </c>
      <c r="N14" s="2">
        <v>0</v>
      </c>
      <c r="O14" s="2">
        <v>4.8108782999999997</v>
      </c>
      <c r="P14" s="2">
        <v>-74.050259999999994</v>
      </c>
      <c r="Q14" s="2" t="s">
        <v>2276</v>
      </c>
      <c r="R14" s="2">
        <v>2164343.36</v>
      </c>
      <c r="S14" s="2">
        <v>0</v>
      </c>
      <c r="T14" s="2" t="s">
        <v>102</v>
      </c>
      <c r="U14" s="2" t="s">
        <v>103</v>
      </c>
      <c r="V14" s="2" t="s">
        <v>28</v>
      </c>
      <c r="W14" s="2" t="s">
        <v>70</v>
      </c>
      <c r="X14" s="2" t="s">
        <v>104</v>
      </c>
      <c r="Y14" s="2">
        <v>3.0953036570931198</v>
      </c>
      <c r="Z14" s="2">
        <v>4.7837500000000004</v>
      </c>
      <c r="AA14" s="2">
        <v>-74.044138888888895</v>
      </c>
      <c r="AB14" s="2">
        <v>2580</v>
      </c>
      <c r="AC14" s="2" t="s">
        <v>105</v>
      </c>
      <c r="AD14" s="2" t="s">
        <v>58</v>
      </c>
      <c r="AE14" s="2" t="s">
        <v>33</v>
      </c>
      <c r="AF14" s="2" t="s">
        <v>34</v>
      </c>
      <c r="AG14" s="2" t="s">
        <v>72</v>
      </c>
      <c r="AH14" s="2">
        <v>4.7068395194380503</v>
      </c>
      <c r="AI14" s="2">
        <v>1.76993575580106</v>
      </c>
      <c r="AJ14" s="2">
        <v>1.2478266777634499</v>
      </c>
      <c r="AK14" s="2">
        <v>3.7587048093939699</v>
      </c>
      <c r="AL14" s="2">
        <v>1.0929221851525199</v>
      </c>
      <c r="AM14" s="2">
        <v>15.3</v>
      </c>
      <c r="AN14" s="2">
        <v>9.8000000000000007</v>
      </c>
      <c r="AO14" s="2">
        <v>29.7</v>
      </c>
      <c r="AP14" s="2">
        <v>564</v>
      </c>
      <c r="AQ14" s="2">
        <v>68</v>
      </c>
      <c r="AR14" s="2">
        <v>1.8</v>
      </c>
      <c r="AS14" s="2">
        <v>43</v>
      </c>
      <c r="AT14" s="2">
        <v>25.4</v>
      </c>
      <c r="AU14" s="2">
        <v>162</v>
      </c>
      <c r="AV14" s="2">
        <v>9.1</v>
      </c>
      <c r="AW14" s="2">
        <v>9.1999999999999993</v>
      </c>
      <c r="AX14" s="2">
        <v>18.3</v>
      </c>
      <c r="AY14" s="2">
        <v>0.34</v>
      </c>
      <c r="AZ14" s="2">
        <v>7.3</v>
      </c>
      <c r="BA14" s="2">
        <v>0.9</v>
      </c>
      <c r="BB14" s="2">
        <v>7.5</v>
      </c>
      <c r="BC14" s="2">
        <v>2.9</v>
      </c>
      <c r="BD14" s="2">
        <f>+AN14*EXP(-0.0495*Y14)</f>
        <v>8.4078421082875696</v>
      </c>
      <c r="BE14" s="2">
        <f>+AO14*EXP(-0.024*Y14)</f>
        <v>27.573626603388604</v>
      </c>
    </row>
    <row r="15" spans="1:57" x14ac:dyDescent="0.2">
      <c r="A15" s="2" t="s">
        <v>1950</v>
      </c>
      <c r="B15" s="2" t="s">
        <v>19</v>
      </c>
      <c r="C15" s="2" t="s">
        <v>1907</v>
      </c>
      <c r="D15" s="2" t="s">
        <v>21</v>
      </c>
      <c r="E15" s="2" t="s">
        <v>1675</v>
      </c>
      <c r="F15" s="2">
        <v>5</v>
      </c>
      <c r="G15" s="2">
        <v>900</v>
      </c>
      <c r="H15" s="2">
        <v>4</v>
      </c>
      <c r="I15" s="2">
        <v>5</v>
      </c>
      <c r="J15" s="2">
        <v>4</v>
      </c>
      <c r="K15" s="2" t="s">
        <v>61</v>
      </c>
      <c r="L15" s="6" t="s">
        <v>84</v>
      </c>
      <c r="M15" s="5">
        <v>3100000000</v>
      </c>
      <c r="N15" s="2">
        <v>0</v>
      </c>
      <c r="O15" s="2">
        <v>4.7701683040000002</v>
      </c>
      <c r="P15" s="2">
        <v>-74.065078740000004</v>
      </c>
      <c r="Q15" s="2" t="s">
        <v>1951</v>
      </c>
      <c r="R15" s="2">
        <v>3444444.4440000001</v>
      </c>
      <c r="S15" s="2">
        <v>0</v>
      </c>
      <c r="T15" s="2" t="s">
        <v>102</v>
      </c>
      <c r="U15" s="2" t="s">
        <v>103</v>
      </c>
      <c r="V15" s="2" t="s">
        <v>28</v>
      </c>
      <c r="W15" s="2" t="s">
        <v>70</v>
      </c>
      <c r="X15" s="2" t="s">
        <v>104</v>
      </c>
      <c r="Y15" s="2">
        <v>2.77160708616266</v>
      </c>
      <c r="Z15" s="2">
        <v>4.7837500000000004</v>
      </c>
      <c r="AA15" s="2">
        <v>-74.044138888888895</v>
      </c>
      <c r="AB15" s="2">
        <v>2580</v>
      </c>
      <c r="AC15" s="2" t="s">
        <v>105</v>
      </c>
      <c r="AD15" s="2" t="s">
        <v>58</v>
      </c>
      <c r="AE15" s="2" t="s">
        <v>33</v>
      </c>
      <c r="AF15" s="2" t="s">
        <v>34</v>
      </c>
      <c r="AG15" s="2" t="s">
        <v>72</v>
      </c>
      <c r="AH15" s="2">
        <v>2.38897832696111</v>
      </c>
      <c r="AI15" s="2">
        <v>3.44234673634671</v>
      </c>
      <c r="AJ15" s="2">
        <v>2.25631198441797</v>
      </c>
      <c r="AK15" s="2">
        <v>0.72747322017037397</v>
      </c>
      <c r="AL15" s="2">
        <v>0.122244389232121</v>
      </c>
      <c r="AM15" s="2">
        <v>15.3</v>
      </c>
      <c r="AN15" s="2">
        <v>9.8000000000000007</v>
      </c>
      <c r="AO15" s="2">
        <v>29.7</v>
      </c>
      <c r="AP15" s="2">
        <v>564</v>
      </c>
      <c r="AQ15" s="2">
        <v>68</v>
      </c>
      <c r="AR15" s="2">
        <v>1.8</v>
      </c>
      <c r="AS15" s="2">
        <v>43</v>
      </c>
      <c r="AT15" s="2">
        <v>25.4</v>
      </c>
      <c r="AU15" s="2">
        <v>162</v>
      </c>
      <c r="AV15" s="2">
        <v>9.1</v>
      </c>
      <c r="AW15" s="2">
        <v>9.1999999999999993</v>
      </c>
      <c r="AX15" s="2">
        <v>18.3</v>
      </c>
      <c r="AY15" s="2">
        <v>0.34</v>
      </c>
      <c r="AZ15" s="2">
        <v>7.3</v>
      </c>
      <c r="BA15" s="2">
        <v>0.9</v>
      </c>
      <c r="BB15" s="2">
        <v>7.5</v>
      </c>
      <c r="BC15" s="2">
        <v>2.9</v>
      </c>
      <c r="BD15" s="2">
        <f>+AN15*EXP(-0.0495*Y15)</f>
        <v>8.5436458815531005</v>
      </c>
      <c r="BE15" s="2">
        <f>+AO15*EXP(-0.024*Y15)</f>
        <v>27.788672558605196</v>
      </c>
    </row>
    <row r="16" spans="1:57" x14ac:dyDescent="0.2">
      <c r="A16" s="2" t="s">
        <v>2514</v>
      </c>
      <c r="B16" s="2" t="s">
        <v>19</v>
      </c>
      <c r="C16" s="2" t="s">
        <v>1907</v>
      </c>
      <c r="D16" s="2" t="s">
        <v>21</v>
      </c>
      <c r="E16" s="2" t="s">
        <v>1675</v>
      </c>
      <c r="F16" s="2">
        <v>5</v>
      </c>
      <c r="G16" s="2">
        <v>830</v>
      </c>
      <c r="H16" s="2">
        <v>5</v>
      </c>
      <c r="I16" s="2">
        <v>5</v>
      </c>
      <c r="J16" s="2">
        <v>4</v>
      </c>
      <c r="K16" s="2" t="s">
        <v>61</v>
      </c>
      <c r="L16" s="6" t="s">
        <v>75</v>
      </c>
      <c r="M16" s="5">
        <v>2300000000</v>
      </c>
      <c r="N16" s="2">
        <v>0</v>
      </c>
      <c r="O16" s="2">
        <v>4.7652292249999997</v>
      </c>
      <c r="P16" s="2">
        <v>-74.065948489999997</v>
      </c>
      <c r="Q16" s="2" t="s">
        <v>2515</v>
      </c>
      <c r="R16" s="2">
        <v>2771084.3369999998</v>
      </c>
      <c r="S16" s="2">
        <v>0</v>
      </c>
      <c r="T16" s="2" t="s">
        <v>70</v>
      </c>
      <c r="U16" s="2" t="s">
        <v>738</v>
      </c>
      <c r="V16" s="2" t="s">
        <v>28</v>
      </c>
      <c r="W16" s="2" t="s">
        <v>70</v>
      </c>
      <c r="X16" s="2" t="s">
        <v>739</v>
      </c>
      <c r="Y16" s="2">
        <v>3.0841350558093898</v>
      </c>
      <c r="Z16" s="2">
        <v>4.7612472222222202</v>
      </c>
      <c r="AA16" s="2">
        <v>-74.093461111111097</v>
      </c>
      <c r="AB16" s="2">
        <v>2571</v>
      </c>
      <c r="AC16" s="2" t="s">
        <v>105</v>
      </c>
      <c r="AD16" s="2" t="s">
        <v>58</v>
      </c>
      <c r="AE16" s="2" t="s">
        <v>33</v>
      </c>
      <c r="AF16" s="2" t="s">
        <v>34</v>
      </c>
      <c r="AG16" s="2" t="s">
        <v>72</v>
      </c>
      <c r="AH16" s="2">
        <v>2.39333870812664</v>
      </c>
      <c r="AI16" s="2">
        <v>3.7700076337885302</v>
      </c>
      <c r="AJ16" s="2">
        <v>1.90263122738712</v>
      </c>
      <c r="AK16" s="2">
        <v>0.37954664115924203</v>
      </c>
      <c r="AL16" s="2">
        <v>0.11079426441282</v>
      </c>
      <c r="AM16" s="2">
        <v>15.3</v>
      </c>
      <c r="AN16" s="2">
        <v>9.8000000000000007</v>
      </c>
      <c r="AO16" s="2">
        <v>29.7</v>
      </c>
      <c r="AP16" s="2">
        <v>564</v>
      </c>
      <c r="AQ16" s="2">
        <v>68</v>
      </c>
      <c r="AR16" s="2">
        <v>1.8</v>
      </c>
      <c r="AS16" s="2">
        <v>43</v>
      </c>
      <c r="AT16" s="2">
        <v>25.4</v>
      </c>
      <c r="AU16" s="2">
        <v>162</v>
      </c>
      <c r="AV16" s="2">
        <v>9.1</v>
      </c>
      <c r="AW16" s="2">
        <v>9.1999999999999993</v>
      </c>
      <c r="AX16" s="2">
        <v>18.3</v>
      </c>
      <c r="AY16" s="2">
        <v>0.34</v>
      </c>
      <c r="AZ16" s="2">
        <v>7.3</v>
      </c>
      <c r="BA16" s="2">
        <v>0.9</v>
      </c>
      <c r="BB16" s="2">
        <v>7.5</v>
      </c>
      <c r="BC16" s="2">
        <v>2.9</v>
      </c>
      <c r="BD16" s="2">
        <f>+AN16*EXP(-0.0495*Y16)</f>
        <v>8.4124916332943691</v>
      </c>
      <c r="BE16" s="2">
        <f>+AO16*EXP(-0.024*Y16)</f>
        <v>27.581018606239848</v>
      </c>
    </row>
    <row r="17" spans="1:57" x14ac:dyDescent="0.2">
      <c r="A17" s="2" t="s">
        <v>2477</v>
      </c>
      <c r="B17" s="2" t="s">
        <v>19</v>
      </c>
      <c r="C17" s="2" t="s">
        <v>1907</v>
      </c>
      <c r="D17" s="2" t="s">
        <v>21</v>
      </c>
      <c r="E17" s="2" t="s">
        <v>1675</v>
      </c>
      <c r="F17" s="2">
        <v>5</v>
      </c>
      <c r="G17" s="2">
        <v>830</v>
      </c>
      <c r="H17" s="2">
        <v>5</v>
      </c>
      <c r="I17" s="2">
        <v>5</v>
      </c>
      <c r="J17" s="2">
        <v>4</v>
      </c>
      <c r="K17" s="2" t="s">
        <v>61</v>
      </c>
      <c r="L17" s="6" t="s">
        <v>75</v>
      </c>
      <c r="M17" s="5">
        <v>2300000000</v>
      </c>
      <c r="N17" s="2">
        <v>0</v>
      </c>
      <c r="O17" s="2">
        <v>4.7669339180000003</v>
      </c>
      <c r="P17" s="2">
        <v>-74.064353940000004</v>
      </c>
      <c r="Q17" s="2" t="s">
        <v>2478</v>
      </c>
      <c r="R17" s="2">
        <v>2771084.3369999998</v>
      </c>
      <c r="S17" s="2">
        <v>0</v>
      </c>
      <c r="T17" s="2" t="s">
        <v>102</v>
      </c>
      <c r="U17" s="2" t="s">
        <v>103</v>
      </c>
      <c r="V17" s="2" t="s">
        <v>28</v>
      </c>
      <c r="W17" s="2" t="s">
        <v>70</v>
      </c>
      <c r="X17" s="2" t="s">
        <v>104</v>
      </c>
      <c r="Y17" s="2">
        <v>2.9211490287600199</v>
      </c>
      <c r="Z17" s="2">
        <v>4.7837500000000004</v>
      </c>
      <c r="AA17" s="2">
        <v>-74.044138888888895</v>
      </c>
      <c r="AB17" s="2">
        <v>2580</v>
      </c>
      <c r="AC17" s="2" t="s">
        <v>105</v>
      </c>
      <c r="AD17" s="2" t="s">
        <v>58</v>
      </c>
      <c r="AE17" s="2" t="s">
        <v>33</v>
      </c>
      <c r="AF17" s="2" t="s">
        <v>34</v>
      </c>
      <c r="AG17" s="2" t="s">
        <v>72</v>
      </c>
      <c r="AH17" s="2">
        <v>2.2429084280702698</v>
      </c>
      <c r="AI17" s="2">
        <v>3.7498935979611998</v>
      </c>
      <c r="AJ17" s="2">
        <v>1.9215422897321801</v>
      </c>
      <c r="AK17" s="2">
        <v>0.58874580187233805</v>
      </c>
      <c r="AL17" s="2">
        <v>0.13631840953580601</v>
      </c>
      <c r="AM17" s="2">
        <v>15.3</v>
      </c>
      <c r="AN17" s="2">
        <v>9.8000000000000007</v>
      </c>
      <c r="AO17" s="2">
        <v>29.7</v>
      </c>
      <c r="AP17" s="2">
        <v>564</v>
      </c>
      <c r="AQ17" s="2">
        <v>68</v>
      </c>
      <c r="AR17" s="2">
        <v>1.8</v>
      </c>
      <c r="AS17" s="2">
        <v>43</v>
      </c>
      <c r="AT17" s="2">
        <v>25.4</v>
      </c>
      <c r="AU17" s="2">
        <v>162</v>
      </c>
      <c r="AV17" s="2">
        <v>9.1</v>
      </c>
      <c r="AW17" s="2">
        <v>9.1999999999999993</v>
      </c>
      <c r="AX17" s="2">
        <v>18.3</v>
      </c>
      <c r="AY17" s="2">
        <v>0.34</v>
      </c>
      <c r="AZ17" s="2">
        <v>7.3</v>
      </c>
      <c r="BA17" s="2">
        <v>0.9</v>
      </c>
      <c r="BB17" s="2">
        <v>7.5</v>
      </c>
      <c r="BC17" s="2">
        <v>2.9</v>
      </c>
      <c r="BD17" s="2">
        <f>+AN17*EXP(-0.0495*Y17)</f>
        <v>8.4806365237764183</v>
      </c>
      <c r="BE17" s="2">
        <f>+AO17*EXP(-0.024*Y17)</f>
        <v>27.689117587355653</v>
      </c>
    </row>
    <row r="18" spans="1:57" x14ac:dyDescent="0.2">
      <c r="A18" s="2" t="s">
        <v>2074</v>
      </c>
      <c r="B18" s="2" t="s">
        <v>19</v>
      </c>
      <c r="C18" s="2" t="s">
        <v>1907</v>
      </c>
      <c r="D18" s="2" t="s">
        <v>21</v>
      </c>
      <c r="E18" s="2" t="s">
        <v>1675</v>
      </c>
      <c r="F18" s="2">
        <v>5</v>
      </c>
      <c r="G18" s="2">
        <v>800</v>
      </c>
      <c r="H18" s="2">
        <v>5</v>
      </c>
      <c r="I18" s="2">
        <v>5</v>
      </c>
      <c r="J18" s="2">
        <v>4</v>
      </c>
      <c r="K18" s="2" t="s">
        <v>61</v>
      </c>
      <c r="L18" s="6" t="s">
        <v>75</v>
      </c>
      <c r="M18" s="5">
        <v>3500000000</v>
      </c>
      <c r="N18" s="2">
        <v>0</v>
      </c>
      <c r="O18" s="2">
        <v>4.7674665449999996</v>
      </c>
      <c r="P18" s="2">
        <v>-74.061889649999998</v>
      </c>
      <c r="Q18" s="2" t="s">
        <v>2075</v>
      </c>
      <c r="R18" s="2">
        <v>4375000</v>
      </c>
      <c r="S18" s="2">
        <v>0</v>
      </c>
      <c r="T18" s="2" t="s">
        <v>102</v>
      </c>
      <c r="U18" s="2" t="s">
        <v>103</v>
      </c>
      <c r="V18" s="2" t="s">
        <v>28</v>
      </c>
      <c r="W18" s="2" t="s">
        <v>70</v>
      </c>
      <c r="X18" s="2" t="s">
        <v>104</v>
      </c>
      <c r="Y18" s="2">
        <v>2.6764328449627701</v>
      </c>
      <c r="Z18" s="2">
        <v>4.7837500000000004</v>
      </c>
      <c r="AA18" s="2">
        <v>-74.044138888888895</v>
      </c>
      <c r="AB18" s="2">
        <v>2580</v>
      </c>
      <c r="AC18" s="2" t="s">
        <v>105</v>
      </c>
      <c r="AD18" s="2" t="s">
        <v>58</v>
      </c>
      <c r="AE18" s="2" t="s">
        <v>33</v>
      </c>
      <c r="AF18" s="2" t="s">
        <v>34</v>
      </c>
      <c r="AG18" s="2" t="s">
        <v>72</v>
      </c>
      <c r="AH18" s="2">
        <v>1.9873048824605899</v>
      </c>
      <c r="AI18" s="2">
        <v>3.9044561436077201</v>
      </c>
      <c r="AJ18" s="2">
        <v>1.8136536994154799</v>
      </c>
      <c r="AK18" s="2">
        <v>0.86683010614943301</v>
      </c>
      <c r="AL18" s="2">
        <v>0.339757954763236</v>
      </c>
      <c r="AM18" s="2">
        <v>15.3</v>
      </c>
      <c r="AN18" s="2">
        <v>9.8000000000000007</v>
      </c>
      <c r="AO18" s="2">
        <v>29.7</v>
      </c>
      <c r="AP18" s="2">
        <v>564</v>
      </c>
      <c r="AQ18" s="2">
        <v>68</v>
      </c>
      <c r="AR18" s="2">
        <v>1.8</v>
      </c>
      <c r="AS18" s="2">
        <v>43</v>
      </c>
      <c r="AT18" s="2">
        <v>25.4</v>
      </c>
      <c r="AU18" s="2">
        <v>162</v>
      </c>
      <c r="AV18" s="2">
        <v>9.1</v>
      </c>
      <c r="AW18" s="2">
        <v>9.1999999999999993</v>
      </c>
      <c r="AX18" s="2">
        <v>18.3</v>
      </c>
      <c r="AY18" s="2">
        <v>0.34</v>
      </c>
      <c r="AZ18" s="2">
        <v>7.3</v>
      </c>
      <c r="BA18" s="2">
        <v>0.9</v>
      </c>
      <c r="BB18" s="2">
        <v>7.5</v>
      </c>
      <c r="BC18" s="2">
        <v>2.9</v>
      </c>
      <c r="BD18" s="2">
        <f>+AN18*EXP(-0.0495*Y18)</f>
        <v>8.5839910256255898</v>
      </c>
      <c r="BE18" s="2">
        <f>+AO18*EXP(-0.024*Y18)</f>
        <v>27.852219487137258</v>
      </c>
    </row>
    <row r="19" spans="1:57" x14ac:dyDescent="0.2">
      <c r="A19" s="2" t="s">
        <v>1980</v>
      </c>
      <c r="B19" s="2" t="s">
        <v>19</v>
      </c>
      <c r="C19" s="2" t="s">
        <v>1907</v>
      </c>
      <c r="D19" s="2" t="s">
        <v>21</v>
      </c>
      <c r="E19" s="2" t="s">
        <v>1675</v>
      </c>
      <c r="F19" s="2">
        <v>5</v>
      </c>
      <c r="G19" s="2">
        <v>800</v>
      </c>
      <c r="H19" s="2">
        <v>5</v>
      </c>
      <c r="I19" s="2">
        <v>5</v>
      </c>
      <c r="J19" s="2">
        <v>4</v>
      </c>
      <c r="K19" s="2" t="s">
        <v>61</v>
      </c>
      <c r="L19" s="6" t="s">
        <v>75</v>
      </c>
      <c r="M19" s="5">
        <v>3500000000</v>
      </c>
      <c r="N19" s="2">
        <v>0</v>
      </c>
      <c r="O19" s="2">
        <v>4.7683391569999998</v>
      </c>
      <c r="P19" s="2">
        <v>-74.062576289999996</v>
      </c>
      <c r="Q19" s="2" t="s">
        <v>1981</v>
      </c>
      <c r="R19" s="2">
        <v>4375000</v>
      </c>
      <c r="S19" s="2">
        <v>0</v>
      </c>
      <c r="T19" s="2" t="s">
        <v>102</v>
      </c>
      <c r="U19" s="2" t="s">
        <v>103</v>
      </c>
      <c r="V19" s="2" t="s">
        <v>28</v>
      </c>
      <c r="W19" s="2" t="s">
        <v>70</v>
      </c>
      <c r="X19" s="2" t="s">
        <v>104</v>
      </c>
      <c r="Y19" s="2">
        <v>2.6695222679614798</v>
      </c>
      <c r="Z19" s="2">
        <v>4.7837500000000004</v>
      </c>
      <c r="AA19" s="2">
        <v>-74.044138888888895</v>
      </c>
      <c r="AB19" s="2">
        <v>2580</v>
      </c>
      <c r="AC19" s="2" t="s">
        <v>105</v>
      </c>
      <c r="AD19" s="2" t="s">
        <v>58</v>
      </c>
      <c r="AE19" s="2" t="s">
        <v>33</v>
      </c>
      <c r="AF19" s="2" t="s">
        <v>34</v>
      </c>
      <c r="AG19" s="2" t="s">
        <v>72</v>
      </c>
      <c r="AH19" s="2">
        <v>2.0849417460296298</v>
      </c>
      <c r="AI19" s="2">
        <v>3.7830395755413799</v>
      </c>
      <c r="AJ19" s="2">
        <v>1.9355459168537099</v>
      </c>
      <c r="AK19" s="2">
        <v>0.82989055733511496</v>
      </c>
      <c r="AL19" s="2">
        <v>0.221016411394934</v>
      </c>
      <c r="AM19" s="2">
        <v>15.3</v>
      </c>
      <c r="AN19" s="2">
        <v>9.8000000000000007</v>
      </c>
      <c r="AO19" s="2">
        <v>29.7</v>
      </c>
      <c r="AP19" s="2">
        <v>564</v>
      </c>
      <c r="AQ19" s="2">
        <v>68</v>
      </c>
      <c r="AR19" s="2">
        <v>1.8</v>
      </c>
      <c r="AS19" s="2">
        <v>43</v>
      </c>
      <c r="AT19" s="2">
        <v>25.4</v>
      </c>
      <c r="AU19" s="2">
        <v>162</v>
      </c>
      <c r="AV19" s="2">
        <v>9.1</v>
      </c>
      <c r="AW19" s="2">
        <v>9.1999999999999993</v>
      </c>
      <c r="AX19" s="2">
        <v>18.3</v>
      </c>
      <c r="AY19" s="2">
        <v>0.34</v>
      </c>
      <c r="AZ19" s="2">
        <v>7.3</v>
      </c>
      <c r="BA19" s="2">
        <v>0.9</v>
      </c>
      <c r="BB19" s="2">
        <v>7.5</v>
      </c>
      <c r="BC19" s="2">
        <v>2.9</v>
      </c>
      <c r="BD19" s="2">
        <f>+AN19*EXP(-0.0495*Y19)</f>
        <v>8.5869278842903718</v>
      </c>
      <c r="BE19" s="2">
        <f>+AO19*EXP(-0.024*Y19)</f>
        <v>27.856839268009029</v>
      </c>
    </row>
    <row r="20" spans="1:57" x14ac:dyDescent="0.2">
      <c r="A20" s="2" t="s">
        <v>2110</v>
      </c>
      <c r="B20" s="2" t="s">
        <v>19</v>
      </c>
      <c r="C20" s="2" t="s">
        <v>1907</v>
      </c>
      <c r="D20" s="2" t="s">
        <v>21</v>
      </c>
      <c r="E20" s="2" t="s">
        <v>1675</v>
      </c>
      <c r="F20" s="2">
        <v>5</v>
      </c>
      <c r="G20" s="2">
        <v>800</v>
      </c>
      <c r="H20" s="2">
        <v>4</v>
      </c>
      <c r="I20" s="2">
        <v>5</v>
      </c>
      <c r="J20" s="2">
        <v>4</v>
      </c>
      <c r="K20" s="2" t="s">
        <v>61</v>
      </c>
      <c r="L20" s="6" t="s">
        <v>75</v>
      </c>
      <c r="M20" s="5">
        <v>2950000000</v>
      </c>
      <c r="N20" s="2">
        <v>0</v>
      </c>
      <c r="O20" s="2">
        <v>4.7675499920000002</v>
      </c>
      <c r="P20" s="2">
        <v>-74.063789369999995</v>
      </c>
      <c r="Q20" s="2" t="s">
        <v>2111</v>
      </c>
      <c r="R20" s="2">
        <v>3687500</v>
      </c>
      <c r="S20" s="2">
        <v>0</v>
      </c>
      <c r="T20" s="2" t="s">
        <v>102</v>
      </c>
      <c r="U20" s="2" t="s">
        <v>103</v>
      </c>
      <c r="V20" s="2" t="s">
        <v>28</v>
      </c>
      <c r="W20" s="2" t="s">
        <v>70</v>
      </c>
      <c r="X20" s="2" t="s">
        <v>104</v>
      </c>
      <c r="Y20" s="2">
        <v>2.8291475912250301</v>
      </c>
      <c r="Z20" s="2">
        <v>4.7837500000000004</v>
      </c>
      <c r="AA20" s="2">
        <v>-74.044138888888895</v>
      </c>
      <c r="AB20" s="2">
        <v>2580</v>
      </c>
      <c r="AC20" s="2" t="s">
        <v>105</v>
      </c>
      <c r="AD20" s="2" t="s">
        <v>58</v>
      </c>
      <c r="AE20" s="2" t="s">
        <v>33</v>
      </c>
      <c r="AF20" s="2" t="s">
        <v>34</v>
      </c>
      <c r="AG20" s="2" t="s">
        <v>72</v>
      </c>
      <c r="AH20" s="2">
        <v>2.19476381079421</v>
      </c>
      <c r="AI20" s="2">
        <v>3.7460532833308302</v>
      </c>
      <c r="AJ20" s="2">
        <v>1.9375904629949301</v>
      </c>
      <c r="AK20" s="2">
        <v>0.67160974276534802</v>
      </c>
      <c r="AL20" s="2">
        <v>0.16541016492492799</v>
      </c>
      <c r="AM20" s="2">
        <v>15.3</v>
      </c>
      <c r="AN20" s="2">
        <v>9.8000000000000007</v>
      </c>
      <c r="AO20" s="2">
        <v>29.7</v>
      </c>
      <c r="AP20" s="2">
        <v>564</v>
      </c>
      <c r="AQ20" s="2">
        <v>68</v>
      </c>
      <c r="AR20" s="2">
        <v>1.8</v>
      </c>
      <c r="AS20" s="2">
        <v>43</v>
      </c>
      <c r="AT20" s="2">
        <v>25.4</v>
      </c>
      <c r="AU20" s="2">
        <v>162</v>
      </c>
      <c r="AV20" s="2">
        <v>9.1</v>
      </c>
      <c r="AW20" s="2">
        <v>9.1999999999999993</v>
      </c>
      <c r="AX20" s="2">
        <v>18.3</v>
      </c>
      <c r="AY20" s="2">
        <v>0.34</v>
      </c>
      <c r="AZ20" s="2">
        <v>7.3</v>
      </c>
      <c r="BA20" s="2">
        <v>0.9</v>
      </c>
      <c r="BB20" s="2">
        <v>7.5</v>
      </c>
      <c r="BC20" s="2">
        <v>2.9</v>
      </c>
      <c r="BD20" s="2">
        <f>+AN20*EXP(-0.0495*Y20)</f>
        <v>8.5193460219738313</v>
      </c>
      <c r="BE20" s="2">
        <f>+AO20*EXP(-0.024*Y20)</f>
        <v>27.750323661981469</v>
      </c>
    </row>
    <row r="21" spans="1:57" x14ac:dyDescent="0.2">
      <c r="A21" s="2" t="s">
        <v>2201</v>
      </c>
      <c r="B21" s="2" t="s">
        <v>19</v>
      </c>
      <c r="C21" s="2" t="s">
        <v>1907</v>
      </c>
      <c r="D21" s="2" t="s">
        <v>21</v>
      </c>
      <c r="E21" s="2" t="s">
        <v>1675</v>
      </c>
      <c r="F21" s="2">
        <v>5</v>
      </c>
      <c r="G21" s="2">
        <v>800</v>
      </c>
      <c r="H21" s="2">
        <v>4</v>
      </c>
      <c r="I21" s="2">
        <v>5</v>
      </c>
      <c r="J21" s="2">
        <v>4</v>
      </c>
      <c r="K21" s="2" t="s">
        <v>61</v>
      </c>
      <c r="L21" s="6" t="s">
        <v>84</v>
      </c>
      <c r="M21" s="5">
        <v>2700000000</v>
      </c>
      <c r="N21" s="2">
        <v>0</v>
      </c>
      <c r="O21" s="2">
        <v>4.7626752850000003</v>
      </c>
      <c r="P21" s="2">
        <v>-74.057853699999995</v>
      </c>
      <c r="Q21" s="2" t="s">
        <v>2202</v>
      </c>
      <c r="R21" s="2">
        <v>3375000</v>
      </c>
      <c r="S21" s="2">
        <v>0</v>
      </c>
      <c r="T21" s="2" t="s">
        <v>102</v>
      </c>
      <c r="U21" s="2" t="s">
        <v>103</v>
      </c>
      <c r="V21" s="2" t="s">
        <v>28</v>
      </c>
      <c r="W21" s="2" t="s">
        <v>70</v>
      </c>
      <c r="X21" s="2" t="s">
        <v>104</v>
      </c>
      <c r="Y21" s="2">
        <v>2.79617462281908</v>
      </c>
      <c r="Z21" s="2">
        <v>4.7837500000000004</v>
      </c>
      <c r="AA21" s="2">
        <v>-74.044138888888895</v>
      </c>
      <c r="AB21" s="2">
        <v>2580</v>
      </c>
      <c r="AC21" s="2" t="s">
        <v>105</v>
      </c>
      <c r="AD21" s="2" t="s">
        <v>58</v>
      </c>
      <c r="AE21" s="2" t="s">
        <v>33</v>
      </c>
      <c r="AF21" s="2" t="s">
        <v>34</v>
      </c>
      <c r="AG21" s="2" t="s">
        <v>72</v>
      </c>
      <c r="AH21" s="2">
        <v>1.4885281563397399</v>
      </c>
      <c r="AI21" s="2">
        <v>3.90424789596663</v>
      </c>
      <c r="AJ21" s="2">
        <v>1.1352276355469599</v>
      </c>
      <c r="AK21" s="2">
        <v>0.47921039253122999</v>
      </c>
      <c r="AL21" s="2">
        <v>0.18692662152303099</v>
      </c>
      <c r="AM21" s="2">
        <v>15.3</v>
      </c>
      <c r="AN21" s="2">
        <v>9.8000000000000007</v>
      </c>
      <c r="AO21" s="2">
        <v>29.7</v>
      </c>
      <c r="AP21" s="2">
        <v>564</v>
      </c>
      <c r="AQ21" s="2">
        <v>68</v>
      </c>
      <c r="AR21" s="2">
        <v>1.8</v>
      </c>
      <c r="AS21" s="2">
        <v>43</v>
      </c>
      <c r="AT21" s="2">
        <v>25.4</v>
      </c>
      <c r="AU21" s="2">
        <v>162</v>
      </c>
      <c r="AV21" s="2">
        <v>9.1</v>
      </c>
      <c r="AW21" s="2">
        <v>9.1999999999999993</v>
      </c>
      <c r="AX21" s="2">
        <v>18.3</v>
      </c>
      <c r="AY21" s="2">
        <v>0.34</v>
      </c>
      <c r="AZ21" s="2">
        <v>7.3</v>
      </c>
      <c r="BA21" s="2">
        <v>0.9</v>
      </c>
      <c r="BB21" s="2">
        <v>7.5</v>
      </c>
      <c r="BC21" s="2">
        <v>2.9</v>
      </c>
      <c r="BD21" s="2">
        <f>+AN21*EXP(-0.0495*Y21)</f>
        <v>8.5332623280144535</v>
      </c>
      <c r="BE21" s="2">
        <f>+AO21*EXP(-0.024*Y21)</f>
        <v>27.772292606499423</v>
      </c>
    </row>
    <row r="22" spans="1:57" x14ac:dyDescent="0.2">
      <c r="A22" s="2" t="s">
        <v>3195</v>
      </c>
      <c r="B22" s="2" t="s">
        <v>19</v>
      </c>
      <c r="C22" s="2" t="s">
        <v>1907</v>
      </c>
      <c r="D22" s="2" t="s">
        <v>21</v>
      </c>
      <c r="E22" s="2" t="s">
        <v>1675</v>
      </c>
      <c r="F22" s="2">
        <v>5</v>
      </c>
      <c r="G22" s="2">
        <v>800</v>
      </c>
      <c r="H22" s="2">
        <v>3</v>
      </c>
      <c r="I22" s="2">
        <v>5</v>
      </c>
      <c r="J22" s="2">
        <v>4</v>
      </c>
      <c r="K22" s="2" t="s">
        <v>61</v>
      </c>
      <c r="L22" s="6" t="s">
        <v>75</v>
      </c>
      <c r="M22" s="5">
        <v>2400000000</v>
      </c>
      <c r="N22" s="2">
        <v>0</v>
      </c>
      <c r="O22" s="2">
        <v>4.7657928470000002</v>
      </c>
      <c r="P22" s="2">
        <v>-74.064781190000005</v>
      </c>
      <c r="Q22" s="2" t="s">
        <v>3196</v>
      </c>
      <c r="R22" s="2">
        <v>3000000</v>
      </c>
      <c r="S22" s="2">
        <v>0</v>
      </c>
      <c r="T22" s="2" t="s">
        <v>102</v>
      </c>
      <c r="U22" s="2" t="s">
        <v>103</v>
      </c>
      <c r="V22" s="2" t="s">
        <v>28</v>
      </c>
      <c r="W22" s="2" t="s">
        <v>70</v>
      </c>
      <c r="X22" s="2" t="s">
        <v>104</v>
      </c>
      <c r="Y22" s="2">
        <v>3.0396776450968099</v>
      </c>
      <c r="Z22" s="2">
        <v>4.7837500000000004</v>
      </c>
      <c r="AA22" s="2">
        <v>-74.044138888888895</v>
      </c>
      <c r="AB22" s="2">
        <v>2580</v>
      </c>
      <c r="AC22" s="2" t="s">
        <v>105</v>
      </c>
      <c r="AD22" s="2" t="s">
        <v>58</v>
      </c>
      <c r="AE22" s="2" t="s">
        <v>33</v>
      </c>
      <c r="AF22" s="2" t="s">
        <v>34</v>
      </c>
      <c r="AG22" s="2" t="s">
        <v>72</v>
      </c>
      <c r="AH22" s="2">
        <v>2.2710455928236599</v>
      </c>
      <c r="AI22" s="2">
        <v>3.8089723466702301</v>
      </c>
      <c r="AJ22" s="2">
        <v>1.8565046200259501</v>
      </c>
      <c r="AK22" s="2">
        <v>0.51328058704588997</v>
      </c>
      <c r="AL22" s="2">
        <v>7.0847032711356802E-3</v>
      </c>
      <c r="AM22" s="2">
        <v>15.3</v>
      </c>
      <c r="AN22" s="2">
        <v>9.8000000000000007</v>
      </c>
      <c r="AO22" s="2">
        <v>29.7</v>
      </c>
      <c r="AP22" s="2">
        <v>564</v>
      </c>
      <c r="AQ22" s="2">
        <v>68</v>
      </c>
      <c r="AR22" s="2">
        <v>1.8</v>
      </c>
      <c r="AS22" s="2">
        <v>43</v>
      </c>
      <c r="AT22" s="2">
        <v>25.4</v>
      </c>
      <c r="AU22" s="2">
        <v>162</v>
      </c>
      <c r="AV22" s="2">
        <v>9.1</v>
      </c>
      <c r="AW22" s="2">
        <v>9.1999999999999993</v>
      </c>
      <c r="AX22" s="2">
        <v>18.3</v>
      </c>
      <c r="AY22" s="2">
        <v>0.34</v>
      </c>
      <c r="AZ22" s="2">
        <v>7.3</v>
      </c>
      <c r="BA22" s="2">
        <v>0.9</v>
      </c>
      <c r="BB22" s="2">
        <v>7.5</v>
      </c>
      <c r="BC22" s="2">
        <v>2.9</v>
      </c>
      <c r="BD22" s="2">
        <f>+AN22*EXP(-0.0495*Y22)</f>
        <v>8.4310248993402261</v>
      </c>
      <c r="BE22" s="2">
        <f>+AO22*EXP(-0.024*Y22)</f>
        <v>27.610462647645761</v>
      </c>
    </row>
    <row r="23" spans="1:57" x14ac:dyDescent="0.2">
      <c r="A23" s="2" t="s">
        <v>2114</v>
      </c>
      <c r="B23" s="2" t="s">
        <v>19</v>
      </c>
      <c r="C23" s="2" t="s">
        <v>1907</v>
      </c>
      <c r="D23" s="2" t="s">
        <v>21</v>
      </c>
      <c r="E23" s="2" t="s">
        <v>1675</v>
      </c>
      <c r="F23" s="2">
        <v>5</v>
      </c>
      <c r="G23" s="2">
        <v>800</v>
      </c>
      <c r="H23" s="2">
        <v>3</v>
      </c>
      <c r="I23" s="2">
        <v>4</v>
      </c>
      <c r="J23" s="2">
        <v>4</v>
      </c>
      <c r="K23" s="2" t="s">
        <v>61</v>
      </c>
      <c r="L23" s="6" t="s">
        <v>66</v>
      </c>
      <c r="M23" s="5">
        <v>2400000000</v>
      </c>
      <c r="N23" s="2">
        <v>0</v>
      </c>
      <c r="O23" s="2">
        <v>4.7675499920000002</v>
      </c>
      <c r="P23" s="2">
        <v>-74.063789369999995</v>
      </c>
      <c r="Q23" s="2" t="s">
        <v>2115</v>
      </c>
      <c r="R23" s="2">
        <v>3000000</v>
      </c>
      <c r="S23" s="2">
        <v>0</v>
      </c>
      <c r="T23" s="2" t="s">
        <v>102</v>
      </c>
      <c r="U23" s="2" t="s">
        <v>103</v>
      </c>
      <c r="V23" s="2" t="s">
        <v>28</v>
      </c>
      <c r="W23" s="2" t="s">
        <v>70</v>
      </c>
      <c r="X23" s="2" t="s">
        <v>104</v>
      </c>
      <c r="Y23" s="2">
        <v>2.8291475912250301</v>
      </c>
      <c r="Z23" s="2">
        <v>4.7837500000000004</v>
      </c>
      <c r="AA23" s="2">
        <v>-74.044138888888895</v>
      </c>
      <c r="AB23" s="2">
        <v>2580</v>
      </c>
      <c r="AC23" s="2" t="s">
        <v>105</v>
      </c>
      <c r="AD23" s="2" t="s">
        <v>58</v>
      </c>
      <c r="AE23" s="2" t="s">
        <v>33</v>
      </c>
      <c r="AF23" s="2" t="s">
        <v>34</v>
      </c>
      <c r="AG23" s="2" t="s">
        <v>72</v>
      </c>
      <c r="AH23" s="2">
        <v>2.19476381079421</v>
      </c>
      <c r="AI23" s="2">
        <v>3.7460532833308302</v>
      </c>
      <c r="AJ23" s="2">
        <v>1.9375904629949301</v>
      </c>
      <c r="AK23" s="2">
        <v>0.67160974276534802</v>
      </c>
      <c r="AL23" s="2">
        <v>0.16541016492492799</v>
      </c>
      <c r="AM23" s="2">
        <v>15.3</v>
      </c>
      <c r="AN23" s="2">
        <v>9.8000000000000007</v>
      </c>
      <c r="AO23" s="2">
        <v>29.7</v>
      </c>
      <c r="AP23" s="2">
        <v>564</v>
      </c>
      <c r="AQ23" s="2">
        <v>68</v>
      </c>
      <c r="AR23" s="2">
        <v>1.8</v>
      </c>
      <c r="AS23" s="2">
        <v>43</v>
      </c>
      <c r="AT23" s="2">
        <v>25.4</v>
      </c>
      <c r="AU23" s="2">
        <v>162</v>
      </c>
      <c r="AV23" s="2">
        <v>9.1</v>
      </c>
      <c r="AW23" s="2">
        <v>9.1999999999999993</v>
      </c>
      <c r="AX23" s="2">
        <v>18.3</v>
      </c>
      <c r="AY23" s="2">
        <v>0.34</v>
      </c>
      <c r="AZ23" s="2">
        <v>7.3</v>
      </c>
      <c r="BA23" s="2">
        <v>0.9</v>
      </c>
      <c r="BB23" s="2">
        <v>7.5</v>
      </c>
      <c r="BC23" s="2">
        <v>2.9</v>
      </c>
      <c r="BD23" s="2">
        <f>+AN23*EXP(-0.0495*Y23)</f>
        <v>8.5193460219738313</v>
      </c>
      <c r="BE23" s="2">
        <f>+AO23*EXP(-0.024*Y23)</f>
        <v>27.750323661981469</v>
      </c>
    </row>
    <row r="24" spans="1:57" x14ac:dyDescent="0.2">
      <c r="A24" s="2" t="s">
        <v>2732</v>
      </c>
      <c r="B24" s="2" t="s">
        <v>19</v>
      </c>
      <c r="C24" s="2" t="s">
        <v>1907</v>
      </c>
      <c r="D24" s="2" t="s">
        <v>21</v>
      </c>
      <c r="E24" s="2" t="s">
        <v>1675</v>
      </c>
      <c r="F24" s="2">
        <v>5</v>
      </c>
      <c r="G24" s="2">
        <v>800</v>
      </c>
      <c r="H24" s="2">
        <v>4</v>
      </c>
      <c r="I24" s="2">
        <v>5</v>
      </c>
      <c r="J24" s="2">
        <v>4</v>
      </c>
      <c r="K24" s="2" t="s">
        <v>61</v>
      </c>
      <c r="L24" s="6" t="s">
        <v>113</v>
      </c>
      <c r="M24" s="5">
        <v>2090000000</v>
      </c>
      <c r="N24" s="2">
        <v>0</v>
      </c>
      <c r="O24" s="2">
        <v>4.7665521000000002</v>
      </c>
      <c r="P24" s="2">
        <v>-74.061094900000001</v>
      </c>
      <c r="Q24" s="2" t="s">
        <v>2733</v>
      </c>
      <c r="R24" s="2">
        <v>2612500</v>
      </c>
      <c r="S24" s="2">
        <v>0</v>
      </c>
      <c r="T24" s="2" t="s">
        <v>102</v>
      </c>
      <c r="U24" s="2" t="s">
        <v>103</v>
      </c>
      <c r="V24" s="2" t="s">
        <v>28</v>
      </c>
      <c r="W24" s="2" t="s">
        <v>70</v>
      </c>
      <c r="X24" s="2" t="s">
        <v>104</v>
      </c>
      <c r="Y24" s="2">
        <v>2.6838889189606299</v>
      </c>
      <c r="Z24" s="2">
        <v>4.7837500000000004</v>
      </c>
      <c r="AA24" s="2">
        <v>-74.044138888888895</v>
      </c>
      <c r="AB24" s="2">
        <v>2580</v>
      </c>
      <c r="AC24" s="2" t="s">
        <v>105</v>
      </c>
      <c r="AD24" s="2" t="s">
        <v>58</v>
      </c>
      <c r="AE24" s="2" t="s">
        <v>33</v>
      </c>
      <c r="AF24" s="2" t="s">
        <v>34</v>
      </c>
      <c r="AG24" s="2" t="s">
        <v>72</v>
      </c>
      <c r="AH24" s="2">
        <v>1.87996382400283</v>
      </c>
      <c r="AI24" s="2">
        <v>4.0378551236991296</v>
      </c>
      <c r="AJ24" s="2">
        <v>1.68188043383636</v>
      </c>
      <c r="AK24" s="2">
        <v>0.83020281545074204</v>
      </c>
      <c r="AL24" s="2">
        <v>0.31789411643530102</v>
      </c>
      <c r="AM24" s="2">
        <v>15.3</v>
      </c>
      <c r="AN24" s="2">
        <v>9.8000000000000007</v>
      </c>
      <c r="AO24" s="2">
        <v>29.7</v>
      </c>
      <c r="AP24" s="2">
        <v>564</v>
      </c>
      <c r="AQ24" s="2">
        <v>68</v>
      </c>
      <c r="AR24" s="2">
        <v>1.8</v>
      </c>
      <c r="AS24" s="2">
        <v>43</v>
      </c>
      <c r="AT24" s="2">
        <v>25.4</v>
      </c>
      <c r="AU24" s="2">
        <v>162</v>
      </c>
      <c r="AV24" s="2">
        <v>9.1</v>
      </c>
      <c r="AW24" s="2">
        <v>9.1999999999999993</v>
      </c>
      <c r="AX24" s="2">
        <v>18.3</v>
      </c>
      <c r="AY24" s="2">
        <v>0.34</v>
      </c>
      <c r="AZ24" s="2">
        <v>7.3</v>
      </c>
      <c r="BA24" s="2">
        <v>0.9</v>
      </c>
      <c r="BB24" s="2">
        <v>7.5</v>
      </c>
      <c r="BC24" s="2">
        <v>2.9</v>
      </c>
      <c r="BD24" s="2">
        <f>+AN24*EXP(-0.0495*Y24)</f>
        <v>8.580823468017698</v>
      </c>
      <c r="BE24" s="2">
        <f>+AO24*EXP(-0.024*Y24)</f>
        <v>27.84723589601883</v>
      </c>
    </row>
    <row r="25" spans="1:57" x14ac:dyDescent="0.2">
      <c r="A25" s="2" t="s">
        <v>2411</v>
      </c>
      <c r="B25" s="2" t="s">
        <v>19</v>
      </c>
      <c r="C25" s="2" t="s">
        <v>1907</v>
      </c>
      <c r="D25" s="2" t="s">
        <v>21</v>
      </c>
      <c r="E25" s="2" t="s">
        <v>1675</v>
      </c>
      <c r="F25" s="2">
        <v>5</v>
      </c>
      <c r="G25" s="2">
        <v>800</v>
      </c>
      <c r="H25" s="2">
        <v>4</v>
      </c>
      <c r="I25" s="2">
        <v>5</v>
      </c>
      <c r="J25" s="2">
        <v>4</v>
      </c>
      <c r="K25" s="2" t="s">
        <v>61</v>
      </c>
      <c r="L25" s="6" t="s">
        <v>75</v>
      </c>
      <c r="M25" s="5">
        <v>1860000000</v>
      </c>
      <c r="N25" s="2">
        <v>0</v>
      </c>
      <c r="O25" s="2">
        <v>4.7671403879999996</v>
      </c>
      <c r="P25" s="2">
        <v>-74.064491270000005</v>
      </c>
      <c r="Q25" s="2" t="s">
        <v>2412</v>
      </c>
      <c r="R25" s="2">
        <v>2325000</v>
      </c>
      <c r="S25" s="2">
        <v>0</v>
      </c>
      <c r="T25" s="2" t="s">
        <v>102</v>
      </c>
      <c r="U25" s="2" t="s">
        <v>103</v>
      </c>
      <c r="V25" s="2" t="s">
        <v>28</v>
      </c>
      <c r="W25" s="2" t="s">
        <v>70</v>
      </c>
      <c r="X25" s="2" t="s">
        <v>104</v>
      </c>
      <c r="Y25" s="2">
        <v>2.9182437900970801</v>
      </c>
      <c r="Z25" s="2">
        <v>4.7837500000000004</v>
      </c>
      <c r="AA25" s="2">
        <v>-74.044138888888895</v>
      </c>
      <c r="AB25" s="2">
        <v>2580</v>
      </c>
      <c r="AC25" s="2" t="s">
        <v>105</v>
      </c>
      <c r="AD25" s="2" t="s">
        <v>58</v>
      </c>
      <c r="AE25" s="2" t="s">
        <v>33</v>
      </c>
      <c r="AF25" s="2" t="s">
        <v>34</v>
      </c>
      <c r="AG25" s="2" t="s">
        <v>72</v>
      </c>
      <c r="AH25" s="2">
        <v>2.2620231370126098</v>
      </c>
      <c r="AI25" s="2">
        <v>3.7229348208066</v>
      </c>
      <c r="AJ25" s="2">
        <v>1.9488679745086499</v>
      </c>
      <c r="AK25" s="2">
        <v>0.58243404697476397</v>
      </c>
      <c r="AL25" s="2">
        <v>0.12975210837593101</v>
      </c>
      <c r="AM25" s="2">
        <v>15.3</v>
      </c>
      <c r="AN25" s="2">
        <v>9.8000000000000007</v>
      </c>
      <c r="AO25" s="2">
        <v>29.7</v>
      </c>
      <c r="AP25" s="2">
        <v>564</v>
      </c>
      <c r="AQ25" s="2">
        <v>68</v>
      </c>
      <c r="AR25" s="2">
        <v>1.8</v>
      </c>
      <c r="AS25" s="2">
        <v>43</v>
      </c>
      <c r="AT25" s="2">
        <v>25.4</v>
      </c>
      <c r="AU25" s="2">
        <v>162</v>
      </c>
      <c r="AV25" s="2">
        <v>9.1</v>
      </c>
      <c r="AW25" s="2">
        <v>9.1999999999999993</v>
      </c>
      <c r="AX25" s="2">
        <v>18.3</v>
      </c>
      <c r="AY25" s="2">
        <v>0.34</v>
      </c>
      <c r="AZ25" s="2">
        <v>7.3</v>
      </c>
      <c r="BA25" s="2">
        <v>0.9</v>
      </c>
      <c r="BB25" s="2">
        <v>7.5</v>
      </c>
      <c r="BC25" s="2">
        <v>2.9</v>
      </c>
      <c r="BD25" s="2">
        <f>+AN25*EXP(-0.0495*Y25)</f>
        <v>8.4818562059943492</v>
      </c>
      <c r="BE25" s="2">
        <f>+AO25*EXP(-0.024*Y25)</f>
        <v>27.691048298543969</v>
      </c>
    </row>
    <row r="26" spans="1:57" x14ac:dyDescent="0.2">
      <c r="A26" s="2" t="s">
        <v>2494</v>
      </c>
      <c r="B26" s="2" t="s">
        <v>19</v>
      </c>
      <c r="C26" s="2" t="s">
        <v>1907</v>
      </c>
      <c r="D26" s="2" t="s">
        <v>21</v>
      </c>
      <c r="E26" s="2" t="s">
        <v>1675</v>
      </c>
      <c r="F26" s="2">
        <v>5</v>
      </c>
      <c r="G26" s="2">
        <v>800</v>
      </c>
      <c r="H26" s="2">
        <v>4</v>
      </c>
      <c r="I26" s="2">
        <v>4</v>
      </c>
      <c r="J26" s="2">
        <v>3</v>
      </c>
      <c r="K26" s="2" t="s">
        <v>61</v>
      </c>
      <c r="L26" s="6" t="s">
        <v>66</v>
      </c>
      <c r="M26" s="5">
        <v>1550000000</v>
      </c>
      <c r="N26" s="2">
        <v>0</v>
      </c>
      <c r="O26" s="2">
        <v>4.7679042819999999</v>
      </c>
      <c r="P26" s="2">
        <v>-74.063766479999998</v>
      </c>
      <c r="Q26" s="2" t="s">
        <v>2495</v>
      </c>
      <c r="R26" s="2">
        <v>1937500</v>
      </c>
      <c r="S26" s="2">
        <v>0</v>
      </c>
      <c r="T26" s="2" t="s">
        <v>102</v>
      </c>
      <c r="U26" s="2" t="s">
        <v>103</v>
      </c>
      <c r="V26" s="2" t="s">
        <v>28</v>
      </c>
      <c r="W26" s="2" t="s">
        <v>70</v>
      </c>
      <c r="X26" s="2" t="s">
        <v>104</v>
      </c>
      <c r="Y26" s="2">
        <v>2.8021985739372899</v>
      </c>
      <c r="Z26" s="2">
        <v>4.7837500000000004</v>
      </c>
      <c r="AA26" s="2">
        <v>-74.044138888888895</v>
      </c>
      <c r="AB26" s="2">
        <v>2580</v>
      </c>
      <c r="AC26" s="2" t="s">
        <v>105</v>
      </c>
      <c r="AD26" s="2" t="s">
        <v>58</v>
      </c>
      <c r="AE26" s="2" t="s">
        <v>33</v>
      </c>
      <c r="AF26" s="2" t="s">
        <v>34</v>
      </c>
      <c r="AG26" s="2" t="s">
        <v>72</v>
      </c>
      <c r="AH26" s="2">
        <v>2.20093202384655</v>
      </c>
      <c r="AI26" s="2">
        <v>3.7206393461723102</v>
      </c>
      <c r="AJ26" s="2">
        <v>1.96790671742106</v>
      </c>
      <c r="AK26" s="2">
        <v>0.69004633469012899</v>
      </c>
      <c r="AL26" s="2">
        <v>0.14425265453729899</v>
      </c>
      <c r="AM26" s="2">
        <v>15.3</v>
      </c>
      <c r="AN26" s="2">
        <v>9.8000000000000007</v>
      </c>
      <c r="AO26" s="2">
        <v>29.7</v>
      </c>
      <c r="AP26" s="2">
        <v>564</v>
      </c>
      <c r="AQ26" s="2">
        <v>68</v>
      </c>
      <c r="AR26" s="2">
        <v>1.8</v>
      </c>
      <c r="AS26" s="2">
        <v>43</v>
      </c>
      <c r="AT26" s="2">
        <v>25.4</v>
      </c>
      <c r="AU26" s="2">
        <v>162</v>
      </c>
      <c r="AV26" s="2">
        <v>9.1</v>
      </c>
      <c r="AW26" s="2">
        <v>9.1999999999999993</v>
      </c>
      <c r="AX26" s="2">
        <v>18.3</v>
      </c>
      <c r="AY26" s="2">
        <v>0.34</v>
      </c>
      <c r="AZ26" s="2">
        <v>7.3</v>
      </c>
      <c r="BA26" s="2">
        <v>0.9</v>
      </c>
      <c r="BB26" s="2">
        <v>7.5</v>
      </c>
      <c r="BC26" s="2">
        <v>2.9</v>
      </c>
      <c r="BD26" s="2">
        <f>+AN26*EXP(-0.0495*Y26)</f>
        <v>8.5307182115631566</v>
      </c>
      <c r="BE26" s="2">
        <f>+AO26*EXP(-0.024*Y26)</f>
        <v>27.768277722337555</v>
      </c>
    </row>
    <row r="27" spans="1:57" x14ac:dyDescent="0.2">
      <c r="A27" s="2" t="s">
        <v>2296</v>
      </c>
      <c r="B27" s="2" t="s">
        <v>19</v>
      </c>
      <c r="C27" s="2" t="s">
        <v>1907</v>
      </c>
      <c r="D27" s="2" t="s">
        <v>21</v>
      </c>
      <c r="E27" s="2" t="s">
        <v>218</v>
      </c>
      <c r="F27" s="2">
        <v>6</v>
      </c>
      <c r="G27" s="2">
        <v>650</v>
      </c>
      <c r="H27" s="2">
        <v>4</v>
      </c>
      <c r="I27" s="2">
        <v>5</v>
      </c>
      <c r="J27" s="2">
        <v>4</v>
      </c>
      <c r="K27" s="2" t="s">
        <v>61</v>
      </c>
      <c r="L27" s="6" t="s">
        <v>75</v>
      </c>
      <c r="M27" s="5">
        <v>3300000000</v>
      </c>
      <c r="N27" s="2">
        <v>0</v>
      </c>
      <c r="O27" s="2">
        <v>4.8195161820000001</v>
      </c>
      <c r="P27" s="2">
        <v>-74.053352360000005</v>
      </c>
      <c r="Q27" s="2" t="s">
        <v>2297</v>
      </c>
      <c r="R27" s="2">
        <v>5076923.0769999996</v>
      </c>
      <c r="S27" s="2">
        <v>0</v>
      </c>
      <c r="T27" s="2" t="s">
        <v>102</v>
      </c>
      <c r="U27" s="2" t="s">
        <v>103</v>
      </c>
      <c r="V27" s="2" t="s">
        <v>28</v>
      </c>
      <c r="W27" s="2" t="s">
        <v>70</v>
      </c>
      <c r="X27" s="2" t="s">
        <v>104</v>
      </c>
      <c r="Y27" s="2">
        <v>4.1105587331789204</v>
      </c>
      <c r="Z27" s="2">
        <v>4.7837500000000004</v>
      </c>
      <c r="AA27" s="2">
        <v>-74.044138888888895</v>
      </c>
      <c r="AB27" s="2">
        <v>2580</v>
      </c>
      <c r="AC27" s="2" t="s">
        <v>105</v>
      </c>
      <c r="AD27" s="2" t="s">
        <v>58</v>
      </c>
      <c r="AE27" s="2" t="s">
        <v>33</v>
      </c>
      <c r="AF27" s="2" t="s">
        <v>34</v>
      </c>
      <c r="AG27" s="2" t="s">
        <v>72</v>
      </c>
      <c r="AH27" s="2">
        <v>5.70661893542173</v>
      </c>
      <c r="AI27" s="2">
        <v>0.75594310485893401</v>
      </c>
      <c r="AJ27" s="2">
        <v>2.2612206892240101</v>
      </c>
      <c r="AK27" s="2">
        <v>4.1599099082114197</v>
      </c>
      <c r="AL27" s="2">
        <v>0.53607127048732395</v>
      </c>
      <c r="AM27" s="2">
        <v>15.3</v>
      </c>
      <c r="AN27" s="2">
        <v>9.8000000000000007</v>
      </c>
      <c r="AO27" s="2">
        <v>29.7</v>
      </c>
      <c r="AP27" s="2">
        <v>564</v>
      </c>
      <c r="AQ27" s="2">
        <v>68</v>
      </c>
      <c r="AR27" s="2">
        <v>1.8</v>
      </c>
      <c r="AS27" s="2">
        <v>43</v>
      </c>
      <c r="AT27" s="2">
        <v>25.4</v>
      </c>
      <c r="AU27" s="2">
        <v>162</v>
      </c>
      <c r="AV27" s="2">
        <v>9.1</v>
      </c>
      <c r="AW27" s="2">
        <v>9.1999999999999993</v>
      </c>
      <c r="AX27" s="2">
        <v>18.3</v>
      </c>
      <c r="AY27" s="2">
        <v>0.34</v>
      </c>
      <c r="AZ27" s="2">
        <v>7.3</v>
      </c>
      <c r="BA27" s="2">
        <v>0.9</v>
      </c>
      <c r="BB27" s="2">
        <v>7.5</v>
      </c>
      <c r="BC27" s="2">
        <v>2.9</v>
      </c>
      <c r="BD27" s="2">
        <f>+AN27*EXP(-0.0495*Y27)</f>
        <v>7.9957466247356761</v>
      </c>
      <c r="BE27" s="2">
        <f>+AO27*EXP(-0.024*Y27)</f>
        <v>26.909883519605202</v>
      </c>
    </row>
    <row r="28" spans="1:57" x14ac:dyDescent="0.2">
      <c r="A28" s="2" t="s">
        <v>2078</v>
      </c>
      <c r="B28" s="2" t="s">
        <v>19</v>
      </c>
      <c r="C28" s="2" t="s">
        <v>1907</v>
      </c>
      <c r="D28" s="2" t="s">
        <v>21</v>
      </c>
      <c r="E28" s="2" t="s">
        <v>1675</v>
      </c>
      <c r="F28" s="2">
        <v>5</v>
      </c>
      <c r="G28" s="2">
        <v>630</v>
      </c>
      <c r="H28" s="2">
        <v>4</v>
      </c>
      <c r="I28" s="2">
        <v>5</v>
      </c>
      <c r="J28" s="2">
        <v>3</v>
      </c>
      <c r="K28" s="2" t="s">
        <v>61</v>
      </c>
      <c r="L28" s="6" t="s">
        <v>75</v>
      </c>
      <c r="M28" s="5">
        <v>1890000000</v>
      </c>
      <c r="N28" s="2">
        <v>0</v>
      </c>
      <c r="O28" s="2">
        <v>4.7617945669999999</v>
      </c>
      <c r="P28" s="2">
        <v>-74.059394839999996</v>
      </c>
      <c r="Q28" s="2" t="s">
        <v>2079</v>
      </c>
      <c r="R28" s="2">
        <v>3000000</v>
      </c>
      <c r="S28" s="2">
        <v>0</v>
      </c>
      <c r="T28" s="2" t="s">
        <v>68</v>
      </c>
      <c r="U28" s="2" t="s">
        <v>69</v>
      </c>
      <c r="V28" s="2" t="s">
        <v>28</v>
      </c>
      <c r="W28" s="2" t="s">
        <v>70</v>
      </c>
      <c r="X28" s="2" t="s">
        <v>71</v>
      </c>
      <c r="Y28" s="2">
        <v>2.9578814889487202</v>
      </c>
      <c r="Z28" s="2">
        <v>4.73719444444444</v>
      </c>
      <c r="AA28" s="2">
        <v>-74.069472222222203</v>
      </c>
      <c r="AB28" s="2">
        <v>2555</v>
      </c>
      <c r="AC28" s="2" t="s">
        <v>31</v>
      </c>
      <c r="AD28" s="2" t="s">
        <v>58</v>
      </c>
      <c r="AE28" s="2" t="s">
        <v>33</v>
      </c>
      <c r="AF28" s="2" t="s">
        <v>34</v>
      </c>
      <c r="AG28" s="2" t="s">
        <v>72</v>
      </c>
      <c r="AH28" s="2">
        <v>1.6663333633025199</v>
      </c>
      <c r="AI28" s="2">
        <v>4.0869924955383201</v>
      </c>
      <c r="AJ28" s="2">
        <v>1.1367865492928899</v>
      </c>
      <c r="AK28" s="2">
        <v>0.31504281901537801</v>
      </c>
      <c r="AL28" s="2">
        <v>6.9784134266593096E-3</v>
      </c>
      <c r="AM28" s="2">
        <v>15.3</v>
      </c>
      <c r="AN28" s="2">
        <v>9.8000000000000007</v>
      </c>
      <c r="AO28" s="2">
        <v>29.7</v>
      </c>
      <c r="AP28" s="2">
        <v>564</v>
      </c>
      <c r="AQ28" s="2">
        <v>68</v>
      </c>
      <c r="AR28" s="2">
        <v>1.8</v>
      </c>
      <c r="AS28" s="2">
        <v>43</v>
      </c>
      <c r="AT28" s="2">
        <v>25.4</v>
      </c>
      <c r="AU28" s="2">
        <v>162</v>
      </c>
      <c r="AV28" s="2">
        <v>9.1</v>
      </c>
      <c r="AW28" s="2">
        <v>9.1999999999999993</v>
      </c>
      <c r="AX28" s="2">
        <v>18.3</v>
      </c>
      <c r="AY28" s="2">
        <v>0.34</v>
      </c>
      <c r="AZ28" s="2">
        <v>7.3</v>
      </c>
      <c r="BA28" s="2">
        <v>0.9</v>
      </c>
      <c r="BB28" s="2">
        <v>7.5</v>
      </c>
      <c r="BC28" s="2">
        <v>2.9</v>
      </c>
      <c r="BD28" s="2">
        <f>+AN28*EXP(-0.0495*Y28)</f>
        <v>8.46523055916815</v>
      </c>
      <c r="BE28" s="2">
        <f>+AO28*EXP(-0.024*Y28)</f>
        <v>27.664718198104506</v>
      </c>
    </row>
    <row r="29" spans="1:57" x14ac:dyDescent="0.2">
      <c r="A29" s="2" t="s">
        <v>1989</v>
      </c>
      <c r="B29" s="2" t="s">
        <v>19</v>
      </c>
      <c r="C29" s="2" t="s">
        <v>1907</v>
      </c>
      <c r="D29" s="2" t="s">
        <v>21</v>
      </c>
      <c r="E29" s="2" t="s">
        <v>1675</v>
      </c>
      <c r="F29" s="2">
        <v>6</v>
      </c>
      <c r="G29" s="2">
        <v>618</v>
      </c>
      <c r="H29" s="2">
        <v>4</v>
      </c>
      <c r="I29" s="2">
        <v>5</v>
      </c>
      <c r="J29" s="2">
        <v>4</v>
      </c>
      <c r="K29" s="2" t="s">
        <v>61</v>
      </c>
      <c r="L29" s="6" t="s">
        <v>75</v>
      </c>
      <c r="M29" s="5">
        <v>4000000000</v>
      </c>
      <c r="N29" s="2">
        <v>0</v>
      </c>
      <c r="O29" s="2">
        <v>4.7710514069999999</v>
      </c>
      <c r="P29" s="2">
        <v>-74.061302190000006</v>
      </c>
      <c r="Q29" s="2" t="s">
        <v>1990</v>
      </c>
      <c r="R29" s="2">
        <v>6472491.909</v>
      </c>
      <c r="S29" s="2">
        <v>0</v>
      </c>
      <c r="T29" s="2" t="s">
        <v>102</v>
      </c>
      <c r="U29" s="2" t="s">
        <v>103</v>
      </c>
      <c r="V29" s="2" t="s">
        <v>28</v>
      </c>
      <c r="W29" s="2" t="s">
        <v>70</v>
      </c>
      <c r="X29" s="2" t="s">
        <v>104</v>
      </c>
      <c r="Y29" s="2">
        <v>2.3713660970983499</v>
      </c>
      <c r="Z29" s="2">
        <v>4.7837500000000004</v>
      </c>
      <c r="AA29" s="2">
        <v>-74.044138888888895</v>
      </c>
      <c r="AB29" s="2">
        <v>2580</v>
      </c>
      <c r="AC29" s="2" t="s">
        <v>105</v>
      </c>
      <c r="AD29" s="2" t="s">
        <v>58</v>
      </c>
      <c r="AE29" s="2" t="s">
        <v>33</v>
      </c>
      <c r="AF29" s="2" t="s">
        <v>34</v>
      </c>
      <c r="AG29" s="2" t="s">
        <v>72</v>
      </c>
      <c r="AH29" s="2">
        <v>1.98104781459684</v>
      </c>
      <c r="AI29" s="2">
        <v>3.67160273100076</v>
      </c>
      <c r="AJ29" s="2">
        <v>2.1361438092155298</v>
      </c>
      <c r="AK29" s="2">
        <v>1.10453057450254</v>
      </c>
      <c r="AL29" s="2">
        <v>1.3439842702131701E-3</v>
      </c>
      <c r="AM29" s="2">
        <v>15.3</v>
      </c>
      <c r="AN29" s="2">
        <v>9.8000000000000007</v>
      </c>
      <c r="AO29" s="2">
        <v>29.7</v>
      </c>
      <c r="AP29" s="2">
        <v>564</v>
      </c>
      <c r="AQ29" s="2">
        <v>68</v>
      </c>
      <c r="AR29" s="2">
        <v>1.8</v>
      </c>
      <c r="AS29" s="2">
        <v>43</v>
      </c>
      <c r="AT29" s="2">
        <v>25.4</v>
      </c>
      <c r="AU29" s="2">
        <v>162</v>
      </c>
      <c r="AV29" s="2">
        <v>9.1</v>
      </c>
      <c r="AW29" s="2">
        <v>9.1999999999999993</v>
      </c>
      <c r="AX29" s="2">
        <v>18.3</v>
      </c>
      <c r="AY29" s="2">
        <v>0.34</v>
      </c>
      <c r="AZ29" s="2">
        <v>7.3</v>
      </c>
      <c r="BA29" s="2">
        <v>0.9</v>
      </c>
      <c r="BB29" s="2">
        <v>7.5</v>
      </c>
      <c r="BC29" s="2">
        <v>2.9</v>
      </c>
      <c r="BD29" s="2">
        <f>+AN29*EXP(-0.0495*Y29)</f>
        <v>8.7145998590739104</v>
      </c>
      <c r="BE29" s="2">
        <f>+AO29*EXP(-0.024*Y29)</f>
        <v>28.056890697881784</v>
      </c>
    </row>
    <row r="30" spans="1:57" x14ac:dyDescent="0.2">
      <c r="A30" s="2" t="s">
        <v>3072</v>
      </c>
      <c r="B30" s="2" t="s">
        <v>19</v>
      </c>
      <c r="C30" s="2" t="s">
        <v>1907</v>
      </c>
      <c r="D30" s="2" t="s">
        <v>21</v>
      </c>
      <c r="E30" s="2" t="s">
        <v>3073</v>
      </c>
      <c r="F30" s="2">
        <v>5</v>
      </c>
      <c r="G30" s="2">
        <v>600</v>
      </c>
      <c r="H30" s="2">
        <v>4</v>
      </c>
      <c r="I30" s="2">
        <v>5</v>
      </c>
      <c r="J30" s="2">
        <v>2</v>
      </c>
      <c r="K30" s="2" t="s">
        <v>61</v>
      </c>
      <c r="L30" s="6" t="s">
        <v>113</v>
      </c>
      <c r="M30" s="5">
        <v>4000000000</v>
      </c>
      <c r="N30" s="2">
        <v>0</v>
      </c>
      <c r="O30" s="2">
        <v>4.7175599999999998</v>
      </c>
      <c r="P30" s="2">
        <v>-74.081109999999995</v>
      </c>
      <c r="Q30" s="2" t="s">
        <v>3074</v>
      </c>
      <c r="R30" s="2">
        <v>6666666.6670000004</v>
      </c>
      <c r="S30" s="2">
        <v>0</v>
      </c>
      <c r="T30" s="2" t="s">
        <v>68</v>
      </c>
      <c r="U30" s="2" t="s">
        <v>69</v>
      </c>
      <c r="V30" s="2" t="s">
        <v>28</v>
      </c>
      <c r="W30" s="2" t="s">
        <v>70</v>
      </c>
      <c r="X30" s="2" t="s">
        <v>71</v>
      </c>
      <c r="Y30" s="2">
        <v>2.5385466162987802</v>
      </c>
      <c r="Z30" s="2">
        <v>4.73719444444444</v>
      </c>
      <c r="AA30" s="2">
        <v>-74.069472222222203</v>
      </c>
      <c r="AB30" s="2">
        <v>2555</v>
      </c>
      <c r="AC30" s="2" t="s">
        <v>31</v>
      </c>
      <c r="AD30" s="2" t="s">
        <v>58</v>
      </c>
      <c r="AE30" s="2" t="s">
        <v>33</v>
      </c>
      <c r="AF30" s="2" t="s">
        <v>34</v>
      </c>
      <c r="AG30" s="2" t="s">
        <v>72</v>
      </c>
      <c r="AH30" s="2">
        <v>0.81922158178506599</v>
      </c>
      <c r="AI30" s="2">
        <v>5.0192088388221299</v>
      </c>
      <c r="AJ30" s="2">
        <v>1.0776062556278401</v>
      </c>
      <c r="AK30" s="2">
        <v>0.36967843036527098</v>
      </c>
      <c r="AL30" s="2">
        <v>0.29353017745225901</v>
      </c>
      <c r="AM30" s="2">
        <v>15.3</v>
      </c>
      <c r="AN30" s="2">
        <v>9.8000000000000007</v>
      </c>
      <c r="AO30" s="2">
        <v>29.7</v>
      </c>
      <c r="AP30" s="2">
        <v>564</v>
      </c>
      <c r="AQ30" s="2">
        <v>68</v>
      </c>
      <c r="AR30" s="2">
        <v>1.8</v>
      </c>
      <c r="AS30" s="2">
        <v>43</v>
      </c>
      <c r="AT30" s="2">
        <v>25.4</v>
      </c>
      <c r="AU30" s="2">
        <v>162</v>
      </c>
      <c r="AV30" s="2">
        <v>9.1</v>
      </c>
      <c r="AW30" s="2">
        <v>9.1999999999999993</v>
      </c>
      <c r="AX30" s="2">
        <v>18.3</v>
      </c>
      <c r="AY30" s="2">
        <v>0.34</v>
      </c>
      <c r="AZ30" s="2">
        <v>7.3</v>
      </c>
      <c r="BA30" s="2">
        <v>0.9</v>
      </c>
      <c r="BB30" s="2">
        <v>7.5</v>
      </c>
      <c r="BC30" s="2">
        <v>2.9</v>
      </c>
      <c r="BD30" s="2">
        <f>+AN30*EXP(-0.0495*Y30)</f>
        <v>8.6427803271112733</v>
      </c>
      <c r="BE30" s="2">
        <f>+AO30*EXP(-0.024*Y30)</f>
        <v>27.94454266413906</v>
      </c>
    </row>
    <row r="31" spans="1:57" x14ac:dyDescent="0.2">
      <c r="A31" s="2" t="s">
        <v>2080</v>
      </c>
      <c r="B31" s="2" t="s">
        <v>19</v>
      </c>
      <c r="C31" s="2" t="s">
        <v>1907</v>
      </c>
      <c r="D31" s="2" t="s">
        <v>21</v>
      </c>
      <c r="E31" s="2" t="s">
        <v>2081</v>
      </c>
      <c r="F31" s="2">
        <v>5</v>
      </c>
      <c r="G31" s="2">
        <v>600</v>
      </c>
      <c r="H31" s="2">
        <v>4</v>
      </c>
      <c r="I31" s="2">
        <v>4</v>
      </c>
      <c r="J31" s="2">
        <v>3</v>
      </c>
      <c r="K31" s="2" t="s">
        <v>61</v>
      </c>
      <c r="L31" s="6" t="s">
        <v>75</v>
      </c>
      <c r="M31" s="5">
        <v>3700000000</v>
      </c>
      <c r="N31" s="2">
        <v>0</v>
      </c>
      <c r="O31" s="2">
        <v>4.7000665660000003</v>
      </c>
      <c r="P31" s="2">
        <v>-74.086357120000002</v>
      </c>
      <c r="Q31" s="2" t="s">
        <v>2082</v>
      </c>
      <c r="R31" s="2">
        <v>6166666.6670000004</v>
      </c>
      <c r="S31" s="2">
        <v>0</v>
      </c>
      <c r="T31" s="2" t="s">
        <v>68</v>
      </c>
      <c r="U31" s="2" t="s">
        <v>69</v>
      </c>
      <c r="V31" s="2" t="s">
        <v>28</v>
      </c>
      <c r="W31" s="2" t="s">
        <v>70</v>
      </c>
      <c r="X31" s="2" t="s">
        <v>71</v>
      </c>
      <c r="Y31" s="2">
        <v>4.5377541495757496</v>
      </c>
      <c r="Z31" s="2">
        <v>4.73719444444444</v>
      </c>
      <c r="AA31" s="2">
        <v>-74.069472222222203</v>
      </c>
      <c r="AB31" s="2">
        <v>2555</v>
      </c>
      <c r="AC31" s="2" t="s">
        <v>31</v>
      </c>
      <c r="AD31" s="2" t="s">
        <v>58</v>
      </c>
      <c r="AE31" s="2" t="s">
        <v>33</v>
      </c>
      <c r="AF31" s="2" t="s">
        <v>34</v>
      </c>
      <c r="AG31" s="2" t="s">
        <v>72</v>
      </c>
      <c r="AH31" s="2">
        <v>0.68329733557755101</v>
      </c>
      <c r="AI31" s="2">
        <v>5.1920778158007597</v>
      </c>
      <c r="AJ31" s="2">
        <v>0.37114059792222298</v>
      </c>
      <c r="AK31" s="2">
        <v>0.577893621375834</v>
      </c>
      <c r="AL31" s="2">
        <v>0.601196273728409</v>
      </c>
      <c r="AM31" s="2">
        <v>15.3</v>
      </c>
      <c r="AN31" s="2">
        <v>9.8000000000000007</v>
      </c>
      <c r="AO31" s="2">
        <v>29.7</v>
      </c>
      <c r="AP31" s="2">
        <v>564</v>
      </c>
      <c r="AQ31" s="2">
        <v>68</v>
      </c>
      <c r="AR31" s="2">
        <v>1.8</v>
      </c>
      <c r="AS31" s="2">
        <v>43</v>
      </c>
      <c r="AT31" s="2">
        <v>25.4</v>
      </c>
      <c r="AU31" s="2">
        <v>162</v>
      </c>
      <c r="AV31" s="2">
        <v>9.1</v>
      </c>
      <c r="AW31" s="2">
        <v>9.1999999999999993</v>
      </c>
      <c r="AX31" s="2">
        <v>18.3</v>
      </c>
      <c r="AY31" s="2">
        <v>0.34</v>
      </c>
      <c r="AZ31" s="2">
        <v>7.3</v>
      </c>
      <c r="BA31" s="2">
        <v>0.9</v>
      </c>
      <c r="BB31" s="2">
        <v>7.5</v>
      </c>
      <c r="BC31" s="2">
        <v>2.9</v>
      </c>
      <c r="BD31" s="2">
        <f>+AN31*EXP(-0.0495*Y31)</f>
        <v>7.8284423394197598</v>
      </c>
      <c r="BE31" s="2">
        <f>+AO31*EXP(-0.024*Y31)</f>
        <v>26.635394356730764</v>
      </c>
    </row>
    <row r="32" spans="1:57" x14ac:dyDescent="0.2">
      <c r="A32" s="2" t="s">
        <v>2908</v>
      </c>
      <c r="B32" s="2" t="s">
        <v>19</v>
      </c>
      <c r="C32" s="2" t="s">
        <v>1907</v>
      </c>
      <c r="D32" s="2" t="s">
        <v>21</v>
      </c>
      <c r="E32" s="2" t="s">
        <v>218</v>
      </c>
      <c r="F32" s="2">
        <v>6</v>
      </c>
      <c r="G32" s="2">
        <v>600</v>
      </c>
      <c r="H32" s="2">
        <v>4</v>
      </c>
      <c r="I32" s="2">
        <v>5</v>
      </c>
      <c r="J32" s="2">
        <v>3</v>
      </c>
      <c r="K32" s="2" t="s">
        <v>61</v>
      </c>
      <c r="L32" s="6" t="s">
        <v>62</v>
      </c>
      <c r="M32" s="5">
        <v>3300000000</v>
      </c>
      <c r="N32" s="2">
        <v>0</v>
      </c>
      <c r="O32" s="2">
        <v>4.8190441130000004</v>
      </c>
      <c r="P32" s="2">
        <v>-74.046867370000001</v>
      </c>
      <c r="Q32" s="2" t="s">
        <v>2909</v>
      </c>
      <c r="R32" s="2">
        <v>5500000</v>
      </c>
      <c r="S32" s="2">
        <v>0</v>
      </c>
      <c r="T32" s="2" t="s">
        <v>102</v>
      </c>
      <c r="U32" s="2" t="s">
        <v>103</v>
      </c>
      <c r="V32" s="2" t="s">
        <v>28</v>
      </c>
      <c r="W32" s="2" t="s">
        <v>70</v>
      </c>
      <c r="X32" s="2" t="s">
        <v>104</v>
      </c>
      <c r="Y32" s="2">
        <v>3.94056353292856</v>
      </c>
      <c r="Z32" s="2">
        <v>4.7837500000000004</v>
      </c>
      <c r="AA32" s="2">
        <v>-74.044138888888895</v>
      </c>
      <c r="AB32" s="2">
        <v>2580</v>
      </c>
      <c r="AC32" s="2" t="s">
        <v>105</v>
      </c>
      <c r="AD32" s="2" t="s">
        <v>58</v>
      </c>
      <c r="AE32" s="2" t="s">
        <v>33</v>
      </c>
      <c r="AF32" s="2" t="s">
        <v>34</v>
      </c>
      <c r="AG32" s="2" t="s">
        <v>72</v>
      </c>
      <c r="AH32" s="2">
        <v>5.5625071435306603</v>
      </c>
      <c r="AI32" s="2">
        <v>0.92589351545951204</v>
      </c>
      <c r="AJ32" s="2">
        <v>2.0988111872115098</v>
      </c>
      <c r="AK32" s="2">
        <v>4.6069634031514299</v>
      </c>
      <c r="AL32" s="2">
        <v>0.17873824348672299</v>
      </c>
      <c r="AM32" s="2">
        <v>15.3</v>
      </c>
      <c r="AN32" s="2">
        <v>9.8000000000000007</v>
      </c>
      <c r="AO32" s="2">
        <v>29.7</v>
      </c>
      <c r="AP32" s="2">
        <v>564</v>
      </c>
      <c r="AQ32" s="2">
        <v>68</v>
      </c>
      <c r="AR32" s="2">
        <v>1.8</v>
      </c>
      <c r="AS32" s="2">
        <v>43</v>
      </c>
      <c r="AT32" s="2">
        <v>25.4</v>
      </c>
      <c r="AU32" s="2">
        <v>162</v>
      </c>
      <c r="AV32" s="2">
        <v>9.1</v>
      </c>
      <c r="AW32" s="2">
        <v>9.1999999999999993</v>
      </c>
      <c r="AX32" s="2">
        <v>18.3</v>
      </c>
      <c r="AY32" s="2">
        <v>0.34</v>
      </c>
      <c r="AZ32" s="2">
        <v>7.3</v>
      </c>
      <c r="BA32" s="2">
        <v>0.9</v>
      </c>
      <c r="BB32" s="2">
        <v>7.5</v>
      </c>
      <c r="BC32" s="2">
        <v>2.9</v>
      </c>
      <c r="BD32" s="2">
        <f>+AN32*EXP(-0.0495*Y32)</f>
        <v>8.0633128109080481</v>
      </c>
      <c r="BE32" s="2">
        <f>+AO32*EXP(-0.024*Y32)</f>
        <v>27.019897013096518</v>
      </c>
    </row>
    <row r="33" spans="1:57" x14ac:dyDescent="0.2">
      <c r="A33" s="2" t="s">
        <v>1991</v>
      </c>
      <c r="B33" s="2" t="s">
        <v>19</v>
      </c>
      <c r="C33" s="2" t="s">
        <v>1907</v>
      </c>
      <c r="D33" s="2" t="s">
        <v>21</v>
      </c>
      <c r="E33" s="2" t="s">
        <v>218</v>
      </c>
      <c r="F33" s="2">
        <v>6</v>
      </c>
      <c r="G33" s="2">
        <v>600</v>
      </c>
      <c r="H33" s="2">
        <v>5</v>
      </c>
      <c r="I33" s="2">
        <v>5</v>
      </c>
      <c r="J33" s="2">
        <v>4</v>
      </c>
      <c r="K33" s="2" t="s">
        <v>61</v>
      </c>
      <c r="L33" s="6" t="s">
        <v>84</v>
      </c>
      <c r="M33" s="5">
        <v>3300000000</v>
      </c>
      <c r="N33" s="2">
        <v>0</v>
      </c>
      <c r="O33" s="2">
        <v>4.8182315830000002</v>
      </c>
      <c r="P33" s="2">
        <v>-74.048858640000006</v>
      </c>
      <c r="Q33" s="2" t="s">
        <v>1992</v>
      </c>
      <c r="R33" s="2">
        <v>5500000</v>
      </c>
      <c r="S33" s="2">
        <v>0</v>
      </c>
      <c r="T33" s="2" t="s">
        <v>102</v>
      </c>
      <c r="U33" s="2" t="s">
        <v>103</v>
      </c>
      <c r="V33" s="2" t="s">
        <v>28</v>
      </c>
      <c r="W33" s="2" t="s">
        <v>70</v>
      </c>
      <c r="X33" s="2" t="s">
        <v>104</v>
      </c>
      <c r="Y33" s="2">
        <v>3.8740135642625599</v>
      </c>
      <c r="Z33" s="2">
        <v>4.7837500000000004</v>
      </c>
      <c r="AA33" s="2">
        <v>-74.044138888888895</v>
      </c>
      <c r="AB33" s="2">
        <v>2580</v>
      </c>
      <c r="AC33" s="2" t="s">
        <v>105</v>
      </c>
      <c r="AD33" s="2" t="s">
        <v>58</v>
      </c>
      <c r="AE33" s="2" t="s">
        <v>33</v>
      </c>
      <c r="AF33" s="2" t="s">
        <v>34</v>
      </c>
      <c r="AG33" s="2" t="s">
        <v>72</v>
      </c>
      <c r="AH33" s="2">
        <v>5.4920640217483001</v>
      </c>
      <c r="AI33" s="2">
        <v>1.0220037629538801</v>
      </c>
      <c r="AJ33" s="2">
        <v>2.0187995390631102</v>
      </c>
      <c r="AK33" s="2">
        <v>4.4247126716954099</v>
      </c>
      <c r="AL33" s="2">
        <v>0.37615942350075299</v>
      </c>
      <c r="AM33" s="2">
        <v>15.3</v>
      </c>
      <c r="AN33" s="2">
        <v>9.8000000000000007</v>
      </c>
      <c r="AO33" s="2">
        <v>29.7</v>
      </c>
      <c r="AP33" s="2">
        <v>564</v>
      </c>
      <c r="AQ33" s="2">
        <v>68</v>
      </c>
      <c r="AR33" s="2">
        <v>1.8</v>
      </c>
      <c r="AS33" s="2">
        <v>43</v>
      </c>
      <c r="AT33" s="2">
        <v>25.4</v>
      </c>
      <c r="AU33" s="2">
        <v>162</v>
      </c>
      <c r="AV33" s="2">
        <v>9.1</v>
      </c>
      <c r="AW33" s="2">
        <v>9.1999999999999993</v>
      </c>
      <c r="AX33" s="2">
        <v>18.3</v>
      </c>
      <c r="AY33" s="2">
        <v>0.34</v>
      </c>
      <c r="AZ33" s="2">
        <v>7.3</v>
      </c>
      <c r="BA33" s="2">
        <v>0.9</v>
      </c>
      <c r="BB33" s="2">
        <v>7.5</v>
      </c>
      <c r="BC33" s="2">
        <v>2.9</v>
      </c>
      <c r="BD33" s="2">
        <f>+AN33*EXP(-0.0495*Y33)</f>
        <v>8.0899189642926554</v>
      </c>
      <c r="BE33" s="2">
        <f>+AO33*EXP(-0.024*Y33)</f>
        <v>27.063087655135156</v>
      </c>
    </row>
    <row r="34" spans="1:57" x14ac:dyDescent="0.2">
      <c r="A34" s="2" t="s">
        <v>2091</v>
      </c>
      <c r="B34" s="2" t="s">
        <v>19</v>
      </c>
      <c r="C34" s="2" t="s">
        <v>1907</v>
      </c>
      <c r="D34" s="2" t="s">
        <v>21</v>
      </c>
      <c r="E34" s="2" t="s">
        <v>1675</v>
      </c>
      <c r="F34" s="2">
        <v>5</v>
      </c>
      <c r="G34" s="2">
        <v>600</v>
      </c>
      <c r="H34" s="2">
        <v>4</v>
      </c>
      <c r="I34" s="2">
        <v>5</v>
      </c>
      <c r="J34" s="2">
        <v>4</v>
      </c>
      <c r="K34" s="2" t="s">
        <v>61</v>
      </c>
      <c r="L34" s="6" t="s">
        <v>75</v>
      </c>
      <c r="M34" s="5">
        <v>2680000000</v>
      </c>
      <c r="N34" s="2">
        <v>0</v>
      </c>
      <c r="O34" s="2">
        <v>4.7657928470000002</v>
      </c>
      <c r="P34" s="2">
        <v>-74.064781190000005</v>
      </c>
      <c r="Q34" s="2" t="s">
        <v>2092</v>
      </c>
      <c r="R34" s="2">
        <v>4466666.6670000004</v>
      </c>
      <c r="S34" s="2">
        <v>0</v>
      </c>
      <c r="T34" s="2" t="s">
        <v>102</v>
      </c>
      <c r="U34" s="2" t="s">
        <v>103</v>
      </c>
      <c r="V34" s="2" t="s">
        <v>28</v>
      </c>
      <c r="W34" s="2" t="s">
        <v>70</v>
      </c>
      <c r="X34" s="2" t="s">
        <v>104</v>
      </c>
      <c r="Y34" s="2">
        <v>3.0396776450968099</v>
      </c>
      <c r="Z34" s="2">
        <v>4.7837500000000004</v>
      </c>
      <c r="AA34" s="2">
        <v>-74.044138888888895</v>
      </c>
      <c r="AB34" s="2">
        <v>2580</v>
      </c>
      <c r="AC34" s="2" t="s">
        <v>105</v>
      </c>
      <c r="AD34" s="2" t="s">
        <v>58</v>
      </c>
      <c r="AE34" s="2" t="s">
        <v>33</v>
      </c>
      <c r="AF34" s="2" t="s">
        <v>34</v>
      </c>
      <c r="AG34" s="2" t="s">
        <v>72</v>
      </c>
      <c r="AH34" s="2">
        <v>2.2710455928236599</v>
      </c>
      <c r="AI34" s="2">
        <v>3.8089723466702301</v>
      </c>
      <c r="AJ34" s="2">
        <v>1.8565046200259501</v>
      </c>
      <c r="AK34" s="2">
        <v>0.51328058704588997</v>
      </c>
      <c r="AL34" s="2">
        <v>7.0847032711356802E-3</v>
      </c>
      <c r="AM34" s="2">
        <v>15.3</v>
      </c>
      <c r="AN34" s="2">
        <v>9.8000000000000007</v>
      </c>
      <c r="AO34" s="2">
        <v>29.7</v>
      </c>
      <c r="AP34" s="2">
        <v>564</v>
      </c>
      <c r="AQ34" s="2">
        <v>68</v>
      </c>
      <c r="AR34" s="2">
        <v>1.8</v>
      </c>
      <c r="AS34" s="2">
        <v>43</v>
      </c>
      <c r="AT34" s="2">
        <v>25.4</v>
      </c>
      <c r="AU34" s="2">
        <v>162</v>
      </c>
      <c r="AV34" s="2">
        <v>9.1</v>
      </c>
      <c r="AW34" s="2">
        <v>9.1999999999999993</v>
      </c>
      <c r="AX34" s="2">
        <v>18.3</v>
      </c>
      <c r="AY34" s="2">
        <v>0.34</v>
      </c>
      <c r="AZ34" s="2">
        <v>7.3</v>
      </c>
      <c r="BA34" s="2">
        <v>0.9</v>
      </c>
      <c r="BB34" s="2">
        <v>7.5</v>
      </c>
      <c r="BC34" s="2">
        <v>2.9</v>
      </c>
      <c r="BD34" s="2">
        <f>+AN34*EXP(-0.0495*Y34)</f>
        <v>8.4310248993402261</v>
      </c>
      <c r="BE34" s="2">
        <f>+AO34*EXP(-0.024*Y34)</f>
        <v>27.610462647645761</v>
      </c>
    </row>
    <row r="35" spans="1:57" x14ac:dyDescent="0.2">
      <c r="A35" s="2" t="s">
        <v>1982</v>
      </c>
      <c r="B35" s="2" t="s">
        <v>19</v>
      </c>
      <c r="C35" s="2" t="s">
        <v>1907</v>
      </c>
      <c r="D35" s="2" t="s">
        <v>21</v>
      </c>
      <c r="E35" s="2" t="s">
        <v>1675</v>
      </c>
      <c r="F35" s="2">
        <v>5</v>
      </c>
      <c r="G35" s="2">
        <v>600</v>
      </c>
      <c r="H35" s="2">
        <v>5</v>
      </c>
      <c r="I35" s="2">
        <v>5</v>
      </c>
      <c r="J35" s="2">
        <v>4</v>
      </c>
      <c r="K35" s="2" t="s">
        <v>61</v>
      </c>
      <c r="L35" s="6" t="s">
        <v>75</v>
      </c>
      <c r="M35" s="5">
        <v>1750000000</v>
      </c>
      <c r="N35" s="2">
        <v>0</v>
      </c>
      <c r="O35" s="2">
        <v>4.7691793440000003</v>
      </c>
      <c r="P35" s="2">
        <v>-74.063278199999999</v>
      </c>
      <c r="Q35" s="2" t="s">
        <v>1983</v>
      </c>
      <c r="R35" s="2">
        <v>2916666.6669999999</v>
      </c>
      <c r="S35" s="2">
        <v>0</v>
      </c>
      <c r="T35" s="2" t="s">
        <v>102</v>
      </c>
      <c r="U35" s="2" t="s">
        <v>103</v>
      </c>
      <c r="V35" s="2" t="s">
        <v>28</v>
      </c>
      <c r="W35" s="2" t="s">
        <v>70</v>
      </c>
      <c r="X35" s="2" t="s">
        <v>104</v>
      </c>
      <c r="Y35" s="2">
        <v>2.6718471791561602</v>
      </c>
      <c r="Z35" s="2">
        <v>4.7837500000000004</v>
      </c>
      <c r="AA35" s="2">
        <v>-74.044138888888895</v>
      </c>
      <c r="AB35" s="2">
        <v>2580</v>
      </c>
      <c r="AC35" s="2" t="s">
        <v>105</v>
      </c>
      <c r="AD35" s="2" t="s">
        <v>58</v>
      </c>
      <c r="AE35" s="2" t="s">
        <v>33</v>
      </c>
      <c r="AF35" s="2" t="s">
        <v>34</v>
      </c>
      <c r="AG35" s="2" t="s">
        <v>72</v>
      </c>
      <c r="AH35" s="2">
        <v>2.1850630191417402</v>
      </c>
      <c r="AI35" s="2">
        <v>3.66289270778974</v>
      </c>
      <c r="AJ35" s="2">
        <v>2.05539891172754</v>
      </c>
      <c r="AK35" s="2">
        <v>0.80670277287478698</v>
      </c>
      <c r="AL35" s="2">
        <v>0.103229470861002</v>
      </c>
      <c r="AM35" s="2">
        <v>15.3</v>
      </c>
      <c r="AN35" s="2">
        <v>9.8000000000000007</v>
      </c>
      <c r="AO35" s="2">
        <v>29.7</v>
      </c>
      <c r="AP35" s="2">
        <v>564</v>
      </c>
      <c r="AQ35" s="2">
        <v>68</v>
      </c>
      <c r="AR35" s="2">
        <v>1.8</v>
      </c>
      <c r="AS35" s="2">
        <v>43</v>
      </c>
      <c r="AT35" s="2">
        <v>25.4</v>
      </c>
      <c r="AU35" s="2">
        <v>162</v>
      </c>
      <c r="AV35" s="2">
        <v>9.1</v>
      </c>
      <c r="AW35" s="2">
        <v>9.1999999999999993</v>
      </c>
      <c r="AX35" s="2">
        <v>18.3</v>
      </c>
      <c r="AY35" s="2">
        <v>0.34</v>
      </c>
      <c r="AZ35" s="2">
        <v>7.3</v>
      </c>
      <c r="BA35" s="2">
        <v>0.9</v>
      </c>
      <c r="BB35" s="2">
        <v>7.5</v>
      </c>
      <c r="BC35" s="2">
        <v>2.9</v>
      </c>
      <c r="BD35" s="2">
        <f>+AN35*EXP(-0.0495*Y35)</f>
        <v>8.5859397308354239</v>
      </c>
      <c r="BE35" s="2">
        <f>+AO35*EXP(-0.024*Y35)</f>
        <v>27.855284959113895</v>
      </c>
    </row>
    <row r="36" spans="1:57" x14ac:dyDescent="0.2">
      <c r="A36" s="2" t="s">
        <v>2450</v>
      </c>
      <c r="B36" s="2" t="s">
        <v>19</v>
      </c>
      <c r="C36" s="2" t="s">
        <v>1907</v>
      </c>
      <c r="D36" s="2" t="s">
        <v>21</v>
      </c>
      <c r="E36" s="2" t="s">
        <v>499</v>
      </c>
      <c r="F36" s="2">
        <v>6</v>
      </c>
      <c r="G36" s="2">
        <v>570</v>
      </c>
      <c r="H36" s="2">
        <v>3</v>
      </c>
      <c r="I36" s="2">
        <v>4</v>
      </c>
      <c r="J36" s="2">
        <v>2</v>
      </c>
      <c r="K36" s="2" t="s">
        <v>61</v>
      </c>
      <c r="L36" s="6" t="s">
        <v>113</v>
      </c>
      <c r="M36" s="5">
        <v>2800000000</v>
      </c>
      <c r="N36" s="2">
        <v>0</v>
      </c>
      <c r="O36" s="2">
        <v>4.714560509</v>
      </c>
      <c r="P36" s="2">
        <v>-74.081619259999997</v>
      </c>
      <c r="Q36" s="2" t="s">
        <v>2451</v>
      </c>
      <c r="R36" s="2">
        <v>4912280.7019999996</v>
      </c>
      <c r="S36" s="2">
        <v>0</v>
      </c>
      <c r="T36" s="2" t="s">
        <v>68</v>
      </c>
      <c r="U36" s="2" t="s">
        <v>69</v>
      </c>
      <c r="V36" s="2" t="s">
        <v>28</v>
      </c>
      <c r="W36" s="2" t="s">
        <v>70</v>
      </c>
      <c r="X36" s="2" t="s">
        <v>71</v>
      </c>
      <c r="Y36" s="2">
        <v>2.8573438721511302</v>
      </c>
      <c r="Z36" s="2">
        <v>4.73719444444444</v>
      </c>
      <c r="AA36" s="2">
        <v>-74.069472222222203</v>
      </c>
      <c r="AB36" s="2">
        <v>2555</v>
      </c>
      <c r="AC36" s="2" t="s">
        <v>31</v>
      </c>
      <c r="AD36" s="2" t="s">
        <v>58</v>
      </c>
      <c r="AE36" s="2" t="s">
        <v>33</v>
      </c>
      <c r="AF36" s="2" t="s">
        <v>34</v>
      </c>
      <c r="AG36" s="2" t="s">
        <v>72</v>
      </c>
      <c r="AH36" s="2">
        <v>1.0657949431040199</v>
      </c>
      <c r="AI36" s="2">
        <v>5.0335894044544398</v>
      </c>
      <c r="AJ36" s="2">
        <v>1.15921938460953</v>
      </c>
      <c r="AK36" s="2">
        <v>0.46180920654273899</v>
      </c>
      <c r="AL36" s="2">
        <v>0.519241717539207</v>
      </c>
      <c r="AM36" s="2">
        <v>15.3</v>
      </c>
      <c r="AN36" s="2">
        <v>9.8000000000000007</v>
      </c>
      <c r="AO36" s="2">
        <v>29.7</v>
      </c>
      <c r="AP36" s="2">
        <v>564</v>
      </c>
      <c r="AQ36" s="2">
        <v>68</v>
      </c>
      <c r="AR36" s="2">
        <v>1.8</v>
      </c>
      <c r="AS36" s="2">
        <v>43</v>
      </c>
      <c r="AT36" s="2">
        <v>25.4</v>
      </c>
      <c r="AU36" s="2">
        <v>162</v>
      </c>
      <c r="AV36" s="2">
        <v>9.1</v>
      </c>
      <c r="AW36" s="2">
        <v>9.1999999999999993</v>
      </c>
      <c r="AX36" s="2">
        <v>18.3</v>
      </c>
      <c r="AY36" s="2">
        <v>0.34</v>
      </c>
      <c r="AZ36" s="2">
        <v>7.3</v>
      </c>
      <c r="BA36" s="2">
        <v>0.9</v>
      </c>
      <c r="BB36" s="2">
        <v>7.5</v>
      </c>
      <c r="BC36" s="2">
        <v>2.9</v>
      </c>
      <c r="BD36" s="2">
        <f>+AN36*EXP(-0.0495*Y36)</f>
        <v>8.5074637293049431</v>
      </c>
      <c r="BE36" s="2">
        <f>+AO36*EXP(-0.024*Y36)</f>
        <v>27.731551072382057</v>
      </c>
    </row>
    <row r="37" spans="1:57" x14ac:dyDescent="0.2">
      <c r="A37" s="2" t="s">
        <v>2505</v>
      </c>
      <c r="B37" s="2" t="s">
        <v>19</v>
      </c>
      <c r="C37" s="2" t="s">
        <v>1907</v>
      </c>
      <c r="D37" s="2" t="s">
        <v>21</v>
      </c>
      <c r="E37" s="2" t="s">
        <v>499</v>
      </c>
      <c r="F37" s="2">
        <v>6</v>
      </c>
      <c r="G37" s="2">
        <v>550</v>
      </c>
      <c r="H37" s="2">
        <v>5</v>
      </c>
      <c r="I37" s="2">
        <v>5</v>
      </c>
      <c r="J37" s="2">
        <v>4</v>
      </c>
      <c r="K37" s="2" t="s">
        <v>61</v>
      </c>
      <c r="L37" s="6" t="s">
        <v>113</v>
      </c>
      <c r="M37" s="5">
        <v>3950000000</v>
      </c>
      <c r="N37" s="2">
        <v>0</v>
      </c>
      <c r="O37" s="2">
        <v>4.7121168200000003</v>
      </c>
      <c r="P37" s="2">
        <v>-74.078915910000006</v>
      </c>
      <c r="Q37" s="2" t="s">
        <v>2506</v>
      </c>
      <c r="R37" s="2">
        <v>7181818.182</v>
      </c>
      <c r="S37" s="2">
        <v>0</v>
      </c>
      <c r="T37" s="2" t="s">
        <v>68</v>
      </c>
      <c r="U37" s="2" t="s">
        <v>69</v>
      </c>
      <c r="V37" s="2" t="s">
        <v>28</v>
      </c>
      <c r="W37" s="2" t="s">
        <v>70</v>
      </c>
      <c r="X37" s="2" t="s">
        <v>71</v>
      </c>
      <c r="Y37" s="2">
        <v>2.9817532525348698</v>
      </c>
      <c r="Z37" s="2">
        <v>4.73719444444444</v>
      </c>
      <c r="AA37" s="2">
        <v>-74.069472222222203</v>
      </c>
      <c r="AB37" s="2">
        <v>2555</v>
      </c>
      <c r="AC37" s="2" t="s">
        <v>31</v>
      </c>
      <c r="AD37" s="2" t="s">
        <v>58</v>
      </c>
      <c r="AE37" s="2" t="s">
        <v>33</v>
      </c>
      <c r="AF37" s="2" t="s">
        <v>34</v>
      </c>
      <c r="AG37" s="2" t="s">
        <v>72</v>
      </c>
      <c r="AH37" s="2">
        <v>0.73286240091747901</v>
      </c>
      <c r="AI37" s="2">
        <v>5.3931868431287002</v>
      </c>
      <c r="AJ37" s="2">
        <v>0.98243980144731402</v>
      </c>
      <c r="AK37" s="2">
        <v>0.20327555509552001</v>
      </c>
      <c r="AL37" s="2">
        <v>0.30457715781231598</v>
      </c>
      <c r="AM37" s="2">
        <v>15.3</v>
      </c>
      <c r="AN37" s="2">
        <v>9.8000000000000007</v>
      </c>
      <c r="AO37" s="2">
        <v>29.7</v>
      </c>
      <c r="AP37" s="2">
        <v>564</v>
      </c>
      <c r="AQ37" s="2">
        <v>68</v>
      </c>
      <c r="AR37" s="2">
        <v>1.8</v>
      </c>
      <c r="AS37" s="2">
        <v>43</v>
      </c>
      <c r="AT37" s="2">
        <v>25.4</v>
      </c>
      <c r="AU37" s="2">
        <v>162</v>
      </c>
      <c r="AV37" s="2">
        <v>9.1</v>
      </c>
      <c r="AW37" s="2">
        <v>9.1999999999999993</v>
      </c>
      <c r="AX37" s="2">
        <v>18.3</v>
      </c>
      <c r="AY37" s="2">
        <v>0.34</v>
      </c>
      <c r="AZ37" s="2">
        <v>7.3</v>
      </c>
      <c r="BA37" s="2">
        <v>0.9</v>
      </c>
      <c r="BB37" s="2">
        <v>7.5</v>
      </c>
      <c r="BC37" s="2">
        <v>2.9</v>
      </c>
      <c r="BD37" s="2">
        <f>+AN37*EXP(-0.0495*Y37)</f>
        <v>8.4552335077115721</v>
      </c>
      <c r="BE37" s="2">
        <f>+AO37*EXP(-0.024*Y37)</f>
        <v>27.648873002870918</v>
      </c>
    </row>
    <row r="38" spans="1:57" x14ac:dyDescent="0.2">
      <c r="A38" s="2" t="s">
        <v>1974</v>
      </c>
      <c r="B38" s="2" t="s">
        <v>19</v>
      </c>
      <c r="C38" s="2" t="s">
        <v>1907</v>
      </c>
      <c r="D38" s="2" t="s">
        <v>21</v>
      </c>
      <c r="E38" s="2" t="s">
        <v>218</v>
      </c>
      <c r="F38" s="2">
        <v>6</v>
      </c>
      <c r="G38" s="2">
        <v>550</v>
      </c>
      <c r="H38" s="2">
        <v>4</v>
      </c>
      <c r="I38" s="2">
        <v>5</v>
      </c>
      <c r="J38" s="2">
        <v>4</v>
      </c>
      <c r="K38" s="2" t="s">
        <v>61</v>
      </c>
      <c r="L38" s="6" t="s">
        <v>84</v>
      </c>
      <c r="M38" s="5">
        <v>1950000000</v>
      </c>
      <c r="N38" s="2">
        <v>0</v>
      </c>
      <c r="O38" s="2">
        <v>4.813549042</v>
      </c>
      <c r="P38" s="2">
        <v>-74.051460270000007</v>
      </c>
      <c r="Q38" s="2" t="s">
        <v>1975</v>
      </c>
      <c r="R38" s="2">
        <v>3545454.5449999999</v>
      </c>
      <c r="S38" s="2">
        <v>0</v>
      </c>
      <c r="T38" s="2" t="s">
        <v>102</v>
      </c>
      <c r="U38" s="2" t="s">
        <v>103</v>
      </c>
      <c r="V38" s="2" t="s">
        <v>28</v>
      </c>
      <c r="W38" s="2" t="s">
        <v>70</v>
      </c>
      <c r="X38" s="2" t="s">
        <v>104</v>
      </c>
      <c r="Y38" s="2">
        <v>3.4151876565085701</v>
      </c>
      <c r="Z38" s="2">
        <v>4.7837500000000004</v>
      </c>
      <c r="AA38" s="2">
        <v>-74.044138888888895</v>
      </c>
      <c r="AB38" s="2">
        <v>2580</v>
      </c>
      <c r="AC38" s="2" t="s">
        <v>105</v>
      </c>
      <c r="AD38" s="2" t="s">
        <v>58</v>
      </c>
      <c r="AE38" s="2" t="s">
        <v>33</v>
      </c>
      <c r="AF38" s="2" t="s">
        <v>34</v>
      </c>
      <c r="AG38" s="2" t="s">
        <v>72</v>
      </c>
      <c r="AH38" s="2">
        <v>5.0199828737223102</v>
      </c>
      <c r="AI38" s="2">
        <v>1.44794109202475</v>
      </c>
      <c r="AJ38" s="2">
        <v>1.56923909481288</v>
      </c>
      <c r="AK38" s="2">
        <v>3.8751381141096899</v>
      </c>
      <c r="AL38" s="2">
        <v>0.96646018304994896</v>
      </c>
      <c r="AM38" s="2">
        <v>15.3</v>
      </c>
      <c r="AN38" s="2">
        <v>9.8000000000000007</v>
      </c>
      <c r="AO38" s="2">
        <v>29.7</v>
      </c>
      <c r="AP38" s="2">
        <v>564</v>
      </c>
      <c r="AQ38" s="2">
        <v>68</v>
      </c>
      <c r="AR38" s="2">
        <v>1.8</v>
      </c>
      <c r="AS38" s="2">
        <v>43</v>
      </c>
      <c r="AT38" s="2">
        <v>25.4</v>
      </c>
      <c r="AU38" s="2">
        <v>162</v>
      </c>
      <c r="AV38" s="2">
        <v>9.1</v>
      </c>
      <c r="AW38" s="2">
        <v>9.1999999999999993</v>
      </c>
      <c r="AX38" s="2">
        <v>18.3</v>
      </c>
      <c r="AY38" s="2">
        <v>0.34</v>
      </c>
      <c r="AZ38" s="2">
        <v>7.3</v>
      </c>
      <c r="BA38" s="2">
        <v>0.9</v>
      </c>
      <c r="BB38" s="2">
        <v>7.5</v>
      </c>
      <c r="BC38" s="2">
        <v>2.9</v>
      </c>
      <c r="BD38" s="2">
        <f>+AN38*EXP(-0.0495*Y38)</f>
        <v>8.2757586488434587</v>
      </c>
      <c r="BE38" s="2">
        <f>+AO38*EXP(-0.024*Y38)</f>
        <v>27.362748430832639</v>
      </c>
    </row>
    <row r="39" spans="1:57" x14ac:dyDescent="0.2">
      <c r="A39" s="2" t="s">
        <v>2148</v>
      </c>
      <c r="B39" s="2" t="s">
        <v>19</v>
      </c>
      <c r="C39" s="2" t="s">
        <v>1907</v>
      </c>
      <c r="D39" s="2" t="s">
        <v>21</v>
      </c>
      <c r="E39" s="2" t="s">
        <v>218</v>
      </c>
      <c r="F39" s="2">
        <v>6</v>
      </c>
      <c r="G39" s="2">
        <v>542</v>
      </c>
      <c r="H39" s="2">
        <v>4</v>
      </c>
      <c r="I39" s="2">
        <v>5</v>
      </c>
      <c r="J39" s="2">
        <v>2</v>
      </c>
      <c r="K39" s="2" t="s">
        <v>61</v>
      </c>
      <c r="L39" s="6" t="s">
        <v>75</v>
      </c>
      <c r="M39" s="5">
        <v>2900000000</v>
      </c>
      <c r="N39" s="2">
        <v>0</v>
      </c>
      <c r="O39" s="2">
        <v>4.8174481389999997</v>
      </c>
      <c r="P39" s="2">
        <v>-74.045600890000003</v>
      </c>
      <c r="Q39" s="2" t="s">
        <v>2149</v>
      </c>
      <c r="R39" s="2">
        <v>5350553.5060000001</v>
      </c>
      <c r="S39" s="2">
        <v>0</v>
      </c>
      <c r="T39" s="2" t="s">
        <v>102</v>
      </c>
      <c r="U39" s="2" t="s">
        <v>103</v>
      </c>
      <c r="V39" s="2" t="s">
        <v>28</v>
      </c>
      <c r="W39" s="2" t="s">
        <v>70</v>
      </c>
      <c r="X39" s="2" t="s">
        <v>104</v>
      </c>
      <c r="Y39" s="2">
        <v>3.7547637663028599</v>
      </c>
      <c r="Z39" s="2">
        <v>4.7837500000000004</v>
      </c>
      <c r="AA39" s="2">
        <v>-74.044138888888895</v>
      </c>
      <c r="AB39" s="2">
        <v>2580</v>
      </c>
      <c r="AC39" s="2" t="s">
        <v>105</v>
      </c>
      <c r="AD39" s="2" t="s">
        <v>58</v>
      </c>
      <c r="AE39" s="2" t="s">
        <v>33</v>
      </c>
      <c r="AF39" s="2" t="s">
        <v>34</v>
      </c>
      <c r="AG39" s="2" t="s">
        <v>72</v>
      </c>
      <c r="AH39" s="2">
        <v>5.3788281283284496</v>
      </c>
      <c r="AI39" s="2">
        <v>1.10350409633276</v>
      </c>
      <c r="AJ39" s="2">
        <v>1.9291083259891699</v>
      </c>
      <c r="AK39" s="2">
        <v>4.4230446012343902</v>
      </c>
      <c r="AL39" s="2">
        <v>0.25195960356421099</v>
      </c>
      <c r="AM39" s="2">
        <v>15.3</v>
      </c>
      <c r="AN39" s="2">
        <v>9.8000000000000007</v>
      </c>
      <c r="AO39" s="2">
        <v>29.7</v>
      </c>
      <c r="AP39" s="2">
        <v>564</v>
      </c>
      <c r="AQ39" s="2">
        <v>68</v>
      </c>
      <c r="AR39" s="2">
        <v>1.8</v>
      </c>
      <c r="AS39" s="2">
        <v>43</v>
      </c>
      <c r="AT39" s="2">
        <v>25.4</v>
      </c>
      <c r="AU39" s="2">
        <v>162</v>
      </c>
      <c r="AV39" s="2">
        <v>9.1</v>
      </c>
      <c r="AW39" s="2">
        <v>9.1999999999999993</v>
      </c>
      <c r="AX39" s="2">
        <v>18.3</v>
      </c>
      <c r="AY39" s="2">
        <v>0.34</v>
      </c>
      <c r="AZ39" s="2">
        <v>7.3</v>
      </c>
      <c r="BA39" s="2">
        <v>0.9</v>
      </c>
      <c r="BB39" s="2">
        <v>7.5</v>
      </c>
      <c r="BC39" s="2">
        <v>2.9</v>
      </c>
      <c r="BD39" s="2">
        <f>+AN39*EXP(-0.0495*Y39)</f>
        <v>8.1378138833423499</v>
      </c>
      <c r="BE39" s="2">
        <f>+AO39*EXP(-0.024*Y39)</f>
        <v>27.140653023685548</v>
      </c>
    </row>
    <row r="40" spans="1:57" x14ac:dyDescent="0.2">
      <c r="A40" s="2" t="s">
        <v>2930</v>
      </c>
      <c r="B40" s="2" t="s">
        <v>19</v>
      </c>
      <c r="C40" s="2" t="s">
        <v>1907</v>
      </c>
      <c r="D40" s="2" t="s">
        <v>21</v>
      </c>
      <c r="E40" s="2" t="s">
        <v>218</v>
      </c>
      <c r="F40" s="2">
        <v>6</v>
      </c>
      <c r="G40" s="2">
        <v>539</v>
      </c>
      <c r="H40" s="2">
        <v>4</v>
      </c>
      <c r="I40" s="2">
        <v>5</v>
      </c>
      <c r="J40" s="2">
        <v>4</v>
      </c>
      <c r="K40" s="2" t="s">
        <v>61</v>
      </c>
      <c r="L40" s="6" t="s">
        <v>113</v>
      </c>
      <c r="M40" s="5">
        <v>1900000000</v>
      </c>
      <c r="N40" s="2">
        <v>0</v>
      </c>
      <c r="O40" s="2">
        <v>4.8132810590000004</v>
      </c>
      <c r="P40" s="2">
        <v>-74.055961609999997</v>
      </c>
      <c r="Q40" s="2" t="s">
        <v>2931</v>
      </c>
      <c r="R40" s="2">
        <v>3525046.3820000002</v>
      </c>
      <c r="S40" s="2">
        <v>0</v>
      </c>
      <c r="T40" s="2" t="s">
        <v>102</v>
      </c>
      <c r="U40" s="2" t="s">
        <v>103</v>
      </c>
      <c r="V40" s="2" t="s">
        <v>28</v>
      </c>
      <c r="W40" s="2" t="s">
        <v>70</v>
      </c>
      <c r="X40" s="2" t="s">
        <v>104</v>
      </c>
      <c r="Y40" s="2">
        <v>3.5393332588851498</v>
      </c>
      <c r="Z40" s="2">
        <v>4.7837500000000004</v>
      </c>
      <c r="AA40" s="2">
        <v>-74.044138888888895</v>
      </c>
      <c r="AB40" s="2">
        <v>2580</v>
      </c>
      <c r="AC40" s="2" t="s">
        <v>105</v>
      </c>
      <c r="AD40" s="2" t="s">
        <v>58</v>
      </c>
      <c r="AE40" s="2" t="s">
        <v>33</v>
      </c>
      <c r="AF40" s="2" t="s">
        <v>34</v>
      </c>
      <c r="AG40" s="2" t="s">
        <v>72</v>
      </c>
      <c r="AH40" s="2">
        <v>5.1019747262262003</v>
      </c>
      <c r="AI40" s="2">
        <v>1.3265334265858899</v>
      </c>
      <c r="AJ40" s="2">
        <v>1.76383460825947</v>
      </c>
      <c r="AK40" s="2">
        <v>3.4717839025134101</v>
      </c>
      <c r="AL40" s="2">
        <v>1.26954881358238</v>
      </c>
      <c r="AM40" s="2">
        <v>15.3</v>
      </c>
      <c r="AN40" s="2">
        <v>9.8000000000000007</v>
      </c>
      <c r="AO40" s="2">
        <v>29.7</v>
      </c>
      <c r="AP40" s="2">
        <v>564</v>
      </c>
      <c r="AQ40" s="2">
        <v>68</v>
      </c>
      <c r="AR40" s="2">
        <v>1.8</v>
      </c>
      <c r="AS40" s="2">
        <v>43</v>
      </c>
      <c r="AT40" s="2">
        <v>25.4</v>
      </c>
      <c r="AU40" s="2">
        <v>162</v>
      </c>
      <c r="AV40" s="2">
        <v>9.1</v>
      </c>
      <c r="AW40" s="2">
        <v>9.1999999999999993</v>
      </c>
      <c r="AX40" s="2">
        <v>18.3</v>
      </c>
      <c r="AY40" s="2">
        <v>0.34</v>
      </c>
      <c r="AZ40" s="2">
        <v>7.3</v>
      </c>
      <c r="BA40" s="2">
        <v>0.9</v>
      </c>
      <c r="BB40" s="2">
        <v>7.5</v>
      </c>
      <c r="BC40" s="2">
        <v>2.9</v>
      </c>
      <c r="BD40" s="2">
        <f>+AN40*EXP(-0.0495*Y40)</f>
        <v>8.225058337748905</v>
      </c>
      <c r="BE40" s="2">
        <f>+AO40*EXP(-0.024*Y40)</f>
        <v>27.281342607875363</v>
      </c>
    </row>
    <row r="41" spans="1:57" x14ac:dyDescent="0.2">
      <c r="A41" s="2" t="s">
        <v>2096</v>
      </c>
      <c r="B41" s="2" t="s">
        <v>19</v>
      </c>
      <c r="C41" s="2" t="s">
        <v>1907</v>
      </c>
      <c r="D41" s="2" t="s">
        <v>21</v>
      </c>
      <c r="E41" s="2" t="s">
        <v>1675</v>
      </c>
      <c r="F41" s="2">
        <v>5</v>
      </c>
      <c r="G41" s="2">
        <v>520</v>
      </c>
      <c r="H41" s="2">
        <v>5</v>
      </c>
      <c r="I41" s="2">
        <v>5</v>
      </c>
      <c r="J41" s="2">
        <v>4</v>
      </c>
      <c r="K41" s="2" t="s">
        <v>61</v>
      </c>
      <c r="L41" s="6" t="s">
        <v>75</v>
      </c>
      <c r="M41" s="5">
        <v>3500000000</v>
      </c>
      <c r="N41" s="2">
        <v>0</v>
      </c>
      <c r="O41" s="2">
        <v>4.7628803250000002</v>
      </c>
      <c r="P41" s="2">
        <v>-74.059646610000001</v>
      </c>
      <c r="Q41" s="2" t="s">
        <v>2097</v>
      </c>
      <c r="R41" s="2">
        <v>6730769.2309999997</v>
      </c>
      <c r="S41" s="2">
        <v>0</v>
      </c>
      <c r="T41" s="2" t="s">
        <v>102</v>
      </c>
      <c r="U41" s="2" t="s">
        <v>103</v>
      </c>
      <c r="V41" s="2" t="s">
        <v>28</v>
      </c>
      <c r="W41" s="2" t="s">
        <v>70</v>
      </c>
      <c r="X41" s="2" t="s">
        <v>104</v>
      </c>
      <c r="Y41" s="2">
        <v>2.8908097963291901</v>
      </c>
      <c r="Z41" s="2">
        <v>4.7837500000000004</v>
      </c>
      <c r="AA41" s="2">
        <v>-74.044138888888895</v>
      </c>
      <c r="AB41" s="2">
        <v>2580</v>
      </c>
      <c r="AC41" s="2" t="s">
        <v>105</v>
      </c>
      <c r="AD41" s="2" t="s">
        <v>58</v>
      </c>
      <c r="AE41" s="2" t="s">
        <v>33</v>
      </c>
      <c r="AF41" s="2" t="s">
        <v>34</v>
      </c>
      <c r="AG41" s="2" t="s">
        <v>72</v>
      </c>
      <c r="AH41" s="2">
        <v>1.68626289108858</v>
      </c>
      <c r="AI41" s="2">
        <v>4.0986739193947503</v>
      </c>
      <c r="AJ41" s="2">
        <v>1.2518684715486299</v>
      </c>
      <c r="AK41" s="2">
        <v>0.42524646266294602</v>
      </c>
      <c r="AL41" s="2">
        <v>8.6677316745727498E-2</v>
      </c>
      <c r="AM41" s="2">
        <v>15.3</v>
      </c>
      <c r="AN41" s="2">
        <v>9.8000000000000007</v>
      </c>
      <c r="AO41" s="2">
        <v>29.7</v>
      </c>
      <c r="AP41" s="2">
        <v>564</v>
      </c>
      <c r="AQ41" s="2">
        <v>68</v>
      </c>
      <c r="AR41" s="2">
        <v>1.8</v>
      </c>
      <c r="AS41" s="2">
        <v>43</v>
      </c>
      <c r="AT41" s="2">
        <v>25.4</v>
      </c>
      <c r="AU41" s="2">
        <v>162</v>
      </c>
      <c r="AV41" s="2">
        <v>9.1</v>
      </c>
      <c r="AW41" s="2">
        <v>9.1999999999999993</v>
      </c>
      <c r="AX41" s="2">
        <v>18.3</v>
      </c>
      <c r="AY41" s="2">
        <v>0.34</v>
      </c>
      <c r="AZ41" s="2">
        <v>7.3</v>
      </c>
      <c r="BA41" s="2">
        <v>0.9</v>
      </c>
      <c r="BB41" s="2">
        <v>7.5</v>
      </c>
      <c r="BC41" s="2">
        <v>2.9</v>
      </c>
      <c r="BD41" s="2">
        <f>+AN41*EXP(-0.0495*Y41)</f>
        <v>8.4933822442229001</v>
      </c>
      <c r="BE41" s="2">
        <f>+AO41*EXP(-0.024*Y41)</f>
        <v>27.709286527169269</v>
      </c>
    </row>
    <row r="42" spans="1:57" x14ac:dyDescent="0.2">
      <c r="A42" s="2" t="s">
        <v>2248</v>
      </c>
      <c r="B42" s="2" t="s">
        <v>19</v>
      </c>
      <c r="C42" s="2" t="s">
        <v>1907</v>
      </c>
      <c r="D42" s="2" t="s">
        <v>21</v>
      </c>
      <c r="E42" s="2" t="s">
        <v>2249</v>
      </c>
      <c r="F42" s="2">
        <v>6</v>
      </c>
      <c r="G42" s="2">
        <v>510</v>
      </c>
      <c r="H42" s="2">
        <v>3</v>
      </c>
      <c r="I42" s="2">
        <v>5</v>
      </c>
      <c r="J42" s="2">
        <v>4</v>
      </c>
      <c r="K42" s="2" t="s">
        <v>61</v>
      </c>
      <c r="L42" s="6" t="s">
        <v>66</v>
      </c>
      <c r="M42" s="5">
        <v>2600000000</v>
      </c>
      <c r="N42" s="2">
        <v>0</v>
      </c>
      <c r="O42" s="2">
        <v>4.8088450429999998</v>
      </c>
      <c r="P42" s="2">
        <v>-74.030281070000001</v>
      </c>
      <c r="Q42" s="2" t="s">
        <v>2250</v>
      </c>
      <c r="R42" s="2">
        <v>5098039.216</v>
      </c>
      <c r="S42" s="2">
        <v>0</v>
      </c>
      <c r="T42" s="2" t="s">
        <v>102</v>
      </c>
      <c r="U42" s="2" t="s">
        <v>103</v>
      </c>
      <c r="V42" s="2" t="s">
        <v>28</v>
      </c>
      <c r="W42" s="2" t="s">
        <v>70</v>
      </c>
      <c r="X42" s="2" t="s">
        <v>104</v>
      </c>
      <c r="Y42" s="2">
        <v>3.1885946928703301</v>
      </c>
      <c r="Z42" s="2">
        <v>4.7837500000000004</v>
      </c>
      <c r="AA42" s="2">
        <v>-74.044138888888895</v>
      </c>
      <c r="AB42" s="2">
        <v>2580</v>
      </c>
      <c r="AC42" s="2" t="s">
        <v>105</v>
      </c>
      <c r="AD42" s="2" t="s">
        <v>58</v>
      </c>
      <c r="AE42" s="2" t="s">
        <v>33</v>
      </c>
      <c r="AF42" s="2" t="s">
        <v>34</v>
      </c>
      <c r="AG42" s="2" t="s">
        <v>59</v>
      </c>
      <c r="AH42" s="2">
        <v>4.6623486576644897</v>
      </c>
      <c r="AI42" s="2">
        <v>2.7090149515865898</v>
      </c>
      <c r="AJ42" s="2">
        <v>2.0984175187076701</v>
      </c>
      <c r="AK42" s="2">
        <v>3.7856117185075</v>
      </c>
      <c r="AL42" s="2">
        <v>1.15831421540242</v>
      </c>
      <c r="AM42" s="2">
        <v>15.3</v>
      </c>
      <c r="AN42" s="2">
        <v>9.8000000000000007</v>
      </c>
      <c r="AO42" s="2">
        <v>29.7</v>
      </c>
      <c r="AP42" s="2">
        <v>564</v>
      </c>
      <c r="AQ42" s="2">
        <v>68</v>
      </c>
      <c r="AR42" s="2">
        <v>1.8</v>
      </c>
      <c r="AS42" s="2">
        <v>43</v>
      </c>
      <c r="AT42" s="2">
        <v>25.4</v>
      </c>
      <c r="AU42" s="2">
        <v>162</v>
      </c>
      <c r="AV42" s="2">
        <v>9.1</v>
      </c>
      <c r="AW42" s="2">
        <v>9.1999999999999993</v>
      </c>
      <c r="AX42" s="2">
        <v>18.3</v>
      </c>
      <c r="AY42" s="2">
        <v>0.34</v>
      </c>
      <c r="AZ42" s="2">
        <v>7.3</v>
      </c>
      <c r="BA42" s="2">
        <v>0.9</v>
      </c>
      <c r="BB42" s="2">
        <v>7.5</v>
      </c>
      <c r="BC42" s="2">
        <v>2.9</v>
      </c>
      <c r="BD42" s="2">
        <f>+AN42*EXP(-0.0495*Y42)</f>
        <v>8.3691049925145382</v>
      </c>
      <c r="BE42" s="2">
        <f>+AO42*EXP(-0.024*Y42)</f>
        <v>27.51195873340107</v>
      </c>
    </row>
    <row r="43" spans="1:57" x14ac:dyDescent="0.2">
      <c r="A43" s="2" t="s">
        <v>2898</v>
      </c>
      <c r="B43" s="2" t="s">
        <v>19</v>
      </c>
      <c r="C43" s="2" t="s">
        <v>1907</v>
      </c>
      <c r="D43" s="2" t="s">
        <v>21</v>
      </c>
      <c r="E43" s="2" t="s">
        <v>1468</v>
      </c>
      <c r="F43" s="2">
        <v>5</v>
      </c>
      <c r="G43" s="2">
        <v>509</v>
      </c>
      <c r="H43" s="2">
        <v>5</v>
      </c>
      <c r="I43" s="2">
        <v>5</v>
      </c>
      <c r="J43" s="2">
        <v>3</v>
      </c>
      <c r="K43" s="2" t="s">
        <v>61</v>
      </c>
      <c r="L43" s="6" t="s">
        <v>113</v>
      </c>
      <c r="M43" s="5">
        <v>1400000000</v>
      </c>
      <c r="N43" s="2">
        <v>0</v>
      </c>
      <c r="O43" s="2">
        <v>4.7076200000000004</v>
      </c>
      <c r="P43" s="2">
        <v>-74.077060000000003</v>
      </c>
      <c r="Q43" s="2" t="s">
        <v>2899</v>
      </c>
      <c r="R43" s="2">
        <v>2750491.159</v>
      </c>
      <c r="S43" s="2">
        <v>0</v>
      </c>
      <c r="T43" s="2" t="s">
        <v>68</v>
      </c>
      <c r="U43" s="2" t="s">
        <v>69</v>
      </c>
      <c r="V43" s="2" t="s">
        <v>28</v>
      </c>
      <c r="W43" s="2" t="s">
        <v>70</v>
      </c>
      <c r="X43" s="2" t="s">
        <v>71</v>
      </c>
      <c r="Y43" s="2">
        <v>3.3981300651644699</v>
      </c>
      <c r="Z43" s="2">
        <v>4.73719444444444</v>
      </c>
      <c r="AA43" s="2">
        <v>-74.069472222222203</v>
      </c>
      <c r="AB43" s="2">
        <v>2555</v>
      </c>
      <c r="AC43" s="2" t="s">
        <v>31</v>
      </c>
      <c r="AD43" s="2" t="s">
        <v>58</v>
      </c>
      <c r="AE43" s="2" t="s">
        <v>33</v>
      </c>
      <c r="AF43" s="2" t="s">
        <v>34</v>
      </c>
      <c r="AG43" s="2" t="s">
        <v>72</v>
      </c>
      <c r="AH43" s="2">
        <v>0.66064061921026696</v>
      </c>
      <c r="AI43" s="2">
        <v>5.5422527163417703</v>
      </c>
      <c r="AJ43" s="2">
        <v>1.19682051415188</v>
      </c>
      <c r="AK43" s="2">
        <v>0.103822001318383</v>
      </c>
      <c r="AL43" s="2">
        <v>0.168797113946519</v>
      </c>
      <c r="AM43" s="2">
        <v>15.3</v>
      </c>
      <c r="AN43" s="2">
        <v>9.8000000000000007</v>
      </c>
      <c r="AO43" s="2">
        <v>29.7</v>
      </c>
      <c r="AP43" s="2">
        <v>564</v>
      </c>
      <c r="AQ43" s="2">
        <v>68</v>
      </c>
      <c r="AR43" s="2">
        <v>1.8</v>
      </c>
      <c r="AS43" s="2">
        <v>43</v>
      </c>
      <c r="AT43" s="2">
        <v>25.4</v>
      </c>
      <c r="AU43" s="2">
        <v>162</v>
      </c>
      <c r="AV43" s="2">
        <v>9.1</v>
      </c>
      <c r="AW43" s="2">
        <v>9.1999999999999993</v>
      </c>
      <c r="AX43" s="2">
        <v>18.3</v>
      </c>
      <c r="AY43" s="2">
        <v>0.34</v>
      </c>
      <c r="AZ43" s="2">
        <v>7.3</v>
      </c>
      <c r="BA43" s="2">
        <v>0.9</v>
      </c>
      <c r="BB43" s="2">
        <v>7.5</v>
      </c>
      <c r="BC43" s="2">
        <v>2.9</v>
      </c>
      <c r="BD43" s="2">
        <f>+AN43*EXP(-0.0495*Y43)</f>
        <v>8.2827492428850515</v>
      </c>
      <c r="BE43" s="2">
        <f>+AO43*EXP(-0.024*Y43)</f>
        <v>27.373952545997604</v>
      </c>
    </row>
    <row r="44" spans="1:57" x14ac:dyDescent="0.2">
      <c r="A44" s="2" t="s">
        <v>3170</v>
      </c>
      <c r="B44" s="2" t="s">
        <v>19</v>
      </c>
      <c r="C44" s="2" t="s">
        <v>1907</v>
      </c>
      <c r="D44" s="2" t="s">
        <v>21</v>
      </c>
      <c r="E44" s="2" t="s">
        <v>1675</v>
      </c>
      <c r="F44" s="2">
        <v>5</v>
      </c>
      <c r="G44" s="2">
        <v>500</v>
      </c>
      <c r="H44" s="2">
        <v>4</v>
      </c>
      <c r="I44" s="2">
        <v>4</v>
      </c>
      <c r="J44" s="2">
        <v>3</v>
      </c>
      <c r="K44" s="2" t="s">
        <v>61</v>
      </c>
      <c r="L44" s="6" t="s">
        <v>75</v>
      </c>
      <c r="M44" s="5">
        <v>2200000000</v>
      </c>
      <c r="N44" s="2">
        <v>0</v>
      </c>
      <c r="O44" s="2">
        <v>4.7652621269999997</v>
      </c>
      <c r="P44" s="2">
        <v>-74.059921259999996</v>
      </c>
      <c r="Q44" s="2" t="s">
        <v>3171</v>
      </c>
      <c r="R44" s="2">
        <v>4400000</v>
      </c>
      <c r="S44" s="2">
        <v>0</v>
      </c>
      <c r="T44" s="2" t="s">
        <v>102</v>
      </c>
      <c r="U44" s="2" t="s">
        <v>103</v>
      </c>
      <c r="V44" s="2" t="s">
        <v>28</v>
      </c>
      <c r="W44" s="2" t="s">
        <v>70</v>
      </c>
      <c r="X44" s="2" t="s">
        <v>104</v>
      </c>
      <c r="Y44" s="2">
        <v>2.7020133144431102</v>
      </c>
      <c r="Z44" s="2">
        <v>4.7837500000000004</v>
      </c>
      <c r="AA44" s="2">
        <v>-74.044138888888895</v>
      </c>
      <c r="AB44" s="2">
        <v>2580</v>
      </c>
      <c r="AC44" s="2" t="s">
        <v>105</v>
      </c>
      <c r="AD44" s="2" t="s">
        <v>58</v>
      </c>
      <c r="AE44" s="2" t="s">
        <v>33</v>
      </c>
      <c r="AF44" s="2" t="s">
        <v>34</v>
      </c>
      <c r="AG44" s="2" t="s">
        <v>72</v>
      </c>
      <c r="AH44" s="2">
        <v>1.72910043504564</v>
      </c>
      <c r="AI44" s="2">
        <v>4.1063153761878297</v>
      </c>
      <c r="AJ44" s="2">
        <v>1.4939056181656201</v>
      </c>
      <c r="AK44" s="2">
        <v>0.683818886989351</v>
      </c>
      <c r="AL44" s="2">
        <v>0.28030815564509498</v>
      </c>
      <c r="AM44" s="2">
        <v>15.3</v>
      </c>
      <c r="AN44" s="2">
        <v>9.8000000000000007</v>
      </c>
      <c r="AO44" s="2">
        <v>29.7</v>
      </c>
      <c r="AP44" s="2">
        <v>564</v>
      </c>
      <c r="AQ44" s="2">
        <v>68</v>
      </c>
      <c r="AR44" s="2">
        <v>1.8</v>
      </c>
      <c r="AS44" s="2">
        <v>43</v>
      </c>
      <c r="AT44" s="2">
        <v>25.4</v>
      </c>
      <c r="AU44" s="2">
        <v>162</v>
      </c>
      <c r="AV44" s="2">
        <v>9.1</v>
      </c>
      <c r="AW44" s="2">
        <v>9.1999999999999993</v>
      </c>
      <c r="AX44" s="2">
        <v>18.3</v>
      </c>
      <c r="AY44" s="2">
        <v>0.34</v>
      </c>
      <c r="AZ44" s="2">
        <v>7.3</v>
      </c>
      <c r="BA44" s="2">
        <v>0.9</v>
      </c>
      <c r="BB44" s="2">
        <v>7.5</v>
      </c>
      <c r="BC44" s="2">
        <v>2.9</v>
      </c>
      <c r="BD44" s="2">
        <f>+AN44*EXP(-0.0495*Y44)</f>
        <v>8.5731285695161379</v>
      </c>
      <c r="BE44" s="2">
        <f>+AO44*EXP(-0.024*Y44)</f>
        <v>27.835125386562378</v>
      </c>
    </row>
    <row r="45" spans="1:57" x14ac:dyDescent="0.2">
      <c r="A45" s="2" t="s">
        <v>2388</v>
      </c>
      <c r="B45" s="2" t="s">
        <v>19</v>
      </c>
      <c r="C45" s="2" t="s">
        <v>1907</v>
      </c>
      <c r="D45" s="2" t="s">
        <v>21</v>
      </c>
      <c r="E45" s="2" t="s">
        <v>218</v>
      </c>
      <c r="F45" s="2">
        <v>6</v>
      </c>
      <c r="G45" s="2">
        <v>495</v>
      </c>
      <c r="H45" s="2">
        <v>4</v>
      </c>
      <c r="I45" s="2">
        <v>4</v>
      </c>
      <c r="J45" s="2">
        <v>3</v>
      </c>
      <c r="K45" s="2" t="s">
        <v>61</v>
      </c>
      <c r="L45" s="6" t="s">
        <v>75</v>
      </c>
      <c r="M45" s="5">
        <v>3500000000</v>
      </c>
      <c r="N45" s="2">
        <v>0</v>
      </c>
      <c r="O45" s="2">
        <v>4.8192005160000004</v>
      </c>
      <c r="P45" s="2">
        <v>-74.041084290000001</v>
      </c>
      <c r="Q45" s="2" t="s">
        <v>2389</v>
      </c>
      <c r="R45" s="2">
        <v>7070707.0710000005</v>
      </c>
      <c r="S45" s="2">
        <v>0</v>
      </c>
      <c r="T45" s="2" t="s">
        <v>102</v>
      </c>
      <c r="U45" s="2" t="s">
        <v>103</v>
      </c>
      <c r="V45" s="2" t="s">
        <v>28</v>
      </c>
      <c r="W45" s="2" t="s">
        <v>70</v>
      </c>
      <c r="X45" s="2" t="s">
        <v>104</v>
      </c>
      <c r="Y45" s="2">
        <v>3.9608536790384101</v>
      </c>
      <c r="Z45" s="2">
        <v>4.7837500000000004</v>
      </c>
      <c r="AA45" s="2">
        <v>-74.044138888888895</v>
      </c>
      <c r="AB45" s="2">
        <v>2580</v>
      </c>
      <c r="AC45" s="2" t="s">
        <v>105</v>
      </c>
      <c r="AD45" s="2" t="s">
        <v>58</v>
      </c>
      <c r="AE45" s="2" t="s">
        <v>33</v>
      </c>
      <c r="AF45" s="2" t="s">
        <v>34</v>
      </c>
      <c r="AG45" s="2" t="s">
        <v>72</v>
      </c>
      <c r="AH45" s="2">
        <v>5.5746097397625398</v>
      </c>
      <c r="AI45" s="2">
        <v>1.07227956348163</v>
      </c>
      <c r="AJ45" s="2">
        <v>2.21721150407698</v>
      </c>
      <c r="AK45" s="2">
        <v>4.6239717682486399</v>
      </c>
      <c r="AL45" s="2">
        <v>2.0650607888673699E-2</v>
      </c>
      <c r="AM45" s="2">
        <v>15.3</v>
      </c>
      <c r="AN45" s="2">
        <v>9.8000000000000007</v>
      </c>
      <c r="AO45" s="2">
        <v>29.7</v>
      </c>
      <c r="AP45" s="2">
        <v>564</v>
      </c>
      <c r="AQ45" s="2">
        <v>68</v>
      </c>
      <c r="AR45" s="2">
        <v>1.8</v>
      </c>
      <c r="AS45" s="2">
        <v>43</v>
      </c>
      <c r="AT45" s="2">
        <v>25.4</v>
      </c>
      <c r="AU45" s="2">
        <v>162</v>
      </c>
      <c r="AV45" s="2">
        <v>9.1</v>
      </c>
      <c r="AW45" s="2">
        <v>9.1999999999999993</v>
      </c>
      <c r="AX45" s="2">
        <v>18.3</v>
      </c>
      <c r="AY45" s="2">
        <v>0.34</v>
      </c>
      <c r="AZ45" s="2">
        <v>7.3</v>
      </c>
      <c r="BA45" s="2">
        <v>0.9</v>
      </c>
      <c r="BB45" s="2">
        <v>7.5</v>
      </c>
      <c r="BC45" s="2">
        <v>2.9</v>
      </c>
      <c r="BD45" s="2">
        <f>+AN45*EXP(-0.0495*Y45)</f>
        <v>8.0552183895984015</v>
      </c>
      <c r="BE45" s="2">
        <f>+AO45*EXP(-0.024*Y45)</f>
        <v>27.006742512438898</v>
      </c>
    </row>
    <row r="46" spans="1:57" x14ac:dyDescent="0.2">
      <c r="A46" s="2" t="s">
        <v>2144</v>
      </c>
      <c r="B46" s="2" t="s">
        <v>19</v>
      </c>
      <c r="C46" s="2" t="s">
        <v>1907</v>
      </c>
      <c r="D46" s="2" t="s">
        <v>21</v>
      </c>
      <c r="E46" s="2" t="s">
        <v>218</v>
      </c>
      <c r="F46" s="2">
        <v>6</v>
      </c>
      <c r="G46" s="2">
        <v>493</v>
      </c>
      <c r="H46" s="2">
        <v>5</v>
      </c>
      <c r="I46" s="2">
        <v>5</v>
      </c>
      <c r="J46" s="2">
        <v>4</v>
      </c>
      <c r="K46" s="2" t="s">
        <v>61</v>
      </c>
      <c r="L46" s="6" t="s">
        <v>75</v>
      </c>
      <c r="M46" s="5">
        <v>2500000000</v>
      </c>
      <c r="N46" s="2">
        <v>0</v>
      </c>
      <c r="O46" s="2">
        <v>4.8150963779999998</v>
      </c>
      <c r="P46" s="2">
        <v>-74.054985049999999</v>
      </c>
      <c r="Q46" s="2" t="s">
        <v>2145</v>
      </c>
      <c r="R46" s="2">
        <v>5070993.915</v>
      </c>
      <c r="S46" s="2">
        <v>0</v>
      </c>
      <c r="T46" s="2" t="s">
        <v>102</v>
      </c>
      <c r="U46" s="2" t="s">
        <v>103</v>
      </c>
      <c r="V46" s="2" t="s">
        <v>28</v>
      </c>
      <c r="W46" s="2" t="s">
        <v>70</v>
      </c>
      <c r="X46" s="2" t="s">
        <v>104</v>
      </c>
      <c r="Y46" s="2">
        <v>3.6910614205457302</v>
      </c>
      <c r="Z46" s="2">
        <v>4.7837500000000004</v>
      </c>
      <c r="AA46" s="2">
        <v>-74.044138888888895</v>
      </c>
      <c r="AB46" s="2">
        <v>2580</v>
      </c>
      <c r="AC46" s="2" t="s">
        <v>105</v>
      </c>
      <c r="AD46" s="2" t="s">
        <v>58</v>
      </c>
      <c r="AE46" s="2" t="s">
        <v>33</v>
      </c>
      <c r="AF46" s="2" t="s">
        <v>34</v>
      </c>
      <c r="AG46" s="2" t="s">
        <v>72</v>
      </c>
      <c r="AH46" s="2">
        <v>5.2684145542287997</v>
      </c>
      <c r="AI46" s="2">
        <v>1.1715929137780901</v>
      </c>
      <c r="AJ46" s="2">
        <v>1.8803962180473299</v>
      </c>
      <c r="AK46" s="2">
        <v>3.6872401604240101</v>
      </c>
      <c r="AL46" s="2">
        <v>1.04261447138145</v>
      </c>
      <c r="AM46" s="2">
        <v>15.3</v>
      </c>
      <c r="AN46" s="2">
        <v>9.8000000000000007</v>
      </c>
      <c r="AO46" s="2">
        <v>29.7</v>
      </c>
      <c r="AP46" s="2">
        <v>564</v>
      </c>
      <c r="AQ46" s="2">
        <v>68</v>
      </c>
      <c r="AR46" s="2">
        <v>1.8</v>
      </c>
      <c r="AS46" s="2">
        <v>43</v>
      </c>
      <c r="AT46" s="2">
        <v>25.4</v>
      </c>
      <c r="AU46" s="2">
        <v>162</v>
      </c>
      <c r="AV46" s="2">
        <v>9.1</v>
      </c>
      <c r="AW46" s="2">
        <v>9.1999999999999993</v>
      </c>
      <c r="AX46" s="2">
        <v>18.3</v>
      </c>
      <c r="AY46" s="2">
        <v>0.34</v>
      </c>
      <c r="AZ46" s="2">
        <v>7.3</v>
      </c>
      <c r="BA46" s="2">
        <v>0.9</v>
      </c>
      <c r="BB46" s="2">
        <v>7.5</v>
      </c>
      <c r="BC46" s="2">
        <v>2.9</v>
      </c>
      <c r="BD46" s="2">
        <f>+AN46*EXP(-0.0495*Y46)</f>
        <v>8.1635150761651492</v>
      </c>
      <c r="BE46" s="2">
        <f>+AO46*EXP(-0.024*Y46)</f>
        <v>27.18217891747085</v>
      </c>
    </row>
    <row r="47" spans="1:57" x14ac:dyDescent="0.2">
      <c r="A47" s="2" t="s">
        <v>2441</v>
      </c>
      <c r="B47" s="2" t="s">
        <v>19</v>
      </c>
      <c r="C47" s="2" t="s">
        <v>1907</v>
      </c>
      <c r="D47" s="2" t="s">
        <v>21</v>
      </c>
      <c r="E47" s="2" t="s">
        <v>1675</v>
      </c>
      <c r="F47" s="2">
        <v>5</v>
      </c>
      <c r="G47" s="2">
        <v>477</v>
      </c>
      <c r="H47" s="2">
        <v>4</v>
      </c>
      <c r="I47" s="2">
        <v>3</v>
      </c>
      <c r="J47" s="2">
        <v>4</v>
      </c>
      <c r="K47" s="2" t="s">
        <v>61</v>
      </c>
      <c r="L47" s="6" t="s">
        <v>113</v>
      </c>
      <c r="M47" s="5">
        <v>1800000000</v>
      </c>
      <c r="N47" s="2">
        <v>0</v>
      </c>
      <c r="O47" s="2">
        <v>4.7587175369999999</v>
      </c>
      <c r="P47" s="2">
        <v>-74.060997009999994</v>
      </c>
      <c r="Q47" s="2" t="s">
        <v>2442</v>
      </c>
      <c r="R47" s="2">
        <v>3773584.906</v>
      </c>
      <c r="S47" s="2">
        <v>0</v>
      </c>
      <c r="T47" s="2" t="s">
        <v>68</v>
      </c>
      <c r="U47" s="2" t="s">
        <v>69</v>
      </c>
      <c r="V47" s="2" t="s">
        <v>28</v>
      </c>
      <c r="W47" s="2" t="s">
        <v>70</v>
      </c>
      <c r="X47" s="2" t="s">
        <v>71</v>
      </c>
      <c r="Y47" s="2">
        <v>2.5738178721590499</v>
      </c>
      <c r="Z47" s="2">
        <v>4.73719444444444</v>
      </c>
      <c r="AA47" s="2">
        <v>-74.069472222222203</v>
      </c>
      <c r="AB47" s="2">
        <v>2555</v>
      </c>
      <c r="AC47" s="2" t="s">
        <v>31</v>
      </c>
      <c r="AD47" s="2" t="s">
        <v>58</v>
      </c>
      <c r="AE47" s="2" t="s">
        <v>33</v>
      </c>
      <c r="AF47" s="2" t="s">
        <v>34</v>
      </c>
      <c r="AG47" s="2" t="s">
        <v>72</v>
      </c>
      <c r="AH47" s="2">
        <v>1.7183987391308899</v>
      </c>
      <c r="AI47" s="2">
        <v>4.30677279347662</v>
      </c>
      <c r="AJ47" s="2">
        <v>1.0192898894320901</v>
      </c>
      <c r="AK47" s="2">
        <v>8.9532573366316606E-2</v>
      </c>
      <c r="AL47" s="2">
        <v>0.36248705651072399</v>
      </c>
      <c r="AM47" s="2">
        <v>15.3</v>
      </c>
      <c r="AN47" s="2">
        <v>9.8000000000000007</v>
      </c>
      <c r="AO47" s="2">
        <v>29.7</v>
      </c>
      <c r="AP47" s="2">
        <v>564</v>
      </c>
      <c r="AQ47" s="2">
        <v>68</v>
      </c>
      <c r="AR47" s="2">
        <v>1.8</v>
      </c>
      <c r="AS47" s="2">
        <v>43</v>
      </c>
      <c r="AT47" s="2">
        <v>25.4</v>
      </c>
      <c r="AU47" s="2">
        <v>162</v>
      </c>
      <c r="AV47" s="2">
        <v>9.1</v>
      </c>
      <c r="AW47" s="2">
        <v>9.1999999999999993</v>
      </c>
      <c r="AX47" s="2">
        <v>18.3</v>
      </c>
      <c r="AY47" s="2">
        <v>0.34</v>
      </c>
      <c r="AZ47" s="2">
        <v>7.3</v>
      </c>
      <c r="BA47" s="2">
        <v>0.9</v>
      </c>
      <c r="BB47" s="2">
        <v>7.5</v>
      </c>
      <c r="BC47" s="2">
        <v>2.9</v>
      </c>
      <c r="BD47" s="2">
        <f>+AN47*EXP(-0.0495*Y47)</f>
        <v>8.6277038272214384</v>
      </c>
      <c r="BE47" s="2">
        <f>+AO47*EXP(-0.024*Y47)</f>
        <v>27.920897334815642</v>
      </c>
    </row>
    <row r="48" spans="1:57" x14ac:dyDescent="0.2">
      <c r="A48" s="2" t="s">
        <v>1976</v>
      </c>
      <c r="B48" s="2" t="s">
        <v>19</v>
      </c>
      <c r="C48" s="2" t="s">
        <v>1907</v>
      </c>
      <c r="D48" s="2" t="s">
        <v>21</v>
      </c>
      <c r="E48" s="2" t="s">
        <v>218</v>
      </c>
      <c r="F48" s="2">
        <v>6</v>
      </c>
      <c r="G48" s="2">
        <v>474.11</v>
      </c>
      <c r="H48" s="2">
        <v>4</v>
      </c>
      <c r="I48" s="2">
        <v>4</v>
      </c>
      <c r="J48" s="2">
        <v>3</v>
      </c>
      <c r="K48" s="2" t="s">
        <v>61</v>
      </c>
      <c r="L48" s="6" t="s">
        <v>75</v>
      </c>
      <c r="M48" s="5">
        <v>3300000000</v>
      </c>
      <c r="N48" s="2">
        <v>0</v>
      </c>
      <c r="O48" s="2">
        <v>4.8192005160000004</v>
      </c>
      <c r="P48" s="2">
        <v>-74.041084290000001</v>
      </c>
      <c r="Q48" s="2" t="s">
        <v>1977</v>
      </c>
      <c r="R48" s="2">
        <v>6960410.0310000004</v>
      </c>
      <c r="S48" s="2">
        <v>0</v>
      </c>
      <c r="T48" s="2" t="s">
        <v>102</v>
      </c>
      <c r="U48" s="2" t="s">
        <v>103</v>
      </c>
      <c r="V48" s="2" t="s">
        <v>28</v>
      </c>
      <c r="W48" s="2" t="s">
        <v>70</v>
      </c>
      <c r="X48" s="2" t="s">
        <v>104</v>
      </c>
      <c r="Y48" s="2">
        <v>3.9608536790384101</v>
      </c>
      <c r="Z48" s="2">
        <v>4.7837500000000004</v>
      </c>
      <c r="AA48" s="2">
        <v>-74.044138888888895</v>
      </c>
      <c r="AB48" s="2">
        <v>2580</v>
      </c>
      <c r="AC48" s="2" t="s">
        <v>105</v>
      </c>
      <c r="AD48" s="2" t="s">
        <v>58</v>
      </c>
      <c r="AE48" s="2" t="s">
        <v>33</v>
      </c>
      <c r="AF48" s="2" t="s">
        <v>34</v>
      </c>
      <c r="AG48" s="2" t="s">
        <v>72</v>
      </c>
      <c r="AH48" s="2">
        <v>5.5746097397625398</v>
      </c>
      <c r="AI48" s="2">
        <v>1.07227956348163</v>
      </c>
      <c r="AJ48" s="2">
        <v>2.21721150407698</v>
      </c>
      <c r="AK48" s="2">
        <v>4.6239717682486399</v>
      </c>
      <c r="AL48" s="2">
        <v>2.0650607888673699E-2</v>
      </c>
      <c r="AM48" s="2">
        <v>15.3</v>
      </c>
      <c r="AN48" s="2">
        <v>9.8000000000000007</v>
      </c>
      <c r="AO48" s="2">
        <v>29.7</v>
      </c>
      <c r="AP48" s="2">
        <v>564</v>
      </c>
      <c r="AQ48" s="2">
        <v>68</v>
      </c>
      <c r="AR48" s="2">
        <v>1.8</v>
      </c>
      <c r="AS48" s="2">
        <v>43</v>
      </c>
      <c r="AT48" s="2">
        <v>25.4</v>
      </c>
      <c r="AU48" s="2">
        <v>162</v>
      </c>
      <c r="AV48" s="2">
        <v>9.1</v>
      </c>
      <c r="AW48" s="2">
        <v>9.1999999999999993</v>
      </c>
      <c r="AX48" s="2">
        <v>18.3</v>
      </c>
      <c r="AY48" s="2">
        <v>0.34</v>
      </c>
      <c r="AZ48" s="2">
        <v>7.3</v>
      </c>
      <c r="BA48" s="2">
        <v>0.9</v>
      </c>
      <c r="BB48" s="2">
        <v>7.5</v>
      </c>
      <c r="BC48" s="2">
        <v>2.9</v>
      </c>
      <c r="BD48" s="2">
        <f>+AN48*EXP(-0.0495*Y48)</f>
        <v>8.0552183895984015</v>
      </c>
      <c r="BE48" s="2">
        <f>+AO48*EXP(-0.024*Y48)</f>
        <v>27.006742512438898</v>
      </c>
    </row>
    <row r="49" spans="1:57" x14ac:dyDescent="0.2">
      <c r="A49" s="2" t="s">
        <v>2184</v>
      </c>
      <c r="B49" s="2" t="s">
        <v>19</v>
      </c>
      <c r="C49" s="2" t="s">
        <v>1907</v>
      </c>
      <c r="D49" s="2" t="s">
        <v>21</v>
      </c>
      <c r="E49" s="2" t="s">
        <v>973</v>
      </c>
      <c r="F49" s="2">
        <v>5</v>
      </c>
      <c r="G49" s="2">
        <v>473.33</v>
      </c>
      <c r="H49" s="2">
        <v>5</v>
      </c>
      <c r="I49" s="2">
        <v>5</v>
      </c>
      <c r="J49" s="2">
        <v>4</v>
      </c>
      <c r="K49" s="2" t="s">
        <v>61</v>
      </c>
      <c r="L49" s="6" t="s">
        <v>113</v>
      </c>
      <c r="M49" s="5">
        <v>3000000000</v>
      </c>
      <c r="N49" s="2">
        <v>0</v>
      </c>
      <c r="O49" s="2">
        <v>4.7002350000000002</v>
      </c>
      <c r="P49" s="2">
        <v>-74.077755999999994</v>
      </c>
      <c r="Q49" s="2" t="s">
        <v>2185</v>
      </c>
      <c r="R49" s="2">
        <v>6338072.8030000003</v>
      </c>
      <c r="S49" s="2">
        <v>0</v>
      </c>
      <c r="T49" s="2" t="s">
        <v>68</v>
      </c>
      <c r="U49" s="2" t="s">
        <v>69</v>
      </c>
      <c r="V49" s="2" t="s">
        <v>28</v>
      </c>
      <c r="W49" s="2" t="s">
        <v>70</v>
      </c>
      <c r="X49" s="2" t="s">
        <v>71</v>
      </c>
      <c r="Y49" s="2">
        <v>4.2156988374359603</v>
      </c>
      <c r="Z49" s="2">
        <v>4.73719444444444</v>
      </c>
      <c r="AA49" s="2">
        <v>-74.069472222222203</v>
      </c>
      <c r="AB49" s="2">
        <v>2555</v>
      </c>
      <c r="AC49" s="2" t="s">
        <v>31</v>
      </c>
      <c r="AD49" s="2" t="s">
        <v>58</v>
      </c>
      <c r="AE49" s="2" t="s">
        <v>33</v>
      </c>
      <c r="AF49" s="2" t="s">
        <v>34</v>
      </c>
      <c r="AG49" s="2" t="s">
        <v>72</v>
      </c>
      <c r="AH49" s="2">
        <v>0.884125723959301</v>
      </c>
      <c r="AI49" s="2">
        <v>5.1380666850569998</v>
      </c>
      <c r="AJ49" s="2">
        <v>0.94159720541020997</v>
      </c>
      <c r="AK49" s="2">
        <v>6.4723721717084001E-2</v>
      </c>
      <c r="AL49" s="2">
        <v>0.14562688472768501</v>
      </c>
      <c r="AM49" s="2">
        <v>15.3</v>
      </c>
      <c r="AN49" s="2">
        <v>9.8000000000000007</v>
      </c>
      <c r="AO49" s="2">
        <v>29.7</v>
      </c>
      <c r="AP49" s="2">
        <v>564</v>
      </c>
      <c r="AQ49" s="2">
        <v>68</v>
      </c>
      <c r="AR49" s="2">
        <v>1.8</v>
      </c>
      <c r="AS49" s="2">
        <v>43</v>
      </c>
      <c r="AT49" s="2">
        <v>25.4</v>
      </c>
      <c r="AU49" s="2">
        <v>162</v>
      </c>
      <c r="AV49" s="2">
        <v>9.1</v>
      </c>
      <c r="AW49" s="2">
        <v>9.1999999999999993</v>
      </c>
      <c r="AX49" s="2">
        <v>18.3</v>
      </c>
      <c r="AY49" s="2">
        <v>0.34</v>
      </c>
      <c r="AZ49" s="2">
        <v>7.3</v>
      </c>
      <c r="BA49" s="2">
        <v>0.9</v>
      </c>
      <c r="BB49" s="2">
        <v>7.5</v>
      </c>
      <c r="BC49" s="2">
        <v>2.9</v>
      </c>
      <c r="BD49" s="2">
        <f>+AN49*EXP(-0.0495*Y49)</f>
        <v>7.9542413792299147</v>
      </c>
      <c r="BE49" s="2">
        <f>+AO49*EXP(-0.024*Y49)</f>
        <v>26.842065729013985</v>
      </c>
    </row>
    <row r="50" spans="1:57" x14ac:dyDescent="0.2">
      <c r="A50" s="2" t="s">
        <v>2672</v>
      </c>
      <c r="B50" s="2" t="s">
        <v>19</v>
      </c>
      <c r="C50" s="2" t="s">
        <v>1907</v>
      </c>
      <c r="D50" s="2" t="s">
        <v>21</v>
      </c>
      <c r="E50" s="2" t="s">
        <v>218</v>
      </c>
      <c r="F50" s="2">
        <v>6</v>
      </c>
      <c r="G50" s="2">
        <v>460</v>
      </c>
      <c r="H50" s="2">
        <v>4</v>
      </c>
      <c r="I50" s="2">
        <v>5</v>
      </c>
      <c r="J50" s="2">
        <v>4</v>
      </c>
      <c r="K50" s="2" t="s">
        <v>61</v>
      </c>
      <c r="L50" s="6" t="s">
        <v>75</v>
      </c>
      <c r="M50" s="5">
        <v>3300000000</v>
      </c>
      <c r="N50" s="2">
        <v>0</v>
      </c>
      <c r="O50" s="2">
        <v>4.8131113049999996</v>
      </c>
      <c r="P50" s="2">
        <v>-74.049324040000002</v>
      </c>
      <c r="Q50" s="2" t="s">
        <v>2673</v>
      </c>
      <c r="R50" s="2">
        <v>7173913.0429999996</v>
      </c>
      <c r="S50" s="2">
        <v>0</v>
      </c>
      <c r="T50" s="2" t="s">
        <v>102</v>
      </c>
      <c r="U50" s="2" t="s">
        <v>103</v>
      </c>
      <c r="V50" s="2" t="s">
        <v>28</v>
      </c>
      <c r="W50" s="2" t="s">
        <v>70</v>
      </c>
      <c r="X50" s="2" t="s">
        <v>104</v>
      </c>
      <c r="Y50" s="2">
        <v>3.31870995841189</v>
      </c>
      <c r="Z50" s="2">
        <v>4.7837500000000004</v>
      </c>
      <c r="AA50" s="2">
        <v>-74.044138888888895</v>
      </c>
      <c r="AB50" s="2">
        <v>2580</v>
      </c>
      <c r="AC50" s="2" t="s">
        <v>105</v>
      </c>
      <c r="AD50" s="2" t="s">
        <v>58</v>
      </c>
      <c r="AE50" s="2" t="s">
        <v>33</v>
      </c>
      <c r="AF50" s="2" t="s">
        <v>34</v>
      </c>
      <c r="AG50" s="2" t="s">
        <v>72</v>
      </c>
      <c r="AH50" s="2">
        <v>4.9362118483059003</v>
      </c>
      <c r="AI50" s="2">
        <v>1.5785624216147001</v>
      </c>
      <c r="AJ50" s="2">
        <v>1.46475331815375</v>
      </c>
      <c r="AK50" s="2">
        <v>3.98464559435036</v>
      </c>
      <c r="AL50" s="2">
        <v>0.874621925454797</v>
      </c>
      <c r="AM50" s="2">
        <v>15.3</v>
      </c>
      <c r="AN50" s="2">
        <v>9.8000000000000007</v>
      </c>
      <c r="AO50" s="2">
        <v>29.7</v>
      </c>
      <c r="AP50" s="2">
        <v>564</v>
      </c>
      <c r="AQ50" s="2">
        <v>68</v>
      </c>
      <c r="AR50" s="2">
        <v>1.8</v>
      </c>
      <c r="AS50" s="2">
        <v>43</v>
      </c>
      <c r="AT50" s="2">
        <v>25.4</v>
      </c>
      <c r="AU50" s="2">
        <v>162</v>
      </c>
      <c r="AV50" s="2">
        <v>9.1</v>
      </c>
      <c r="AW50" s="2">
        <v>9.1999999999999993</v>
      </c>
      <c r="AX50" s="2">
        <v>18.3</v>
      </c>
      <c r="AY50" s="2">
        <v>0.34</v>
      </c>
      <c r="AZ50" s="2">
        <v>7.3</v>
      </c>
      <c r="BA50" s="2">
        <v>0.9</v>
      </c>
      <c r="BB50" s="2">
        <v>7.5</v>
      </c>
      <c r="BC50" s="2">
        <v>2.9</v>
      </c>
      <c r="BD50" s="2">
        <f>+AN50*EXP(-0.0495*Y50)</f>
        <v>8.315375265168214</v>
      </c>
      <c r="BE50" s="2">
        <f>+AO50*EXP(-0.024*Y50)</f>
        <v>27.426179318057677</v>
      </c>
    </row>
    <row r="51" spans="1:57" x14ac:dyDescent="0.2">
      <c r="A51" s="2" t="s">
        <v>3131</v>
      </c>
      <c r="B51" s="2" t="s">
        <v>19</v>
      </c>
      <c r="C51" s="2" t="s">
        <v>1907</v>
      </c>
      <c r="D51" s="2" t="s">
        <v>21</v>
      </c>
      <c r="E51" s="2" t="s">
        <v>218</v>
      </c>
      <c r="F51" s="2">
        <v>6</v>
      </c>
      <c r="G51" s="2">
        <v>460</v>
      </c>
      <c r="H51" s="2">
        <v>4</v>
      </c>
      <c r="I51" s="2">
        <v>4</v>
      </c>
      <c r="J51" s="2">
        <v>4</v>
      </c>
      <c r="K51" s="2" t="s">
        <v>61</v>
      </c>
      <c r="L51" s="6" t="s">
        <v>75</v>
      </c>
      <c r="M51" s="5">
        <v>2900000000</v>
      </c>
      <c r="N51" s="2">
        <v>0</v>
      </c>
      <c r="O51" s="2">
        <v>4.8183999999999996</v>
      </c>
      <c r="P51" s="2">
        <v>-74.052909999999997</v>
      </c>
      <c r="Q51" s="2" t="s">
        <v>3132</v>
      </c>
      <c r="R51" s="2">
        <v>6304347.8260000004</v>
      </c>
      <c r="S51" s="2">
        <v>0</v>
      </c>
      <c r="T51" s="2" t="s">
        <v>102</v>
      </c>
      <c r="U51" s="2" t="s">
        <v>103</v>
      </c>
      <c r="V51" s="2" t="s">
        <v>28</v>
      </c>
      <c r="W51" s="2" t="s">
        <v>70</v>
      </c>
      <c r="X51" s="2" t="s">
        <v>104</v>
      </c>
      <c r="Y51" s="2">
        <v>3.9780420995420198</v>
      </c>
      <c r="Z51" s="2">
        <v>4.7837500000000004</v>
      </c>
      <c r="AA51" s="2">
        <v>-74.044138888888895</v>
      </c>
      <c r="AB51" s="2">
        <v>2580</v>
      </c>
      <c r="AC51" s="2" t="s">
        <v>105</v>
      </c>
      <c r="AD51" s="2" t="s">
        <v>58</v>
      </c>
      <c r="AE51" s="2" t="s">
        <v>33</v>
      </c>
      <c r="AF51" s="2" t="s">
        <v>34</v>
      </c>
      <c r="AG51" s="2" t="s">
        <v>72</v>
      </c>
      <c r="AH51" s="2">
        <v>5.5762511392270797</v>
      </c>
      <c r="AI51" s="2">
        <v>0.88840745561341194</v>
      </c>
      <c r="AJ51" s="2">
        <v>2.1287733491823801</v>
      </c>
      <c r="AK51" s="2">
        <v>4.1062349004348704</v>
      </c>
      <c r="AL51" s="2">
        <v>0.61125127769407095</v>
      </c>
      <c r="AM51" s="2">
        <v>15.3</v>
      </c>
      <c r="AN51" s="2">
        <v>9.8000000000000007</v>
      </c>
      <c r="AO51" s="2">
        <v>29.7</v>
      </c>
      <c r="AP51" s="2">
        <v>564</v>
      </c>
      <c r="AQ51" s="2">
        <v>68</v>
      </c>
      <c r="AR51" s="2">
        <v>1.8</v>
      </c>
      <c r="AS51" s="2">
        <v>43</v>
      </c>
      <c r="AT51" s="2">
        <v>25.4</v>
      </c>
      <c r="AU51" s="2">
        <v>162</v>
      </c>
      <c r="AV51" s="2">
        <v>9.1</v>
      </c>
      <c r="AW51" s="2">
        <v>9.1999999999999993</v>
      </c>
      <c r="AX51" s="2">
        <v>18.3</v>
      </c>
      <c r="AY51" s="2">
        <v>0.34</v>
      </c>
      <c r="AZ51" s="2">
        <v>7.3</v>
      </c>
      <c r="BA51" s="2">
        <v>0.9</v>
      </c>
      <c r="BB51" s="2">
        <v>7.5</v>
      </c>
      <c r="BC51" s="2">
        <v>2.9</v>
      </c>
      <c r="BD51" s="2">
        <f>+AN51*EXP(-0.0495*Y51)</f>
        <v>8.0483677085772527</v>
      </c>
      <c r="BE51" s="2">
        <f>+AO51*EXP(-0.024*Y51)</f>
        <v>26.995603932130408</v>
      </c>
    </row>
    <row r="52" spans="1:57" x14ac:dyDescent="0.2">
      <c r="A52" s="2" t="s">
        <v>3160</v>
      </c>
      <c r="B52" s="2" t="s">
        <v>19</v>
      </c>
      <c r="C52" s="2" t="s">
        <v>1907</v>
      </c>
      <c r="D52" s="2" t="s">
        <v>21</v>
      </c>
      <c r="E52" s="2" t="s">
        <v>1468</v>
      </c>
      <c r="F52" s="2">
        <v>5</v>
      </c>
      <c r="G52" s="2">
        <v>454</v>
      </c>
      <c r="H52" s="2">
        <v>5</v>
      </c>
      <c r="I52" s="2">
        <v>5</v>
      </c>
      <c r="J52" s="2">
        <v>3</v>
      </c>
      <c r="K52" s="2" t="s">
        <v>61</v>
      </c>
      <c r="L52" s="6" t="s">
        <v>113</v>
      </c>
      <c r="M52" s="5">
        <v>1550000000</v>
      </c>
      <c r="N52" s="2">
        <v>0</v>
      </c>
      <c r="O52" s="2">
        <v>4.7077900000000001</v>
      </c>
      <c r="P52" s="2">
        <v>-74.074539999999999</v>
      </c>
      <c r="Q52" s="2" t="s">
        <v>3161</v>
      </c>
      <c r="R52" s="2">
        <v>3414096.9160000002</v>
      </c>
      <c r="S52" s="2">
        <v>0</v>
      </c>
      <c r="T52" s="2" t="s">
        <v>68</v>
      </c>
      <c r="U52" s="2" t="s">
        <v>69</v>
      </c>
      <c r="V52" s="2" t="s">
        <v>28</v>
      </c>
      <c r="W52" s="2" t="s">
        <v>70</v>
      </c>
      <c r="X52" s="2" t="s">
        <v>71</v>
      </c>
      <c r="Y52" s="2">
        <v>3.32122152104313</v>
      </c>
      <c r="Z52" s="2">
        <v>4.73719444444444</v>
      </c>
      <c r="AA52" s="2">
        <v>-74.069472222222203</v>
      </c>
      <c r="AB52" s="2">
        <v>2555</v>
      </c>
      <c r="AC52" s="2" t="s">
        <v>31</v>
      </c>
      <c r="AD52" s="2" t="s">
        <v>58</v>
      </c>
      <c r="AE52" s="2" t="s">
        <v>33</v>
      </c>
      <c r="AF52" s="2" t="s">
        <v>34</v>
      </c>
      <c r="AG52" s="2" t="s">
        <v>72</v>
      </c>
      <c r="AH52" s="2">
        <v>0.39248974396638597</v>
      </c>
      <c r="AI52" s="2">
        <v>5.32992028564201</v>
      </c>
      <c r="AJ52" s="2">
        <v>1.05962481483981</v>
      </c>
      <c r="AK52" s="2">
        <v>0.107264660847208</v>
      </c>
      <c r="AL52" s="2">
        <v>0.191316503522269</v>
      </c>
      <c r="AM52" s="2">
        <v>15.3</v>
      </c>
      <c r="AN52" s="2">
        <v>9.8000000000000007</v>
      </c>
      <c r="AO52" s="2">
        <v>29.7</v>
      </c>
      <c r="AP52" s="2">
        <v>564</v>
      </c>
      <c r="AQ52" s="2">
        <v>68</v>
      </c>
      <c r="AR52" s="2">
        <v>1.8</v>
      </c>
      <c r="AS52" s="2">
        <v>43</v>
      </c>
      <c r="AT52" s="2">
        <v>25.4</v>
      </c>
      <c r="AU52" s="2">
        <v>162</v>
      </c>
      <c r="AV52" s="2">
        <v>9.1</v>
      </c>
      <c r="AW52" s="2">
        <v>9.1999999999999993</v>
      </c>
      <c r="AX52" s="2">
        <v>18.3</v>
      </c>
      <c r="AY52" s="2">
        <v>0.34</v>
      </c>
      <c r="AZ52" s="2">
        <v>7.3</v>
      </c>
      <c r="BA52" s="2">
        <v>0.9</v>
      </c>
      <c r="BB52" s="2">
        <v>7.5</v>
      </c>
      <c r="BC52" s="2">
        <v>2.9</v>
      </c>
      <c r="BD52" s="2">
        <f>+AN52*EXP(-0.0495*Y52)</f>
        <v>8.3143415424308174</v>
      </c>
      <c r="BE52" s="2">
        <f>+AO52*EXP(-0.024*Y52)</f>
        <v>27.424526186271276</v>
      </c>
    </row>
    <row r="53" spans="1:57" x14ac:dyDescent="0.2">
      <c r="A53" s="2" t="s">
        <v>2452</v>
      </c>
      <c r="B53" s="2" t="s">
        <v>19</v>
      </c>
      <c r="C53" s="2" t="s">
        <v>1907</v>
      </c>
      <c r="D53" s="2" t="s">
        <v>21</v>
      </c>
      <c r="E53" s="2" t="s">
        <v>2453</v>
      </c>
      <c r="F53" s="2">
        <v>4</v>
      </c>
      <c r="G53" s="2">
        <v>450</v>
      </c>
      <c r="H53" s="2">
        <v>4</v>
      </c>
      <c r="I53" s="2">
        <v>5</v>
      </c>
      <c r="J53" s="2">
        <v>4</v>
      </c>
      <c r="K53" s="2" t="s">
        <v>61</v>
      </c>
      <c r="L53" s="6" t="s">
        <v>113</v>
      </c>
      <c r="M53" s="5">
        <v>3300000000</v>
      </c>
      <c r="N53" s="2">
        <v>0</v>
      </c>
      <c r="O53" s="2">
        <v>4.8247077799999998</v>
      </c>
      <c r="P53" s="2">
        <v>-74.03131424</v>
      </c>
      <c r="Q53" s="2" t="s">
        <v>2454</v>
      </c>
      <c r="R53" s="2">
        <v>7333333.3329999996</v>
      </c>
      <c r="S53" s="2">
        <v>0</v>
      </c>
      <c r="T53" s="2" t="s">
        <v>102</v>
      </c>
      <c r="U53" s="2" t="s">
        <v>103</v>
      </c>
      <c r="V53" s="2" t="s">
        <v>28</v>
      </c>
      <c r="W53" s="2" t="s">
        <v>70</v>
      </c>
      <c r="X53" s="2" t="s">
        <v>104</v>
      </c>
      <c r="Y53" s="2">
        <v>4.7761869816625202</v>
      </c>
      <c r="Z53" s="2">
        <v>4.7837500000000004</v>
      </c>
      <c r="AA53" s="2">
        <v>-74.044138888888895</v>
      </c>
      <c r="AB53" s="2">
        <v>2580</v>
      </c>
      <c r="AC53" s="2" t="s">
        <v>105</v>
      </c>
      <c r="AD53" s="2" t="s">
        <v>58</v>
      </c>
      <c r="AE53" s="2" t="s">
        <v>33</v>
      </c>
      <c r="AF53" s="2" t="s">
        <v>34</v>
      </c>
      <c r="AG53" s="2" t="s">
        <v>72</v>
      </c>
      <c r="AH53" s="2">
        <v>6.3241283579626604</v>
      </c>
      <c r="AI53" s="2">
        <v>1.5903960203776499</v>
      </c>
      <c r="AJ53" s="2">
        <v>3.2357101988881798</v>
      </c>
      <c r="AK53" s="2">
        <v>5.4065212987776503</v>
      </c>
      <c r="AL53" s="2">
        <v>0.62225834454731099</v>
      </c>
      <c r="AM53" s="2">
        <v>15.3</v>
      </c>
      <c r="AN53" s="2">
        <v>9.8000000000000007</v>
      </c>
      <c r="AO53" s="2">
        <v>29.7</v>
      </c>
      <c r="AP53" s="2">
        <v>564</v>
      </c>
      <c r="AQ53" s="2">
        <v>68</v>
      </c>
      <c r="AR53" s="2">
        <v>1.8</v>
      </c>
      <c r="AS53" s="2">
        <v>43</v>
      </c>
      <c r="AT53" s="2">
        <v>25.4</v>
      </c>
      <c r="AU53" s="2">
        <v>162</v>
      </c>
      <c r="AV53" s="2">
        <v>9.1</v>
      </c>
      <c r="AW53" s="2">
        <v>9.1999999999999993</v>
      </c>
      <c r="AX53" s="2">
        <v>18.3</v>
      </c>
      <c r="AY53" s="2">
        <v>0.34</v>
      </c>
      <c r="AZ53" s="2">
        <v>7.3</v>
      </c>
      <c r="BA53" s="2">
        <v>0.9</v>
      </c>
      <c r="BB53" s="2">
        <v>7.5</v>
      </c>
      <c r="BC53" s="2">
        <v>2.9</v>
      </c>
      <c r="BD53" s="2">
        <f>+AN53*EXP(-0.0495*Y53)</f>
        <v>7.736590835836882</v>
      </c>
      <c r="BE53" s="2">
        <f>+AO53*EXP(-0.024*Y53)</f>
        <v>26.483411563471304</v>
      </c>
    </row>
    <row r="54" spans="1:57" x14ac:dyDescent="0.2">
      <c r="A54" s="2" t="s">
        <v>1996</v>
      </c>
      <c r="B54" s="2" t="s">
        <v>19</v>
      </c>
      <c r="C54" s="2" t="s">
        <v>1907</v>
      </c>
      <c r="D54" s="2" t="s">
        <v>21</v>
      </c>
      <c r="E54" s="2" t="s">
        <v>483</v>
      </c>
      <c r="F54" s="2">
        <v>6</v>
      </c>
      <c r="G54" s="2">
        <v>450</v>
      </c>
      <c r="H54" s="2">
        <v>3</v>
      </c>
      <c r="I54" s="2">
        <v>4</v>
      </c>
      <c r="J54" s="2">
        <v>4</v>
      </c>
      <c r="K54" s="2" t="s">
        <v>61</v>
      </c>
      <c r="L54" s="6" t="s">
        <v>113</v>
      </c>
      <c r="M54" s="5">
        <v>3280000000</v>
      </c>
      <c r="N54" s="2">
        <v>0</v>
      </c>
      <c r="O54" s="2">
        <v>4.7131259749999996</v>
      </c>
      <c r="P54" s="2">
        <v>-74.079440300000002</v>
      </c>
      <c r="Q54" s="2" t="s">
        <v>1997</v>
      </c>
      <c r="R54" s="2">
        <v>7288888.8890000004</v>
      </c>
      <c r="S54" s="2">
        <v>0</v>
      </c>
      <c r="T54" s="2" t="s">
        <v>68</v>
      </c>
      <c r="U54" s="2" t="s">
        <v>69</v>
      </c>
      <c r="V54" s="2" t="s">
        <v>28</v>
      </c>
      <c r="W54" s="2" t="s">
        <v>70</v>
      </c>
      <c r="X54" s="2" t="s">
        <v>71</v>
      </c>
      <c r="Y54" s="2">
        <v>2.8985413751468099</v>
      </c>
      <c r="Z54" s="2">
        <v>4.73719444444444</v>
      </c>
      <c r="AA54" s="2">
        <v>-74.069472222222203</v>
      </c>
      <c r="AB54" s="2">
        <v>2555</v>
      </c>
      <c r="AC54" s="2" t="s">
        <v>31</v>
      </c>
      <c r="AD54" s="2" t="s">
        <v>58</v>
      </c>
      <c r="AE54" s="2" t="s">
        <v>33</v>
      </c>
      <c r="AF54" s="2" t="s">
        <v>34</v>
      </c>
      <c r="AG54" s="2" t="s">
        <v>72</v>
      </c>
      <c r="AH54" s="2">
        <v>0.80060104631868501</v>
      </c>
      <c r="AI54" s="2">
        <v>5.3072687223304396</v>
      </c>
      <c r="AJ54" s="2">
        <v>0.98029607779975503</v>
      </c>
      <c r="AK54" s="2">
        <v>0.32285162892941199</v>
      </c>
      <c r="AL54" s="2">
        <v>0.41358870872957099</v>
      </c>
      <c r="AM54" s="2">
        <v>15.3</v>
      </c>
      <c r="AN54" s="2">
        <v>9.8000000000000007</v>
      </c>
      <c r="AO54" s="2">
        <v>29.7</v>
      </c>
      <c r="AP54" s="2">
        <v>564</v>
      </c>
      <c r="AQ54" s="2">
        <v>68</v>
      </c>
      <c r="AR54" s="2">
        <v>1.8</v>
      </c>
      <c r="AS54" s="2">
        <v>43</v>
      </c>
      <c r="AT54" s="2">
        <v>25.4</v>
      </c>
      <c r="AU54" s="2">
        <v>162</v>
      </c>
      <c r="AV54" s="2">
        <v>9.1</v>
      </c>
      <c r="AW54" s="2">
        <v>9.1999999999999993</v>
      </c>
      <c r="AX54" s="2">
        <v>18.3</v>
      </c>
      <c r="AY54" s="2">
        <v>0.34</v>
      </c>
      <c r="AZ54" s="2">
        <v>7.3</v>
      </c>
      <c r="BA54" s="2">
        <v>0.9</v>
      </c>
      <c r="BB54" s="2">
        <v>7.5</v>
      </c>
      <c r="BC54" s="2">
        <v>2.9</v>
      </c>
      <c r="BD54" s="2">
        <f>+AN54*EXP(-0.0495*Y54)</f>
        <v>8.4901323370683279</v>
      </c>
      <c r="BE54" s="2">
        <f>+AO54*EXP(-0.024*Y54)</f>
        <v>27.704145327392762</v>
      </c>
    </row>
    <row r="55" spans="1:57" x14ac:dyDescent="0.2">
      <c r="A55" s="2" t="s">
        <v>2240</v>
      </c>
      <c r="B55" s="2" t="s">
        <v>19</v>
      </c>
      <c r="C55" s="2" t="s">
        <v>1907</v>
      </c>
      <c r="D55" s="2" t="s">
        <v>21</v>
      </c>
      <c r="E55" s="2" t="s">
        <v>1675</v>
      </c>
      <c r="F55" s="2">
        <v>6</v>
      </c>
      <c r="G55" s="2">
        <v>450</v>
      </c>
      <c r="H55" s="2">
        <v>5</v>
      </c>
      <c r="I55" s="2">
        <v>5</v>
      </c>
      <c r="J55" s="2">
        <v>4</v>
      </c>
      <c r="K55" s="2" t="s">
        <v>61</v>
      </c>
      <c r="L55" s="6" t="s">
        <v>75</v>
      </c>
      <c r="M55" s="5">
        <v>2350000000</v>
      </c>
      <c r="N55" s="2">
        <v>0</v>
      </c>
      <c r="O55" s="2">
        <v>4.7639500000000004</v>
      </c>
      <c r="P55" s="2">
        <v>-74.061099999999996</v>
      </c>
      <c r="Q55" s="2" t="s">
        <v>2241</v>
      </c>
      <c r="R55" s="2">
        <v>5222222.2220000001</v>
      </c>
      <c r="S55" s="2">
        <v>0</v>
      </c>
      <c r="T55" s="2" t="s">
        <v>102</v>
      </c>
      <c r="U55" s="2" t="s">
        <v>103</v>
      </c>
      <c r="V55" s="2" t="s">
        <v>28</v>
      </c>
      <c r="W55" s="2" t="s">
        <v>70</v>
      </c>
      <c r="X55" s="2" t="s">
        <v>104</v>
      </c>
      <c r="Y55" s="2">
        <v>2.8980010651138302</v>
      </c>
      <c r="Z55" s="2">
        <v>4.7837500000000004</v>
      </c>
      <c r="AA55" s="2">
        <v>-74.044138888888895</v>
      </c>
      <c r="AB55" s="2">
        <v>2580</v>
      </c>
      <c r="AC55" s="2" t="s">
        <v>105</v>
      </c>
      <c r="AD55" s="2" t="s">
        <v>58</v>
      </c>
      <c r="AE55" s="2" t="s">
        <v>33</v>
      </c>
      <c r="AF55" s="2" t="s">
        <v>34</v>
      </c>
      <c r="AG55" s="2" t="s">
        <v>72</v>
      </c>
      <c r="AH55" s="2">
        <v>1.8478857785298699</v>
      </c>
      <c r="AI55" s="2">
        <v>4.2379587308217701</v>
      </c>
      <c r="AJ55" s="2">
        <v>1.4404799007548701</v>
      </c>
      <c r="AK55" s="2">
        <v>0.54535766989502799</v>
      </c>
      <c r="AL55" s="2">
        <v>8.6007372629043594E-2</v>
      </c>
      <c r="AM55" s="2">
        <v>15.3</v>
      </c>
      <c r="AN55" s="2">
        <v>9.8000000000000007</v>
      </c>
      <c r="AO55" s="2">
        <v>29.7</v>
      </c>
      <c r="AP55" s="2">
        <v>564</v>
      </c>
      <c r="AQ55" s="2">
        <v>68</v>
      </c>
      <c r="AR55" s="2">
        <v>1.8</v>
      </c>
      <c r="AS55" s="2">
        <v>43</v>
      </c>
      <c r="AT55" s="2">
        <v>25.4</v>
      </c>
      <c r="AU55" s="2">
        <v>162</v>
      </c>
      <c r="AV55" s="2">
        <v>9.1</v>
      </c>
      <c r="AW55" s="2">
        <v>9.1999999999999993</v>
      </c>
      <c r="AX55" s="2">
        <v>18.3</v>
      </c>
      <c r="AY55" s="2">
        <v>0.34</v>
      </c>
      <c r="AZ55" s="2">
        <v>7.3</v>
      </c>
      <c r="BA55" s="2">
        <v>0.9</v>
      </c>
      <c r="BB55" s="2">
        <v>7.5</v>
      </c>
      <c r="BC55" s="2">
        <v>2.9</v>
      </c>
      <c r="BD55" s="2">
        <f>+AN55*EXP(-0.0495*Y55)</f>
        <v>8.4903594116372183</v>
      </c>
      <c r="BE55" s="2">
        <f>+AO55*EXP(-0.024*Y55)</f>
        <v>27.704504581586271</v>
      </c>
    </row>
    <row r="56" spans="1:57" x14ac:dyDescent="0.2">
      <c r="A56" s="2" t="s">
        <v>2993</v>
      </c>
      <c r="B56" s="2" t="s">
        <v>19</v>
      </c>
      <c r="C56" s="2" t="s">
        <v>1907</v>
      </c>
      <c r="D56" s="2" t="s">
        <v>21</v>
      </c>
      <c r="E56" s="2" t="s">
        <v>1468</v>
      </c>
      <c r="F56" s="2">
        <v>6</v>
      </c>
      <c r="G56" s="2">
        <v>450</v>
      </c>
      <c r="H56" s="2">
        <v>5</v>
      </c>
      <c r="I56" s="2">
        <v>5</v>
      </c>
      <c r="J56" s="2">
        <v>3</v>
      </c>
      <c r="K56" s="2" t="s">
        <v>61</v>
      </c>
      <c r="L56" s="6" t="s">
        <v>113</v>
      </c>
      <c r="M56" s="5">
        <v>1800000000</v>
      </c>
      <c r="N56" s="2">
        <v>0</v>
      </c>
      <c r="O56" s="2">
        <v>4.7098399999999998</v>
      </c>
      <c r="P56" s="2">
        <v>-74.075479999999999</v>
      </c>
      <c r="Q56" s="2" t="s">
        <v>2994</v>
      </c>
      <c r="R56" s="2">
        <v>4000000</v>
      </c>
      <c r="S56" s="2">
        <v>0</v>
      </c>
      <c r="T56" s="2" t="s">
        <v>68</v>
      </c>
      <c r="U56" s="2" t="s">
        <v>69</v>
      </c>
      <c r="V56" s="2" t="s">
        <v>28</v>
      </c>
      <c r="W56" s="2" t="s">
        <v>70</v>
      </c>
      <c r="X56" s="2" t="s">
        <v>71</v>
      </c>
      <c r="Y56" s="2">
        <v>3.1171728858336598</v>
      </c>
      <c r="Z56" s="2">
        <v>4.73719444444444</v>
      </c>
      <c r="AA56" s="2">
        <v>-74.069472222222203</v>
      </c>
      <c r="AB56" s="2">
        <v>2555</v>
      </c>
      <c r="AC56" s="2" t="s">
        <v>31</v>
      </c>
      <c r="AD56" s="2" t="s">
        <v>58</v>
      </c>
      <c r="AE56" s="2" t="s">
        <v>33</v>
      </c>
      <c r="AF56" s="2" t="s">
        <v>34</v>
      </c>
      <c r="AG56" s="2" t="s">
        <v>72</v>
      </c>
      <c r="AH56" s="2">
        <v>0.42520841876850501</v>
      </c>
      <c r="AI56" s="2">
        <v>5.55235674903009</v>
      </c>
      <c r="AJ56" s="2">
        <v>0.89634067029709896</v>
      </c>
      <c r="AK56" s="2">
        <v>0.14557579501982901</v>
      </c>
      <c r="AL56" s="2">
        <v>0.37824771553757502</v>
      </c>
      <c r="AM56" s="2">
        <v>15.3</v>
      </c>
      <c r="AN56" s="2">
        <v>9.8000000000000007</v>
      </c>
      <c r="AO56" s="2">
        <v>29.7</v>
      </c>
      <c r="AP56" s="2">
        <v>564</v>
      </c>
      <c r="AQ56" s="2">
        <v>68</v>
      </c>
      <c r="AR56" s="2">
        <v>1.8</v>
      </c>
      <c r="AS56" s="2">
        <v>43</v>
      </c>
      <c r="AT56" s="2">
        <v>25.4</v>
      </c>
      <c r="AU56" s="2">
        <v>162</v>
      </c>
      <c r="AV56" s="2">
        <v>9.1</v>
      </c>
      <c r="AW56" s="2">
        <v>9.1999999999999993</v>
      </c>
      <c r="AX56" s="2">
        <v>18.3</v>
      </c>
      <c r="AY56" s="2">
        <v>0.34</v>
      </c>
      <c r="AZ56" s="2">
        <v>7.3</v>
      </c>
      <c r="BA56" s="2">
        <v>0.9</v>
      </c>
      <c r="BB56" s="2">
        <v>7.5</v>
      </c>
      <c r="BC56" s="2">
        <v>2.9</v>
      </c>
      <c r="BD56" s="2">
        <f>+AN56*EXP(-0.0495*Y56)</f>
        <v>8.3987453183325993</v>
      </c>
      <c r="BE56" s="2">
        <f>+AO56*EXP(-0.024*Y56)</f>
        <v>27.559158065972305</v>
      </c>
    </row>
    <row r="57" spans="1:57" x14ac:dyDescent="0.2">
      <c r="A57" s="2" t="s">
        <v>2604</v>
      </c>
      <c r="B57" s="2" t="s">
        <v>19</v>
      </c>
      <c r="C57" s="2" t="s">
        <v>1907</v>
      </c>
      <c r="D57" s="2" t="s">
        <v>21</v>
      </c>
      <c r="E57" s="2" t="s">
        <v>329</v>
      </c>
      <c r="F57" s="2">
        <v>5</v>
      </c>
      <c r="G57" s="2">
        <v>445</v>
      </c>
      <c r="H57" s="2">
        <v>4</v>
      </c>
      <c r="I57" s="2">
        <v>5</v>
      </c>
      <c r="J57" s="2">
        <v>4</v>
      </c>
      <c r="K57" s="2" t="s">
        <v>61</v>
      </c>
      <c r="L57" s="6" t="s">
        <v>113</v>
      </c>
      <c r="M57" s="5">
        <v>1400000000</v>
      </c>
      <c r="N57" s="2">
        <v>0</v>
      </c>
      <c r="O57" s="2">
        <v>4.7228784560000001</v>
      </c>
      <c r="P57" s="2">
        <v>-74.063934329999995</v>
      </c>
      <c r="Q57" s="2" t="s">
        <v>2605</v>
      </c>
      <c r="R57" s="2">
        <v>3146067.4160000002</v>
      </c>
      <c r="S57" s="2">
        <v>0</v>
      </c>
      <c r="T57" s="2" t="s">
        <v>68</v>
      </c>
      <c r="U57" s="2" t="s">
        <v>69</v>
      </c>
      <c r="V57" s="2" t="s">
        <v>28</v>
      </c>
      <c r="W57" s="2" t="s">
        <v>70</v>
      </c>
      <c r="X57" s="2" t="s">
        <v>71</v>
      </c>
      <c r="Y57" s="2">
        <v>1.70797345235394</v>
      </c>
      <c r="Z57" s="2">
        <v>4.73719444444444</v>
      </c>
      <c r="AA57" s="2">
        <v>-74.069472222222203</v>
      </c>
      <c r="AB57" s="2">
        <v>2555</v>
      </c>
      <c r="AC57" s="2" t="s">
        <v>31</v>
      </c>
      <c r="AD57" s="2" t="s">
        <v>58</v>
      </c>
      <c r="AE57" s="2" t="s">
        <v>33</v>
      </c>
      <c r="AF57" s="2" t="s">
        <v>34</v>
      </c>
      <c r="AG57" s="2" t="s">
        <v>72</v>
      </c>
      <c r="AH57" s="2">
        <v>1.20812552619262</v>
      </c>
      <c r="AI57" s="2">
        <v>4.4906945055463003</v>
      </c>
      <c r="AJ57" s="2">
        <v>1.06387459294801</v>
      </c>
      <c r="AK57" s="2">
        <v>8.1195827406925006E-2</v>
      </c>
      <c r="AL57" s="2">
        <v>0.50908793779003803</v>
      </c>
      <c r="AM57" s="2">
        <v>15.3</v>
      </c>
      <c r="AN57" s="2">
        <v>9.8000000000000007</v>
      </c>
      <c r="AO57" s="2">
        <v>29.7</v>
      </c>
      <c r="AP57" s="2">
        <v>564</v>
      </c>
      <c r="AQ57" s="2">
        <v>68</v>
      </c>
      <c r="AR57" s="2">
        <v>1.8</v>
      </c>
      <c r="AS57" s="2">
        <v>43</v>
      </c>
      <c r="AT57" s="2">
        <v>25.4</v>
      </c>
      <c r="AU57" s="2">
        <v>162</v>
      </c>
      <c r="AV57" s="2">
        <v>9.1</v>
      </c>
      <c r="AW57" s="2">
        <v>9.1999999999999993</v>
      </c>
      <c r="AX57" s="2">
        <v>18.3</v>
      </c>
      <c r="AY57" s="2">
        <v>0.34</v>
      </c>
      <c r="AZ57" s="2">
        <v>7.3</v>
      </c>
      <c r="BA57" s="2">
        <v>0.9</v>
      </c>
      <c r="BB57" s="2">
        <v>7.5</v>
      </c>
      <c r="BC57" s="2">
        <v>2.9</v>
      </c>
      <c r="BD57" s="2">
        <f>+AN57*EXP(-0.0495*Y57)</f>
        <v>9.0055197940209784</v>
      </c>
      <c r="BE57" s="2">
        <f>+AO57*EXP(-0.024*Y57)</f>
        <v>28.507171378916443</v>
      </c>
    </row>
    <row r="58" spans="1:57" x14ac:dyDescent="0.2">
      <c r="A58" s="2" t="s">
        <v>541</v>
      </c>
      <c r="B58" s="2" t="s">
        <v>19</v>
      </c>
      <c r="C58" s="2" t="s">
        <v>20</v>
      </c>
      <c r="D58" s="2" t="s">
        <v>21</v>
      </c>
      <c r="E58" s="2" t="s">
        <v>542</v>
      </c>
      <c r="F58" s="2">
        <v>6</v>
      </c>
      <c r="G58" s="2">
        <v>440</v>
      </c>
      <c r="H58" s="2">
        <v>2</v>
      </c>
      <c r="I58" s="2">
        <v>4</v>
      </c>
      <c r="J58" s="2">
        <v>4</v>
      </c>
      <c r="K58" s="2" t="s">
        <v>61</v>
      </c>
      <c r="L58" s="6" t="s">
        <v>113</v>
      </c>
      <c r="M58" s="5">
        <v>2950000000</v>
      </c>
      <c r="N58" s="2">
        <v>0</v>
      </c>
      <c r="O58" s="2">
        <v>4.7229233910000001</v>
      </c>
      <c r="P58" s="2">
        <v>-74.075728369999993</v>
      </c>
      <c r="Q58" s="2" t="s">
        <v>543</v>
      </c>
      <c r="R58" s="2">
        <v>6704545.4550000001</v>
      </c>
      <c r="S58" s="2">
        <v>0</v>
      </c>
      <c r="T58" s="2" t="s">
        <v>68</v>
      </c>
      <c r="U58" s="2" t="s">
        <v>69</v>
      </c>
      <c r="V58" s="2" t="s">
        <v>28</v>
      </c>
      <c r="W58" s="2" t="s">
        <v>70</v>
      </c>
      <c r="X58" s="2" t="s">
        <v>71</v>
      </c>
      <c r="Y58" s="2">
        <v>1.73364233155037</v>
      </c>
      <c r="Z58" s="2">
        <v>4.73719444444444</v>
      </c>
      <c r="AA58" s="2">
        <v>-74.069472222222203</v>
      </c>
      <c r="AB58" s="2">
        <v>2555</v>
      </c>
      <c r="AC58" s="2" t="s">
        <v>31</v>
      </c>
      <c r="AD58" s="2" t="s">
        <v>58</v>
      </c>
      <c r="AE58" s="2" t="s">
        <v>33</v>
      </c>
      <c r="AF58" s="2" t="s">
        <v>34</v>
      </c>
      <c r="AG58" s="2" t="s">
        <v>72</v>
      </c>
      <c r="AH58" s="2">
        <v>0.2149649956694</v>
      </c>
      <c r="AI58" s="2">
        <v>5.4979575435107</v>
      </c>
      <c r="AJ58" s="2">
        <v>0.82388174564803895</v>
      </c>
      <c r="AK58" s="2">
        <v>0.47874980477349699</v>
      </c>
      <c r="AL58" s="2">
        <v>0.17347837366487501</v>
      </c>
      <c r="AM58" s="2">
        <v>15.3</v>
      </c>
      <c r="AN58" s="2">
        <v>9.8000000000000007</v>
      </c>
      <c r="AO58" s="2">
        <v>29.7</v>
      </c>
      <c r="AP58" s="2">
        <v>564</v>
      </c>
      <c r="AQ58" s="2">
        <v>68</v>
      </c>
      <c r="AR58" s="2">
        <v>1.8</v>
      </c>
      <c r="AS58" s="2">
        <v>43</v>
      </c>
      <c r="AT58" s="2">
        <v>25.4</v>
      </c>
      <c r="AU58" s="2">
        <v>162</v>
      </c>
      <c r="AV58" s="2">
        <v>9.1</v>
      </c>
      <c r="AW58" s="2">
        <v>9.1999999999999993</v>
      </c>
      <c r="AX58" s="2">
        <v>18.3</v>
      </c>
      <c r="AY58" s="2">
        <v>0.34</v>
      </c>
      <c r="AZ58" s="2">
        <v>7.3</v>
      </c>
      <c r="BA58" s="2">
        <v>0.9</v>
      </c>
      <c r="BB58" s="2">
        <v>7.5</v>
      </c>
      <c r="BC58" s="2">
        <v>2.9</v>
      </c>
      <c r="BD58" s="2">
        <f>+AN58*EXP(-0.0495*Y58)</f>
        <v>8.9940845612324267</v>
      </c>
      <c r="BE58" s="2">
        <f>+AO58*EXP(-0.024*Y58)</f>
        <v>28.489614856026307</v>
      </c>
    </row>
    <row r="59" spans="1:57" x14ac:dyDescent="0.2">
      <c r="A59" s="2" t="s">
        <v>679</v>
      </c>
      <c r="B59" s="2" t="s">
        <v>19</v>
      </c>
      <c r="C59" s="2" t="s">
        <v>20</v>
      </c>
      <c r="D59" s="2" t="s">
        <v>21</v>
      </c>
      <c r="E59" s="2" t="s">
        <v>518</v>
      </c>
      <c r="F59" s="2">
        <v>6</v>
      </c>
      <c r="G59" s="2">
        <v>440</v>
      </c>
      <c r="H59" s="2">
        <v>4</v>
      </c>
      <c r="I59" s="2">
        <v>5</v>
      </c>
      <c r="J59" s="2">
        <v>4</v>
      </c>
      <c r="K59" s="2" t="s">
        <v>61</v>
      </c>
      <c r="L59" s="6" t="s">
        <v>113</v>
      </c>
      <c r="M59" s="5">
        <v>2800000000</v>
      </c>
      <c r="N59" s="2">
        <v>0</v>
      </c>
      <c r="O59" s="2">
        <v>4.7214879999999999</v>
      </c>
      <c r="P59" s="2">
        <v>-74.076368000000002</v>
      </c>
      <c r="Q59" s="2" t="s">
        <v>680</v>
      </c>
      <c r="R59" s="2">
        <v>6363636.3640000001</v>
      </c>
      <c r="S59" s="2">
        <v>0</v>
      </c>
      <c r="T59" s="2" t="s">
        <v>68</v>
      </c>
      <c r="U59" s="2" t="s">
        <v>69</v>
      </c>
      <c r="V59" s="2" t="s">
        <v>28</v>
      </c>
      <c r="W59" s="2" t="s">
        <v>70</v>
      </c>
      <c r="X59" s="2" t="s">
        <v>71</v>
      </c>
      <c r="Y59" s="2">
        <v>1.9084748684067101</v>
      </c>
      <c r="Z59" s="2">
        <v>4.73719444444444</v>
      </c>
      <c r="AA59" s="2">
        <v>-74.069472222222203</v>
      </c>
      <c r="AB59" s="2">
        <v>2555</v>
      </c>
      <c r="AC59" s="2" t="s">
        <v>31</v>
      </c>
      <c r="AD59" s="2" t="s">
        <v>58</v>
      </c>
      <c r="AE59" s="2" t="s">
        <v>33</v>
      </c>
      <c r="AF59" s="2" t="s">
        <v>34</v>
      </c>
      <c r="AG59" s="2" t="s">
        <v>72</v>
      </c>
      <c r="AH59" s="2">
        <v>0.185264258053877</v>
      </c>
      <c r="AI59" s="2">
        <v>5.4501225159782303</v>
      </c>
      <c r="AJ59" s="2">
        <v>0.75093535039807802</v>
      </c>
      <c r="AK59" s="2">
        <v>0.47100613690063597</v>
      </c>
      <c r="AL59" s="2">
        <v>0.16999881258147401</v>
      </c>
      <c r="AM59" s="2">
        <v>15.3</v>
      </c>
      <c r="AN59" s="2">
        <v>9.8000000000000007</v>
      </c>
      <c r="AO59" s="2">
        <v>29.7</v>
      </c>
      <c r="AP59" s="2">
        <v>564</v>
      </c>
      <c r="AQ59" s="2">
        <v>68</v>
      </c>
      <c r="AR59" s="2">
        <v>1.8</v>
      </c>
      <c r="AS59" s="2">
        <v>43</v>
      </c>
      <c r="AT59" s="2">
        <v>25.4</v>
      </c>
      <c r="AU59" s="2">
        <v>162</v>
      </c>
      <c r="AV59" s="2">
        <v>9.1</v>
      </c>
      <c r="AW59" s="2">
        <v>9.1999999999999993</v>
      </c>
      <c r="AX59" s="2">
        <v>18.3</v>
      </c>
      <c r="AY59" s="2">
        <v>0.34</v>
      </c>
      <c r="AZ59" s="2">
        <v>7.3</v>
      </c>
      <c r="BA59" s="2">
        <v>0.9</v>
      </c>
      <c r="BB59" s="2">
        <v>7.5</v>
      </c>
      <c r="BC59" s="2">
        <v>2.9</v>
      </c>
      <c r="BD59" s="2">
        <f>+AN59*EXP(-0.0495*Y59)</f>
        <v>8.9165836976163675</v>
      </c>
      <c r="BE59" s="2">
        <f>+AO59*EXP(-0.024*Y59)</f>
        <v>28.370323423989326</v>
      </c>
    </row>
    <row r="60" spans="1:57" x14ac:dyDescent="0.2">
      <c r="A60" s="2" t="s">
        <v>2831</v>
      </c>
      <c r="B60" s="2" t="s">
        <v>19</v>
      </c>
      <c r="C60" s="2" t="s">
        <v>1907</v>
      </c>
      <c r="D60" s="2" t="s">
        <v>21</v>
      </c>
      <c r="E60" s="2" t="s">
        <v>2212</v>
      </c>
      <c r="F60" s="2">
        <v>6</v>
      </c>
      <c r="G60" s="2">
        <v>440</v>
      </c>
      <c r="H60" s="2">
        <v>5</v>
      </c>
      <c r="I60" s="2">
        <v>5</v>
      </c>
      <c r="J60" s="2">
        <v>4</v>
      </c>
      <c r="K60" s="2" t="s">
        <v>61</v>
      </c>
      <c r="L60" s="6" t="s">
        <v>75</v>
      </c>
      <c r="M60" s="5">
        <v>2700000000</v>
      </c>
      <c r="N60" s="2">
        <v>0</v>
      </c>
      <c r="O60" s="2">
        <v>4.8133822999999998</v>
      </c>
      <c r="P60" s="2">
        <v>-74.055931700000002</v>
      </c>
      <c r="Q60" s="2" t="s">
        <v>2832</v>
      </c>
      <c r="R60" s="2">
        <v>6136363.6359999999</v>
      </c>
      <c r="S60" s="2">
        <v>0</v>
      </c>
      <c r="T60" s="2" t="s">
        <v>102</v>
      </c>
      <c r="U60" s="2" t="s">
        <v>103</v>
      </c>
      <c r="V60" s="2" t="s">
        <v>28</v>
      </c>
      <c r="W60" s="2" t="s">
        <v>70</v>
      </c>
      <c r="X60" s="2" t="s">
        <v>104</v>
      </c>
      <c r="Y60" s="2">
        <v>3.5485790355580602</v>
      </c>
      <c r="Z60" s="2">
        <v>4.7837500000000004</v>
      </c>
      <c r="AA60" s="2">
        <v>-74.044138888888895</v>
      </c>
      <c r="AB60" s="2">
        <v>2580</v>
      </c>
      <c r="AC60" s="2" t="s">
        <v>105</v>
      </c>
      <c r="AD60" s="2" t="s">
        <v>58</v>
      </c>
      <c r="AE60" s="2" t="s">
        <v>33</v>
      </c>
      <c r="AF60" s="2" t="s">
        <v>34</v>
      </c>
      <c r="AG60" s="2" t="s">
        <v>72</v>
      </c>
      <c r="AH60" s="2">
        <v>5.11186108784411</v>
      </c>
      <c r="AI60" s="2">
        <v>1.3166096005351</v>
      </c>
      <c r="AJ60" s="2">
        <v>1.77127460269208</v>
      </c>
      <c r="AK60" s="2">
        <v>3.48173718787841</v>
      </c>
      <c r="AL60" s="2">
        <v>1.2584123196380901</v>
      </c>
      <c r="AM60" s="2">
        <v>15.3</v>
      </c>
      <c r="AN60" s="2">
        <v>9.8000000000000007</v>
      </c>
      <c r="AO60" s="2">
        <v>29.7</v>
      </c>
      <c r="AP60" s="2">
        <v>564</v>
      </c>
      <c r="AQ60" s="2">
        <v>68</v>
      </c>
      <c r="AR60" s="2">
        <v>1.8</v>
      </c>
      <c r="AS60" s="2">
        <v>43</v>
      </c>
      <c r="AT60" s="2">
        <v>25.4</v>
      </c>
      <c r="AU60" s="2">
        <v>162</v>
      </c>
      <c r="AV60" s="2">
        <v>9.1</v>
      </c>
      <c r="AW60" s="2">
        <v>9.1999999999999993</v>
      </c>
      <c r="AX60" s="2">
        <v>18.3</v>
      </c>
      <c r="AY60" s="2">
        <v>0.34</v>
      </c>
      <c r="AZ60" s="2">
        <v>7.3</v>
      </c>
      <c r="BA60" s="2">
        <v>0.9</v>
      </c>
      <c r="BB60" s="2">
        <v>7.5</v>
      </c>
      <c r="BC60" s="2">
        <v>2.9</v>
      </c>
      <c r="BD60" s="2">
        <f>+AN60*EXP(-0.0495*Y60)</f>
        <v>8.221294869920758</v>
      </c>
      <c r="BE60" s="2">
        <f>+AO60*EXP(-0.024*Y60)</f>
        <v>27.27528958665264</v>
      </c>
    </row>
    <row r="61" spans="1:57" x14ac:dyDescent="0.2">
      <c r="A61" s="2" t="s">
        <v>3090</v>
      </c>
      <c r="B61" s="2" t="s">
        <v>19</v>
      </c>
      <c r="C61" s="2" t="s">
        <v>1907</v>
      </c>
      <c r="D61" s="2" t="s">
        <v>21</v>
      </c>
      <c r="E61" s="2" t="s">
        <v>1675</v>
      </c>
      <c r="F61" s="2">
        <v>5</v>
      </c>
      <c r="G61" s="2">
        <v>434</v>
      </c>
      <c r="H61" s="2">
        <v>4</v>
      </c>
      <c r="I61" s="2">
        <v>3</v>
      </c>
      <c r="J61" s="2">
        <v>4</v>
      </c>
      <c r="K61" s="2" t="s">
        <v>61</v>
      </c>
      <c r="L61" s="6" t="s">
        <v>113</v>
      </c>
      <c r="M61" s="5">
        <v>1800000000</v>
      </c>
      <c r="N61" s="2">
        <v>0</v>
      </c>
      <c r="O61" s="2">
        <v>4.7648099999999998</v>
      </c>
      <c r="P61" s="2">
        <v>-74.060370000000006</v>
      </c>
      <c r="Q61" s="2" t="s">
        <v>3091</v>
      </c>
      <c r="R61" s="2">
        <v>4147465.4380000001</v>
      </c>
      <c r="S61" s="2">
        <v>0</v>
      </c>
      <c r="T61" s="2" t="s">
        <v>102</v>
      </c>
      <c r="U61" s="2" t="s">
        <v>103</v>
      </c>
      <c r="V61" s="2" t="s">
        <v>28</v>
      </c>
      <c r="W61" s="2" t="s">
        <v>70</v>
      </c>
      <c r="X61" s="2" t="s">
        <v>104</v>
      </c>
      <c r="Y61" s="2">
        <v>2.7726098003874902</v>
      </c>
      <c r="Z61" s="2">
        <v>4.7837500000000004</v>
      </c>
      <c r="AA61" s="2">
        <v>-74.044138888888895</v>
      </c>
      <c r="AB61" s="2">
        <v>2580</v>
      </c>
      <c r="AC61" s="2" t="s">
        <v>105</v>
      </c>
      <c r="AD61" s="2" t="s">
        <v>58</v>
      </c>
      <c r="AE61" s="2" t="s">
        <v>33</v>
      </c>
      <c r="AF61" s="2" t="s">
        <v>34</v>
      </c>
      <c r="AG61" s="2" t="s">
        <v>72</v>
      </c>
      <c r="AH61" s="2">
        <v>1.7731996291961001</v>
      </c>
      <c r="AI61" s="2">
        <v>4.1589609980499</v>
      </c>
      <c r="AJ61" s="2">
        <v>1.4752271836798301</v>
      </c>
      <c r="AK61" s="2">
        <v>0.63279767467354597</v>
      </c>
      <c r="AL61" s="2">
        <v>0.21062522005224199</v>
      </c>
      <c r="AM61" s="2">
        <v>15.3</v>
      </c>
      <c r="AN61" s="2">
        <v>9.8000000000000007</v>
      </c>
      <c r="AO61" s="2">
        <v>29.7</v>
      </c>
      <c r="AP61" s="2">
        <v>564</v>
      </c>
      <c r="AQ61" s="2">
        <v>68</v>
      </c>
      <c r="AR61" s="2">
        <v>1.8</v>
      </c>
      <c r="AS61" s="2">
        <v>43</v>
      </c>
      <c r="AT61" s="2">
        <v>25.4</v>
      </c>
      <c r="AU61" s="2">
        <v>162</v>
      </c>
      <c r="AV61" s="2">
        <v>9.1</v>
      </c>
      <c r="AW61" s="2">
        <v>9.1999999999999993</v>
      </c>
      <c r="AX61" s="2">
        <v>18.3</v>
      </c>
      <c r="AY61" s="2">
        <v>0.34</v>
      </c>
      <c r="AZ61" s="2">
        <v>7.3</v>
      </c>
      <c r="BA61" s="2">
        <v>0.9</v>
      </c>
      <c r="BB61" s="2">
        <v>7.5</v>
      </c>
      <c r="BC61" s="2">
        <v>2.9</v>
      </c>
      <c r="BD61" s="2">
        <f>+AN61*EXP(-0.0495*Y61)</f>
        <v>8.5432218337316197</v>
      </c>
      <c r="BE61" s="2">
        <f>+AO61*EXP(-0.024*Y61)</f>
        <v>27.788003828317446</v>
      </c>
    </row>
    <row r="62" spans="1:57" x14ac:dyDescent="0.2">
      <c r="A62" s="2" t="s">
        <v>2509</v>
      </c>
      <c r="B62" s="2" t="s">
        <v>19</v>
      </c>
      <c r="C62" s="2" t="s">
        <v>1907</v>
      </c>
      <c r="D62" s="2" t="s">
        <v>21</v>
      </c>
      <c r="E62" s="2" t="s">
        <v>2212</v>
      </c>
      <c r="F62" s="2">
        <v>6</v>
      </c>
      <c r="G62" s="2">
        <v>432</v>
      </c>
      <c r="H62" s="2">
        <v>4</v>
      </c>
      <c r="I62" s="2">
        <v>5</v>
      </c>
      <c r="J62" s="2">
        <v>4</v>
      </c>
      <c r="K62" s="2" t="s">
        <v>61</v>
      </c>
      <c r="L62" s="6" t="s">
        <v>113</v>
      </c>
      <c r="M62" s="5">
        <v>2400000000</v>
      </c>
      <c r="N62" s="2">
        <v>0</v>
      </c>
      <c r="O62" s="2">
        <v>4.8165747000000003</v>
      </c>
      <c r="P62" s="2">
        <v>-74.055766199999994</v>
      </c>
      <c r="Q62" s="2" t="s">
        <v>2510</v>
      </c>
      <c r="R62" s="2">
        <v>5555555.5559999999</v>
      </c>
      <c r="S62" s="2">
        <v>0</v>
      </c>
      <c r="T62" s="2" t="s">
        <v>102</v>
      </c>
      <c r="U62" s="2" t="s">
        <v>103</v>
      </c>
      <c r="V62" s="2" t="s">
        <v>28</v>
      </c>
      <c r="W62" s="2" t="s">
        <v>70</v>
      </c>
      <c r="X62" s="2" t="s">
        <v>104</v>
      </c>
      <c r="Y62" s="2">
        <v>3.8749874992227702</v>
      </c>
      <c r="Z62" s="2">
        <v>4.7837500000000004</v>
      </c>
      <c r="AA62" s="2">
        <v>-74.044138888888895</v>
      </c>
      <c r="AB62" s="2">
        <v>2580</v>
      </c>
      <c r="AC62" s="2" t="s">
        <v>105</v>
      </c>
      <c r="AD62" s="2" t="s">
        <v>58</v>
      </c>
      <c r="AE62" s="2" t="s">
        <v>33</v>
      </c>
      <c r="AF62" s="2" t="s">
        <v>34</v>
      </c>
      <c r="AG62" s="2" t="s">
        <v>72</v>
      </c>
      <c r="AH62" s="2">
        <v>5.4479881426497503</v>
      </c>
      <c r="AI62" s="2">
        <v>0.98756805615827203</v>
      </c>
      <c r="AJ62" s="2">
        <v>2.0653010803591298</v>
      </c>
      <c r="AK62" s="2">
        <v>3.7401053578022401</v>
      </c>
      <c r="AL62" s="2">
        <v>0.95510282384575496</v>
      </c>
      <c r="AM62" s="2">
        <v>15.3</v>
      </c>
      <c r="AN62" s="2">
        <v>9.8000000000000007</v>
      </c>
      <c r="AO62" s="2">
        <v>29.7</v>
      </c>
      <c r="AP62" s="2">
        <v>564</v>
      </c>
      <c r="AQ62" s="2">
        <v>68</v>
      </c>
      <c r="AR62" s="2">
        <v>1.8</v>
      </c>
      <c r="AS62" s="2">
        <v>43</v>
      </c>
      <c r="AT62" s="2">
        <v>25.4</v>
      </c>
      <c r="AU62" s="2">
        <v>162</v>
      </c>
      <c r="AV62" s="2">
        <v>9.1</v>
      </c>
      <c r="AW62" s="2">
        <v>9.1999999999999993</v>
      </c>
      <c r="AX62" s="2">
        <v>18.3</v>
      </c>
      <c r="AY62" s="2">
        <v>0.34</v>
      </c>
      <c r="AZ62" s="2">
        <v>7.3</v>
      </c>
      <c r="BA62" s="2">
        <v>0.9</v>
      </c>
      <c r="BB62" s="2">
        <v>7.5</v>
      </c>
      <c r="BC62" s="2">
        <v>2.9</v>
      </c>
      <c r="BD62" s="2">
        <f>+AN62*EXP(-0.0495*Y62)</f>
        <v>8.0895289604759526</v>
      </c>
      <c r="BE62" s="2">
        <f>+AO62*EXP(-0.024*Y62)</f>
        <v>27.062455078035491</v>
      </c>
    </row>
    <row r="63" spans="1:57" x14ac:dyDescent="0.2">
      <c r="A63" s="2" t="s">
        <v>3122</v>
      </c>
      <c r="B63" s="2" t="s">
        <v>19</v>
      </c>
      <c r="C63" s="2" t="s">
        <v>1907</v>
      </c>
      <c r="D63" s="2" t="s">
        <v>21</v>
      </c>
      <c r="E63" s="2" t="s">
        <v>3117</v>
      </c>
      <c r="F63" s="2">
        <v>6</v>
      </c>
      <c r="G63" s="2">
        <v>427</v>
      </c>
      <c r="H63" s="2">
        <v>5</v>
      </c>
      <c r="I63" s="2">
        <v>5</v>
      </c>
      <c r="J63" s="2">
        <v>4</v>
      </c>
      <c r="K63" s="2" t="s">
        <v>61</v>
      </c>
      <c r="L63" s="6" t="s">
        <v>75</v>
      </c>
      <c r="M63" s="5">
        <v>2800000000</v>
      </c>
      <c r="N63" s="2">
        <v>0</v>
      </c>
      <c r="O63" s="2">
        <v>4.8201260000000001</v>
      </c>
      <c r="P63" s="2">
        <v>-74.051602000000003</v>
      </c>
      <c r="Q63" s="2" t="s">
        <v>3123</v>
      </c>
      <c r="R63" s="2">
        <v>6557377.0489999996</v>
      </c>
      <c r="S63" s="2">
        <v>0</v>
      </c>
      <c r="T63" s="2" t="s">
        <v>102</v>
      </c>
      <c r="U63" s="2" t="s">
        <v>103</v>
      </c>
      <c r="V63" s="2" t="s">
        <v>28</v>
      </c>
      <c r="W63" s="2" t="s">
        <v>70</v>
      </c>
      <c r="X63" s="2" t="s">
        <v>104</v>
      </c>
      <c r="Y63" s="2">
        <v>4.1331190856013498</v>
      </c>
      <c r="Z63" s="2">
        <v>4.7837500000000004</v>
      </c>
      <c r="AA63" s="2">
        <v>-74.044138888888895</v>
      </c>
      <c r="AB63" s="2">
        <v>2580</v>
      </c>
      <c r="AC63" s="2" t="s">
        <v>105</v>
      </c>
      <c r="AD63" s="2" t="s">
        <v>58</v>
      </c>
      <c r="AE63" s="2" t="s">
        <v>33</v>
      </c>
      <c r="AF63" s="2" t="s">
        <v>34</v>
      </c>
      <c r="AG63" s="2" t="s">
        <v>72</v>
      </c>
      <c r="AH63" s="2">
        <v>5.7395165538877402</v>
      </c>
      <c r="AI63" s="2">
        <v>0.76506765924192699</v>
      </c>
      <c r="AJ63" s="2">
        <v>2.2747367742370499</v>
      </c>
      <c r="AK63" s="2">
        <v>4.3435939883250398</v>
      </c>
      <c r="AL63" s="2">
        <v>0.37209261312414599</v>
      </c>
      <c r="AM63" s="2">
        <v>15.3</v>
      </c>
      <c r="AN63" s="2">
        <v>9.8000000000000007</v>
      </c>
      <c r="AO63" s="2">
        <v>29.7</v>
      </c>
      <c r="AP63" s="2">
        <v>564</v>
      </c>
      <c r="AQ63" s="2">
        <v>68</v>
      </c>
      <c r="AR63" s="2">
        <v>1.8</v>
      </c>
      <c r="AS63" s="2">
        <v>43</v>
      </c>
      <c r="AT63" s="2">
        <v>25.4</v>
      </c>
      <c r="AU63" s="2">
        <v>162</v>
      </c>
      <c r="AV63" s="2">
        <v>9.1</v>
      </c>
      <c r="AW63" s="2">
        <v>9.1999999999999993</v>
      </c>
      <c r="AX63" s="2">
        <v>18.3</v>
      </c>
      <c r="AY63" s="2">
        <v>0.34</v>
      </c>
      <c r="AZ63" s="2">
        <v>7.3</v>
      </c>
      <c r="BA63" s="2">
        <v>0.9</v>
      </c>
      <c r="BB63" s="2">
        <v>7.5</v>
      </c>
      <c r="BC63" s="2">
        <v>2.9</v>
      </c>
      <c r="BD63" s="2">
        <f>+AN63*EXP(-0.0495*Y63)</f>
        <v>7.9868224589822949</v>
      </c>
      <c r="BE63" s="2">
        <f>+AO63*EXP(-0.024*Y63)</f>
        <v>26.895317148490285</v>
      </c>
    </row>
    <row r="64" spans="1:57" x14ac:dyDescent="0.2">
      <c r="A64" s="2" t="s">
        <v>2722</v>
      </c>
      <c r="B64" s="2" t="s">
        <v>19</v>
      </c>
      <c r="C64" s="2" t="s">
        <v>1907</v>
      </c>
      <c r="D64" s="2" t="s">
        <v>21</v>
      </c>
      <c r="E64" s="2" t="s">
        <v>493</v>
      </c>
      <c r="F64" s="2">
        <v>6</v>
      </c>
      <c r="G64" s="2">
        <v>422.7</v>
      </c>
      <c r="H64" s="2">
        <v>4</v>
      </c>
      <c r="I64" s="2">
        <v>5</v>
      </c>
      <c r="J64" s="2">
        <v>3</v>
      </c>
      <c r="K64" s="2" t="s">
        <v>61</v>
      </c>
      <c r="L64" s="6" t="s">
        <v>113</v>
      </c>
      <c r="M64" s="5">
        <v>3700000000</v>
      </c>
      <c r="N64" s="2">
        <v>0</v>
      </c>
      <c r="O64" s="2">
        <v>4.7315206529999996</v>
      </c>
      <c r="P64" s="2">
        <v>-74.084068299999998</v>
      </c>
      <c r="Q64" s="2" t="s">
        <v>2723</v>
      </c>
      <c r="R64" s="2">
        <v>8753252.898</v>
      </c>
      <c r="S64" s="2">
        <v>0</v>
      </c>
      <c r="T64" s="2" t="s">
        <v>68</v>
      </c>
      <c r="U64" s="2" t="s">
        <v>69</v>
      </c>
      <c r="V64" s="2" t="s">
        <v>28</v>
      </c>
      <c r="W64" s="2" t="s">
        <v>70</v>
      </c>
      <c r="X64" s="2" t="s">
        <v>71</v>
      </c>
      <c r="Y64" s="2">
        <v>1.7381036321939201</v>
      </c>
      <c r="Z64" s="2">
        <v>4.73719444444444</v>
      </c>
      <c r="AA64" s="2">
        <v>-74.069472222222203</v>
      </c>
      <c r="AB64" s="2">
        <v>2555</v>
      </c>
      <c r="AC64" s="2" t="s">
        <v>31</v>
      </c>
      <c r="AD64" s="2" t="s">
        <v>58</v>
      </c>
      <c r="AE64" s="2" t="s">
        <v>33</v>
      </c>
      <c r="AF64" s="2" t="s">
        <v>34</v>
      </c>
      <c r="AG64" s="2" t="s">
        <v>72</v>
      </c>
      <c r="AH64" s="2">
        <v>0.55761715522047794</v>
      </c>
      <c r="AI64" s="2">
        <v>4.5354579583136996</v>
      </c>
      <c r="AJ64" s="2">
        <v>2.1437555617052499</v>
      </c>
      <c r="AK64" s="2">
        <v>0.29278141584735201</v>
      </c>
      <c r="AL64" s="2">
        <v>2.8258551972585302E-3</v>
      </c>
      <c r="AM64" s="2">
        <v>15.3</v>
      </c>
      <c r="AN64" s="2">
        <v>9.8000000000000007</v>
      </c>
      <c r="AO64" s="2">
        <v>29.7</v>
      </c>
      <c r="AP64" s="2">
        <v>564</v>
      </c>
      <c r="AQ64" s="2">
        <v>68</v>
      </c>
      <c r="AR64" s="2">
        <v>1.8</v>
      </c>
      <c r="AS64" s="2">
        <v>43</v>
      </c>
      <c r="AT64" s="2">
        <v>25.4</v>
      </c>
      <c r="AU64" s="2">
        <v>162</v>
      </c>
      <c r="AV64" s="2">
        <v>9.1</v>
      </c>
      <c r="AW64" s="2">
        <v>9.1999999999999993</v>
      </c>
      <c r="AX64" s="2">
        <v>18.3</v>
      </c>
      <c r="AY64" s="2">
        <v>0.34</v>
      </c>
      <c r="AZ64" s="2">
        <v>7.3</v>
      </c>
      <c r="BA64" s="2">
        <v>0.9</v>
      </c>
      <c r="BB64" s="2">
        <v>7.5</v>
      </c>
      <c r="BC64" s="2">
        <v>2.9</v>
      </c>
      <c r="BD64" s="2">
        <f>+AN64*EXP(-0.0495*Y64)</f>
        <v>8.9920985774228139</v>
      </c>
      <c r="BE64" s="2">
        <f>+AO64*EXP(-0.024*Y64)</f>
        <v>28.486564601636243</v>
      </c>
    </row>
    <row r="65" spans="1:57" x14ac:dyDescent="0.2">
      <c r="A65" s="2" t="s">
        <v>2023</v>
      </c>
      <c r="B65" s="2" t="s">
        <v>19</v>
      </c>
      <c r="C65" s="2" t="s">
        <v>1907</v>
      </c>
      <c r="D65" s="2" t="s">
        <v>21</v>
      </c>
      <c r="E65" s="2" t="s">
        <v>1675</v>
      </c>
      <c r="F65" s="2">
        <v>5</v>
      </c>
      <c r="G65" s="2">
        <v>420</v>
      </c>
      <c r="H65" s="2">
        <v>4</v>
      </c>
      <c r="I65" s="2">
        <v>5</v>
      </c>
      <c r="J65" s="2">
        <v>4</v>
      </c>
      <c r="K65" s="2" t="s">
        <v>61</v>
      </c>
      <c r="L65" s="6" t="s">
        <v>113</v>
      </c>
      <c r="M65" s="5">
        <v>2350000000</v>
      </c>
      <c r="N65" s="2">
        <v>0</v>
      </c>
      <c r="O65" s="2">
        <v>4.7628903390000001</v>
      </c>
      <c r="P65" s="2">
        <v>-74.063407900000001</v>
      </c>
      <c r="Q65" s="2" t="s">
        <v>2024</v>
      </c>
      <c r="R65" s="2">
        <v>5595238.0949999997</v>
      </c>
      <c r="S65" s="2">
        <v>0</v>
      </c>
      <c r="T65" s="2" t="s">
        <v>68</v>
      </c>
      <c r="U65" s="2" t="s">
        <v>69</v>
      </c>
      <c r="V65" s="2" t="s">
        <v>28</v>
      </c>
      <c r="W65" s="2" t="s">
        <v>70</v>
      </c>
      <c r="X65" s="2" t="s">
        <v>71</v>
      </c>
      <c r="Y65" s="2">
        <v>2.9385031424983801</v>
      </c>
      <c r="Z65" s="2">
        <v>4.73719444444444</v>
      </c>
      <c r="AA65" s="2">
        <v>-74.069472222222203</v>
      </c>
      <c r="AB65" s="2">
        <v>2555</v>
      </c>
      <c r="AC65" s="2" t="s">
        <v>31</v>
      </c>
      <c r="AD65" s="2" t="s">
        <v>58</v>
      </c>
      <c r="AE65" s="2" t="s">
        <v>33</v>
      </c>
      <c r="AF65" s="2" t="s">
        <v>34</v>
      </c>
      <c r="AG65" s="2" t="s">
        <v>72</v>
      </c>
      <c r="AH65" s="2">
        <v>2.10309342720746</v>
      </c>
      <c r="AI65" s="2">
        <v>4.1496649793445597</v>
      </c>
      <c r="AJ65" s="2">
        <v>1.52040602028392</v>
      </c>
      <c r="AK65" s="2">
        <v>0.40249848844393499</v>
      </c>
      <c r="AL65" s="2">
        <v>0.15124218243073301</v>
      </c>
      <c r="AM65" s="2">
        <v>15.3</v>
      </c>
      <c r="AN65" s="2">
        <v>9.8000000000000007</v>
      </c>
      <c r="AO65" s="2">
        <v>29.7</v>
      </c>
      <c r="AP65" s="2">
        <v>564</v>
      </c>
      <c r="AQ65" s="2">
        <v>68</v>
      </c>
      <c r="AR65" s="2">
        <v>1.8</v>
      </c>
      <c r="AS65" s="2">
        <v>43</v>
      </c>
      <c r="AT65" s="2">
        <v>25.4</v>
      </c>
      <c r="AU65" s="2">
        <v>162</v>
      </c>
      <c r="AV65" s="2">
        <v>9.1</v>
      </c>
      <c r="AW65" s="2">
        <v>9.1999999999999993</v>
      </c>
      <c r="AX65" s="2">
        <v>18.3</v>
      </c>
      <c r="AY65" s="2">
        <v>0.34</v>
      </c>
      <c r="AZ65" s="2">
        <v>7.3</v>
      </c>
      <c r="BA65" s="2">
        <v>0.9</v>
      </c>
      <c r="BB65" s="2">
        <v>7.5</v>
      </c>
      <c r="BC65" s="2">
        <v>2.9</v>
      </c>
      <c r="BD65" s="2">
        <f>+AN65*EXP(-0.0495*Y65)</f>
        <v>8.4733545423645129</v>
      </c>
      <c r="BE65" s="2">
        <f>+AO65*EXP(-0.024*Y65)</f>
        <v>27.677587506352154</v>
      </c>
    </row>
    <row r="66" spans="1:57" x14ac:dyDescent="0.2">
      <c r="A66" s="2" t="s">
        <v>3228</v>
      </c>
      <c r="B66" s="2" t="s">
        <v>19</v>
      </c>
      <c r="C66" s="2" t="s">
        <v>1907</v>
      </c>
      <c r="D66" s="2" t="s">
        <v>21</v>
      </c>
      <c r="E66" s="2" t="s">
        <v>2212</v>
      </c>
      <c r="F66" s="2">
        <v>6</v>
      </c>
      <c r="G66" s="2">
        <v>419</v>
      </c>
      <c r="H66" s="2">
        <v>4</v>
      </c>
      <c r="I66" s="2">
        <v>5</v>
      </c>
      <c r="J66" s="2">
        <v>4</v>
      </c>
      <c r="K66" s="2" t="s">
        <v>61</v>
      </c>
      <c r="L66" s="6" t="s">
        <v>75</v>
      </c>
      <c r="M66" s="5">
        <v>3400000000</v>
      </c>
      <c r="N66" s="2">
        <v>0</v>
      </c>
      <c r="O66" s="2">
        <v>4.8173899999999996</v>
      </c>
      <c r="P66" s="2">
        <v>-74.045379999999994</v>
      </c>
      <c r="Q66" s="2" t="s">
        <v>3229</v>
      </c>
      <c r="R66" s="2">
        <v>8114558.4730000002</v>
      </c>
      <c r="S66" s="2">
        <v>0</v>
      </c>
      <c r="T66" s="2" t="s">
        <v>102</v>
      </c>
      <c r="U66" s="2" t="s">
        <v>103</v>
      </c>
      <c r="V66" s="2" t="s">
        <v>28</v>
      </c>
      <c r="W66" s="2" t="s">
        <v>70</v>
      </c>
      <c r="X66" s="2" t="s">
        <v>104</v>
      </c>
      <c r="Y66" s="2">
        <v>3.7473175945618502</v>
      </c>
      <c r="Z66" s="2">
        <v>4.7837500000000004</v>
      </c>
      <c r="AA66" s="2">
        <v>-74.044138888888895</v>
      </c>
      <c r="AB66" s="2">
        <v>2580</v>
      </c>
      <c r="AC66" s="2" t="s">
        <v>105</v>
      </c>
      <c r="AD66" s="2" t="s">
        <v>58</v>
      </c>
      <c r="AE66" s="2" t="s">
        <v>33</v>
      </c>
      <c r="AF66" s="2" t="s">
        <v>34</v>
      </c>
      <c r="AG66" s="2" t="s">
        <v>72</v>
      </c>
      <c r="AH66" s="2">
        <v>5.3714392463335399</v>
      </c>
      <c r="AI66" s="2">
        <v>1.11173576139759</v>
      </c>
      <c r="AJ66" s="2">
        <v>1.9249184253062299</v>
      </c>
      <c r="AK66" s="2">
        <v>4.41568454062147</v>
      </c>
      <c r="AL66" s="2">
        <v>0.24623060467906999</v>
      </c>
      <c r="AM66" s="2">
        <v>15.3</v>
      </c>
      <c r="AN66" s="2">
        <v>9.8000000000000007</v>
      </c>
      <c r="AO66" s="2">
        <v>29.7</v>
      </c>
      <c r="AP66" s="2">
        <v>564</v>
      </c>
      <c r="AQ66" s="2">
        <v>68</v>
      </c>
      <c r="AR66" s="2">
        <v>1.8</v>
      </c>
      <c r="AS66" s="2">
        <v>43</v>
      </c>
      <c r="AT66" s="2">
        <v>25.4</v>
      </c>
      <c r="AU66" s="2">
        <v>162</v>
      </c>
      <c r="AV66" s="2">
        <v>9.1</v>
      </c>
      <c r="AW66" s="2">
        <v>9.1999999999999993</v>
      </c>
      <c r="AX66" s="2">
        <v>18.3</v>
      </c>
      <c r="AY66" s="2">
        <v>0.34</v>
      </c>
      <c r="AZ66" s="2">
        <v>7.3</v>
      </c>
      <c r="BA66" s="2">
        <v>0.9</v>
      </c>
      <c r="BB66" s="2">
        <v>7.5</v>
      </c>
      <c r="BC66" s="2">
        <v>2.9</v>
      </c>
      <c r="BD66" s="2">
        <f>+AN66*EXP(-0.0495*Y66)</f>
        <v>8.1408139164014326</v>
      </c>
      <c r="BE66" s="2">
        <f>+AO66*EXP(-0.024*Y66)</f>
        <v>27.145503712227217</v>
      </c>
    </row>
    <row r="67" spans="1:57" x14ac:dyDescent="0.2">
      <c r="A67" s="2" t="s">
        <v>2926</v>
      </c>
      <c r="B67" s="2" t="s">
        <v>19</v>
      </c>
      <c r="C67" s="2" t="s">
        <v>1907</v>
      </c>
      <c r="D67" s="2" t="s">
        <v>21</v>
      </c>
      <c r="E67" s="2" t="s">
        <v>2212</v>
      </c>
      <c r="F67" s="2">
        <v>6</v>
      </c>
      <c r="G67" s="2">
        <v>419</v>
      </c>
      <c r="H67" s="2">
        <v>4</v>
      </c>
      <c r="I67" s="2">
        <v>5</v>
      </c>
      <c r="J67" s="2">
        <v>4</v>
      </c>
      <c r="K67" s="2" t="s">
        <v>61</v>
      </c>
      <c r="L67" s="6" t="s">
        <v>75</v>
      </c>
      <c r="M67" s="5">
        <v>3400000000</v>
      </c>
      <c r="N67" s="2">
        <v>0</v>
      </c>
      <c r="O67" s="2">
        <v>4.817329</v>
      </c>
      <c r="P67" s="2">
        <v>-74.045213000000004</v>
      </c>
      <c r="Q67" s="2" t="s">
        <v>2927</v>
      </c>
      <c r="R67" s="2">
        <v>8114558.4730000002</v>
      </c>
      <c r="S67" s="2">
        <v>0</v>
      </c>
      <c r="T67" s="2" t="s">
        <v>102</v>
      </c>
      <c r="U67" s="2" t="s">
        <v>103</v>
      </c>
      <c r="V67" s="2" t="s">
        <v>28</v>
      </c>
      <c r="W67" s="2" t="s">
        <v>70</v>
      </c>
      <c r="X67" s="2" t="s">
        <v>104</v>
      </c>
      <c r="Y67" s="2">
        <v>3.7398956755904602</v>
      </c>
      <c r="Z67" s="2">
        <v>4.7837500000000004</v>
      </c>
      <c r="AA67" s="2">
        <v>-74.044138888888895</v>
      </c>
      <c r="AB67" s="2">
        <v>2580</v>
      </c>
      <c r="AC67" s="2" t="s">
        <v>105</v>
      </c>
      <c r="AD67" s="2" t="s">
        <v>58</v>
      </c>
      <c r="AE67" s="2" t="s">
        <v>33</v>
      </c>
      <c r="AF67" s="2" t="s">
        <v>34</v>
      </c>
      <c r="AG67" s="2" t="s">
        <v>72</v>
      </c>
      <c r="AH67" s="2">
        <v>5.36404295388677</v>
      </c>
      <c r="AI67" s="2">
        <v>1.1201734393198901</v>
      </c>
      <c r="AJ67" s="2">
        <v>1.9200930719145</v>
      </c>
      <c r="AK67" s="2">
        <v>4.4083256717905597</v>
      </c>
      <c r="AL67" s="2">
        <v>0.24416912651563599</v>
      </c>
      <c r="AM67" s="2">
        <v>15.3</v>
      </c>
      <c r="AN67" s="2">
        <v>9.8000000000000007</v>
      </c>
      <c r="AO67" s="2">
        <v>29.7</v>
      </c>
      <c r="AP67" s="2">
        <v>564</v>
      </c>
      <c r="AQ67" s="2">
        <v>68</v>
      </c>
      <c r="AR67" s="2">
        <v>1.8</v>
      </c>
      <c r="AS67" s="2">
        <v>43</v>
      </c>
      <c r="AT67" s="2">
        <v>25.4</v>
      </c>
      <c r="AU67" s="2">
        <v>162</v>
      </c>
      <c r="AV67" s="2">
        <v>9.1</v>
      </c>
      <c r="AW67" s="2">
        <v>9.1999999999999993</v>
      </c>
      <c r="AX67" s="2">
        <v>18.3</v>
      </c>
      <c r="AY67" s="2">
        <v>0.34</v>
      </c>
      <c r="AZ67" s="2">
        <v>7.3</v>
      </c>
      <c r="BA67" s="2">
        <v>0.9</v>
      </c>
      <c r="BB67" s="2">
        <v>7.5</v>
      </c>
      <c r="BC67" s="2">
        <v>2.9</v>
      </c>
      <c r="BD67" s="2">
        <f>+AN67*EXP(-0.0495*Y67)</f>
        <v>8.1438052786903974</v>
      </c>
      <c r="BE67" s="2">
        <f>+AO67*EXP(-0.024*Y67)</f>
        <v>27.150339464396911</v>
      </c>
    </row>
    <row r="68" spans="1:57" x14ac:dyDescent="0.2">
      <c r="A68" s="2" t="s">
        <v>2736</v>
      </c>
      <c r="B68" s="2" t="s">
        <v>19</v>
      </c>
      <c r="C68" s="2" t="s">
        <v>1907</v>
      </c>
      <c r="D68" s="2" t="s">
        <v>21</v>
      </c>
      <c r="E68" s="2" t="s">
        <v>499</v>
      </c>
      <c r="F68" s="2">
        <v>6</v>
      </c>
      <c r="G68" s="2">
        <v>417</v>
      </c>
      <c r="H68" s="2">
        <v>4</v>
      </c>
      <c r="I68" s="2">
        <v>5</v>
      </c>
      <c r="J68" s="2">
        <v>2</v>
      </c>
      <c r="K68" s="2" t="s">
        <v>61</v>
      </c>
      <c r="L68" s="6" t="s">
        <v>113</v>
      </c>
      <c r="M68" s="5">
        <v>1390000000</v>
      </c>
      <c r="N68" s="2">
        <v>0</v>
      </c>
      <c r="O68" s="2">
        <v>4.7209057809999999</v>
      </c>
      <c r="P68" s="2">
        <v>-74.079124449999995</v>
      </c>
      <c r="Q68" s="2" t="s">
        <v>2737</v>
      </c>
      <c r="R68" s="2">
        <v>3333333.3330000001</v>
      </c>
      <c r="S68" s="2">
        <v>0</v>
      </c>
      <c r="T68" s="2" t="s">
        <v>68</v>
      </c>
      <c r="U68" s="2" t="s">
        <v>69</v>
      </c>
      <c r="V68" s="2" t="s">
        <v>28</v>
      </c>
      <c r="W68" s="2" t="s">
        <v>70</v>
      </c>
      <c r="X68" s="2" t="s">
        <v>71</v>
      </c>
      <c r="Y68" s="2">
        <v>2.10583058365195</v>
      </c>
      <c r="Z68" s="2">
        <v>4.73719444444444</v>
      </c>
      <c r="AA68" s="2">
        <v>-74.069472222222203</v>
      </c>
      <c r="AB68" s="2">
        <v>2555</v>
      </c>
      <c r="AC68" s="2" t="s">
        <v>31</v>
      </c>
      <c r="AD68" s="2" t="s">
        <v>58</v>
      </c>
      <c r="AE68" s="2" t="s">
        <v>33</v>
      </c>
      <c r="AF68" s="2" t="s">
        <v>34</v>
      </c>
      <c r="AG68" s="2" t="s">
        <v>72</v>
      </c>
      <c r="AH68" s="2">
        <v>0.49089883547554403</v>
      </c>
      <c r="AI68" s="2">
        <v>5.1594994302809196</v>
      </c>
      <c r="AJ68" s="2">
        <v>0.964925159542254</v>
      </c>
      <c r="AK68" s="2">
        <v>0.50206283400047802</v>
      </c>
      <c r="AL68" s="2">
        <v>5.6942108278335402E-2</v>
      </c>
      <c r="AM68" s="2">
        <v>15.3</v>
      </c>
      <c r="AN68" s="2">
        <v>9.8000000000000007</v>
      </c>
      <c r="AO68" s="2">
        <v>29.7</v>
      </c>
      <c r="AP68" s="2">
        <v>564</v>
      </c>
      <c r="AQ68" s="2">
        <v>68</v>
      </c>
      <c r="AR68" s="2">
        <v>1.8</v>
      </c>
      <c r="AS68" s="2">
        <v>43</v>
      </c>
      <c r="AT68" s="2">
        <v>25.4</v>
      </c>
      <c r="AU68" s="2">
        <v>162</v>
      </c>
      <c r="AV68" s="2">
        <v>9.1</v>
      </c>
      <c r="AW68" s="2">
        <v>9.1999999999999993</v>
      </c>
      <c r="AX68" s="2">
        <v>18.3</v>
      </c>
      <c r="AY68" s="2">
        <v>0.34</v>
      </c>
      <c r="AZ68" s="2">
        <v>7.3</v>
      </c>
      <c r="BA68" s="2">
        <v>0.9</v>
      </c>
      <c r="BB68" s="2">
        <v>7.5</v>
      </c>
      <c r="BC68" s="2">
        <v>2.9</v>
      </c>
      <c r="BD68" s="2">
        <f>+AN68*EXP(-0.0495*Y68)</f>
        <v>8.8299007263681553</v>
      </c>
      <c r="BE68" s="2">
        <f>+AO68*EXP(-0.024*Y68)</f>
        <v>28.236264071867907</v>
      </c>
    </row>
    <row r="69" spans="1:57" x14ac:dyDescent="0.2">
      <c r="A69" s="2" t="s">
        <v>1987</v>
      </c>
      <c r="B69" s="2" t="s">
        <v>19</v>
      </c>
      <c r="C69" s="2" t="s">
        <v>1907</v>
      </c>
      <c r="D69" s="2" t="s">
        <v>21</v>
      </c>
      <c r="E69" s="2" t="s">
        <v>1675</v>
      </c>
      <c r="F69" s="2">
        <v>5</v>
      </c>
      <c r="G69" s="2">
        <v>415</v>
      </c>
      <c r="H69" s="2">
        <v>3</v>
      </c>
      <c r="I69" s="2">
        <v>4</v>
      </c>
      <c r="J69" s="2">
        <v>3</v>
      </c>
      <c r="K69" s="2" t="s">
        <v>61</v>
      </c>
      <c r="L69" s="6" t="s">
        <v>75</v>
      </c>
      <c r="M69" s="5">
        <v>2200000000</v>
      </c>
      <c r="N69" s="2">
        <v>0</v>
      </c>
      <c r="O69" s="2">
        <v>4.7652621269999997</v>
      </c>
      <c r="P69" s="2">
        <v>-74.059921259999996</v>
      </c>
      <c r="Q69" s="2" t="s">
        <v>1988</v>
      </c>
      <c r="R69" s="2">
        <v>5301204.8190000001</v>
      </c>
      <c r="S69" s="2">
        <v>0</v>
      </c>
      <c r="T69" s="2" t="s">
        <v>102</v>
      </c>
      <c r="U69" s="2" t="s">
        <v>103</v>
      </c>
      <c r="V69" s="2" t="s">
        <v>28</v>
      </c>
      <c r="W69" s="2" t="s">
        <v>70</v>
      </c>
      <c r="X69" s="2" t="s">
        <v>104</v>
      </c>
      <c r="Y69" s="2">
        <v>2.7020133144431102</v>
      </c>
      <c r="Z69" s="2">
        <v>4.7837500000000004</v>
      </c>
      <c r="AA69" s="2">
        <v>-74.044138888888895</v>
      </c>
      <c r="AB69" s="2">
        <v>2580</v>
      </c>
      <c r="AC69" s="2" t="s">
        <v>105</v>
      </c>
      <c r="AD69" s="2" t="s">
        <v>58</v>
      </c>
      <c r="AE69" s="2" t="s">
        <v>33</v>
      </c>
      <c r="AF69" s="2" t="s">
        <v>34</v>
      </c>
      <c r="AG69" s="2" t="s">
        <v>72</v>
      </c>
      <c r="AH69" s="2">
        <v>1.72910043504564</v>
      </c>
      <c r="AI69" s="2">
        <v>4.1063153761878297</v>
      </c>
      <c r="AJ69" s="2">
        <v>1.4939056181656201</v>
      </c>
      <c r="AK69" s="2">
        <v>0.683818886989351</v>
      </c>
      <c r="AL69" s="2">
        <v>0.28030815564509498</v>
      </c>
      <c r="AM69" s="2">
        <v>15.3</v>
      </c>
      <c r="AN69" s="2">
        <v>9.8000000000000007</v>
      </c>
      <c r="AO69" s="2">
        <v>29.7</v>
      </c>
      <c r="AP69" s="2">
        <v>564</v>
      </c>
      <c r="AQ69" s="2">
        <v>68</v>
      </c>
      <c r="AR69" s="2">
        <v>1.8</v>
      </c>
      <c r="AS69" s="2">
        <v>43</v>
      </c>
      <c r="AT69" s="2">
        <v>25.4</v>
      </c>
      <c r="AU69" s="2">
        <v>162</v>
      </c>
      <c r="AV69" s="2">
        <v>9.1</v>
      </c>
      <c r="AW69" s="2">
        <v>9.1999999999999993</v>
      </c>
      <c r="AX69" s="2">
        <v>18.3</v>
      </c>
      <c r="AY69" s="2">
        <v>0.34</v>
      </c>
      <c r="AZ69" s="2">
        <v>7.3</v>
      </c>
      <c r="BA69" s="2">
        <v>0.9</v>
      </c>
      <c r="BB69" s="2">
        <v>7.5</v>
      </c>
      <c r="BC69" s="2">
        <v>2.9</v>
      </c>
      <c r="BD69" s="2">
        <f>+AN69*EXP(-0.0495*Y69)</f>
        <v>8.5731285695161379</v>
      </c>
      <c r="BE69" s="2">
        <f>+AO69*EXP(-0.024*Y69)</f>
        <v>27.835125386562378</v>
      </c>
    </row>
    <row r="70" spans="1:57" x14ac:dyDescent="0.2">
      <c r="A70" s="2" t="s">
        <v>3124</v>
      </c>
      <c r="B70" s="2" t="s">
        <v>19</v>
      </c>
      <c r="C70" s="2" t="s">
        <v>1907</v>
      </c>
      <c r="D70" s="2" t="s">
        <v>21</v>
      </c>
      <c r="E70" s="2" t="s">
        <v>1675</v>
      </c>
      <c r="F70" s="2">
        <v>5</v>
      </c>
      <c r="G70" s="2">
        <v>409</v>
      </c>
      <c r="H70" s="2">
        <v>4</v>
      </c>
      <c r="I70" s="2">
        <v>4</v>
      </c>
      <c r="J70" s="2">
        <v>4</v>
      </c>
      <c r="K70" s="2" t="s">
        <v>61</v>
      </c>
      <c r="L70" s="6" t="s">
        <v>113</v>
      </c>
      <c r="M70" s="5">
        <v>2280000000</v>
      </c>
      <c r="N70" s="2">
        <v>0</v>
      </c>
      <c r="O70" s="2">
        <v>4.763064376</v>
      </c>
      <c r="P70" s="2">
        <v>-74.059585619999993</v>
      </c>
      <c r="Q70" s="2" t="s">
        <v>3125</v>
      </c>
      <c r="R70" s="2">
        <v>5574572.1270000003</v>
      </c>
      <c r="S70" s="2">
        <v>0</v>
      </c>
      <c r="T70" s="2" t="s">
        <v>102</v>
      </c>
      <c r="U70" s="2" t="s">
        <v>103</v>
      </c>
      <c r="V70" s="2" t="s">
        <v>28</v>
      </c>
      <c r="W70" s="2" t="s">
        <v>70</v>
      </c>
      <c r="X70" s="2" t="s">
        <v>104</v>
      </c>
      <c r="Y70" s="2">
        <v>2.8703256862548199</v>
      </c>
      <c r="Z70" s="2">
        <v>4.7837500000000004</v>
      </c>
      <c r="AA70" s="2">
        <v>-74.044138888888895</v>
      </c>
      <c r="AB70" s="2">
        <v>2580</v>
      </c>
      <c r="AC70" s="2" t="s">
        <v>105</v>
      </c>
      <c r="AD70" s="2" t="s">
        <v>58</v>
      </c>
      <c r="AE70" s="2" t="s">
        <v>33</v>
      </c>
      <c r="AF70" s="2" t="s">
        <v>34</v>
      </c>
      <c r="AG70" s="2" t="s">
        <v>72</v>
      </c>
      <c r="AH70" s="2">
        <v>1.67901637222947</v>
      </c>
      <c r="AI70" s="2">
        <v>4.0895983640148303</v>
      </c>
      <c r="AJ70" s="2">
        <v>1.2653627385078301</v>
      </c>
      <c r="AK70" s="2">
        <v>0.446433636059345</v>
      </c>
      <c r="AL70" s="2">
        <v>0.10706631484806001</v>
      </c>
      <c r="AM70" s="2">
        <v>15.3</v>
      </c>
      <c r="AN70" s="2">
        <v>9.8000000000000007</v>
      </c>
      <c r="AO70" s="2">
        <v>29.7</v>
      </c>
      <c r="AP70" s="2">
        <v>564</v>
      </c>
      <c r="AQ70" s="2">
        <v>68</v>
      </c>
      <c r="AR70" s="2">
        <v>1.8</v>
      </c>
      <c r="AS70" s="2">
        <v>43</v>
      </c>
      <c r="AT70" s="2">
        <v>25.4</v>
      </c>
      <c r="AU70" s="2">
        <v>162</v>
      </c>
      <c r="AV70" s="2">
        <v>9.1</v>
      </c>
      <c r="AW70" s="2">
        <v>9.1999999999999993</v>
      </c>
      <c r="AX70" s="2">
        <v>18.3</v>
      </c>
      <c r="AY70" s="2">
        <v>0.34</v>
      </c>
      <c r="AZ70" s="2">
        <v>7.3</v>
      </c>
      <c r="BA70" s="2">
        <v>0.9</v>
      </c>
      <c r="BB70" s="2">
        <v>7.5</v>
      </c>
      <c r="BC70" s="2">
        <v>2.9</v>
      </c>
      <c r="BD70" s="2">
        <f>+AN70*EXP(-0.0495*Y70)</f>
        <v>8.5019985909663287</v>
      </c>
      <c r="BE70" s="2">
        <f>+AO70*EXP(-0.024*Y70)</f>
        <v>27.722912278038716</v>
      </c>
    </row>
    <row r="71" spans="1:57" x14ac:dyDescent="0.2">
      <c r="A71" s="2" t="s">
        <v>3108</v>
      </c>
      <c r="B71" s="2" t="s">
        <v>19</v>
      </c>
      <c r="C71" s="2" t="s">
        <v>1907</v>
      </c>
      <c r="D71" s="2" t="s">
        <v>21</v>
      </c>
      <c r="E71" s="2" t="s">
        <v>1370</v>
      </c>
      <c r="F71" s="2">
        <v>4</v>
      </c>
      <c r="G71" s="2">
        <v>408</v>
      </c>
      <c r="H71" s="2">
        <v>5</v>
      </c>
      <c r="I71" s="2">
        <v>4</v>
      </c>
      <c r="J71" s="2">
        <v>1</v>
      </c>
      <c r="K71" s="2" t="s">
        <v>61</v>
      </c>
      <c r="L71" s="6" t="s">
        <v>113</v>
      </c>
      <c r="M71" s="5">
        <v>1500000000</v>
      </c>
      <c r="N71" s="2">
        <v>0</v>
      </c>
      <c r="O71" s="2">
        <v>4.7135415079999996</v>
      </c>
      <c r="P71" s="2">
        <v>-74.065277100000003</v>
      </c>
      <c r="Q71" s="2" t="s">
        <v>3109</v>
      </c>
      <c r="R71" s="2">
        <v>3676470.588</v>
      </c>
      <c r="S71" s="2">
        <v>0</v>
      </c>
      <c r="T71" s="2" t="s">
        <v>68</v>
      </c>
      <c r="U71" s="2" t="s">
        <v>69</v>
      </c>
      <c r="V71" s="2" t="s">
        <v>28</v>
      </c>
      <c r="W71" s="2" t="s">
        <v>70</v>
      </c>
      <c r="X71" s="2" t="s">
        <v>71</v>
      </c>
      <c r="Y71" s="2">
        <v>2.6738492560182601</v>
      </c>
      <c r="Z71" s="2">
        <v>4.73719444444444</v>
      </c>
      <c r="AA71" s="2">
        <v>-74.069472222222203</v>
      </c>
      <c r="AB71" s="2">
        <v>2555</v>
      </c>
      <c r="AC71" s="2" t="s">
        <v>31</v>
      </c>
      <c r="AD71" s="2" t="s">
        <v>58</v>
      </c>
      <c r="AE71" s="2" t="s">
        <v>33</v>
      </c>
      <c r="AF71" s="2" t="s">
        <v>34</v>
      </c>
      <c r="AG71" s="2" t="s">
        <v>72</v>
      </c>
      <c r="AH71" s="2">
        <v>0.797840072461657</v>
      </c>
      <c r="AI71" s="2">
        <v>4.4830793961802602</v>
      </c>
      <c r="AJ71" s="2">
        <v>0.772794719923102</v>
      </c>
      <c r="AK71" s="2">
        <v>0.11693073599155</v>
      </c>
      <c r="AL71" s="2">
        <v>0.16143108102322101</v>
      </c>
      <c r="AM71" s="2">
        <v>15.3</v>
      </c>
      <c r="AN71" s="2">
        <v>9.8000000000000007</v>
      </c>
      <c r="AO71" s="2">
        <v>29.7</v>
      </c>
      <c r="AP71" s="2">
        <v>564</v>
      </c>
      <c r="AQ71" s="2">
        <v>68</v>
      </c>
      <c r="AR71" s="2">
        <v>1.8</v>
      </c>
      <c r="AS71" s="2">
        <v>43</v>
      </c>
      <c r="AT71" s="2">
        <v>25.4</v>
      </c>
      <c r="AU71" s="2">
        <v>162</v>
      </c>
      <c r="AV71" s="2">
        <v>9.1</v>
      </c>
      <c r="AW71" s="2">
        <v>9.1999999999999993</v>
      </c>
      <c r="AX71" s="2">
        <v>18.3</v>
      </c>
      <c r="AY71" s="2">
        <v>0.34</v>
      </c>
      <c r="AZ71" s="2">
        <v>7.3</v>
      </c>
      <c r="BA71" s="2">
        <v>0.9</v>
      </c>
      <c r="BB71" s="2">
        <v>7.5</v>
      </c>
      <c r="BC71" s="2">
        <v>2.9</v>
      </c>
      <c r="BD71" s="2">
        <f>+AN71*EXP(-0.0495*Y71)</f>
        <v>8.5850888822887708</v>
      </c>
      <c r="BE71" s="2">
        <f>+AO71*EXP(-0.024*Y71)</f>
        <v>27.853946549153253</v>
      </c>
    </row>
    <row r="72" spans="1:57" x14ac:dyDescent="0.2">
      <c r="A72" s="2" t="s">
        <v>3165</v>
      </c>
      <c r="B72" s="2" t="s">
        <v>19</v>
      </c>
      <c r="C72" s="2" t="s">
        <v>1907</v>
      </c>
      <c r="D72" s="2" t="s">
        <v>21</v>
      </c>
      <c r="E72" s="2" t="s">
        <v>218</v>
      </c>
      <c r="F72" s="2">
        <v>6</v>
      </c>
      <c r="G72" s="2">
        <v>406</v>
      </c>
      <c r="H72" s="2">
        <v>4</v>
      </c>
      <c r="I72" s="2">
        <v>4</v>
      </c>
      <c r="J72" s="2">
        <v>3</v>
      </c>
      <c r="K72" s="2" t="s">
        <v>61</v>
      </c>
      <c r="L72" s="6" t="s">
        <v>113</v>
      </c>
      <c r="M72" s="5">
        <v>2150000000</v>
      </c>
      <c r="N72" s="2">
        <v>0</v>
      </c>
      <c r="O72" s="2">
        <v>4.8165745739999997</v>
      </c>
      <c r="P72" s="2">
        <v>-74.055763240000005</v>
      </c>
      <c r="Q72" s="2" t="s">
        <v>3166</v>
      </c>
      <c r="R72" s="2">
        <v>5295566.5020000003</v>
      </c>
      <c r="S72" s="2">
        <v>0</v>
      </c>
      <c r="T72" s="2" t="s">
        <v>102</v>
      </c>
      <c r="U72" s="2" t="s">
        <v>103</v>
      </c>
      <c r="V72" s="2" t="s">
        <v>28</v>
      </c>
      <c r="W72" s="2" t="s">
        <v>70</v>
      </c>
      <c r="X72" s="2" t="s">
        <v>104</v>
      </c>
      <c r="Y72" s="2">
        <v>3.8748649920765899</v>
      </c>
      <c r="Z72" s="2">
        <v>4.7837500000000004</v>
      </c>
      <c r="AA72" s="2">
        <v>-74.044138888888895</v>
      </c>
      <c r="AB72" s="2">
        <v>2580</v>
      </c>
      <c r="AC72" s="2" t="s">
        <v>105</v>
      </c>
      <c r="AD72" s="2" t="s">
        <v>58</v>
      </c>
      <c r="AE72" s="2" t="s">
        <v>33</v>
      </c>
      <c r="AF72" s="2" t="s">
        <v>34</v>
      </c>
      <c r="AG72" s="2" t="s">
        <v>72</v>
      </c>
      <c r="AH72" s="2">
        <v>5.44789323464021</v>
      </c>
      <c r="AI72" s="2">
        <v>0.98770306699590504</v>
      </c>
      <c r="AJ72" s="2">
        <v>2.0651354092196699</v>
      </c>
      <c r="AK72" s="2">
        <v>3.7403237188057701</v>
      </c>
      <c r="AL72" s="2">
        <v>0.95493157140229101</v>
      </c>
      <c r="AM72" s="2">
        <v>15.3</v>
      </c>
      <c r="AN72" s="2">
        <v>9.8000000000000007</v>
      </c>
      <c r="AO72" s="2">
        <v>29.7</v>
      </c>
      <c r="AP72" s="2">
        <v>564</v>
      </c>
      <c r="AQ72" s="2">
        <v>68</v>
      </c>
      <c r="AR72" s="2">
        <v>1.8</v>
      </c>
      <c r="AS72" s="2">
        <v>43</v>
      </c>
      <c r="AT72" s="2">
        <v>25.4</v>
      </c>
      <c r="AU72" s="2">
        <v>162</v>
      </c>
      <c r="AV72" s="2">
        <v>9.1</v>
      </c>
      <c r="AW72" s="2">
        <v>9.1999999999999993</v>
      </c>
      <c r="AX72" s="2">
        <v>18.3</v>
      </c>
      <c r="AY72" s="2">
        <v>0.34</v>
      </c>
      <c r="AZ72" s="2">
        <v>7.3</v>
      </c>
      <c r="BA72" s="2">
        <v>0.9</v>
      </c>
      <c r="BB72" s="2">
        <v>7.5</v>
      </c>
      <c r="BC72" s="2">
        <v>2.9</v>
      </c>
      <c r="BD72" s="2">
        <f>+AN72*EXP(-0.0495*Y72)</f>
        <v>8.0895780163674846</v>
      </c>
      <c r="BE72" s="2">
        <f>+AO72*EXP(-0.024*Y72)</f>
        <v>27.06253464641183</v>
      </c>
    </row>
    <row r="73" spans="1:57" x14ac:dyDescent="0.2">
      <c r="A73" s="2" t="s">
        <v>2522</v>
      </c>
      <c r="B73" s="2" t="s">
        <v>19</v>
      </c>
      <c r="C73" s="2" t="s">
        <v>1907</v>
      </c>
      <c r="D73" s="2" t="s">
        <v>21</v>
      </c>
      <c r="E73" s="2" t="s">
        <v>300</v>
      </c>
      <c r="F73" s="2">
        <v>6</v>
      </c>
      <c r="G73" s="2">
        <v>401</v>
      </c>
      <c r="H73" s="2">
        <v>4</v>
      </c>
      <c r="I73" s="2">
        <v>3</v>
      </c>
      <c r="J73" s="2">
        <v>4</v>
      </c>
      <c r="K73" s="2" t="s">
        <v>61</v>
      </c>
      <c r="L73" s="6" t="s">
        <v>75</v>
      </c>
      <c r="M73" s="5">
        <v>1850000000</v>
      </c>
      <c r="N73" s="2">
        <v>0</v>
      </c>
      <c r="O73" s="2">
        <v>4.7202842</v>
      </c>
      <c r="P73" s="2">
        <v>-74.079208899999998</v>
      </c>
      <c r="Q73" s="2" t="s">
        <v>2523</v>
      </c>
      <c r="R73" s="2">
        <v>4613466.3339999998</v>
      </c>
      <c r="S73" s="2">
        <v>0</v>
      </c>
      <c r="T73" s="2" t="s">
        <v>68</v>
      </c>
      <c r="U73" s="2" t="s">
        <v>69</v>
      </c>
      <c r="V73" s="2" t="s">
        <v>28</v>
      </c>
      <c r="W73" s="2" t="s">
        <v>70</v>
      </c>
      <c r="X73" s="2" t="s">
        <v>71</v>
      </c>
      <c r="Y73" s="2">
        <v>2.17034461826356</v>
      </c>
      <c r="Z73" s="2">
        <v>4.73719444444444</v>
      </c>
      <c r="AA73" s="2">
        <v>-74.069472222222203</v>
      </c>
      <c r="AB73" s="2">
        <v>2555</v>
      </c>
      <c r="AC73" s="2" t="s">
        <v>31</v>
      </c>
      <c r="AD73" s="2" t="s">
        <v>58</v>
      </c>
      <c r="AE73" s="2" t="s">
        <v>33</v>
      </c>
      <c r="AF73" s="2" t="s">
        <v>34</v>
      </c>
      <c r="AG73" s="2" t="s">
        <v>72</v>
      </c>
      <c r="AH73" s="2">
        <v>0.51033076319145398</v>
      </c>
      <c r="AI73" s="2">
        <v>5.1629378754471302</v>
      </c>
      <c r="AJ73" s="2">
        <v>0.94357820886950095</v>
      </c>
      <c r="AK73" s="2">
        <v>0.439036426513433</v>
      </c>
      <c r="AL73" s="2">
        <v>5.1934928666953397E-3</v>
      </c>
      <c r="AM73" s="2">
        <v>15.3</v>
      </c>
      <c r="AN73" s="2">
        <v>9.8000000000000007</v>
      </c>
      <c r="AO73" s="2">
        <v>29.7</v>
      </c>
      <c r="AP73" s="2">
        <v>564</v>
      </c>
      <c r="AQ73" s="2">
        <v>68</v>
      </c>
      <c r="AR73" s="2">
        <v>1.8</v>
      </c>
      <c r="AS73" s="2">
        <v>43</v>
      </c>
      <c r="AT73" s="2">
        <v>25.4</v>
      </c>
      <c r="AU73" s="2">
        <v>162</v>
      </c>
      <c r="AV73" s="2">
        <v>9.1</v>
      </c>
      <c r="AW73" s="2">
        <v>9.1999999999999993</v>
      </c>
      <c r="AX73" s="2">
        <v>18.3</v>
      </c>
      <c r="AY73" s="2">
        <v>0.34</v>
      </c>
      <c r="AZ73" s="2">
        <v>7.3</v>
      </c>
      <c r="BA73" s="2">
        <v>0.9</v>
      </c>
      <c r="BB73" s="2">
        <v>7.5</v>
      </c>
      <c r="BC73" s="2">
        <v>2.9</v>
      </c>
      <c r="BD73" s="2">
        <f>+AN73*EXP(-0.0495*Y73)</f>
        <v>8.8017479027430898</v>
      </c>
      <c r="BE73" s="2">
        <f>+AO73*EXP(-0.024*Y73)</f>
        <v>28.192578652843711</v>
      </c>
    </row>
    <row r="74" spans="1:57" x14ac:dyDescent="0.2">
      <c r="A74" s="2" t="s">
        <v>2083</v>
      </c>
      <c r="B74" s="2" t="s">
        <v>19</v>
      </c>
      <c r="C74" s="2" t="s">
        <v>1907</v>
      </c>
      <c r="D74" s="2" t="s">
        <v>21</v>
      </c>
      <c r="E74" s="2" t="s">
        <v>518</v>
      </c>
      <c r="F74" s="2">
        <v>6</v>
      </c>
      <c r="G74" s="2">
        <v>400.64</v>
      </c>
      <c r="H74" s="2">
        <v>3</v>
      </c>
      <c r="I74" s="2">
        <v>5</v>
      </c>
      <c r="J74" s="2">
        <v>4</v>
      </c>
      <c r="K74" s="2" t="s">
        <v>61</v>
      </c>
      <c r="L74" s="6" t="s">
        <v>75</v>
      </c>
      <c r="M74" s="5">
        <v>3500000000</v>
      </c>
      <c r="N74" s="2">
        <v>0</v>
      </c>
      <c r="O74" s="2">
        <v>4.7219300000000004</v>
      </c>
      <c r="P74" s="2">
        <v>-74.076189999999997</v>
      </c>
      <c r="Q74" s="2" t="s">
        <v>2084</v>
      </c>
      <c r="R74" s="2">
        <v>8736022.3640000001</v>
      </c>
      <c r="S74" s="2">
        <v>0</v>
      </c>
      <c r="T74" s="2" t="s">
        <v>68</v>
      </c>
      <c r="U74" s="2" t="s">
        <v>69</v>
      </c>
      <c r="V74" s="2" t="s">
        <v>28</v>
      </c>
      <c r="W74" s="2" t="s">
        <v>70</v>
      </c>
      <c r="X74" s="2" t="s">
        <v>71</v>
      </c>
      <c r="Y74" s="2">
        <v>1.8554825359001299</v>
      </c>
      <c r="Z74" s="2">
        <v>4.73719444444444</v>
      </c>
      <c r="AA74" s="2">
        <v>-74.069472222222203</v>
      </c>
      <c r="AB74" s="2">
        <v>2555</v>
      </c>
      <c r="AC74" s="2" t="s">
        <v>31</v>
      </c>
      <c r="AD74" s="2" t="s">
        <v>58</v>
      </c>
      <c r="AE74" s="2" t="s">
        <v>33</v>
      </c>
      <c r="AF74" s="2" t="s">
        <v>34</v>
      </c>
      <c r="AG74" s="2" t="s">
        <v>72</v>
      </c>
      <c r="AH74" s="2">
        <v>0.17953740312150501</v>
      </c>
      <c r="AI74" s="2">
        <v>5.4622287302391896</v>
      </c>
      <c r="AJ74" s="2">
        <v>0.77140429792693199</v>
      </c>
      <c r="AK74" s="2">
        <v>0.46850056312758598</v>
      </c>
      <c r="AL74" s="2">
        <v>0.222174455952555</v>
      </c>
      <c r="AM74" s="2">
        <v>15.3</v>
      </c>
      <c r="AN74" s="2">
        <v>9.8000000000000007</v>
      </c>
      <c r="AO74" s="2">
        <v>29.7</v>
      </c>
      <c r="AP74" s="2">
        <v>564</v>
      </c>
      <c r="AQ74" s="2">
        <v>68</v>
      </c>
      <c r="AR74" s="2">
        <v>1.8</v>
      </c>
      <c r="AS74" s="2">
        <v>43</v>
      </c>
      <c r="AT74" s="2">
        <v>25.4</v>
      </c>
      <c r="AU74" s="2">
        <v>162</v>
      </c>
      <c r="AV74" s="2">
        <v>9.1</v>
      </c>
      <c r="AW74" s="2">
        <v>9.1999999999999993</v>
      </c>
      <c r="AX74" s="2">
        <v>18.3</v>
      </c>
      <c r="AY74" s="2">
        <v>0.34</v>
      </c>
      <c r="AZ74" s="2">
        <v>7.3</v>
      </c>
      <c r="BA74" s="2">
        <v>0.9</v>
      </c>
      <c r="BB74" s="2">
        <v>7.5</v>
      </c>
      <c r="BC74" s="2">
        <v>2.9</v>
      </c>
      <c r="BD74" s="2">
        <f>+AN74*EXP(-0.0495*Y74)</f>
        <v>8.9400036740193354</v>
      </c>
      <c r="BE74" s="2">
        <f>+AO74*EXP(-0.024*Y74)</f>
        <v>28.406428209136891</v>
      </c>
    </row>
    <row r="75" spans="1:57" x14ac:dyDescent="0.2">
      <c r="A75" s="2" t="s">
        <v>3027</v>
      </c>
      <c r="B75" s="2" t="s">
        <v>19</v>
      </c>
      <c r="C75" s="2" t="s">
        <v>1907</v>
      </c>
      <c r="D75" s="2" t="s">
        <v>21</v>
      </c>
      <c r="E75" s="2" t="s">
        <v>1326</v>
      </c>
      <c r="F75" s="2">
        <v>4</v>
      </c>
      <c r="G75" s="2">
        <v>400</v>
      </c>
      <c r="H75" s="2">
        <v>5</v>
      </c>
      <c r="I75" s="2">
        <v>4</v>
      </c>
      <c r="J75" s="2">
        <v>4</v>
      </c>
      <c r="K75" s="2" t="s">
        <v>61</v>
      </c>
      <c r="L75" s="6" t="s">
        <v>113</v>
      </c>
      <c r="M75" s="5">
        <v>3900000000</v>
      </c>
      <c r="N75" s="2">
        <v>0</v>
      </c>
      <c r="O75" s="2">
        <v>4.7532017450000001</v>
      </c>
      <c r="P75" s="2">
        <v>-74.077112900000003</v>
      </c>
      <c r="Q75" s="2" t="s">
        <v>3028</v>
      </c>
      <c r="R75" s="2">
        <v>9750000</v>
      </c>
      <c r="S75" s="2">
        <v>0</v>
      </c>
      <c r="T75" s="2" t="s">
        <v>68</v>
      </c>
      <c r="U75" s="2" t="s">
        <v>69</v>
      </c>
      <c r="V75" s="2" t="s">
        <v>28</v>
      </c>
      <c r="W75" s="2" t="s">
        <v>70</v>
      </c>
      <c r="X75" s="2" t="s">
        <v>71</v>
      </c>
      <c r="Y75" s="2">
        <v>1.9732588260017401</v>
      </c>
      <c r="Z75" s="2">
        <v>4.73719444444444</v>
      </c>
      <c r="AA75" s="2">
        <v>-74.069472222222203</v>
      </c>
      <c r="AB75" s="2">
        <v>2555</v>
      </c>
      <c r="AC75" s="2" t="s">
        <v>31</v>
      </c>
      <c r="AD75" s="2" t="s">
        <v>58</v>
      </c>
      <c r="AE75" s="2" t="s">
        <v>33</v>
      </c>
      <c r="AF75" s="2" t="s">
        <v>34</v>
      </c>
      <c r="AG75" s="2" t="s">
        <v>72</v>
      </c>
      <c r="AH75" s="2">
        <v>1.91963881167615</v>
      </c>
      <c r="AI75" s="2">
        <v>4.1571858677012496</v>
      </c>
      <c r="AJ75" s="2">
        <v>2.6178818669042698</v>
      </c>
      <c r="AK75" s="2">
        <v>0.30190180033527497</v>
      </c>
      <c r="AL75" s="2">
        <v>1.81545773935528E-2</v>
      </c>
      <c r="AM75" s="2">
        <v>15.3</v>
      </c>
      <c r="AN75" s="2">
        <v>9.8000000000000007</v>
      </c>
      <c r="AO75" s="2">
        <v>29.7</v>
      </c>
      <c r="AP75" s="2">
        <v>564</v>
      </c>
      <c r="AQ75" s="2">
        <v>68</v>
      </c>
      <c r="AR75" s="2">
        <v>1.8</v>
      </c>
      <c r="AS75" s="2">
        <v>43</v>
      </c>
      <c r="AT75" s="2">
        <v>25.4</v>
      </c>
      <c r="AU75" s="2">
        <v>162</v>
      </c>
      <c r="AV75" s="2">
        <v>9.1</v>
      </c>
      <c r="AW75" s="2">
        <v>9.1999999999999993</v>
      </c>
      <c r="AX75" s="2">
        <v>18.3</v>
      </c>
      <c r="AY75" s="2">
        <v>0.34</v>
      </c>
      <c r="AZ75" s="2">
        <v>7.3</v>
      </c>
      <c r="BA75" s="2">
        <v>0.9</v>
      </c>
      <c r="BB75" s="2">
        <v>7.5</v>
      </c>
      <c r="BC75" s="2">
        <v>2.9</v>
      </c>
      <c r="BD75" s="2">
        <f>+AN75*EXP(-0.0495*Y75)</f>
        <v>8.8880357427382339</v>
      </c>
      <c r="BE75" s="2">
        <f>+AO75*EXP(-0.024*Y75)</f>
        <v>28.32624709422586</v>
      </c>
    </row>
    <row r="76" spans="1:57" x14ac:dyDescent="0.2">
      <c r="A76" s="2" t="s">
        <v>2013</v>
      </c>
      <c r="B76" s="2" t="s">
        <v>19</v>
      </c>
      <c r="C76" s="2" t="s">
        <v>1907</v>
      </c>
      <c r="D76" s="2" t="s">
        <v>21</v>
      </c>
      <c r="E76" s="2" t="s">
        <v>2014</v>
      </c>
      <c r="F76" s="2">
        <v>6</v>
      </c>
      <c r="G76" s="2">
        <v>400</v>
      </c>
      <c r="H76" s="2">
        <v>4</v>
      </c>
      <c r="I76" s="2">
        <v>5</v>
      </c>
      <c r="J76" s="2">
        <v>4</v>
      </c>
      <c r="K76" s="2" t="s">
        <v>61</v>
      </c>
      <c r="L76" s="6" t="s">
        <v>113</v>
      </c>
      <c r="M76" s="5">
        <v>2870000000</v>
      </c>
      <c r="N76" s="2">
        <v>0</v>
      </c>
      <c r="O76" s="2">
        <v>4.8132071500000002</v>
      </c>
      <c r="P76" s="2">
        <v>-74.063598630000001</v>
      </c>
      <c r="Q76" s="2" t="s">
        <v>2015</v>
      </c>
      <c r="R76" s="2">
        <v>7175000</v>
      </c>
      <c r="S76" s="2">
        <v>0</v>
      </c>
      <c r="T76" s="2" t="s">
        <v>102</v>
      </c>
      <c r="U76" s="2" t="s">
        <v>103</v>
      </c>
      <c r="V76" s="2" t="s">
        <v>28</v>
      </c>
      <c r="W76" s="2" t="s">
        <v>70</v>
      </c>
      <c r="X76" s="2" t="s">
        <v>104</v>
      </c>
      <c r="Y76" s="2">
        <v>3.9258951203328598</v>
      </c>
      <c r="Z76" s="2">
        <v>4.7837500000000004</v>
      </c>
      <c r="AA76" s="2">
        <v>-74.044138888888895</v>
      </c>
      <c r="AB76" s="2">
        <v>2580</v>
      </c>
      <c r="AC76" s="2" t="s">
        <v>105</v>
      </c>
      <c r="AD76" s="2" t="s">
        <v>58</v>
      </c>
      <c r="AE76" s="2" t="s">
        <v>33</v>
      </c>
      <c r="AF76" s="2" t="s">
        <v>34</v>
      </c>
      <c r="AG76" s="2" t="s">
        <v>72</v>
      </c>
      <c r="AH76" s="2">
        <v>5.3844793155142998</v>
      </c>
      <c r="AI76" s="2">
        <v>1.31257661116464</v>
      </c>
      <c r="AJ76" s="2">
        <v>2.3399611483549001</v>
      </c>
      <c r="AK76" s="2">
        <v>2.8916766171991402</v>
      </c>
      <c r="AL76" s="2">
        <v>1.73572615568512</v>
      </c>
      <c r="AM76" s="2">
        <v>15.3</v>
      </c>
      <c r="AN76" s="2">
        <v>9.8000000000000007</v>
      </c>
      <c r="AO76" s="2">
        <v>29.7</v>
      </c>
      <c r="AP76" s="2">
        <v>564</v>
      </c>
      <c r="AQ76" s="2">
        <v>68</v>
      </c>
      <c r="AR76" s="2">
        <v>1.8</v>
      </c>
      <c r="AS76" s="2">
        <v>43</v>
      </c>
      <c r="AT76" s="2">
        <v>25.4</v>
      </c>
      <c r="AU76" s="2">
        <v>162</v>
      </c>
      <c r="AV76" s="2">
        <v>9.1</v>
      </c>
      <c r="AW76" s="2">
        <v>9.1999999999999993</v>
      </c>
      <c r="AX76" s="2">
        <v>18.3</v>
      </c>
      <c r="AY76" s="2">
        <v>0.34</v>
      </c>
      <c r="AZ76" s="2">
        <v>7.3</v>
      </c>
      <c r="BA76" s="2">
        <v>0.9</v>
      </c>
      <c r="BB76" s="2">
        <v>7.5</v>
      </c>
      <c r="BC76" s="2">
        <v>2.9</v>
      </c>
      <c r="BD76" s="2">
        <f>+AN76*EXP(-0.0495*Y76)</f>
        <v>8.0691695988781849</v>
      </c>
      <c r="BE76" s="2">
        <f>+AO76*EXP(-0.024*Y76)</f>
        <v>27.029410823572583</v>
      </c>
    </row>
    <row r="77" spans="1:57" x14ac:dyDescent="0.2">
      <c r="A77" s="2" t="s">
        <v>2636</v>
      </c>
      <c r="B77" s="2" t="s">
        <v>19</v>
      </c>
      <c r="C77" s="2" t="s">
        <v>1907</v>
      </c>
      <c r="D77" s="2" t="s">
        <v>21</v>
      </c>
      <c r="E77" s="2" t="s">
        <v>864</v>
      </c>
      <c r="F77" s="2">
        <v>6</v>
      </c>
      <c r="G77" s="2">
        <v>400</v>
      </c>
      <c r="H77" s="2">
        <v>4</v>
      </c>
      <c r="I77" s="2">
        <v>5</v>
      </c>
      <c r="J77" s="2">
        <v>4</v>
      </c>
      <c r="K77" s="2" t="s">
        <v>61</v>
      </c>
      <c r="L77" s="6" t="s">
        <v>75</v>
      </c>
      <c r="M77" s="5">
        <v>2600000000</v>
      </c>
      <c r="N77" s="2">
        <v>0</v>
      </c>
      <c r="O77" s="2">
        <v>4.7205400470000001</v>
      </c>
      <c r="P77" s="2">
        <v>-74.082244869999997</v>
      </c>
      <c r="Q77" s="2" t="s">
        <v>2637</v>
      </c>
      <c r="R77" s="2">
        <v>6500000</v>
      </c>
      <c r="S77" s="2">
        <v>0</v>
      </c>
      <c r="T77" s="2" t="s">
        <v>68</v>
      </c>
      <c r="U77" s="2" t="s">
        <v>69</v>
      </c>
      <c r="V77" s="2" t="s">
        <v>28</v>
      </c>
      <c r="W77" s="2" t="s">
        <v>70</v>
      </c>
      <c r="X77" s="2" t="s">
        <v>71</v>
      </c>
      <c r="Y77" s="2">
        <v>2.3334665868327602</v>
      </c>
      <c r="Z77" s="2">
        <v>4.73719444444444</v>
      </c>
      <c r="AA77" s="2">
        <v>-74.069472222222203</v>
      </c>
      <c r="AB77" s="2">
        <v>2555</v>
      </c>
      <c r="AC77" s="2" t="s">
        <v>31</v>
      </c>
      <c r="AD77" s="2" t="s">
        <v>58</v>
      </c>
      <c r="AE77" s="2" t="s">
        <v>33</v>
      </c>
      <c r="AF77" s="2" t="s">
        <v>34</v>
      </c>
      <c r="AG77" s="2" t="s">
        <v>72</v>
      </c>
      <c r="AH77" s="2">
        <v>0.83910566580303503</v>
      </c>
      <c r="AI77" s="2">
        <v>4.8272434313148098</v>
      </c>
      <c r="AJ77" s="2">
        <v>1.2678926376421</v>
      </c>
      <c r="AK77" s="2">
        <v>0.65194787648876296</v>
      </c>
      <c r="AL77" s="2">
        <v>4.0137645605442902E-3</v>
      </c>
      <c r="AM77" s="2">
        <v>15.3</v>
      </c>
      <c r="AN77" s="2">
        <v>9.8000000000000007</v>
      </c>
      <c r="AO77" s="2">
        <v>29.7</v>
      </c>
      <c r="AP77" s="2">
        <v>564</v>
      </c>
      <c r="AQ77" s="2">
        <v>68</v>
      </c>
      <c r="AR77" s="2">
        <v>1.8</v>
      </c>
      <c r="AS77" s="2">
        <v>43</v>
      </c>
      <c r="AT77" s="2">
        <v>25.4</v>
      </c>
      <c r="AU77" s="2">
        <v>162</v>
      </c>
      <c r="AV77" s="2">
        <v>9.1</v>
      </c>
      <c r="AW77" s="2">
        <v>9.1999999999999993</v>
      </c>
      <c r="AX77" s="2">
        <v>18.3</v>
      </c>
      <c r="AY77" s="2">
        <v>0.34</v>
      </c>
      <c r="AZ77" s="2">
        <v>7.3</v>
      </c>
      <c r="BA77" s="2">
        <v>0.9</v>
      </c>
      <c r="BB77" s="2">
        <v>7.5</v>
      </c>
      <c r="BC77" s="2">
        <v>2.9</v>
      </c>
      <c r="BD77" s="2">
        <f>+AN77*EXP(-0.0495*Y77)</f>
        <v>8.7309640178737506</v>
      </c>
      <c r="BE77" s="2">
        <f>+AO77*EXP(-0.024*Y77)</f>
        <v>28.082422525855382</v>
      </c>
    </row>
    <row r="78" spans="1:57" x14ac:dyDescent="0.2">
      <c r="A78" s="2" t="s">
        <v>3294</v>
      </c>
      <c r="B78" s="2" t="s">
        <v>19</v>
      </c>
      <c r="C78" s="2" t="s">
        <v>3245</v>
      </c>
      <c r="D78" s="2" t="s">
        <v>21</v>
      </c>
      <c r="E78" s="2" t="s">
        <v>2212</v>
      </c>
      <c r="F78" s="2">
        <v>6</v>
      </c>
      <c r="G78" s="2">
        <v>400</v>
      </c>
      <c r="H78" s="2">
        <v>4</v>
      </c>
      <c r="I78" s="2">
        <v>5</v>
      </c>
      <c r="J78" s="2">
        <v>4</v>
      </c>
      <c r="K78" s="2" t="s">
        <v>61</v>
      </c>
      <c r="L78" s="6" t="s">
        <v>84</v>
      </c>
      <c r="M78" s="5">
        <v>2500000000</v>
      </c>
      <c r="N78" s="2">
        <v>0</v>
      </c>
      <c r="O78" s="2">
        <v>4.8087467999999998</v>
      </c>
      <c r="P78" s="2">
        <v>-74.036250699999997</v>
      </c>
      <c r="Q78" s="2" t="s">
        <v>3295</v>
      </c>
      <c r="R78" s="2">
        <v>6250000</v>
      </c>
      <c r="S78" s="2">
        <v>0</v>
      </c>
      <c r="T78" s="2" t="s">
        <v>102</v>
      </c>
      <c r="U78" s="2" t="s">
        <v>103</v>
      </c>
      <c r="V78" s="2" t="s">
        <v>28</v>
      </c>
      <c r="W78" s="2" t="s">
        <v>70</v>
      </c>
      <c r="X78" s="2" t="s">
        <v>104</v>
      </c>
      <c r="Y78" s="2">
        <v>2.9169711359150901</v>
      </c>
      <c r="Z78" s="2">
        <v>4.7837500000000004</v>
      </c>
      <c r="AA78" s="2">
        <v>-74.044138888888895</v>
      </c>
      <c r="AB78" s="2">
        <v>2580</v>
      </c>
      <c r="AC78" s="2" t="s">
        <v>105</v>
      </c>
      <c r="AD78" s="2" t="s">
        <v>58</v>
      </c>
      <c r="AE78" s="2" t="s">
        <v>33</v>
      </c>
      <c r="AF78" s="2" t="s">
        <v>34</v>
      </c>
      <c r="AG78" s="2" t="s">
        <v>59</v>
      </c>
      <c r="AH78" s="2">
        <v>4.48655746507574</v>
      </c>
      <c r="AI78" s="2">
        <v>2.3410488721346701</v>
      </c>
      <c r="AJ78" s="2">
        <v>1.53575762414021</v>
      </c>
      <c r="AK78" s="2">
        <v>3.5617849164069999</v>
      </c>
      <c r="AL78" s="2">
        <v>0.54679447941438097</v>
      </c>
      <c r="AM78" s="2">
        <v>15.3</v>
      </c>
      <c r="AN78" s="2">
        <v>9.8000000000000007</v>
      </c>
      <c r="AO78" s="2">
        <v>29.7</v>
      </c>
      <c r="AP78" s="2">
        <v>564</v>
      </c>
      <c r="AQ78" s="2">
        <v>68</v>
      </c>
      <c r="AR78" s="2">
        <v>1.8</v>
      </c>
      <c r="AS78" s="2">
        <v>43</v>
      </c>
      <c r="AT78" s="2">
        <v>25.4</v>
      </c>
      <c r="AU78" s="2">
        <v>162</v>
      </c>
      <c r="AV78" s="2">
        <v>9.1</v>
      </c>
      <c r="AW78" s="2">
        <v>9.1999999999999993</v>
      </c>
      <c r="AX78" s="2">
        <v>18.3</v>
      </c>
      <c r="AY78" s="2">
        <v>0.34</v>
      </c>
      <c r="AZ78" s="2">
        <v>7.3</v>
      </c>
      <c r="BA78" s="2">
        <v>0.9</v>
      </c>
      <c r="BB78" s="2">
        <v>7.5</v>
      </c>
      <c r="BC78" s="2">
        <v>2.9</v>
      </c>
      <c r="BD78" s="2">
        <f>+AN78*EXP(-0.0495*Y78)</f>
        <v>8.4823905490787084</v>
      </c>
      <c r="BE78" s="2">
        <f>+AO78*EXP(-0.024*Y78)</f>
        <v>27.691894098542935</v>
      </c>
    </row>
    <row r="79" spans="1:57" x14ac:dyDescent="0.2">
      <c r="A79" s="2" t="s">
        <v>3167</v>
      </c>
      <c r="B79" s="2" t="s">
        <v>19</v>
      </c>
      <c r="C79" s="2" t="s">
        <v>1907</v>
      </c>
      <c r="D79" s="2" t="s">
        <v>21</v>
      </c>
      <c r="E79" s="2" t="s">
        <v>3168</v>
      </c>
      <c r="F79" s="2">
        <v>6</v>
      </c>
      <c r="G79" s="2">
        <v>400</v>
      </c>
      <c r="H79" s="2">
        <v>4</v>
      </c>
      <c r="I79" s="2">
        <v>4</v>
      </c>
      <c r="J79" s="2">
        <v>3</v>
      </c>
      <c r="K79" s="2" t="s">
        <v>61</v>
      </c>
      <c r="L79" s="6" t="s">
        <v>113</v>
      </c>
      <c r="M79" s="5">
        <v>2500000000</v>
      </c>
      <c r="N79" s="2">
        <v>0</v>
      </c>
      <c r="O79" s="2">
        <v>4.784875242</v>
      </c>
      <c r="P79" s="2">
        <v>-74.06385899</v>
      </c>
      <c r="Q79" s="2" t="s">
        <v>3169</v>
      </c>
      <c r="R79" s="2">
        <v>6250000</v>
      </c>
      <c r="S79" s="2">
        <v>0</v>
      </c>
      <c r="T79" s="2" t="s">
        <v>102</v>
      </c>
      <c r="U79" s="2" t="s">
        <v>103</v>
      </c>
      <c r="V79" s="2" t="s">
        <v>28</v>
      </c>
      <c r="W79" s="2" t="s">
        <v>70</v>
      </c>
      <c r="X79" s="2" t="s">
        <v>104</v>
      </c>
      <c r="Y79" s="2">
        <v>2.19116614883679</v>
      </c>
      <c r="Z79" s="2">
        <v>4.7837500000000004</v>
      </c>
      <c r="AA79" s="2">
        <v>-74.044138888888895</v>
      </c>
      <c r="AB79" s="2">
        <v>2580</v>
      </c>
      <c r="AC79" s="2" t="s">
        <v>105</v>
      </c>
      <c r="AD79" s="2" t="s">
        <v>58</v>
      </c>
      <c r="AE79" s="2" t="s">
        <v>33</v>
      </c>
      <c r="AF79" s="2" t="s">
        <v>34</v>
      </c>
      <c r="AG79" s="2" t="s">
        <v>72</v>
      </c>
      <c r="AH79" s="2">
        <v>2.86477160462923</v>
      </c>
      <c r="AI79" s="2">
        <v>2.5613574997700499</v>
      </c>
      <c r="AJ79" s="2">
        <v>2.5065344329311698</v>
      </c>
      <c r="AK79" s="2">
        <v>1.8912292840520699</v>
      </c>
      <c r="AL79" s="2">
        <v>1.4446296747096401</v>
      </c>
      <c r="AM79" s="2">
        <v>15.3</v>
      </c>
      <c r="AN79" s="2">
        <v>9.8000000000000007</v>
      </c>
      <c r="AO79" s="2">
        <v>29.7</v>
      </c>
      <c r="AP79" s="2">
        <v>564</v>
      </c>
      <c r="AQ79" s="2">
        <v>68</v>
      </c>
      <c r="AR79" s="2">
        <v>1.8</v>
      </c>
      <c r="AS79" s="2">
        <v>43</v>
      </c>
      <c r="AT79" s="2">
        <v>25.4</v>
      </c>
      <c r="AU79" s="2">
        <v>162</v>
      </c>
      <c r="AV79" s="2">
        <v>9.1</v>
      </c>
      <c r="AW79" s="2">
        <v>9.1999999999999993</v>
      </c>
      <c r="AX79" s="2">
        <v>18.3</v>
      </c>
      <c r="AY79" s="2">
        <v>0.34</v>
      </c>
      <c r="AZ79" s="2">
        <v>7.3</v>
      </c>
      <c r="BA79" s="2">
        <v>0.9</v>
      </c>
      <c r="BB79" s="2">
        <v>7.5</v>
      </c>
      <c r="BC79" s="2">
        <v>2.9</v>
      </c>
      <c r="BD79" s="2">
        <f>+AN79*EXP(-0.0495*Y79)</f>
        <v>8.7926809158409984</v>
      </c>
      <c r="BE79" s="2">
        <f>+AO79*EXP(-0.024*Y79)</f>
        <v>28.178493869017295</v>
      </c>
    </row>
    <row r="80" spans="1:57" x14ac:dyDescent="0.2">
      <c r="A80" s="2" t="s">
        <v>2390</v>
      </c>
      <c r="B80" s="2" t="s">
        <v>19</v>
      </c>
      <c r="C80" s="2" t="s">
        <v>1907</v>
      </c>
      <c r="D80" s="2" t="s">
        <v>21</v>
      </c>
      <c r="E80" s="2" t="s">
        <v>1675</v>
      </c>
      <c r="F80" s="2">
        <v>5</v>
      </c>
      <c r="G80" s="2">
        <v>400</v>
      </c>
      <c r="H80" s="2">
        <v>4</v>
      </c>
      <c r="I80" s="2">
        <v>4</v>
      </c>
      <c r="J80" s="2">
        <v>3</v>
      </c>
      <c r="K80" s="2" t="s">
        <v>61</v>
      </c>
      <c r="L80" s="6" t="s">
        <v>75</v>
      </c>
      <c r="M80" s="5">
        <v>1700000000</v>
      </c>
      <c r="N80" s="2">
        <v>0</v>
      </c>
      <c r="O80" s="2">
        <v>4.7652621269999997</v>
      </c>
      <c r="P80" s="2">
        <v>-74.059921259999996</v>
      </c>
      <c r="Q80" s="2" t="s">
        <v>2391</v>
      </c>
      <c r="R80" s="2">
        <v>4250000</v>
      </c>
      <c r="S80" s="2">
        <v>0</v>
      </c>
      <c r="T80" s="2" t="s">
        <v>102</v>
      </c>
      <c r="U80" s="2" t="s">
        <v>103</v>
      </c>
      <c r="V80" s="2" t="s">
        <v>28</v>
      </c>
      <c r="W80" s="2" t="s">
        <v>70</v>
      </c>
      <c r="X80" s="2" t="s">
        <v>104</v>
      </c>
      <c r="Y80" s="2">
        <v>2.7020133144431102</v>
      </c>
      <c r="Z80" s="2">
        <v>4.7837500000000004</v>
      </c>
      <c r="AA80" s="2">
        <v>-74.044138888888895</v>
      </c>
      <c r="AB80" s="2">
        <v>2580</v>
      </c>
      <c r="AC80" s="2" t="s">
        <v>105</v>
      </c>
      <c r="AD80" s="2" t="s">
        <v>58</v>
      </c>
      <c r="AE80" s="2" t="s">
        <v>33</v>
      </c>
      <c r="AF80" s="2" t="s">
        <v>34</v>
      </c>
      <c r="AG80" s="2" t="s">
        <v>72</v>
      </c>
      <c r="AH80" s="2">
        <v>1.72910043504564</v>
      </c>
      <c r="AI80" s="2">
        <v>4.1063153761878297</v>
      </c>
      <c r="AJ80" s="2">
        <v>1.4939056181656201</v>
      </c>
      <c r="AK80" s="2">
        <v>0.683818886989351</v>
      </c>
      <c r="AL80" s="2">
        <v>0.28030815564509498</v>
      </c>
      <c r="AM80" s="2">
        <v>15.3</v>
      </c>
      <c r="AN80" s="2">
        <v>9.8000000000000007</v>
      </c>
      <c r="AO80" s="2">
        <v>29.7</v>
      </c>
      <c r="AP80" s="2">
        <v>564</v>
      </c>
      <c r="AQ80" s="2">
        <v>68</v>
      </c>
      <c r="AR80" s="2">
        <v>1.8</v>
      </c>
      <c r="AS80" s="2">
        <v>43</v>
      </c>
      <c r="AT80" s="2">
        <v>25.4</v>
      </c>
      <c r="AU80" s="2">
        <v>162</v>
      </c>
      <c r="AV80" s="2">
        <v>9.1</v>
      </c>
      <c r="AW80" s="2">
        <v>9.1999999999999993</v>
      </c>
      <c r="AX80" s="2">
        <v>18.3</v>
      </c>
      <c r="AY80" s="2">
        <v>0.34</v>
      </c>
      <c r="AZ80" s="2">
        <v>7.3</v>
      </c>
      <c r="BA80" s="2">
        <v>0.9</v>
      </c>
      <c r="BB80" s="2">
        <v>7.5</v>
      </c>
      <c r="BC80" s="2">
        <v>2.9</v>
      </c>
      <c r="BD80" s="2">
        <f>+AN80*EXP(-0.0495*Y80)</f>
        <v>8.5731285695161379</v>
      </c>
      <c r="BE80" s="2">
        <f>+AO80*EXP(-0.024*Y80)</f>
        <v>27.835125386562378</v>
      </c>
    </row>
    <row r="81" spans="1:57" x14ac:dyDescent="0.2">
      <c r="A81" s="2" t="s">
        <v>2458</v>
      </c>
      <c r="B81" s="2" t="s">
        <v>19</v>
      </c>
      <c r="C81" s="2" t="s">
        <v>1907</v>
      </c>
      <c r="D81" s="2" t="s">
        <v>21</v>
      </c>
      <c r="E81" s="2" t="s">
        <v>65</v>
      </c>
      <c r="F81" s="2">
        <v>5</v>
      </c>
      <c r="G81" s="2">
        <v>396</v>
      </c>
      <c r="H81" s="2">
        <v>4</v>
      </c>
      <c r="I81" s="2">
        <v>4</v>
      </c>
      <c r="J81" s="2">
        <v>2</v>
      </c>
      <c r="K81" s="2" t="s">
        <v>61</v>
      </c>
      <c r="L81" s="6" t="s">
        <v>113</v>
      </c>
      <c r="M81" s="5">
        <v>1570000000</v>
      </c>
      <c r="N81" s="2">
        <v>0</v>
      </c>
      <c r="O81" s="2">
        <v>4.713005066</v>
      </c>
      <c r="P81" s="2">
        <v>-74.077125550000005</v>
      </c>
      <c r="Q81" s="2" t="s">
        <v>2459</v>
      </c>
      <c r="R81" s="2">
        <v>3964646.4649999999</v>
      </c>
      <c r="S81" s="2">
        <v>0</v>
      </c>
      <c r="T81" s="2" t="s">
        <v>68</v>
      </c>
      <c r="U81" s="2" t="s">
        <v>69</v>
      </c>
      <c r="V81" s="2" t="s">
        <v>28</v>
      </c>
      <c r="W81" s="2" t="s">
        <v>70</v>
      </c>
      <c r="X81" s="2" t="s">
        <v>71</v>
      </c>
      <c r="Y81" s="2">
        <v>2.8234406322633201</v>
      </c>
      <c r="Z81" s="2">
        <v>4.73719444444444</v>
      </c>
      <c r="AA81" s="2">
        <v>-74.069472222222203</v>
      </c>
      <c r="AB81" s="2">
        <v>2555</v>
      </c>
      <c r="AC81" s="2" t="s">
        <v>31</v>
      </c>
      <c r="AD81" s="2" t="s">
        <v>58</v>
      </c>
      <c r="AE81" s="2" t="s">
        <v>33</v>
      </c>
      <c r="AF81" s="2" t="s">
        <v>34</v>
      </c>
      <c r="AG81" s="2" t="s">
        <v>72</v>
      </c>
      <c r="AH81" s="2">
        <v>0.545638223172213</v>
      </c>
      <c r="AI81" s="2">
        <v>5.55883700713684</v>
      </c>
      <c r="AJ81" s="2">
        <v>0.76248414413489196</v>
      </c>
      <c r="AK81" s="2">
        <v>0.27039578619730997</v>
      </c>
      <c r="AL81" s="2">
        <v>0.25184254634119202</v>
      </c>
      <c r="AM81" s="2">
        <v>15.3</v>
      </c>
      <c r="AN81" s="2">
        <v>9.8000000000000007</v>
      </c>
      <c r="AO81" s="2">
        <v>29.7</v>
      </c>
      <c r="AP81" s="2">
        <v>564</v>
      </c>
      <c r="AQ81" s="2">
        <v>68</v>
      </c>
      <c r="AR81" s="2">
        <v>1.8</v>
      </c>
      <c r="AS81" s="2">
        <v>43</v>
      </c>
      <c r="AT81" s="2">
        <v>25.4</v>
      </c>
      <c r="AU81" s="2">
        <v>162</v>
      </c>
      <c r="AV81" s="2">
        <v>9.1</v>
      </c>
      <c r="AW81" s="2">
        <v>9.1999999999999993</v>
      </c>
      <c r="AX81" s="2">
        <v>18.3</v>
      </c>
      <c r="AY81" s="2">
        <v>0.34</v>
      </c>
      <c r="AZ81" s="2">
        <v>7.3</v>
      </c>
      <c r="BA81" s="2">
        <v>0.9</v>
      </c>
      <c r="BB81" s="2">
        <v>7.5</v>
      </c>
      <c r="BC81" s="2">
        <v>2.9</v>
      </c>
      <c r="BD81" s="2">
        <f>+AN81*EXP(-0.0495*Y81)</f>
        <v>8.5217530300683961</v>
      </c>
      <c r="BE81" s="2">
        <f>+AO81*EXP(-0.024*Y81)</f>
        <v>27.754124801290391</v>
      </c>
    </row>
    <row r="82" spans="1:57" x14ac:dyDescent="0.2">
      <c r="A82" s="2" t="s">
        <v>657</v>
      </c>
      <c r="B82" s="2" t="s">
        <v>19</v>
      </c>
      <c r="C82" s="2" t="s">
        <v>20</v>
      </c>
      <c r="D82" s="2" t="s">
        <v>21</v>
      </c>
      <c r="E82" s="2" t="s">
        <v>300</v>
      </c>
      <c r="F82" s="2">
        <v>6</v>
      </c>
      <c r="G82" s="2">
        <v>392.93</v>
      </c>
      <c r="H82" s="2">
        <v>4</v>
      </c>
      <c r="I82" s="2">
        <v>5</v>
      </c>
      <c r="J82" s="2">
        <v>4</v>
      </c>
      <c r="K82" s="2" t="s">
        <v>61</v>
      </c>
      <c r="L82" s="6" t="s">
        <v>75</v>
      </c>
      <c r="M82" s="5">
        <v>2800000000</v>
      </c>
      <c r="N82" s="2">
        <v>0</v>
      </c>
      <c r="O82" s="2">
        <v>4.7376310000000004</v>
      </c>
      <c r="P82" s="2">
        <v>-74.076516999999996</v>
      </c>
      <c r="Q82" s="2" t="s">
        <v>658</v>
      </c>
      <c r="R82" s="2">
        <v>7125951.1869999999</v>
      </c>
      <c r="S82" s="2">
        <v>0</v>
      </c>
      <c r="T82" s="2" t="s">
        <v>68</v>
      </c>
      <c r="U82" s="2" t="s">
        <v>69</v>
      </c>
      <c r="V82" s="2" t="s">
        <v>28</v>
      </c>
      <c r="W82" s="2" t="s">
        <v>70</v>
      </c>
      <c r="X82" s="2" t="s">
        <v>71</v>
      </c>
      <c r="Y82" s="2">
        <v>0.783051371804378</v>
      </c>
      <c r="Z82" s="2">
        <v>4.73719444444444</v>
      </c>
      <c r="AA82" s="2">
        <v>-74.069472222222203</v>
      </c>
      <c r="AB82" s="2">
        <v>2555</v>
      </c>
      <c r="AC82" s="2" t="s">
        <v>31</v>
      </c>
      <c r="AD82" s="2" t="s">
        <v>58</v>
      </c>
      <c r="AE82" s="2" t="s">
        <v>33</v>
      </c>
      <c r="AF82" s="2" t="s">
        <v>34</v>
      </c>
      <c r="AG82" s="2" t="s">
        <v>72</v>
      </c>
      <c r="AH82" s="2">
        <v>0.54827765781916205</v>
      </c>
      <c r="AI82" s="2">
        <v>4.9056608409869096</v>
      </c>
      <c r="AJ82" s="2">
        <v>2.36497834892059</v>
      </c>
      <c r="AK82" s="2">
        <v>0.56050034973964502</v>
      </c>
      <c r="AL82" s="2">
        <v>5.8042860338053601E-3</v>
      </c>
      <c r="AM82" s="2">
        <v>15.3</v>
      </c>
      <c r="AN82" s="2">
        <v>9.8000000000000007</v>
      </c>
      <c r="AO82" s="2">
        <v>29.7</v>
      </c>
      <c r="AP82" s="2">
        <v>564</v>
      </c>
      <c r="AQ82" s="2">
        <v>68</v>
      </c>
      <c r="AR82" s="2">
        <v>1.8</v>
      </c>
      <c r="AS82" s="2">
        <v>43</v>
      </c>
      <c r="AT82" s="2">
        <v>25.4</v>
      </c>
      <c r="AU82" s="2">
        <v>162</v>
      </c>
      <c r="AV82" s="2">
        <v>9.1</v>
      </c>
      <c r="AW82" s="2">
        <v>9.1999999999999993</v>
      </c>
      <c r="AX82" s="2">
        <v>18.3</v>
      </c>
      <c r="AY82" s="2">
        <v>0.34</v>
      </c>
      <c r="AZ82" s="2">
        <v>7.3</v>
      </c>
      <c r="BA82" s="2">
        <v>0.9</v>
      </c>
      <c r="BB82" s="2">
        <v>7.5</v>
      </c>
      <c r="BC82" s="2">
        <v>2.9</v>
      </c>
      <c r="BD82" s="2">
        <f>+AN82*EXP(-0.0495*Y82)</f>
        <v>9.4274094268774302</v>
      </c>
      <c r="BE82" s="2">
        <f>+AO82*EXP(-0.024*Y82)</f>
        <v>29.147053086558756</v>
      </c>
    </row>
    <row r="83" spans="1:57" x14ac:dyDescent="0.2">
      <c r="A83" s="2" t="s">
        <v>2682</v>
      </c>
      <c r="B83" s="2" t="s">
        <v>19</v>
      </c>
      <c r="C83" s="2" t="s">
        <v>1907</v>
      </c>
      <c r="D83" s="2" t="s">
        <v>21</v>
      </c>
      <c r="E83" s="2" t="s">
        <v>300</v>
      </c>
      <c r="F83" s="2">
        <v>6</v>
      </c>
      <c r="G83" s="2">
        <v>390.64</v>
      </c>
      <c r="H83" s="2">
        <v>3</v>
      </c>
      <c r="I83" s="2">
        <v>5</v>
      </c>
      <c r="J83" s="2">
        <v>4</v>
      </c>
      <c r="K83" s="2" t="s">
        <v>61</v>
      </c>
      <c r="L83" s="6" t="s">
        <v>75</v>
      </c>
      <c r="M83" s="5">
        <v>3100000000</v>
      </c>
      <c r="N83" s="2">
        <v>0</v>
      </c>
      <c r="O83" s="2">
        <v>4.7219300000000004</v>
      </c>
      <c r="P83" s="2">
        <v>-74.076189999999997</v>
      </c>
      <c r="Q83" s="2" t="s">
        <v>2683</v>
      </c>
      <c r="R83" s="2">
        <v>7935695.2690000003</v>
      </c>
      <c r="S83" s="2">
        <v>0</v>
      </c>
      <c r="T83" s="2" t="s">
        <v>68</v>
      </c>
      <c r="U83" s="2" t="s">
        <v>69</v>
      </c>
      <c r="V83" s="2" t="s">
        <v>28</v>
      </c>
      <c r="W83" s="2" t="s">
        <v>70</v>
      </c>
      <c r="X83" s="2" t="s">
        <v>71</v>
      </c>
      <c r="Y83" s="2">
        <v>1.8554825359001299</v>
      </c>
      <c r="Z83" s="2">
        <v>4.73719444444444</v>
      </c>
      <c r="AA83" s="2">
        <v>-74.069472222222203</v>
      </c>
      <c r="AB83" s="2">
        <v>2555</v>
      </c>
      <c r="AC83" s="2" t="s">
        <v>31</v>
      </c>
      <c r="AD83" s="2" t="s">
        <v>58</v>
      </c>
      <c r="AE83" s="2" t="s">
        <v>33</v>
      </c>
      <c r="AF83" s="2" t="s">
        <v>34</v>
      </c>
      <c r="AG83" s="2" t="s">
        <v>72</v>
      </c>
      <c r="AH83" s="2">
        <v>0.17953740312150501</v>
      </c>
      <c r="AI83" s="2">
        <v>5.4622287302391896</v>
      </c>
      <c r="AJ83" s="2">
        <v>0.77140429792693199</v>
      </c>
      <c r="AK83" s="2">
        <v>0.46850056312758598</v>
      </c>
      <c r="AL83" s="2">
        <v>0.222174455952555</v>
      </c>
      <c r="AM83" s="2">
        <v>15.3</v>
      </c>
      <c r="AN83" s="2">
        <v>9.8000000000000007</v>
      </c>
      <c r="AO83" s="2">
        <v>29.7</v>
      </c>
      <c r="AP83" s="2">
        <v>564</v>
      </c>
      <c r="AQ83" s="2">
        <v>68</v>
      </c>
      <c r="AR83" s="2">
        <v>1.8</v>
      </c>
      <c r="AS83" s="2">
        <v>43</v>
      </c>
      <c r="AT83" s="2">
        <v>25.4</v>
      </c>
      <c r="AU83" s="2">
        <v>162</v>
      </c>
      <c r="AV83" s="2">
        <v>9.1</v>
      </c>
      <c r="AW83" s="2">
        <v>9.1999999999999993</v>
      </c>
      <c r="AX83" s="2">
        <v>18.3</v>
      </c>
      <c r="AY83" s="2">
        <v>0.34</v>
      </c>
      <c r="AZ83" s="2">
        <v>7.3</v>
      </c>
      <c r="BA83" s="2">
        <v>0.9</v>
      </c>
      <c r="BB83" s="2">
        <v>7.5</v>
      </c>
      <c r="BC83" s="2">
        <v>2.9</v>
      </c>
      <c r="BD83" s="2">
        <f>+AN83*EXP(-0.0495*Y83)</f>
        <v>8.9400036740193354</v>
      </c>
      <c r="BE83" s="2">
        <f>+AO83*EXP(-0.024*Y83)</f>
        <v>28.406428209136891</v>
      </c>
    </row>
    <row r="84" spans="1:57" x14ac:dyDescent="0.2">
      <c r="A84" s="2" t="s">
        <v>3120</v>
      </c>
      <c r="B84" s="2" t="s">
        <v>19</v>
      </c>
      <c r="C84" s="2" t="s">
        <v>1907</v>
      </c>
      <c r="D84" s="2" t="s">
        <v>21</v>
      </c>
      <c r="E84" s="2" t="s">
        <v>542</v>
      </c>
      <c r="F84" s="2">
        <v>6</v>
      </c>
      <c r="G84" s="2">
        <v>390</v>
      </c>
      <c r="H84" s="2">
        <v>3</v>
      </c>
      <c r="I84" s="2">
        <v>5</v>
      </c>
      <c r="J84" s="2">
        <v>3</v>
      </c>
      <c r="K84" s="2" t="s">
        <v>61</v>
      </c>
      <c r="L84" s="6" t="s">
        <v>75</v>
      </c>
      <c r="M84" s="5">
        <v>3500000000</v>
      </c>
      <c r="N84" s="2">
        <v>0</v>
      </c>
      <c r="O84" s="2">
        <v>4.7209320000000004</v>
      </c>
      <c r="P84" s="2">
        <v>-74.076378000000005</v>
      </c>
      <c r="Q84" s="2" t="s">
        <v>3121</v>
      </c>
      <c r="R84" s="2">
        <v>8974358.9739999995</v>
      </c>
      <c r="S84" s="2">
        <v>0</v>
      </c>
      <c r="T84" s="2" t="s">
        <v>68</v>
      </c>
      <c r="U84" s="2" t="s">
        <v>69</v>
      </c>
      <c r="V84" s="2" t="s">
        <v>28</v>
      </c>
      <c r="W84" s="2" t="s">
        <v>70</v>
      </c>
      <c r="X84" s="2" t="s">
        <v>71</v>
      </c>
      <c r="Y84" s="2">
        <v>1.96576704792914</v>
      </c>
      <c r="Z84" s="2">
        <v>4.73719444444444</v>
      </c>
      <c r="AA84" s="2">
        <v>-74.069472222222203</v>
      </c>
      <c r="AB84" s="2">
        <v>2555</v>
      </c>
      <c r="AC84" s="2" t="s">
        <v>31</v>
      </c>
      <c r="AD84" s="2" t="s">
        <v>58</v>
      </c>
      <c r="AE84" s="2" t="s">
        <v>33</v>
      </c>
      <c r="AF84" s="2" t="s">
        <v>34</v>
      </c>
      <c r="AG84" s="2" t="s">
        <v>72</v>
      </c>
      <c r="AH84" s="2">
        <v>0.18843462614937501</v>
      </c>
      <c r="AI84" s="2">
        <v>5.4589627859113197</v>
      </c>
      <c r="AJ84" s="2">
        <v>0.71129000095696504</v>
      </c>
      <c r="AK84" s="2">
        <v>0.45891925660539501</v>
      </c>
      <c r="AL84" s="2">
        <v>0.114268287622876</v>
      </c>
      <c r="AM84" s="2">
        <v>15.3</v>
      </c>
      <c r="AN84" s="2">
        <v>9.8000000000000007</v>
      </c>
      <c r="AO84" s="2">
        <v>29.7</v>
      </c>
      <c r="AP84" s="2">
        <v>564</v>
      </c>
      <c r="AQ84" s="2">
        <v>68</v>
      </c>
      <c r="AR84" s="2">
        <v>1.8</v>
      </c>
      <c r="AS84" s="2">
        <v>43</v>
      </c>
      <c r="AT84" s="2">
        <v>25.4</v>
      </c>
      <c r="AU84" s="2">
        <v>162</v>
      </c>
      <c r="AV84" s="2">
        <v>9.1</v>
      </c>
      <c r="AW84" s="2">
        <v>9.1999999999999993</v>
      </c>
      <c r="AX84" s="2">
        <v>18.3</v>
      </c>
      <c r="AY84" s="2">
        <v>0.34</v>
      </c>
      <c r="AZ84" s="2">
        <v>7.3</v>
      </c>
      <c r="BA84" s="2">
        <v>0.9</v>
      </c>
      <c r="BB84" s="2">
        <v>7.5</v>
      </c>
      <c r="BC84" s="2">
        <v>2.9</v>
      </c>
      <c r="BD84" s="2">
        <f>+AN84*EXP(-0.0495*Y84)</f>
        <v>8.8913324199439625</v>
      </c>
      <c r="BE84" s="2">
        <f>+AO84*EXP(-0.024*Y84)</f>
        <v>28.331340687097573</v>
      </c>
    </row>
    <row r="85" spans="1:57" x14ac:dyDescent="0.2">
      <c r="A85" s="2" t="s">
        <v>3232</v>
      </c>
      <c r="B85" s="2" t="s">
        <v>19</v>
      </c>
      <c r="C85" s="2" t="s">
        <v>1907</v>
      </c>
      <c r="D85" s="2" t="s">
        <v>21</v>
      </c>
      <c r="E85" s="2" t="s">
        <v>24</v>
      </c>
      <c r="F85" s="2">
        <v>1</v>
      </c>
      <c r="G85" s="2">
        <v>390</v>
      </c>
      <c r="H85" s="2">
        <v>3</v>
      </c>
      <c r="I85" s="2">
        <v>5</v>
      </c>
      <c r="J85" s="2">
        <v>4</v>
      </c>
      <c r="K85" s="2" t="s">
        <v>61</v>
      </c>
      <c r="L85" s="6" t="s">
        <v>113</v>
      </c>
      <c r="M85" s="5">
        <v>2350000000</v>
      </c>
      <c r="N85" s="2">
        <v>0</v>
      </c>
      <c r="O85" s="2">
        <v>4.785472393</v>
      </c>
      <c r="P85" s="2">
        <v>-74.027854919999996</v>
      </c>
      <c r="Q85" s="2" t="s">
        <v>3233</v>
      </c>
      <c r="R85" s="2">
        <v>6025641.0259999996</v>
      </c>
      <c r="S85" s="2">
        <v>0</v>
      </c>
      <c r="T85" s="2" t="s">
        <v>102</v>
      </c>
      <c r="U85" s="2" t="s">
        <v>103</v>
      </c>
      <c r="V85" s="2" t="s">
        <v>28</v>
      </c>
      <c r="W85" s="2" t="s">
        <v>70</v>
      </c>
      <c r="X85" s="2" t="s">
        <v>104</v>
      </c>
      <c r="Y85" s="2">
        <v>1.8165534590891099</v>
      </c>
      <c r="Z85" s="2">
        <v>4.7837500000000004</v>
      </c>
      <c r="AA85" s="2">
        <v>-74.044138888888895</v>
      </c>
      <c r="AB85" s="2">
        <v>2580</v>
      </c>
      <c r="AC85" s="2" t="s">
        <v>105</v>
      </c>
      <c r="AD85" s="2" t="s">
        <v>58</v>
      </c>
      <c r="AE85" s="2" t="s">
        <v>33</v>
      </c>
      <c r="AF85" s="2" t="s">
        <v>34</v>
      </c>
      <c r="AG85" s="2" t="s">
        <v>59</v>
      </c>
      <c r="AH85" s="2">
        <v>2.53447284692193</v>
      </c>
      <c r="AI85" s="2">
        <v>1.9391345933648501</v>
      </c>
      <c r="AJ85" s="2">
        <v>2.6700011545656399</v>
      </c>
      <c r="AK85" s="2">
        <v>1.86346386706036</v>
      </c>
      <c r="AL85" s="2">
        <v>0.20309214369145701</v>
      </c>
      <c r="AM85" s="2">
        <v>15.3</v>
      </c>
      <c r="AN85" s="2">
        <v>9.8000000000000007</v>
      </c>
      <c r="AO85" s="2">
        <v>29.7</v>
      </c>
      <c r="AP85" s="2">
        <v>564</v>
      </c>
      <c r="AQ85" s="2">
        <v>68</v>
      </c>
      <c r="AR85" s="2">
        <v>1.8</v>
      </c>
      <c r="AS85" s="2">
        <v>43</v>
      </c>
      <c r="AT85" s="2">
        <v>25.4</v>
      </c>
      <c r="AU85" s="2">
        <v>162</v>
      </c>
      <c r="AV85" s="2">
        <v>9.1</v>
      </c>
      <c r="AW85" s="2">
        <v>9.1999999999999993</v>
      </c>
      <c r="AX85" s="2">
        <v>18.3</v>
      </c>
      <c r="AY85" s="2">
        <v>0.34</v>
      </c>
      <c r="AZ85" s="2">
        <v>7.3</v>
      </c>
      <c r="BA85" s="2">
        <v>0.9</v>
      </c>
      <c r="BB85" s="2">
        <v>7.5</v>
      </c>
      <c r="BC85" s="2">
        <v>2.9</v>
      </c>
      <c r="BD85" s="2">
        <f>+AN85*EXP(-0.0495*Y85)</f>
        <v>8.9572475745302551</v>
      </c>
      <c r="BE85" s="2">
        <f>+AO85*EXP(-0.024*Y85)</f>
        <v>28.432980675777877</v>
      </c>
    </row>
    <row r="86" spans="1:57" x14ac:dyDescent="0.2">
      <c r="A86" s="2" t="s">
        <v>2400</v>
      </c>
      <c r="B86" s="2" t="s">
        <v>19</v>
      </c>
      <c r="C86" s="2" t="s">
        <v>1907</v>
      </c>
      <c r="D86" s="2" t="s">
        <v>21</v>
      </c>
      <c r="E86" s="2" t="s">
        <v>218</v>
      </c>
      <c r="F86" s="2">
        <v>6</v>
      </c>
      <c r="G86" s="2">
        <v>390</v>
      </c>
      <c r="H86" s="2">
        <v>4</v>
      </c>
      <c r="I86" s="2">
        <v>4</v>
      </c>
      <c r="J86" s="2">
        <v>4</v>
      </c>
      <c r="K86" s="2" t="s">
        <v>61</v>
      </c>
      <c r="L86" s="6" t="s">
        <v>75</v>
      </c>
      <c r="M86" s="5">
        <v>2300000000</v>
      </c>
      <c r="N86" s="2">
        <v>0</v>
      </c>
      <c r="O86" s="2">
        <v>4.8195161820000001</v>
      </c>
      <c r="P86" s="2">
        <v>-74.053352360000005</v>
      </c>
      <c r="Q86" s="2" t="s">
        <v>2401</v>
      </c>
      <c r="R86" s="2">
        <v>5897435.8969999999</v>
      </c>
      <c r="S86" s="2">
        <v>0</v>
      </c>
      <c r="T86" s="2" t="s">
        <v>102</v>
      </c>
      <c r="U86" s="2" t="s">
        <v>103</v>
      </c>
      <c r="V86" s="2" t="s">
        <v>28</v>
      </c>
      <c r="W86" s="2" t="s">
        <v>70</v>
      </c>
      <c r="X86" s="2" t="s">
        <v>104</v>
      </c>
      <c r="Y86" s="2">
        <v>4.1105587331789204</v>
      </c>
      <c r="Z86" s="2">
        <v>4.7837500000000004</v>
      </c>
      <c r="AA86" s="2">
        <v>-74.044138888888895</v>
      </c>
      <c r="AB86" s="2">
        <v>2580</v>
      </c>
      <c r="AC86" s="2" t="s">
        <v>105</v>
      </c>
      <c r="AD86" s="2" t="s">
        <v>58</v>
      </c>
      <c r="AE86" s="2" t="s">
        <v>33</v>
      </c>
      <c r="AF86" s="2" t="s">
        <v>34</v>
      </c>
      <c r="AG86" s="2" t="s">
        <v>72</v>
      </c>
      <c r="AH86" s="2">
        <v>5.70661893542173</v>
      </c>
      <c r="AI86" s="2">
        <v>0.75594310485893401</v>
      </c>
      <c r="AJ86" s="2">
        <v>2.2612206892240101</v>
      </c>
      <c r="AK86" s="2">
        <v>4.1599099082114197</v>
      </c>
      <c r="AL86" s="2">
        <v>0.53607127048732395</v>
      </c>
      <c r="AM86" s="2">
        <v>15.3</v>
      </c>
      <c r="AN86" s="2">
        <v>9.8000000000000007</v>
      </c>
      <c r="AO86" s="2">
        <v>29.7</v>
      </c>
      <c r="AP86" s="2">
        <v>564</v>
      </c>
      <c r="AQ86" s="2">
        <v>68</v>
      </c>
      <c r="AR86" s="2">
        <v>1.8</v>
      </c>
      <c r="AS86" s="2">
        <v>43</v>
      </c>
      <c r="AT86" s="2">
        <v>25.4</v>
      </c>
      <c r="AU86" s="2">
        <v>162</v>
      </c>
      <c r="AV86" s="2">
        <v>9.1</v>
      </c>
      <c r="AW86" s="2">
        <v>9.1999999999999993</v>
      </c>
      <c r="AX86" s="2">
        <v>18.3</v>
      </c>
      <c r="AY86" s="2">
        <v>0.34</v>
      </c>
      <c r="AZ86" s="2">
        <v>7.3</v>
      </c>
      <c r="BA86" s="2">
        <v>0.9</v>
      </c>
      <c r="BB86" s="2">
        <v>7.5</v>
      </c>
      <c r="BC86" s="2">
        <v>2.9</v>
      </c>
      <c r="BD86" s="2">
        <f>+AN86*EXP(-0.0495*Y86)</f>
        <v>7.9957466247356761</v>
      </c>
      <c r="BE86" s="2">
        <f>+AO86*EXP(-0.024*Y86)</f>
        <v>26.909883519605202</v>
      </c>
    </row>
    <row r="87" spans="1:57" x14ac:dyDescent="0.2">
      <c r="A87" s="2" t="s">
        <v>2281</v>
      </c>
      <c r="B87" s="2" t="s">
        <v>19</v>
      </c>
      <c r="C87" s="2" t="s">
        <v>1907</v>
      </c>
      <c r="D87" s="2" t="s">
        <v>21</v>
      </c>
      <c r="E87" s="2" t="s">
        <v>443</v>
      </c>
      <c r="F87" s="2">
        <v>4</v>
      </c>
      <c r="G87" s="2">
        <v>386.1</v>
      </c>
      <c r="H87" s="2">
        <v>5</v>
      </c>
      <c r="I87" s="2">
        <v>5</v>
      </c>
      <c r="J87" s="2">
        <v>4</v>
      </c>
      <c r="K87" s="2" t="s">
        <v>61</v>
      </c>
      <c r="L87" s="6" t="s">
        <v>113</v>
      </c>
      <c r="M87" s="5">
        <v>1900000000</v>
      </c>
      <c r="N87" s="2">
        <v>0</v>
      </c>
      <c r="O87" s="2">
        <v>4.7158740000000003</v>
      </c>
      <c r="P87" s="2">
        <v>-74.071901999999994</v>
      </c>
      <c r="Q87" s="2" t="s">
        <v>2282</v>
      </c>
      <c r="R87" s="2">
        <v>4921004.9210000001</v>
      </c>
      <c r="S87" s="2">
        <v>0</v>
      </c>
      <c r="T87" s="2" t="s">
        <v>68</v>
      </c>
      <c r="U87" s="2" t="s">
        <v>69</v>
      </c>
      <c r="V87" s="2" t="s">
        <v>28</v>
      </c>
      <c r="W87" s="2" t="s">
        <v>70</v>
      </c>
      <c r="X87" s="2" t="s">
        <v>71</v>
      </c>
      <c r="Y87" s="2">
        <v>2.38863999559663</v>
      </c>
      <c r="Z87" s="2">
        <v>4.73719444444444</v>
      </c>
      <c r="AA87" s="2">
        <v>-74.069472222222203</v>
      </c>
      <c r="AB87" s="2">
        <v>2555</v>
      </c>
      <c r="AC87" s="2" t="s">
        <v>31</v>
      </c>
      <c r="AD87" s="2" t="s">
        <v>58</v>
      </c>
      <c r="AE87" s="2" t="s">
        <v>33</v>
      </c>
      <c r="AF87" s="2" t="s">
        <v>34</v>
      </c>
      <c r="AG87" s="2" t="s">
        <v>72</v>
      </c>
      <c r="AH87" s="2">
        <v>0.43034149980737901</v>
      </c>
      <c r="AI87" s="2">
        <v>5.2439081264265104</v>
      </c>
      <c r="AJ87" s="2">
        <v>0.120712127979758</v>
      </c>
      <c r="AK87" s="2">
        <v>0.119471983392428</v>
      </c>
      <c r="AL87" s="2">
        <v>0.12768147735724</v>
      </c>
      <c r="AM87" s="2">
        <v>15.3</v>
      </c>
      <c r="AN87" s="2">
        <v>9.8000000000000007</v>
      </c>
      <c r="AO87" s="2">
        <v>29.7</v>
      </c>
      <c r="AP87" s="2">
        <v>564</v>
      </c>
      <c r="AQ87" s="2">
        <v>68</v>
      </c>
      <c r="AR87" s="2">
        <v>1.8</v>
      </c>
      <c r="AS87" s="2">
        <v>43</v>
      </c>
      <c r="AT87" s="2">
        <v>25.4</v>
      </c>
      <c r="AU87" s="2">
        <v>162</v>
      </c>
      <c r="AV87" s="2">
        <v>9.1</v>
      </c>
      <c r="AW87" s="2">
        <v>9.1999999999999993</v>
      </c>
      <c r="AX87" s="2">
        <v>18.3</v>
      </c>
      <c r="AY87" s="2">
        <v>0.34</v>
      </c>
      <c r="AZ87" s="2">
        <v>7.3</v>
      </c>
      <c r="BA87" s="2">
        <v>0.9</v>
      </c>
      <c r="BB87" s="2">
        <v>7.5</v>
      </c>
      <c r="BC87" s="2">
        <v>2.9</v>
      </c>
      <c r="BD87" s="2">
        <f>+AN87*EXP(-0.0495*Y87)</f>
        <v>8.7071515557790526</v>
      </c>
      <c r="BE87" s="2">
        <f>+AO87*EXP(-0.024*Y87)</f>
        <v>28.045261463464701</v>
      </c>
    </row>
    <row r="88" spans="1:57" x14ac:dyDescent="0.2">
      <c r="A88" s="2" t="s">
        <v>2193</v>
      </c>
      <c r="B88" s="2" t="s">
        <v>19</v>
      </c>
      <c r="C88" s="2" t="s">
        <v>1907</v>
      </c>
      <c r="D88" s="2" t="s">
        <v>21</v>
      </c>
      <c r="E88" s="2" t="s">
        <v>443</v>
      </c>
      <c r="F88" s="2">
        <v>4</v>
      </c>
      <c r="G88" s="2">
        <v>386.1</v>
      </c>
      <c r="H88" s="2">
        <v>4</v>
      </c>
      <c r="I88" s="2">
        <v>3</v>
      </c>
      <c r="J88" s="2">
        <v>4</v>
      </c>
      <c r="K88" s="2" t="s">
        <v>61</v>
      </c>
      <c r="L88" s="6" t="s">
        <v>113</v>
      </c>
      <c r="M88" s="5">
        <v>1600000000</v>
      </c>
      <c r="N88" s="2">
        <v>0</v>
      </c>
      <c r="O88" s="2">
        <v>4.7160299999999999</v>
      </c>
      <c r="P88" s="2">
        <v>-74.071916000000002</v>
      </c>
      <c r="Q88" s="2" t="s">
        <v>2194</v>
      </c>
      <c r="R88" s="2">
        <v>4144004.1439999999</v>
      </c>
      <c r="S88" s="2">
        <v>0</v>
      </c>
      <c r="T88" s="2" t="s">
        <v>68</v>
      </c>
      <c r="U88" s="2" t="s">
        <v>69</v>
      </c>
      <c r="V88" s="2" t="s">
        <v>28</v>
      </c>
      <c r="W88" s="2" t="s">
        <v>70</v>
      </c>
      <c r="X88" s="2" t="s">
        <v>71</v>
      </c>
      <c r="Y88" s="2">
        <v>2.3715629522093802</v>
      </c>
      <c r="Z88" s="2">
        <v>4.73719444444444</v>
      </c>
      <c r="AA88" s="2">
        <v>-74.069472222222203</v>
      </c>
      <c r="AB88" s="2">
        <v>2555</v>
      </c>
      <c r="AC88" s="2" t="s">
        <v>31</v>
      </c>
      <c r="AD88" s="2" t="s">
        <v>58</v>
      </c>
      <c r="AE88" s="2" t="s">
        <v>33</v>
      </c>
      <c r="AF88" s="2" t="s">
        <v>34</v>
      </c>
      <c r="AG88" s="2" t="s">
        <v>72</v>
      </c>
      <c r="AH88" s="2">
        <v>0.44733771203740003</v>
      </c>
      <c r="AI88" s="2">
        <v>5.2478879958412898</v>
      </c>
      <c r="AJ88" s="2">
        <v>0.106360172692697</v>
      </c>
      <c r="AK88" s="2">
        <v>0.110734229145386</v>
      </c>
      <c r="AL88" s="2">
        <v>0.112406665654827</v>
      </c>
      <c r="AM88" s="2">
        <v>15.3</v>
      </c>
      <c r="AN88" s="2">
        <v>9.8000000000000007</v>
      </c>
      <c r="AO88" s="2">
        <v>29.7</v>
      </c>
      <c r="AP88" s="2">
        <v>564</v>
      </c>
      <c r="AQ88" s="2">
        <v>68</v>
      </c>
      <c r="AR88" s="2">
        <v>1.8</v>
      </c>
      <c r="AS88" s="2">
        <v>43</v>
      </c>
      <c r="AT88" s="2">
        <v>25.4</v>
      </c>
      <c r="AU88" s="2">
        <v>162</v>
      </c>
      <c r="AV88" s="2">
        <v>9.1</v>
      </c>
      <c r="AW88" s="2">
        <v>9.1999999999999993</v>
      </c>
      <c r="AX88" s="2">
        <v>18.3</v>
      </c>
      <c r="AY88" s="2">
        <v>0.34</v>
      </c>
      <c r="AZ88" s="2">
        <v>7.3</v>
      </c>
      <c r="BA88" s="2">
        <v>0.9</v>
      </c>
      <c r="BB88" s="2">
        <v>7.5</v>
      </c>
      <c r="BC88" s="2">
        <v>2.9</v>
      </c>
      <c r="BD88" s="2">
        <f>+AN88*EXP(-0.0495*Y88)</f>
        <v>8.7145149415682628</v>
      </c>
      <c r="BE88" s="2">
        <f>+AO88*EXP(-0.024*Y88)</f>
        <v>28.056758142778911</v>
      </c>
    </row>
    <row r="89" spans="1:57" x14ac:dyDescent="0.2">
      <c r="A89" s="2" t="s">
        <v>2829</v>
      </c>
      <c r="B89" s="2" t="s">
        <v>19</v>
      </c>
      <c r="C89" s="2" t="s">
        <v>1907</v>
      </c>
      <c r="D89" s="2" t="s">
        <v>21</v>
      </c>
      <c r="E89" s="2" t="s">
        <v>1554</v>
      </c>
      <c r="F89" s="2">
        <v>4</v>
      </c>
      <c r="G89" s="2">
        <v>380</v>
      </c>
      <c r="H89" s="2">
        <v>5</v>
      </c>
      <c r="I89" s="2">
        <v>5</v>
      </c>
      <c r="J89" s="2">
        <v>4</v>
      </c>
      <c r="K89" s="2" t="s">
        <v>61</v>
      </c>
      <c r="L89" s="6" t="s">
        <v>113</v>
      </c>
      <c r="M89" s="5">
        <v>2500000000</v>
      </c>
      <c r="N89" s="2">
        <v>0</v>
      </c>
      <c r="O89" s="2">
        <v>4.7334269000000004</v>
      </c>
      <c r="P89" s="2">
        <v>-74.046405800000002</v>
      </c>
      <c r="Q89" s="2" t="s">
        <v>2830</v>
      </c>
      <c r="R89" s="2">
        <v>6578947.3679999998</v>
      </c>
      <c r="S89" s="2">
        <v>0</v>
      </c>
      <c r="T89" s="2" t="s">
        <v>68</v>
      </c>
      <c r="U89" s="2" t="s">
        <v>69</v>
      </c>
      <c r="V89" s="2" t="s">
        <v>28</v>
      </c>
      <c r="W89" s="2" t="s">
        <v>70</v>
      </c>
      <c r="X89" s="2" t="s">
        <v>71</v>
      </c>
      <c r="Y89" s="2">
        <v>2.5931188173737199</v>
      </c>
      <c r="Z89" s="2">
        <v>4.73719444444444</v>
      </c>
      <c r="AA89" s="2">
        <v>-74.069472222222203</v>
      </c>
      <c r="AB89" s="2">
        <v>2555</v>
      </c>
      <c r="AC89" s="2" t="s">
        <v>31</v>
      </c>
      <c r="AD89" s="2" t="s">
        <v>58</v>
      </c>
      <c r="AE89" s="2" t="s">
        <v>33</v>
      </c>
      <c r="AF89" s="2" t="s">
        <v>34</v>
      </c>
      <c r="AG89" s="2" t="s">
        <v>59</v>
      </c>
      <c r="AH89" s="2">
        <v>0.33803336040799697</v>
      </c>
      <c r="AI89" s="2">
        <v>2.70761702263788</v>
      </c>
      <c r="AJ89" s="2">
        <v>0.715801796268829</v>
      </c>
      <c r="AK89" s="2">
        <v>0.31780847531515399</v>
      </c>
      <c r="AL89" s="2">
        <v>0.21337155469614899</v>
      </c>
      <c r="AM89" s="2">
        <v>15.3</v>
      </c>
      <c r="AN89" s="2">
        <v>9.8000000000000007</v>
      </c>
      <c r="AO89" s="2">
        <v>29.7</v>
      </c>
      <c r="AP89" s="2">
        <v>564</v>
      </c>
      <c r="AQ89" s="2">
        <v>68</v>
      </c>
      <c r="AR89" s="2">
        <v>1.8</v>
      </c>
      <c r="AS89" s="2">
        <v>43</v>
      </c>
      <c r="AT89" s="2">
        <v>25.4</v>
      </c>
      <c r="AU89" s="2">
        <v>162</v>
      </c>
      <c r="AV89" s="2">
        <v>9.1</v>
      </c>
      <c r="AW89" s="2">
        <v>9.1999999999999993</v>
      </c>
      <c r="AX89" s="2">
        <v>18.3</v>
      </c>
      <c r="AY89" s="2">
        <v>0.34</v>
      </c>
      <c r="AZ89" s="2">
        <v>7.3</v>
      </c>
      <c r="BA89" s="2">
        <v>0.9</v>
      </c>
      <c r="BB89" s="2">
        <v>7.5</v>
      </c>
      <c r="BC89" s="2">
        <v>2.9</v>
      </c>
      <c r="BD89" s="2">
        <f>+AN89*EXP(-0.0495*Y89)</f>
        <v>8.6194648830531015</v>
      </c>
      <c r="BE89" s="2">
        <f>+AO89*EXP(-0.024*Y89)</f>
        <v>27.907966736884717</v>
      </c>
    </row>
    <row r="90" spans="1:57" x14ac:dyDescent="0.2">
      <c r="A90" s="2" t="s">
        <v>2283</v>
      </c>
      <c r="B90" s="2" t="s">
        <v>19</v>
      </c>
      <c r="C90" s="2" t="s">
        <v>1907</v>
      </c>
      <c r="D90" s="2" t="s">
        <v>21</v>
      </c>
      <c r="E90" s="2" t="s">
        <v>1675</v>
      </c>
      <c r="F90" s="2">
        <v>5</v>
      </c>
      <c r="G90" s="2">
        <v>376.54</v>
      </c>
      <c r="H90" s="2">
        <v>4</v>
      </c>
      <c r="I90" s="2">
        <v>5</v>
      </c>
      <c r="J90" s="2">
        <v>4</v>
      </c>
      <c r="K90" s="2" t="s">
        <v>61</v>
      </c>
      <c r="L90" s="6" t="s">
        <v>113</v>
      </c>
      <c r="M90" s="5">
        <v>1800000000</v>
      </c>
      <c r="N90" s="2">
        <v>0</v>
      </c>
      <c r="O90" s="2">
        <v>4.7688124109999999</v>
      </c>
      <c r="P90" s="2">
        <v>-74.064621639999999</v>
      </c>
      <c r="Q90" s="2" t="s">
        <v>2284</v>
      </c>
      <c r="R90" s="2">
        <v>4780368.62</v>
      </c>
      <c r="S90" s="2">
        <v>0</v>
      </c>
      <c r="T90" s="2" t="s">
        <v>102</v>
      </c>
      <c r="U90" s="2" t="s">
        <v>103</v>
      </c>
      <c r="V90" s="2" t="s">
        <v>28</v>
      </c>
      <c r="W90" s="2" t="s">
        <v>70</v>
      </c>
      <c r="X90" s="2" t="s">
        <v>104</v>
      </c>
      <c r="Y90" s="2">
        <v>2.81567004547269</v>
      </c>
      <c r="Z90" s="2">
        <v>4.7837500000000004</v>
      </c>
      <c r="AA90" s="2">
        <v>-74.044138888888895</v>
      </c>
      <c r="AB90" s="2">
        <v>2580</v>
      </c>
      <c r="AC90" s="2" t="s">
        <v>105</v>
      </c>
      <c r="AD90" s="2" t="s">
        <v>58</v>
      </c>
      <c r="AE90" s="2" t="s">
        <v>33</v>
      </c>
      <c r="AF90" s="2" t="s">
        <v>34</v>
      </c>
      <c r="AG90" s="2" t="s">
        <v>72</v>
      </c>
      <c r="AH90" s="2">
        <v>2.3174750669037798</v>
      </c>
      <c r="AI90" s="2">
        <v>3.5827234545683502</v>
      </c>
      <c r="AJ90" s="2">
        <v>2.10469992309128</v>
      </c>
      <c r="AK90" s="2">
        <v>0.661512489808458</v>
      </c>
      <c r="AL90" s="2">
        <v>8.2882446054565392E-3</v>
      </c>
      <c r="AM90" s="2">
        <v>15.3</v>
      </c>
      <c r="AN90" s="2">
        <v>9.8000000000000007</v>
      </c>
      <c r="AO90" s="2">
        <v>29.7</v>
      </c>
      <c r="AP90" s="2">
        <v>564</v>
      </c>
      <c r="AQ90" s="2">
        <v>68</v>
      </c>
      <c r="AR90" s="2">
        <v>1.8</v>
      </c>
      <c r="AS90" s="2">
        <v>43</v>
      </c>
      <c r="AT90" s="2">
        <v>25.4</v>
      </c>
      <c r="AU90" s="2">
        <v>162</v>
      </c>
      <c r="AV90" s="2">
        <v>9.1</v>
      </c>
      <c r="AW90" s="2">
        <v>9.1999999999999993</v>
      </c>
      <c r="AX90" s="2">
        <v>18.3</v>
      </c>
      <c r="AY90" s="2">
        <v>0.34</v>
      </c>
      <c r="AZ90" s="2">
        <v>7.3</v>
      </c>
      <c r="BA90" s="2">
        <v>0.9</v>
      </c>
      <c r="BB90" s="2">
        <v>7.5</v>
      </c>
      <c r="BC90" s="2">
        <v>2.9</v>
      </c>
      <c r="BD90" s="2">
        <f>+AN90*EXP(-0.0495*Y90)</f>
        <v>8.5250315021160112</v>
      </c>
      <c r="BE90" s="2">
        <f>+AO90*EXP(-0.024*Y90)</f>
        <v>27.759301264018816</v>
      </c>
    </row>
    <row r="91" spans="1:57" x14ac:dyDescent="0.2">
      <c r="A91" s="2" t="s">
        <v>2118</v>
      </c>
      <c r="B91" s="2" t="s">
        <v>19</v>
      </c>
      <c r="C91" s="2" t="s">
        <v>1907</v>
      </c>
      <c r="D91" s="2" t="s">
        <v>21</v>
      </c>
      <c r="E91" s="2" t="s">
        <v>434</v>
      </c>
      <c r="F91" s="2">
        <v>3</v>
      </c>
      <c r="G91" s="2">
        <v>374</v>
      </c>
      <c r="H91" s="2">
        <v>5</v>
      </c>
      <c r="I91" s="2">
        <v>4</v>
      </c>
      <c r="J91" s="2">
        <v>4</v>
      </c>
      <c r="K91" s="2" t="s">
        <v>61</v>
      </c>
      <c r="L91" s="6" t="s">
        <v>113</v>
      </c>
      <c r="M91" s="5">
        <v>1900000000</v>
      </c>
      <c r="N91" s="2">
        <v>0</v>
      </c>
      <c r="O91" s="2">
        <v>4.7241311069999998</v>
      </c>
      <c r="P91" s="2">
        <v>-74.071990970000002</v>
      </c>
      <c r="Q91" s="2" t="s">
        <v>2119</v>
      </c>
      <c r="R91" s="2">
        <v>5080213.9040000001</v>
      </c>
      <c r="S91" s="2">
        <v>0</v>
      </c>
      <c r="T91" s="2" t="s">
        <v>68</v>
      </c>
      <c r="U91" s="2" t="s">
        <v>69</v>
      </c>
      <c r="V91" s="2" t="s">
        <v>28</v>
      </c>
      <c r="W91" s="2" t="s">
        <v>70</v>
      </c>
      <c r="X91" s="2" t="s">
        <v>71</v>
      </c>
      <c r="Y91" s="2">
        <v>1.48080752277637</v>
      </c>
      <c r="Z91" s="2">
        <v>4.73719444444444</v>
      </c>
      <c r="AA91" s="2">
        <v>-74.069472222222203</v>
      </c>
      <c r="AB91" s="2">
        <v>2555</v>
      </c>
      <c r="AC91" s="2" t="s">
        <v>31</v>
      </c>
      <c r="AD91" s="2" t="s">
        <v>58</v>
      </c>
      <c r="AE91" s="2" t="s">
        <v>33</v>
      </c>
      <c r="AF91" s="2" t="s">
        <v>34</v>
      </c>
      <c r="AG91" s="2" t="s">
        <v>72</v>
      </c>
      <c r="AH91" s="2">
        <v>0.43722822190449301</v>
      </c>
      <c r="AI91" s="2">
        <v>5.3924413078289</v>
      </c>
      <c r="AJ91" s="2">
        <v>0.80697924807513999</v>
      </c>
      <c r="AK91" s="2">
        <v>0.423724134796582</v>
      </c>
      <c r="AL91" s="2">
        <v>0.27475024011299098</v>
      </c>
      <c r="AM91" s="2">
        <v>15.3</v>
      </c>
      <c r="AN91" s="2">
        <v>9.8000000000000007</v>
      </c>
      <c r="AO91" s="2">
        <v>29.7</v>
      </c>
      <c r="AP91" s="2">
        <v>564</v>
      </c>
      <c r="AQ91" s="2">
        <v>68</v>
      </c>
      <c r="AR91" s="2">
        <v>1.8</v>
      </c>
      <c r="AS91" s="2">
        <v>43</v>
      </c>
      <c r="AT91" s="2">
        <v>25.4</v>
      </c>
      <c r="AU91" s="2">
        <v>162</v>
      </c>
      <c r="AV91" s="2">
        <v>9.1</v>
      </c>
      <c r="AW91" s="2">
        <v>9.1999999999999993</v>
      </c>
      <c r="AX91" s="2">
        <v>18.3</v>
      </c>
      <c r="AY91" s="2">
        <v>0.34</v>
      </c>
      <c r="AZ91" s="2">
        <v>7.3</v>
      </c>
      <c r="BA91" s="2">
        <v>0.9</v>
      </c>
      <c r="BB91" s="2">
        <v>7.5</v>
      </c>
      <c r="BC91" s="2">
        <v>2.9</v>
      </c>
      <c r="BD91" s="2">
        <f>+AN91*EXP(-0.0495*Y91)</f>
        <v>9.107355769294033</v>
      </c>
      <c r="BE91" s="2">
        <f>+AO91*EXP(-0.024*Y91)</f>
        <v>28.663016419150289</v>
      </c>
    </row>
    <row r="92" spans="1:57" x14ac:dyDescent="0.2">
      <c r="A92" s="2" t="s">
        <v>3037</v>
      </c>
      <c r="B92" s="2" t="s">
        <v>19</v>
      </c>
      <c r="C92" s="2" t="s">
        <v>1907</v>
      </c>
      <c r="D92" s="2" t="s">
        <v>21</v>
      </c>
      <c r="E92" s="2" t="s">
        <v>1675</v>
      </c>
      <c r="F92" s="2">
        <v>5</v>
      </c>
      <c r="G92" s="2">
        <v>373</v>
      </c>
      <c r="H92" s="2">
        <v>3</v>
      </c>
      <c r="I92" s="2">
        <v>5</v>
      </c>
      <c r="J92" s="2">
        <v>3</v>
      </c>
      <c r="K92" s="2" t="s">
        <v>61</v>
      </c>
      <c r="L92" s="6" t="s">
        <v>113</v>
      </c>
      <c r="M92" s="5">
        <v>1250000000</v>
      </c>
      <c r="N92" s="2">
        <v>0</v>
      </c>
      <c r="O92" s="2">
        <v>4.7637584999999998</v>
      </c>
      <c r="P92" s="2">
        <v>-74.062806300000005</v>
      </c>
      <c r="Q92" s="2" t="s">
        <v>3038</v>
      </c>
      <c r="R92" s="2">
        <v>3351206.4339999999</v>
      </c>
      <c r="S92" s="2">
        <v>0</v>
      </c>
      <c r="T92" s="2" t="s">
        <v>102</v>
      </c>
      <c r="U92" s="2" t="s">
        <v>103</v>
      </c>
      <c r="V92" s="2" t="s">
        <v>28</v>
      </c>
      <c r="W92" s="2" t="s">
        <v>70</v>
      </c>
      <c r="X92" s="2" t="s">
        <v>104</v>
      </c>
      <c r="Y92" s="2">
        <v>3.0398963379070398</v>
      </c>
      <c r="Z92" s="2">
        <v>4.7837500000000004</v>
      </c>
      <c r="AA92" s="2">
        <v>-74.044138888888895</v>
      </c>
      <c r="AB92" s="2">
        <v>2580</v>
      </c>
      <c r="AC92" s="2" t="s">
        <v>105</v>
      </c>
      <c r="AD92" s="2" t="s">
        <v>58</v>
      </c>
      <c r="AE92" s="2" t="s">
        <v>33</v>
      </c>
      <c r="AF92" s="2" t="s">
        <v>34</v>
      </c>
      <c r="AG92" s="2" t="s">
        <v>72</v>
      </c>
      <c r="AH92" s="2">
        <v>2.0363497832789998</v>
      </c>
      <c r="AI92" s="2">
        <v>4.1226578419186097</v>
      </c>
      <c r="AJ92" s="2">
        <v>1.54288917042121</v>
      </c>
      <c r="AK92" s="2">
        <v>0.49929724503377598</v>
      </c>
      <c r="AL92" s="2">
        <v>3.4432385586606003E-2</v>
      </c>
      <c r="AM92" s="2">
        <v>15.3</v>
      </c>
      <c r="AN92" s="2">
        <v>9.8000000000000007</v>
      </c>
      <c r="AO92" s="2">
        <v>29.7</v>
      </c>
      <c r="AP92" s="2">
        <v>564</v>
      </c>
      <c r="AQ92" s="2">
        <v>68</v>
      </c>
      <c r="AR92" s="2">
        <v>1.8</v>
      </c>
      <c r="AS92" s="2">
        <v>43</v>
      </c>
      <c r="AT92" s="2">
        <v>25.4</v>
      </c>
      <c r="AU92" s="2">
        <v>162</v>
      </c>
      <c r="AV92" s="2">
        <v>9.1</v>
      </c>
      <c r="AW92" s="2">
        <v>9.1999999999999993</v>
      </c>
      <c r="AX92" s="2">
        <v>18.3</v>
      </c>
      <c r="AY92" s="2">
        <v>0.34</v>
      </c>
      <c r="AZ92" s="2">
        <v>7.3</v>
      </c>
      <c r="BA92" s="2">
        <v>0.9</v>
      </c>
      <c r="BB92" s="2">
        <v>7.5</v>
      </c>
      <c r="BC92" s="2">
        <v>2.9</v>
      </c>
      <c r="BD92" s="2">
        <f>+AN92*EXP(-0.0495*Y92)</f>
        <v>8.430933631510074</v>
      </c>
      <c r="BE92" s="2">
        <f>+AO92*EXP(-0.024*Y92)</f>
        <v>27.610317730994037</v>
      </c>
    </row>
    <row r="93" spans="1:57" x14ac:dyDescent="0.2">
      <c r="A93" s="2" t="s">
        <v>2580</v>
      </c>
      <c r="B93" s="2" t="s">
        <v>19</v>
      </c>
      <c r="C93" s="2" t="s">
        <v>1907</v>
      </c>
      <c r="D93" s="2" t="s">
        <v>21</v>
      </c>
      <c r="E93" s="2" t="s">
        <v>1468</v>
      </c>
      <c r="F93" s="2">
        <v>5</v>
      </c>
      <c r="G93" s="2">
        <v>370</v>
      </c>
      <c r="H93" s="2">
        <v>5</v>
      </c>
      <c r="I93" s="2">
        <v>5</v>
      </c>
      <c r="J93" s="2">
        <v>4</v>
      </c>
      <c r="K93" s="2" t="s">
        <v>61</v>
      </c>
      <c r="L93" s="6" t="s">
        <v>113</v>
      </c>
      <c r="M93" s="5">
        <v>1600000000</v>
      </c>
      <c r="N93" s="2">
        <v>0</v>
      </c>
      <c r="O93" s="2">
        <v>4.7088299999999998</v>
      </c>
      <c r="P93" s="2">
        <v>-74.078860000000006</v>
      </c>
      <c r="Q93" s="2" t="s">
        <v>2581</v>
      </c>
      <c r="R93" s="2">
        <v>4324324.324</v>
      </c>
      <c r="S93" s="2">
        <v>0</v>
      </c>
      <c r="T93" s="2" t="s">
        <v>68</v>
      </c>
      <c r="U93" s="2" t="s">
        <v>69</v>
      </c>
      <c r="V93" s="2" t="s">
        <v>28</v>
      </c>
      <c r="W93" s="2" t="s">
        <v>70</v>
      </c>
      <c r="X93" s="2" t="s">
        <v>71</v>
      </c>
      <c r="Y93" s="2">
        <v>3.3248479860168301</v>
      </c>
      <c r="Z93" s="2">
        <v>4.73719444444444</v>
      </c>
      <c r="AA93" s="2">
        <v>-74.069472222222203</v>
      </c>
      <c r="AB93" s="2">
        <v>2555</v>
      </c>
      <c r="AC93" s="2" t="s">
        <v>31</v>
      </c>
      <c r="AD93" s="2" t="s">
        <v>58</v>
      </c>
      <c r="AE93" s="2" t="s">
        <v>33</v>
      </c>
      <c r="AF93" s="2" t="s">
        <v>34</v>
      </c>
      <c r="AG93" s="2" t="s">
        <v>72</v>
      </c>
      <c r="AH93" s="2">
        <v>0.80666196076680796</v>
      </c>
      <c r="AI93" s="2">
        <v>5.51049313668985</v>
      </c>
      <c r="AJ93" s="2">
        <v>1.2111977997936001</v>
      </c>
      <c r="AK93" s="2">
        <v>0.16093809442993601</v>
      </c>
      <c r="AL93" s="2">
        <v>2.13765266243295E-4</v>
      </c>
      <c r="AM93" s="2">
        <v>15.3</v>
      </c>
      <c r="AN93" s="2">
        <v>9.8000000000000007</v>
      </c>
      <c r="AO93" s="2">
        <v>29.7</v>
      </c>
      <c r="AP93" s="2">
        <v>564</v>
      </c>
      <c r="AQ93" s="2">
        <v>68</v>
      </c>
      <c r="AR93" s="2">
        <v>1.8</v>
      </c>
      <c r="AS93" s="2">
        <v>43</v>
      </c>
      <c r="AT93" s="2">
        <v>25.4</v>
      </c>
      <c r="AU93" s="2">
        <v>162</v>
      </c>
      <c r="AV93" s="2">
        <v>9.1</v>
      </c>
      <c r="AW93" s="2">
        <v>9.1999999999999993</v>
      </c>
      <c r="AX93" s="2">
        <v>18.3</v>
      </c>
      <c r="AY93" s="2">
        <v>0.34</v>
      </c>
      <c r="AZ93" s="2">
        <v>7.3</v>
      </c>
      <c r="BA93" s="2">
        <v>0.9</v>
      </c>
      <c r="BB93" s="2">
        <v>7.5</v>
      </c>
      <c r="BC93" s="2">
        <v>2.9</v>
      </c>
      <c r="BD93" s="2">
        <f>+AN93*EXP(-0.0495*Y93)</f>
        <v>8.3128491687978752</v>
      </c>
      <c r="BE93" s="2">
        <f>+AO93*EXP(-0.024*Y93)</f>
        <v>27.422139392133055</v>
      </c>
    </row>
    <row r="94" spans="1:57" x14ac:dyDescent="0.2">
      <c r="A94" s="2" t="s">
        <v>2262</v>
      </c>
      <c r="B94" s="2" t="s">
        <v>19</v>
      </c>
      <c r="C94" s="2" t="s">
        <v>1907</v>
      </c>
      <c r="D94" s="2" t="s">
        <v>21</v>
      </c>
      <c r="E94" s="2" t="s">
        <v>499</v>
      </c>
      <c r="F94" s="2">
        <v>6</v>
      </c>
      <c r="G94" s="2">
        <v>368.63</v>
      </c>
      <c r="H94" s="2">
        <v>4</v>
      </c>
      <c r="I94" s="2">
        <v>5</v>
      </c>
      <c r="J94" s="2">
        <v>2</v>
      </c>
      <c r="K94" s="2" t="s">
        <v>61</v>
      </c>
      <c r="L94" s="6" t="s">
        <v>113</v>
      </c>
      <c r="M94" s="5">
        <v>1600000000</v>
      </c>
      <c r="N94" s="2">
        <v>0</v>
      </c>
      <c r="O94" s="2">
        <v>4.7194099429999996</v>
      </c>
      <c r="P94" s="2">
        <v>-74.078300479999996</v>
      </c>
      <c r="Q94" s="2" t="s">
        <v>2263</v>
      </c>
      <c r="R94" s="2">
        <v>4340395.5190000003</v>
      </c>
      <c r="S94" s="2">
        <v>0</v>
      </c>
      <c r="T94" s="2" t="s">
        <v>68</v>
      </c>
      <c r="U94" s="2" t="s">
        <v>69</v>
      </c>
      <c r="V94" s="2" t="s">
        <v>28</v>
      </c>
      <c r="W94" s="2" t="s">
        <v>70</v>
      </c>
      <c r="X94" s="2" t="s">
        <v>71</v>
      </c>
      <c r="Y94" s="2">
        <v>2.2087791346439398</v>
      </c>
      <c r="Z94" s="2">
        <v>4.73719444444444</v>
      </c>
      <c r="AA94" s="2">
        <v>-74.069472222222203</v>
      </c>
      <c r="AB94" s="2">
        <v>2555</v>
      </c>
      <c r="AC94" s="2" t="s">
        <v>31</v>
      </c>
      <c r="AD94" s="2" t="s">
        <v>58</v>
      </c>
      <c r="AE94" s="2" t="s">
        <v>33</v>
      </c>
      <c r="AF94" s="2" t="s">
        <v>34</v>
      </c>
      <c r="AG94" s="2" t="s">
        <v>72</v>
      </c>
      <c r="AH94" s="2">
        <v>0.447729470370413</v>
      </c>
      <c r="AI94" s="2">
        <v>5.2807561243603303</v>
      </c>
      <c r="AJ94" s="2">
        <v>0.81392840468452399</v>
      </c>
      <c r="AK94" s="2">
        <v>0.32177878969262202</v>
      </c>
      <c r="AL94" s="2">
        <v>0.116705588775841</v>
      </c>
      <c r="AM94" s="2">
        <v>15.3</v>
      </c>
      <c r="AN94" s="2">
        <v>9.8000000000000007</v>
      </c>
      <c r="AO94" s="2">
        <v>29.7</v>
      </c>
      <c r="AP94" s="2">
        <v>564</v>
      </c>
      <c r="AQ94" s="2">
        <v>68</v>
      </c>
      <c r="AR94" s="2">
        <v>1.8</v>
      </c>
      <c r="AS94" s="2">
        <v>43</v>
      </c>
      <c r="AT94" s="2">
        <v>25.4</v>
      </c>
      <c r="AU94" s="2">
        <v>162</v>
      </c>
      <c r="AV94" s="2">
        <v>9.1</v>
      </c>
      <c r="AW94" s="2">
        <v>9.1999999999999993</v>
      </c>
      <c r="AX94" s="2">
        <v>18.3</v>
      </c>
      <c r="AY94" s="2">
        <v>0.34</v>
      </c>
      <c r="AZ94" s="2">
        <v>7.3</v>
      </c>
      <c r="BA94" s="2">
        <v>0.9</v>
      </c>
      <c r="BB94" s="2">
        <v>7.5</v>
      </c>
      <c r="BC94" s="2">
        <v>2.9</v>
      </c>
      <c r="BD94" s="2">
        <f>+AN94*EXP(-0.0495*Y94)</f>
        <v>8.7850184210450237</v>
      </c>
      <c r="BE94" s="2">
        <f>+AO94*EXP(-0.024*Y94)</f>
        <v>28.166585008299798</v>
      </c>
    </row>
    <row r="95" spans="1:57" x14ac:dyDescent="0.2">
      <c r="A95" s="2" t="s">
        <v>2025</v>
      </c>
      <c r="B95" s="2" t="s">
        <v>19</v>
      </c>
      <c r="C95" s="2" t="s">
        <v>1907</v>
      </c>
      <c r="D95" s="2" t="s">
        <v>21</v>
      </c>
      <c r="E95" s="2" t="s">
        <v>499</v>
      </c>
      <c r="F95" s="2">
        <v>6</v>
      </c>
      <c r="G95" s="2">
        <v>368</v>
      </c>
      <c r="H95" s="2">
        <v>4</v>
      </c>
      <c r="I95" s="2">
        <v>4</v>
      </c>
      <c r="J95" s="2">
        <v>3</v>
      </c>
      <c r="K95" s="2" t="s">
        <v>61</v>
      </c>
      <c r="L95" s="6" t="s">
        <v>113</v>
      </c>
      <c r="M95" s="5">
        <v>1850000000</v>
      </c>
      <c r="N95" s="2">
        <v>0</v>
      </c>
      <c r="O95" s="2">
        <v>4.7209057809999999</v>
      </c>
      <c r="P95" s="2">
        <v>-74.079124449999995</v>
      </c>
      <c r="Q95" s="2" t="s">
        <v>2026</v>
      </c>
      <c r="R95" s="2">
        <v>5027173.9129999997</v>
      </c>
      <c r="S95" s="2">
        <v>0</v>
      </c>
      <c r="T95" s="2" t="s">
        <v>68</v>
      </c>
      <c r="U95" s="2" t="s">
        <v>69</v>
      </c>
      <c r="V95" s="2" t="s">
        <v>28</v>
      </c>
      <c r="W95" s="2" t="s">
        <v>70</v>
      </c>
      <c r="X95" s="2" t="s">
        <v>71</v>
      </c>
      <c r="Y95" s="2">
        <v>2.10583058365195</v>
      </c>
      <c r="Z95" s="2">
        <v>4.73719444444444</v>
      </c>
      <c r="AA95" s="2">
        <v>-74.069472222222203</v>
      </c>
      <c r="AB95" s="2">
        <v>2555</v>
      </c>
      <c r="AC95" s="2" t="s">
        <v>31</v>
      </c>
      <c r="AD95" s="2" t="s">
        <v>58</v>
      </c>
      <c r="AE95" s="2" t="s">
        <v>33</v>
      </c>
      <c r="AF95" s="2" t="s">
        <v>34</v>
      </c>
      <c r="AG95" s="2" t="s">
        <v>72</v>
      </c>
      <c r="AH95" s="2">
        <v>0.49089883547554403</v>
      </c>
      <c r="AI95" s="2">
        <v>5.1594994302809196</v>
      </c>
      <c r="AJ95" s="2">
        <v>0.964925159542254</v>
      </c>
      <c r="AK95" s="2">
        <v>0.50206283400047802</v>
      </c>
      <c r="AL95" s="2">
        <v>5.6942108278335402E-2</v>
      </c>
      <c r="AM95" s="2">
        <v>15.3</v>
      </c>
      <c r="AN95" s="2">
        <v>9.8000000000000007</v>
      </c>
      <c r="AO95" s="2">
        <v>29.7</v>
      </c>
      <c r="AP95" s="2">
        <v>564</v>
      </c>
      <c r="AQ95" s="2">
        <v>68</v>
      </c>
      <c r="AR95" s="2">
        <v>1.8</v>
      </c>
      <c r="AS95" s="2">
        <v>43</v>
      </c>
      <c r="AT95" s="2">
        <v>25.4</v>
      </c>
      <c r="AU95" s="2">
        <v>162</v>
      </c>
      <c r="AV95" s="2">
        <v>9.1</v>
      </c>
      <c r="AW95" s="2">
        <v>9.1999999999999993</v>
      </c>
      <c r="AX95" s="2">
        <v>18.3</v>
      </c>
      <c r="AY95" s="2">
        <v>0.34</v>
      </c>
      <c r="AZ95" s="2">
        <v>7.3</v>
      </c>
      <c r="BA95" s="2">
        <v>0.9</v>
      </c>
      <c r="BB95" s="2">
        <v>7.5</v>
      </c>
      <c r="BC95" s="2">
        <v>2.9</v>
      </c>
      <c r="BD95" s="2">
        <f>+AN95*EXP(-0.0495*Y95)</f>
        <v>8.8299007263681553</v>
      </c>
      <c r="BE95" s="2">
        <f>+AO95*EXP(-0.024*Y95)</f>
        <v>28.236264071867907</v>
      </c>
    </row>
    <row r="96" spans="1:57" x14ac:dyDescent="0.2">
      <c r="A96" s="2" t="s">
        <v>1970</v>
      </c>
      <c r="B96" s="2" t="s">
        <v>19</v>
      </c>
      <c r="C96" s="2" t="s">
        <v>1907</v>
      </c>
      <c r="D96" s="2" t="s">
        <v>21</v>
      </c>
      <c r="E96" s="2" t="s">
        <v>218</v>
      </c>
      <c r="F96" s="2">
        <v>6</v>
      </c>
      <c r="G96" s="2">
        <v>361.91</v>
      </c>
      <c r="H96" s="2">
        <v>4</v>
      </c>
      <c r="I96" s="2">
        <v>4</v>
      </c>
      <c r="J96" s="2">
        <v>3</v>
      </c>
      <c r="K96" s="2" t="s">
        <v>61</v>
      </c>
      <c r="L96" s="6" t="s">
        <v>75</v>
      </c>
      <c r="M96" s="5">
        <v>2100000000</v>
      </c>
      <c r="N96" s="2">
        <v>0</v>
      </c>
      <c r="O96" s="2">
        <v>4.8192005160000004</v>
      </c>
      <c r="P96" s="2">
        <v>-74.041084290000001</v>
      </c>
      <c r="Q96" s="2" t="s">
        <v>1971</v>
      </c>
      <c r="R96" s="2">
        <v>5802547.5949999997</v>
      </c>
      <c r="S96" s="2">
        <v>0</v>
      </c>
      <c r="T96" s="2" t="s">
        <v>102</v>
      </c>
      <c r="U96" s="2" t="s">
        <v>103</v>
      </c>
      <c r="V96" s="2" t="s">
        <v>28</v>
      </c>
      <c r="W96" s="2" t="s">
        <v>70</v>
      </c>
      <c r="X96" s="2" t="s">
        <v>104</v>
      </c>
      <c r="Y96" s="2">
        <v>3.9608536790384101</v>
      </c>
      <c r="Z96" s="2">
        <v>4.7837500000000004</v>
      </c>
      <c r="AA96" s="2">
        <v>-74.044138888888895</v>
      </c>
      <c r="AB96" s="2">
        <v>2580</v>
      </c>
      <c r="AC96" s="2" t="s">
        <v>105</v>
      </c>
      <c r="AD96" s="2" t="s">
        <v>58</v>
      </c>
      <c r="AE96" s="2" t="s">
        <v>33</v>
      </c>
      <c r="AF96" s="2" t="s">
        <v>34</v>
      </c>
      <c r="AG96" s="2" t="s">
        <v>72</v>
      </c>
      <c r="AH96" s="2">
        <v>5.5746097397625398</v>
      </c>
      <c r="AI96" s="2">
        <v>1.07227956348163</v>
      </c>
      <c r="AJ96" s="2">
        <v>2.21721150407698</v>
      </c>
      <c r="AK96" s="2">
        <v>4.6239717682486399</v>
      </c>
      <c r="AL96" s="2">
        <v>2.0650607888673699E-2</v>
      </c>
      <c r="AM96" s="2">
        <v>15.3</v>
      </c>
      <c r="AN96" s="2">
        <v>9.8000000000000007</v>
      </c>
      <c r="AO96" s="2">
        <v>29.7</v>
      </c>
      <c r="AP96" s="2">
        <v>564</v>
      </c>
      <c r="AQ96" s="2">
        <v>68</v>
      </c>
      <c r="AR96" s="2">
        <v>1.8</v>
      </c>
      <c r="AS96" s="2">
        <v>43</v>
      </c>
      <c r="AT96" s="2">
        <v>25.4</v>
      </c>
      <c r="AU96" s="2">
        <v>162</v>
      </c>
      <c r="AV96" s="2">
        <v>9.1</v>
      </c>
      <c r="AW96" s="2">
        <v>9.1999999999999993</v>
      </c>
      <c r="AX96" s="2">
        <v>18.3</v>
      </c>
      <c r="AY96" s="2">
        <v>0.34</v>
      </c>
      <c r="AZ96" s="2">
        <v>7.3</v>
      </c>
      <c r="BA96" s="2">
        <v>0.9</v>
      </c>
      <c r="BB96" s="2">
        <v>7.5</v>
      </c>
      <c r="BC96" s="2">
        <v>2.9</v>
      </c>
      <c r="BD96" s="2">
        <f>+AN96*EXP(-0.0495*Y96)</f>
        <v>8.0552183895984015</v>
      </c>
      <c r="BE96" s="2">
        <f>+AO96*EXP(-0.024*Y96)</f>
        <v>27.006742512438898</v>
      </c>
    </row>
    <row r="97" spans="1:57" x14ac:dyDescent="0.2">
      <c r="A97" s="2" t="s">
        <v>2970</v>
      </c>
      <c r="B97" s="2" t="s">
        <v>19</v>
      </c>
      <c r="C97" s="2" t="s">
        <v>1907</v>
      </c>
      <c r="D97" s="2" t="s">
        <v>21</v>
      </c>
      <c r="E97" s="2" t="s">
        <v>2014</v>
      </c>
      <c r="F97" s="2">
        <v>1</v>
      </c>
      <c r="G97" s="2">
        <v>360</v>
      </c>
      <c r="H97" s="2">
        <v>4</v>
      </c>
      <c r="I97" s="2">
        <v>5</v>
      </c>
      <c r="J97" s="2">
        <v>4</v>
      </c>
      <c r="K97" s="2" t="s">
        <v>61</v>
      </c>
      <c r="L97" s="6" t="s">
        <v>113</v>
      </c>
      <c r="M97" s="5">
        <v>2300000000</v>
      </c>
      <c r="N97" s="2">
        <v>0</v>
      </c>
      <c r="O97" s="2">
        <v>4.8143830300000001</v>
      </c>
      <c r="P97" s="2">
        <v>-74.059799190000007</v>
      </c>
      <c r="Q97" s="2" t="s">
        <v>2971</v>
      </c>
      <c r="R97" s="2">
        <v>6388888.8890000004</v>
      </c>
      <c r="S97" s="2">
        <v>0</v>
      </c>
      <c r="T97" s="2" t="s">
        <v>102</v>
      </c>
      <c r="U97" s="2" t="s">
        <v>103</v>
      </c>
      <c r="V97" s="2" t="s">
        <v>28</v>
      </c>
      <c r="W97" s="2" t="s">
        <v>70</v>
      </c>
      <c r="X97" s="2" t="s">
        <v>104</v>
      </c>
      <c r="Y97" s="2">
        <v>3.8270452877942298</v>
      </c>
      <c r="Z97" s="2">
        <v>4.7837500000000004</v>
      </c>
      <c r="AA97" s="2">
        <v>-74.044138888888895</v>
      </c>
      <c r="AB97" s="2">
        <v>2580</v>
      </c>
      <c r="AC97" s="2" t="s">
        <v>105</v>
      </c>
      <c r="AD97" s="2" t="s">
        <v>58</v>
      </c>
      <c r="AE97" s="2" t="s">
        <v>33</v>
      </c>
      <c r="AF97" s="2" t="s">
        <v>34</v>
      </c>
      <c r="AG97" s="2" t="s">
        <v>72</v>
      </c>
      <c r="AH97" s="2">
        <v>5.3470994980178101</v>
      </c>
      <c r="AI97" s="2">
        <v>1.1389309103680401</v>
      </c>
      <c r="AJ97" s="2">
        <v>2.1219822472616499</v>
      </c>
      <c r="AK97" s="2">
        <v>3.2586074969266501</v>
      </c>
      <c r="AL97" s="2">
        <v>1.37558930816022</v>
      </c>
      <c r="AM97" s="2">
        <v>15.3</v>
      </c>
      <c r="AN97" s="2">
        <v>9.8000000000000007</v>
      </c>
      <c r="AO97" s="2">
        <v>29.7</v>
      </c>
      <c r="AP97" s="2">
        <v>564</v>
      </c>
      <c r="AQ97" s="2">
        <v>68</v>
      </c>
      <c r="AR97" s="2">
        <v>1.8</v>
      </c>
      <c r="AS97" s="2">
        <v>43</v>
      </c>
      <c r="AT97" s="2">
        <v>25.4</v>
      </c>
      <c r="AU97" s="2">
        <v>162</v>
      </c>
      <c r="AV97" s="2">
        <v>9.1</v>
      </c>
      <c r="AW97" s="2">
        <v>9.1999999999999993</v>
      </c>
      <c r="AX97" s="2">
        <v>18.3</v>
      </c>
      <c r="AY97" s="2">
        <v>0.34</v>
      </c>
      <c r="AZ97" s="2">
        <v>7.3</v>
      </c>
      <c r="BA97" s="2">
        <v>0.9</v>
      </c>
      <c r="BB97" s="2">
        <v>7.5</v>
      </c>
      <c r="BC97" s="2">
        <v>2.9</v>
      </c>
      <c r="BD97" s="2">
        <f>+AN97*EXP(-0.0495*Y97)</f>
        <v>8.1087493382091296</v>
      </c>
      <c r="BE97" s="2">
        <f>+AO97*EXP(-0.024*Y97)</f>
        <v>27.093611413676744</v>
      </c>
    </row>
    <row r="98" spans="1:57" x14ac:dyDescent="0.2">
      <c r="A98" s="2" t="s">
        <v>2398</v>
      </c>
      <c r="B98" s="2" t="s">
        <v>19</v>
      </c>
      <c r="C98" s="2" t="s">
        <v>1907</v>
      </c>
      <c r="D98" s="2" t="s">
        <v>21</v>
      </c>
      <c r="E98" s="2" t="s">
        <v>218</v>
      </c>
      <c r="F98" s="2">
        <v>6</v>
      </c>
      <c r="G98" s="2">
        <v>360</v>
      </c>
      <c r="H98" s="2">
        <v>3</v>
      </c>
      <c r="I98" s="2">
        <v>5</v>
      </c>
      <c r="J98" s="2">
        <v>4</v>
      </c>
      <c r="K98" s="2" t="s">
        <v>61</v>
      </c>
      <c r="L98" s="6" t="s">
        <v>75</v>
      </c>
      <c r="M98" s="5">
        <v>1900000000</v>
      </c>
      <c r="N98" s="2">
        <v>0</v>
      </c>
      <c r="O98" s="2">
        <v>4.8136811140000004</v>
      </c>
      <c r="P98" s="2">
        <v>-74.055765379999997</v>
      </c>
      <c r="Q98" s="2" t="s">
        <v>2399</v>
      </c>
      <c r="R98" s="2">
        <v>5277777.7779999999</v>
      </c>
      <c r="S98" s="2">
        <v>0</v>
      </c>
      <c r="T98" s="2" t="s">
        <v>102</v>
      </c>
      <c r="U98" s="2" t="s">
        <v>103</v>
      </c>
      <c r="V98" s="2" t="s">
        <v>28</v>
      </c>
      <c r="W98" s="2" t="s">
        <v>70</v>
      </c>
      <c r="X98" s="2" t="s">
        <v>104</v>
      </c>
      <c r="Y98" s="2">
        <v>3.5728196301602999</v>
      </c>
      <c r="Z98" s="2">
        <v>4.7837500000000004</v>
      </c>
      <c r="AA98" s="2">
        <v>-74.044138888888895</v>
      </c>
      <c r="AB98" s="2">
        <v>2580</v>
      </c>
      <c r="AC98" s="2" t="s">
        <v>105</v>
      </c>
      <c r="AD98" s="2" t="s">
        <v>58</v>
      </c>
      <c r="AE98" s="2" t="s">
        <v>33</v>
      </c>
      <c r="AF98" s="2" t="s">
        <v>34</v>
      </c>
      <c r="AG98" s="2" t="s">
        <v>72</v>
      </c>
      <c r="AH98" s="2">
        <v>5.1388017551958702</v>
      </c>
      <c r="AI98" s="2">
        <v>1.2899273188831499</v>
      </c>
      <c r="AJ98" s="2">
        <v>1.7888133558371799</v>
      </c>
      <c r="AK98" s="2">
        <v>3.5175728739640899</v>
      </c>
      <c r="AL98" s="2">
        <v>1.2207187684043099</v>
      </c>
      <c r="AM98" s="2">
        <v>15.3</v>
      </c>
      <c r="AN98" s="2">
        <v>9.8000000000000007</v>
      </c>
      <c r="AO98" s="2">
        <v>29.7</v>
      </c>
      <c r="AP98" s="2">
        <v>564</v>
      </c>
      <c r="AQ98" s="2">
        <v>68</v>
      </c>
      <c r="AR98" s="2">
        <v>1.8</v>
      </c>
      <c r="AS98" s="2">
        <v>43</v>
      </c>
      <c r="AT98" s="2">
        <v>25.4</v>
      </c>
      <c r="AU98" s="2">
        <v>162</v>
      </c>
      <c r="AV98" s="2">
        <v>9.1</v>
      </c>
      <c r="AW98" s="2">
        <v>9.1999999999999993</v>
      </c>
      <c r="AX98" s="2">
        <v>18.3</v>
      </c>
      <c r="AY98" s="2">
        <v>0.34</v>
      </c>
      <c r="AZ98" s="2">
        <v>7.3</v>
      </c>
      <c r="BA98" s="2">
        <v>0.9</v>
      </c>
      <c r="BB98" s="2">
        <v>7.5</v>
      </c>
      <c r="BC98" s="2">
        <v>2.9</v>
      </c>
      <c r="BD98" s="2">
        <f>+AN98*EXP(-0.0495*Y98)</f>
        <v>8.2114359767287777</v>
      </c>
      <c r="BE98" s="2">
        <f>+AO98*EXP(-0.024*Y98)</f>
        <v>27.259426139871966</v>
      </c>
    </row>
    <row r="99" spans="1:57" x14ac:dyDescent="0.2">
      <c r="A99" s="2" t="s">
        <v>2545</v>
      </c>
      <c r="B99" s="2" t="s">
        <v>19</v>
      </c>
      <c r="C99" s="2" t="s">
        <v>1907</v>
      </c>
      <c r="D99" s="2" t="s">
        <v>21</v>
      </c>
      <c r="E99" s="2" t="s">
        <v>1878</v>
      </c>
      <c r="F99" s="2">
        <v>3</v>
      </c>
      <c r="G99" s="2">
        <v>360</v>
      </c>
      <c r="H99" s="2">
        <v>5</v>
      </c>
      <c r="I99" s="2">
        <v>5</v>
      </c>
      <c r="J99" s="2">
        <v>1</v>
      </c>
      <c r="K99" s="2" t="s">
        <v>61</v>
      </c>
      <c r="L99" s="6" t="s">
        <v>75</v>
      </c>
      <c r="M99" s="5">
        <v>780000000</v>
      </c>
      <c r="N99" s="2">
        <v>0</v>
      </c>
      <c r="O99" s="2">
        <v>4.7314109799999997</v>
      </c>
      <c r="P99" s="2">
        <v>-74.088623049999995</v>
      </c>
      <c r="Q99" s="2" t="s">
        <v>2546</v>
      </c>
      <c r="R99" s="2">
        <v>2166666.6669999999</v>
      </c>
      <c r="S99" s="2">
        <v>0</v>
      </c>
      <c r="T99" s="2" t="s">
        <v>68</v>
      </c>
      <c r="U99" s="2" t="s">
        <v>69</v>
      </c>
      <c r="V99" s="2" t="s">
        <v>28</v>
      </c>
      <c r="W99" s="2" t="s">
        <v>70</v>
      </c>
      <c r="X99" s="2" t="s">
        <v>71</v>
      </c>
      <c r="Y99" s="2">
        <v>2.2199917614148701</v>
      </c>
      <c r="Z99" s="2">
        <v>4.73719444444444</v>
      </c>
      <c r="AA99" s="2">
        <v>-74.069472222222203</v>
      </c>
      <c r="AB99" s="2">
        <v>2555</v>
      </c>
      <c r="AC99" s="2" t="s">
        <v>31</v>
      </c>
      <c r="AD99" s="2" t="s">
        <v>58</v>
      </c>
      <c r="AE99" s="2" t="s">
        <v>33</v>
      </c>
      <c r="AF99" s="2" t="s">
        <v>34</v>
      </c>
      <c r="AG99" s="2" t="s">
        <v>72</v>
      </c>
      <c r="AH99" s="2">
        <v>0.85112822422374301</v>
      </c>
      <c r="AI99" s="2">
        <v>4.0305546157554604</v>
      </c>
      <c r="AJ99" s="2">
        <v>2.4956713608746002</v>
      </c>
      <c r="AK99" s="2">
        <v>0.23048679096097899</v>
      </c>
      <c r="AL99" s="2">
        <v>0.18506900910951399</v>
      </c>
      <c r="AM99" s="2">
        <v>15.3</v>
      </c>
      <c r="AN99" s="2">
        <v>9.8000000000000007</v>
      </c>
      <c r="AO99" s="2">
        <v>29.7</v>
      </c>
      <c r="AP99" s="2">
        <v>564</v>
      </c>
      <c r="AQ99" s="2">
        <v>68</v>
      </c>
      <c r="AR99" s="2">
        <v>1.8</v>
      </c>
      <c r="AS99" s="2">
        <v>43</v>
      </c>
      <c r="AT99" s="2">
        <v>25.4</v>
      </c>
      <c r="AU99" s="2">
        <v>162</v>
      </c>
      <c r="AV99" s="2">
        <v>9.1</v>
      </c>
      <c r="AW99" s="2">
        <v>9.1999999999999993</v>
      </c>
      <c r="AX99" s="2">
        <v>18.3</v>
      </c>
      <c r="AY99" s="2">
        <v>0.34</v>
      </c>
      <c r="AZ99" s="2">
        <v>7.3</v>
      </c>
      <c r="BA99" s="2">
        <v>0.9</v>
      </c>
      <c r="BB99" s="2">
        <v>7.5</v>
      </c>
      <c r="BC99" s="2">
        <v>2.9</v>
      </c>
      <c r="BD99" s="2">
        <f>+AN99*EXP(-0.0495*Y99)</f>
        <v>8.7801438688492048</v>
      </c>
      <c r="BE99" s="2">
        <f>+AO99*EXP(-0.024*Y99)</f>
        <v>28.1590063143477</v>
      </c>
    </row>
    <row r="100" spans="1:57" x14ac:dyDescent="0.2">
      <c r="A100" s="2" t="s">
        <v>2029</v>
      </c>
      <c r="B100" s="2" t="s">
        <v>19</v>
      </c>
      <c r="C100" s="2" t="s">
        <v>1907</v>
      </c>
      <c r="D100" s="2" t="s">
        <v>21</v>
      </c>
      <c r="E100" s="2" t="s">
        <v>499</v>
      </c>
      <c r="F100" s="2">
        <v>6</v>
      </c>
      <c r="G100" s="2">
        <v>359</v>
      </c>
      <c r="H100" s="2">
        <v>3</v>
      </c>
      <c r="I100" s="2">
        <v>5</v>
      </c>
      <c r="J100" s="2">
        <v>2</v>
      </c>
      <c r="K100" s="2" t="s">
        <v>61</v>
      </c>
      <c r="L100" s="6" t="s">
        <v>113</v>
      </c>
      <c r="M100" s="5">
        <v>1300000000</v>
      </c>
      <c r="N100" s="2">
        <v>0</v>
      </c>
      <c r="O100" s="2">
        <v>4.7209057809999999</v>
      </c>
      <c r="P100" s="2">
        <v>-74.079124449999995</v>
      </c>
      <c r="Q100" s="2" t="s">
        <v>2030</v>
      </c>
      <c r="R100" s="2">
        <v>3621169.9160000002</v>
      </c>
      <c r="S100" s="2">
        <v>0</v>
      </c>
      <c r="T100" s="2" t="s">
        <v>68</v>
      </c>
      <c r="U100" s="2" t="s">
        <v>69</v>
      </c>
      <c r="V100" s="2" t="s">
        <v>28</v>
      </c>
      <c r="W100" s="2" t="s">
        <v>70</v>
      </c>
      <c r="X100" s="2" t="s">
        <v>71</v>
      </c>
      <c r="Y100" s="2">
        <v>2.10583058365195</v>
      </c>
      <c r="Z100" s="2">
        <v>4.73719444444444</v>
      </c>
      <c r="AA100" s="2">
        <v>-74.069472222222203</v>
      </c>
      <c r="AB100" s="2">
        <v>2555</v>
      </c>
      <c r="AC100" s="2" t="s">
        <v>31</v>
      </c>
      <c r="AD100" s="2" t="s">
        <v>58</v>
      </c>
      <c r="AE100" s="2" t="s">
        <v>33</v>
      </c>
      <c r="AF100" s="2" t="s">
        <v>34</v>
      </c>
      <c r="AG100" s="2" t="s">
        <v>72</v>
      </c>
      <c r="AH100" s="2">
        <v>0.49089883547554403</v>
      </c>
      <c r="AI100" s="2">
        <v>5.1594994302809196</v>
      </c>
      <c r="AJ100" s="2">
        <v>0.964925159542254</v>
      </c>
      <c r="AK100" s="2">
        <v>0.50206283400047802</v>
      </c>
      <c r="AL100" s="2">
        <v>5.6942108278335402E-2</v>
      </c>
      <c r="AM100" s="2">
        <v>15.3</v>
      </c>
      <c r="AN100" s="2">
        <v>9.8000000000000007</v>
      </c>
      <c r="AO100" s="2">
        <v>29.7</v>
      </c>
      <c r="AP100" s="2">
        <v>564</v>
      </c>
      <c r="AQ100" s="2">
        <v>68</v>
      </c>
      <c r="AR100" s="2">
        <v>1.8</v>
      </c>
      <c r="AS100" s="2">
        <v>43</v>
      </c>
      <c r="AT100" s="2">
        <v>25.4</v>
      </c>
      <c r="AU100" s="2">
        <v>162</v>
      </c>
      <c r="AV100" s="2">
        <v>9.1</v>
      </c>
      <c r="AW100" s="2">
        <v>9.1999999999999993</v>
      </c>
      <c r="AX100" s="2">
        <v>18.3</v>
      </c>
      <c r="AY100" s="2">
        <v>0.34</v>
      </c>
      <c r="AZ100" s="2">
        <v>7.3</v>
      </c>
      <c r="BA100" s="2">
        <v>0.9</v>
      </c>
      <c r="BB100" s="2">
        <v>7.5</v>
      </c>
      <c r="BC100" s="2">
        <v>2.9</v>
      </c>
      <c r="BD100" s="2">
        <f>+AN100*EXP(-0.0495*Y100)</f>
        <v>8.8299007263681553</v>
      </c>
      <c r="BE100" s="2">
        <f>+AO100*EXP(-0.024*Y100)</f>
        <v>28.236264071867907</v>
      </c>
    </row>
    <row r="101" spans="1:57" x14ac:dyDescent="0.2">
      <c r="A101" s="2" t="s">
        <v>516</v>
      </c>
      <c r="B101" s="2" t="s">
        <v>19</v>
      </c>
      <c r="C101" s="2" t="s">
        <v>20</v>
      </c>
      <c r="D101" s="2" t="s">
        <v>21</v>
      </c>
      <c r="E101" s="2" t="s">
        <v>300</v>
      </c>
      <c r="F101" s="2">
        <v>6</v>
      </c>
      <c r="G101" s="2">
        <v>356</v>
      </c>
      <c r="H101" s="2">
        <v>4</v>
      </c>
      <c r="I101" s="2">
        <v>5</v>
      </c>
      <c r="J101" s="2">
        <v>4</v>
      </c>
      <c r="K101" s="2" t="s">
        <v>61</v>
      </c>
      <c r="L101" s="6" t="s">
        <v>75</v>
      </c>
      <c r="M101" s="5">
        <v>3500000000</v>
      </c>
      <c r="N101" s="2">
        <v>0</v>
      </c>
      <c r="O101" s="2">
        <v>4.7205700000000004</v>
      </c>
      <c r="P101" s="2">
        <v>-74.07687</v>
      </c>
      <c r="Q101" s="2" t="s">
        <v>517</v>
      </c>
      <c r="R101" s="2">
        <v>9831460.6740000006</v>
      </c>
      <c r="S101" s="2">
        <v>0</v>
      </c>
      <c r="T101" s="2" t="s">
        <v>68</v>
      </c>
      <c r="U101" s="2" t="s">
        <v>69</v>
      </c>
      <c r="V101" s="2" t="s">
        <v>28</v>
      </c>
      <c r="W101" s="2" t="s">
        <v>70</v>
      </c>
      <c r="X101" s="2" t="s">
        <v>71</v>
      </c>
      <c r="Y101" s="2">
        <v>2.0244462203913201</v>
      </c>
      <c r="Z101" s="2">
        <v>4.73719444444444</v>
      </c>
      <c r="AA101" s="2">
        <v>-74.069472222222203</v>
      </c>
      <c r="AB101" s="2">
        <v>2555</v>
      </c>
      <c r="AC101" s="2" t="s">
        <v>31</v>
      </c>
      <c r="AD101" s="2" t="s">
        <v>58</v>
      </c>
      <c r="AE101" s="2" t="s">
        <v>33</v>
      </c>
      <c r="AF101" s="2" t="s">
        <v>34</v>
      </c>
      <c r="AG101" s="2" t="s">
        <v>72</v>
      </c>
      <c r="AH101" s="2">
        <v>0.25140559541843399</v>
      </c>
      <c r="AI101" s="2">
        <v>5.4120857541485297</v>
      </c>
      <c r="AJ101" s="2">
        <v>0.73105897818142995</v>
      </c>
      <c r="AK101" s="2">
        <v>0.46298250640330701</v>
      </c>
      <c r="AL101" s="2">
        <v>5.43083916286232E-2</v>
      </c>
      <c r="AM101" s="2">
        <v>15.3</v>
      </c>
      <c r="AN101" s="2">
        <v>9.8000000000000007</v>
      </c>
      <c r="AO101" s="2">
        <v>29.7</v>
      </c>
      <c r="AP101" s="2">
        <v>564</v>
      </c>
      <c r="AQ101" s="2">
        <v>68</v>
      </c>
      <c r="AR101" s="2">
        <v>1.8</v>
      </c>
      <c r="AS101" s="2">
        <v>43</v>
      </c>
      <c r="AT101" s="2">
        <v>25.4</v>
      </c>
      <c r="AU101" s="2">
        <v>162</v>
      </c>
      <c r="AV101" s="2">
        <v>9.1</v>
      </c>
      <c r="AW101" s="2">
        <v>9.1999999999999993</v>
      </c>
      <c r="AX101" s="2">
        <v>18.3</v>
      </c>
      <c r="AY101" s="2">
        <v>0.34</v>
      </c>
      <c r="AZ101" s="2">
        <v>7.3</v>
      </c>
      <c r="BA101" s="2">
        <v>0.9</v>
      </c>
      <c r="BB101" s="2">
        <v>7.5</v>
      </c>
      <c r="BC101" s="2">
        <v>2.9</v>
      </c>
      <c r="BD101" s="2">
        <f>+AN101*EXP(-0.0495*Y101)</f>
        <v>8.865543957494296</v>
      </c>
      <c r="BE101" s="2">
        <f>+AO101*EXP(-0.024*Y101)</f>
        <v>28.291469737788692</v>
      </c>
    </row>
    <row r="102" spans="1:57" x14ac:dyDescent="0.2">
      <c r="A102" s="2" t="s">
        <v>2311</v>
      </c>
      <c r="B102" s="2" t="s">
        <v>19</v>
      </c>
      <c r="C102" s="2" t="s">
        <v>1907</v>
      </c>
      <c r="D102" s="2" t="s">
        <v>21</v>
      </c>
      <c r="E102" s="2" t="s">
        <v>1468</v>
      </c>
      <c r="F102" s="2">
        <v>5</v>
      </c>
      <c r="G102" s="2">
        <v>354</v>
      </c>
      <c r="H102" s="2">
        <v>4</v>
      </c>
      <c r="I102" s="2">
        <v>3</v>
      </c>
      <c r="J102" s="2">
        <v>4</v>
      </c>
      <c r="K102" s="2" t="s">
        <v>61</v>
      </c>
      <c r="L102" s="6" t="s">
        <v>113</v>
      </c>
      <c r="M102" s="5">
        <v>1325700000</v>
      </c>
      <c r="N102" s="2">
        <v>0</v>
      </c>
      <c r="O102" s="2">
        <v>4.709886</v>
      </c>
      <c r="P102" s="2">
        <v>-74.075916000000007</v>
      </c>
      <c r="Q102" s="2" t="s">
        <v>2312</v>
      </c>
      <c r="R102" s="2">
        <v>3744915.2540000002</v>
      </c>
      <c r="S102" s="2">
        <v>0</v>
      </c>
      <c r="T102" s="2" t="s">
        <v>68</v>
      </c>
      <c r="U102" s="2" t="s">
        <v>69</v>
      </c>
      <c r="V102" s="2" t="s">
        <v>28</v>
      </c>
      <c r="W102" s="2" t="s">
        <v>70</v>
      </c>
      <c r="X102" s="2" t="s">
        <v>71</v>
      </c>
      <c r="Y102" s="2">
        <v>3.1228874001253599</v>
      </c>
      <c r="Z102" s="2">
        <v>4.73719444444444</v>
      </c>
      <c r="AA102" s="2">
        <v>-74.069472222222203</v>
      </c>
      <c r="AB102" s="2">
        <v>2555</v>
      </c>
      <c r="AC102" s="2" t="s">
        <v>31</v>
      </c>
      <c r="AD102" s="2" t="s">
        <v>58</v>
      </c>
      <c r="AE102" s="2" t="s">
        <v>33</v>
      </c>
      <c r="AF102" s="2" t="s">
        <v>34</v>
      </c>
      <c r="AG102" s="2" t="s">
        <v>72</v>
      </c>
      <c r="AH102" s="2">
        <v>0.46341046087646198</v>
      </c>
      <c r="AI102" s="2">
        <v>5.5931852409450196</v>
      </c>
      <c r="AJ102" s="2">
        <v>0.917316919133214</v>
      </c>
      <c r="AK102" s="2">
        <v>0.10688204009369701</v>
      </c>
      <c r="AL102" s="2">
        <v>0.33130114681030798</v>
      </c>
      <c r="AM102" s="2">
        <v>15.3</v>
      </c>
      <c r="AN102" s="2">
        <v>9.8000000000000007</v>
      </c>
      <c r="AO102" s="2">
        <v>29.7</v>
      </c>
      <c r="AP102" s="2">
        <v>564</v>
      </c>
      <c r="AQ102" s="2">
        <v>68</v>
      </c>
      <c r="AR102" s="2">
        <v>1.8</v>
      </c>
      <c r="AS102" s="2">
        <v>43</v>
      </c>
      <c r="AT102" s="2">
        <v>25.4</v>
      </c>
      <c r="AU102" s="2">
        <v>162</v>
      </c>
      <c r="AV102" s="2">
        <v>9.1</v>
      </c>
      <c r="AW102" s="2">
        <v>9.1999999999999993</v>
      </c>
      <c r="AX102" s="2">
        <v>18.3</v>
      </c>
      <c r="AY102" s="2">
        <v>0.34</v>
      </c>
      <c r="AZ102" s="2">
        <v>7.3</v>
      </c>
      <c r="BA102" s="2">
        <v>0.9</v>
      </c>
      <c r="BB102" s="2">
        <v>7.5</v>
      </c>
      <c r="BC102" s="2">
        <v>2.9</v>
      </c>
      <c r="BD102" s="2">
        <f>+AN102*EXP(-0.0495*Y102)</f>
        <v>8.3963699141792727</v>
      </c>
      <c r="BE102" s="2">
        <f>+AO102*EXP(-0.024*Y102)</f>
        <v>27.555378632286519</v>
      </c>
    </row>
    <row r="103" spans="1:57" x14ac:dyDescent="0.2">
      <c r="A103" s="2" t="s">
        <v>2766</v>
      </c>
      <c r="B103" s="2" t="s">
        <v>19</v>
      </c>
      <c r="C103" s="2" t="s">
        <v>1907</v>
      </c>
      <c r="D103" s="2" t="s">
        <v>21</v>
      </c>
      <c r="E103" s="2" t="s">
        <v>2767</v>
      </c>
      <c r="F103" s="2">
        <v>5</v>
      </c>
      <c r="G103" s="2">
        <v>353</v>
      </c>
      <c r="H103" s="2">
        <v>4</v>
      </c>
      <c r="I103" s="2">
        <v>4</v>
      </c>
      <c r="J103" s="2">
        <v>4</v>
      </c>
      <c r="K103" s="2" t="s">
        <v>61</v>
      </c>
      <c r="L103" s="6" t="s">
        <v>113</v>
      </c>
      <c r="M103" s="5">
        <v>1650000000</v>
      </c>
      <c r="N103" s="2">
        <v>0</v>
      </c>
      <c r="O103" s="2">
        <v>4.81175</v>
      </c>
      <c r="P103" s="2">
        <v>-74.030779999999993</v>
      </c>
      <c r="Q103" s="2" t="s">
        <v>2768</v>
      </c>
      <c r="R103" s="2">
        <v>4674220.9630000005</v>
      </c>
      <c r="S103" s="2">
        <v>0</v>
      </c>
      <c r="T103" s="2" t="s">
        <v>102</v>
      </c>
      <c r="U103" s="2" t="s">
        <v>103</v>
      </c>
      <c r="V103" s="2" t="s">
        <v>28</v>
      </c>
      <c r="W103" s="2" t="s">
        <v>70</v>
      </c>
      <c r="X103" s="2" t="s">
        <v>104</v>
      </c>
      <c r="Y103" s="2">
        <v>3.45128394434477</v>
      </c>
      <c r="Z103" s="2">
        <v>4.7837500000000004</v>
      </c>
      <c r="AA103" s="2">
        <v>-74.044138888888895</v>
      </c>
      <c r="AB103" s="2">
        <v>2580</v>
      </c>
      <c r="AC103" s="2" t="s">
        <v>105</v>
      </c>
      <c r="AD103" s="2" t="s">
        <v>58</v>
      </c>
      <c r="AE103" s="2" t="s">
        <v>33</v>
      </c>
      <c r="AF103" s="2" t="s">
        <v>34</v>
      </c>
      <c r="AG103" s="2" t="s">
        <v>59</v>
      </c>
      <c r="AH103" s="2">
        <v>4.9518365548356096</v>
      </c>
      <c r="AI103" s="2">
        <v>2.4355095831866298</v>
      </c>
      <c r="AJ103" s="2">
        <v>2.2198037147745802</v>
      </c>
      <c r="AK103" s="2">
        <v>4.0615552076484498</v>
      </c>
      <c r="AL103" s="2">
        <v>1.03476224458998</v>
      </c>
      <c r="AM103" s="2">
        <v>15.3</v>
      </c>
      <c r="AN103" s="2">
        <v>9.8000000000000007</v>
      </c>
      <c r="AO103" s="2">
        <v>29.7</v>
      </c>
      <c r="AP103" s="2">
        <v>564</v>
      </c>
      <c r="AQ103" s="2">
        <v>68</v>
      </c>
      <c r="AR103" s="2">
        <v>1.8</v>
      </c>
      <c r="AS103" s="2">
        <v>43</v>
      </c>
      <c r="AT103" s="2">
        <v>25.4</v>
      </c>
      <c r="AU103" s="2">
        <v>162</v>
      </c>
      <c r="AV103" s="2">
        <v>9.1</v>
      </c>
      <c r="AW103" s="2">
        <v>9.1999999999999993</v>
      </c>
      <c r="AX103" s="2">
        <v>18.3</v>
      </c>
      <c r="AY103" s="2">
        <v>0.34</v>
      </c>
      <c r="AZ103" s="2">
        <v>7.3</v>
      </c>
      <c r="BA103" s="2">
        <v>0.9</v>
      </c>
      <c r="BB103" s="2">
        <v>7.5</v>
      </c>
      <c r="BC103" s="2">
        <v>2.9</v>
      </c>
      <c r="BD103" s="2">
        <f>+AN103*EXP(-0.0495*Y103)</f>
        <v>8.2609850050684805</v>
      </c>
      <c r="BE103" s="2">
        <f>+AO103*EXP(-0.024*Y103)</f>
        <v>27.339054048225197</v>
      </c>
    </row>
    <row r="104" spans="1:57" x14ac:dyDescent="0.2">
      <c r="A104" s="2" t="s">
        <v>2208</v>
      </c>
      <c r="B104" s="2" t="s">
        <v>19</v>
      </c>
      <c r="C104" s="2" t="s">
        <v>1907</v>
      </c>
      <c r="D104" s="2" t="s">
        <v>21</v>
      </c>
      <c r="E104" s="2" t="s">
        <v>2209</v>
      </c>
      <c r="F104" s="2">
        <v>5</v>
      </c>
      <c r="G104" s="2">
        <v>348</v>
      </c>
      <c r="H104" s="2">
        <v>3</v>
      </c>
      <c r="I104" s="2">
        <v>4</v>
      </c>
      <c r="J104" s="2">
        <v>3</v>
      </c>
      <c r="K104" s="2" t="s">
        <v>61</v>
      </c>
      <c r="L104" s="6" t="s">
        <v>113</v>
      </c>
      <c r="M104" s="5">
        <v>1800000000</v>
      </c>
      <c r="N104" s="2">
        <v>0</v>
      </c>
      <c r="O104" s="2">
        <v>4.7007859999999999</v>
      </c>
      <c r="P104" s="2">
        <v>-74.068066999999999</v>
      </c>
      <c r="Q104" s="2" t="s">
        <v>2210</v>
      </c>
      <c r="R104" s="2">
        <v>5172413.7929999996</v>
      </c>
      <c r="S104" s="2">
        <v>0</v>
      </c>
      <c r="T104" s="2" t="s">
        <v>68</v>
      </c>
      <c r="U104" s="2" t="s">
        <v>69</v>
      </c>
      <c r="V104" s="2" t="s">
        <v>28</v>
      </c>
      <c r="W104" s="2" t="s">
        <v>70</v>
      </c>
      <c r="X104" s="2" t="s">
        <v>71</v>
      </c>
      <c r="Y104" s="2">
        <v>4.0559667199419396</v>
      </c>
      <c r="Z104" s="2">
        <v>4.73719444444444</v>
      </c>
      <c r="AA104" s="2">
        <v>-74.069472222222203</v>
      </c>
      <c r="AB104" s="2">
        <v>2555</v>
      </c>
      <c r="AC104" s="2" t="s">
        <v>31</v>
      </c>
      <c r="AD104" s="2" t="s">
        <v>58</v>
      </c>
      <c r="AE104" s="2" t="s">
        <v>33</v>
      </c>
      <c r="AF104" s="2" t="s">
        <v>34</v>
      </c>
      <c r="AG104" s="2" t="s">
        <v>72</v>
      </c>
      <c r="AH104" s="2">
        <v>0.26070513836992798</v>
      </c>
      <c r="AI104" s="2">
        <v>4.2917775191171499</v>
      </c>
      <c r="AJ104" s="2">
        <v>0.36933828056533502</v>
      </c>
      <c r="AK104" s="2">
        <v>8.4626678531046703E-2</v>
      </c>
      <c r="AL104" s="2">
        <v>0.44167263386300798</v>
      </c>
      <c r="AM104" s="2">
        <v>15.3</v>
      </c>
      <c r="AN104" s="2">
        <v>9.8000000000000007</v>
      </c>
      <c r="AO104" s="2">
        <v>29.7</v>
      </c>
      <c r="AP104" s="2">
        <v>564</v>
      </c>
      <c r="AQ104" s="2">
        <v>68</v>
      </c>
      <c r="AR104" s="2">
        <v>1.8</v>
      </c>
      <c r="AS104" s="2">
        <v>43</v>
      </c>
      <c r="AT104" s="2">
        <v>25.4</v>
      </c>
      <c r="AU104" s="2">
        <v>162</v>
      </c>
      <c r="AV104" s="2">
        <v>9.1</v>
      </c>
      <c r="AW104" s="2">
        <v>9.1999999999999993</v>
      </c>
      <c r="AX104" s="2">
        <v>18.3</v>
      </c>
      <c r="AY104" s="2">
        <v>0.34</v>
      </c>
      <c r="AZ104" s="2">
        <v>7.3</v>
      </c>
      <c r="BA104" s="2">
        <v>0.9</v>
      </c>
      <c r="BB104" s="2">
        <v>7.5</v>
      </c>
      <c r="BC104" s="2">
        <v>2.9</v>
      </c>
      <c r="BD104" s="2">
        <f>+AN104*EXP(-0.0495*Y104)</f>
        <v>8.0173827886485576</v>
      </c>
      <c r="BE104" s="2">
        <f>+AO104*EXP(-0.024*Y104)</f>
        <v>26.94516418028109</v>
      </c>
    </row>
    <row r="105" spans="1:57" x14ac:dyDescent="0.2">
      <c r="A105" s="2" t="s">
        <v>3035</v>
      </c>
      <c r="B105" s="2" t="s">
        <v>19</v>
      </c>
      <c r="C105" s="2" t="s">
        <v>1907</v>
      </c>
      <c r="D105" s="2" t="s">
        <v>21</v>
      </c>
      <c r="E105" s="2" t="s">
        <v>218</v>
      </c>
      <c r="F105" s="2">
        <v>6</v>
      </c>
      <c r="G105" s="2">
        <v>343</v>
      </c>
      <c r="H105" s="2">
        <v>4</v>
      </c>
      <c r="I105" s="2">
        <v>4</v>
      </c>
      <c r="J105" s="2">
        <v>4</v>
      </c>
      <c r="K105" s="2" t="s">
        <v>61</v>
      </c>
      <c r="L105" s="6" t="s">
        <v>75</v>
      </c>
      <c r="M105" s="5">
        <v>2200000000</v>
      </c>
      <c r="N105" s="2">
        <v>0</v>
      </c>
      <c r="O105" s="2">
        <v>4.8208700000000002</v>
      </c>
      <c r="P105" s="2">
        <v>-74.051919999999996</v>
      </c>
      <c r="Q105" s="2" t="s">
        <v>3036</v>
      </c>
      <c r="R105" s="2">
        <v>6413994.1689999998</v>
      </c>
      <c r="S105" s="2">
        <v>0</v>
      </c>
      <c r="T105" s="2" t="s">
        <v>102</v>
      </c>
      <c r="U105" s="2" t="s">
        <v>103</v>
      </c>
      <c r="V105" s="2" t="s">
        <v>28</v>
      </c>
      <c r="W105" s="2" t="s">
        <v>70</v>
      </c>
      <c r="X105" s="2" t="s">
        <v>104</v>
      </c>
      <c r="Y105" s="2">
        <v>4.2213662253640098</v>
      </c>
      <c r="Z105" s="2">
        <v>4.7837500000000004</v>
      </c>
      <c r="AA105" s="2">
        <v>-74.044138888888895</v>
      </c>
      <c r="AB105" s="2">
        <v>2580</v>
      </c>
      <c r="AC105" s="2" t="s">
        <v>105</v>
      </c>
      <c r="AD105" s="2" t="s">
        <v>58</v>
      </c>
      <c r="AE105" s="2" t="s">
        <v>33</v>
      </c>
      <c r="AF105" s="2" t="s">
        <v>34</v>
      </c>
      <c r="AG105" s="2" t="s">
        <v>72</v>
      </c>
      <c r="AH105" s="2">
        <v>5.8262524249284198</v>
      </c>
      <c r="AI105" s="2">
        <v>0.67591135269041203</v>
      </c>
      <c r="AJ105" s="2">
        <v>2.36277842263544</v>
      </c>
      <c r="AK105" s="2">
        <v>4.3777816396227998</v>
      </c>
      <c r="AL105" s="2">
        <v>0.32336245433010302</v>
      </c>
      <c r="AM105" s="2">
        <v>15.3</v>
      </c>
      <c r="AN105" s="2">
        <v>9.8000000000000007</v>
      </c>
      <c r="AO105" s="2">
        <v>29.7</v>
      </c>
      <c r="AP105" s="2">
        <v>564</v>
      </c>
      <c r="AQ105" s="2">
        <v>68</v>
      </c>
      <c r="AR105" s="2">
        <v>1.8</v>
      </c>
      <c r="AS105" s="2">
        <v>43</v>
      </c>
      <c r="AT105" s="2">
        <v>25.4</v>
      </c>
      <c r="AU105" s="2">
        <v>162</v>
      </c>
      <c r="AV105" s="2">
        <v>9.1</v>
      </c>
      <c r="AW105" s="2">
        <v>9.1999999999999993</v>
      </c>
      <c r="AX105" s="2">
        <v>18.3</v>
      </c>
      <c r="AY105" s="2">
        <v>0.34</v>
      </c>
      <c r="AZ105" s="2">
        <v>7.3</v>
      </c>
      <c r="BA105" s="2">
        <v>0.9</v>
      </c>
      <c r="BB105" s="2">
        <v>7.5</v>
      </c>
      <c r="BC105" s="2">
        <v>2.9</v>
      </c>
      <c r="BD105" s="2">
        <f>+AN105*EXP(-0.0495*Y105)</f>
        <v>7.9520102435084734</v>
      </c>
      <c r="BE105" s="2">
        <f>+AO105*EXP(-0.024*Y105)</f>
        <v>26.838414991718711</v>
      </c>
    </row>
    <row r="106" spans="1:57" x14ac:dyDescent="0.2">
      <c r="A106" s="2" t="s">
        <v>501</v>
      </c>
      <c r="B106" s="2" t="s">
        <v>19</v>
      </c>
      <c r="C106" s="2" t="s">
        <v>20</v>
      </c>
      <c r="D106" s="2" t="s">
        <v>21</v>
      </c>
      <c r="E106" s="2" t="s">
        <v>300</v>
      </c>
      <c r="F106" s="2">
        <v>6</v>
      </c>
      <c r="G106" s="2">
        <v>341.23</v>
      </c>
      <c r="H106" s="2">
        <v>3</v>
      </c>
      <c r="I106" s="2">
        <v>5</v>
      </c>
      <c r="J106" s="2">
        <v>4</v>
      </c>
      <c r="K106" s="2" t="s">
        <v>61</v>
      </c>
      <c r="L106" s="6" t="s">
        <v>84</v>
      </c>
      <c r="M106" s="5">
        <v>3500000000</v>
      </c>
      <c r="N106" s="2">
        <v>0</v>
      </c>
      <c r="O106" s="2">
        <v>4.7245939999999997</v>
      </c>
      <c r="P106" s="2">
        <v>-74.077755999999994</v>
      </c>
      <c r="Q106" s="2" t="s">
        <v>502</v>
      </c>
      <c r="R106" s="2">
        <v>10257011.4</v>
      </c>
      <c r="S106" s="2">
        <v>0</v>
      </c>
      <c r="T106" s="2" t="s">
        <v>68</v>
      </c>
      <c r="U106" s="2" t="s">
        <v>69</v>
      </c>
      <c r="V106" s="2" t="s">
        <v>28</v>
      </c>
      <c r="W106" s="2" t="s">
        <v>70</v>
      </c>
      <c r="X106" s="2" t="s">
        <v>71</v>
      </c>
      <c r="Y106" s="2">
        <v>1.6769216112958401</v>
      </c>
      <c r="Z106" s="2">
        <v>4.73719444444444</v>
      </c>
      <c r="AA106" s="2">
        <v>-74.069472222222203</v>
      </c>
      <c r="AB106" s="2">
        <v>2555</v>
      </c>
      <c r="AC106" s="2" t="s">
        <v>31</v>
      </c>
      <c r="AD106" s="2" t="s">
        <v>58</v>
      </c>
      <c r="AE106" s="2" t="s">
        <v>33</v>
      </c>
      <c r="AF106" s="2" t="s">
        <v>34</v>
      </c>
      <c r="AG106" s="2" t="s">
        <v>72</v>
      </c>
      <c r="AH106" s="2">
        <v>0.46161353433427399</v>
      </c>
      <c r="AI106" s="2">
        <v>5.2539618595607998</v>
      </c>
      <c r="AJ106" s="2">
        <v>1.1073041562811199</v>
      </c>
      <c r="AK106" s="2">
        <v>0.76951546069237198</v>
      </c>
      <c r="AL106" s="2">
        <v>3.8906724229921197E-2</v>
      </c>
      <c r="AM106" s="2">
        <v>15.3</v>
      </c>
      <c r="AN106" s="2">
        <v>9.8000000000000007</v>
      </c>
      <c r="AO106" s="2">
        <v>29.7</v>
      </c>
      <c r="AP106" s="2">
        <v>564</v>
      </c>
      <c r="AQ106" s="2">
        <v>68</v>
      </c>
      <c r="AR106" s="2">
        <v>1.8</v>
      </c>
      <c r="AS106" s="2">
        <v>43</v>
      </c>
      <c r="AT106" s="2">
        <v>25.4</v>
      </c>
      <c r="AU106" s="2">
        <v>162</v>
      </c>
      <c r="AV106" s="2">
        <v>9.1</v>
      </c>
      <c r="AW106" s="2">
        <v>9.1999999999999993</v>
      </c>
      <c r="AX106" s="2">
        <v>18.3</v>
      </c>
      <c r="AY106" s="2">
        <v>0.34</v>
      </c>
      <c r="AZ106" s="2">
        <v>7.3</v>
      </c>
      <c r="BA106" s="2">
        <v>0.9</v>
      </c>
      <c r="BB106" s="2">
        <v>7.5</v>
      </c>
      <c r="BC106" s="2">
        <v>2.9</v>
      </c>
      <c r="BD106" s="2">
        <f>+AN106*EXP(-0.0495*Y106)</f>
        <v>9.0193725170491756</v>
      </c>
      <c r="BE106" s="2">
        <f>+AO106*EXP(-0.024*Y106)</f>
        <v>28.52842410087873</v>
      </c>
    </row>
    <row r="107" spans="1:57" x14ac:dyDescent="0.2">
      <c r="A107" s="2" t="s">
        <v>2880</v>
      </c>
      <c r="B107" s="2" t="s">
        <v>19</v>
      </c>
      <c r="C107" s="2" t="s">
        <v>1907</v>
      </c>
      <c r="D107" s="2" t="s">
        <v>21</v>
      </c>
      <c r="E107" s="2" t="s">
        <v>300</v>
      </c>
      <c r="F107" s="2">
        <v>6</v>
      </c>
      <c r="G107" s="2">
        <v>341</v>
      </c>
      <c r="H107" s="2">
        <v>4</v>
      </c>
      <c r="I107" s="2">
        <v>5</v>
      </c>
      <c r="J107" s="2">
        <v>2</v>
      </c>
      <c r="K107" s="2" t="s">
        <v>61</v>
      </c>
      <c r="L107" s="6" t="s">
        <v>113</v>
      </c>
      <c r="M107" s="5">
        <v>1870000000</v>
      </c>
      <c r="N107" s="2">
        <v>0</v>
      </c>
      <c r="O107" s="2">
        <v>4.7201000000000004</v>
      </c>
      <c r="P107" s="2">
        <v>-74.079409999999996</v>
      </c>
      <c r="Q107" s="2" t="s">
        <v>2881</v>
      </c>
      <c r="R107" s="2">
        <v>5483870.9680000003</v>
      </c>
      <c r="S107" s="2">
        <v>0</v>
      </c>
      <c r="T107" s="2" t="s">
        <v>68</v>
      </c>
      <c r="U107" s="2" t="s">
        <v>69</v>
      </c>
      <c r="V107" s="2" t="s">
        <v>28</v>
      </c>
      <c r="W107" s="2" t="s">
        <v>70</v>
      </c>
      <c r="X107" s="2" t="s">
        <v>71</v>
      </c>
      <c r="Y107" s="2">
        <v>2.1992525662660198</v>
      </c>
      <c r="Z107" s="2">
        <v>4.73719444444444</v>
      </c>
      <c r="AA107" s="2">
        <v>-74.069472222222203</v>
      </c>
      <c r="AB107" s="2">
        <v>2555</v>
      </c>
      <c r="AC107" s="2" t="s">
        <v>31</v>
      </c>
      <c r="AD107" s="2" t="s">
        <v>58</v>
      </c>
      <c r="AE107" s="2" t="s">
        <v>33</v>
      </c>
      <c r="AF107" s="2" t="s">
        <v>34</v>
      </c>
      <c r="AG107" s="2" t="s">
        <v>72</v>
      </c>
      <c r="AH107" s="2">
        <v>0.53666366477711103</v>
      </c>
      <c r="AI107" s="2">
        <v>5.14498720275758</v>
      </c>
      <c r="AJ107" s="2">
        <v>0.95620920276868604</v>
      </c>
      <c r="AK107" s="2">
        <v>0.42778640793246903</v>
      </c>
      <c r="AL107" s="2">
        <v>4.9756466825124001E-3</v>
      </c>
      <c r="AM107" s="2">
        <v>15.3</v>
      </c>
      <c r="AN107" s="2">
        <v>9.8000000000000007</v>
      </c>
      <c r="AO107" s="2">
        <v>29.7</v>
      </c>
      <c r="AP107" s="2">
        <v>564</v>
      </c>
      <c r="AQ107" s="2">
        <v>68</v>
      </c>
      <c r="AR107" s="2">
        <v>1.8</v>
      </c>
      <c r="AS107" s="2">
        <v>43</v>
      </c>
      <c r="AT107" s="2">
        <v>25.4</v>
      </c>
      <c r="AU107" s="2">
        <v>162</v>
      </c>
      <c r="AV107" s="2">
        <v>9.1</v>
      </c>
      <c r="AW107" s="2">
        <v>9.1999999999999993</v>
      </c>
      <c r="AX107" s="2">
        <v>18.3</v>
      </c>
      <c r="AY107" s="2">
        <v>0.34</v>
      </c>
      <c r="AZ107" s="2">
        <v>7.3</v>
      </c>
      <c r="BA107" s="2">
        <v>0.9</v>
      </c>
      <c r="BB107" s="2">
        <v>7.5</v>
      </c>
      <c r="BC107" s="2">
        <v>2.9</v>
      </c>
      <c r="BD107" s="2">
        <f>+AN107*EXP(-0.0495*Y107)</f>
        <v>8.7891621063721246</v>
      </c>
      <c r="BE107" s="2">
        <f>+AO107*EXP(-0.024*Y107)</f>
        <v>28.173025686115729</v>
      </c>
    </row>
    <row r="108" spans="1:57" x14ac:dyDescent="0.2">
      <c r="A108" s="2" t="s">
        <v>3004</v>
      </c>
      <c r="B108" s="2" t="s">
        <v>19</v>
      </c>
      <c r="C108" s="2" t="s">
        <v>1907</v>
      </c>
      <c r="D108" s="2" t="s">
        <v>21</v>
      </c>
      <c r="E108" s="2" t="s">
        <v>1468</v>
      </c>
      <c r="F108" s="2">
        <v>5</v>
      </c>
      <c r="G108" s="2">
        <v>338</v>
      </c>
      <c r="H108" s="2">
        <v>5</v>
      </c>
      <c r="I108" s="2">
        <v>4</v>
      </c>
      <c r="J108" s="2">
        <v>2</v>
      </c>
      <c r="K108" s="2" t="s">
        <v>61</v>
      </c>
      <c r="L108" s="6" t="s">
        <v>113</v>
      </c>
      <c r="M108" s="5">
        <v>1350000000</v>
      </c>
      <c r="N108" s="2">
        <v>0</v>
      </c>
      <c r="O108" s="2">
        <v>4.7101435660000002</v>
      </c>
      <c r="P108" s="2">
        <v>-74.071945189999994</v>
      </c>
      <c r="Q108" s="2" t="s">
        <v>3005</v>
      </c>
      <c r="R108" s="2">
        <v>3994082.84</v>
      </c>
      <c r="S108" s="2">
        <v>0</v>
      </c>
      <c r="T108" s="2" t="s">
        <v>68</v>
      </c>
      <c r="U108" s="2" t="s">
        <v>69</v>
      </c>
      <c r="V108" s="2" t="s">
        <v>28</v>
      </c>
      <c r="W108" s="2" t="s">
        <v>70</v>
      </c>
      <c r="X108" s="2" t="s">
        <v>71</v>
      </c>
      <c r="Y108" s="2">
        <v>3.02376221408558</v>
      </c>
      <c r="Z108" s="2">
        <v>4.73719444444444</v>
      </c>
      <c r="AA108" s="2">
        <v>-74.069472222222203</v>
      </c>
      <c r="AB108" s="2">
        <v>2555</v>
      </c>
      <c r="AC108" s="2" t="s">
        <v>31</v>
      </c>
      <c r="AD108" s="2" t="s">
        <v>58</v>
      </c>
      <c r="AE108" s="2" t="s">
        <v>33</v>
      </c>
      <c r="AF108" s="2" t="s">
        <v>34</v>
      </c>
      <c r="AG108" s="2" t="s">
        <v>72</v>
      </c>
      <c r="AH108" s="2">
        <v>0.209182504731345</v>
      </c>
      <c r="AI108" s="2">
        <v>5.1979461068115302</v>
      </c>
      <c r="AJ108" s="2">
        <v>0.74365029550908102</v>
      </c>
      <c r="AK108" s="2">
        <v>0.19177482513169899</v>
      </c>
      <c r="AL108" s="2">
        <v>0.45536654131785598</v>
      </c>
      <c r="AM108" s="2">
        <v>15.3</v>
      </c>
      <c r="AN108" s="2">
        <v>9.8000000000000007</v>
      </c>
      <c r="AO108" s="2">
        <v>29.7</v>
      </c>
      <c r="AP108" s="2">
        <v>564</v>
      </c>
      <c r="AQ108" s="2">
        <v>68</v>
      </c>
      <c r="AR108" s="2">
        <v>1.8</v>
      </c>
      <c r="AS108" s="2">
        <v>43</v>
      </c>
      <c r="AT108" s="2">
        <v>25.4</v>
      </c>
      <c r="AU108" s="2">
        <v>162</v>
      </c>
      <c r="AV108" s="2">
        <v>9.1</v>
      </c>
      <c r="AW108" s="2">
        <v>9.1999999999999993</v>
      </c>
      <c r="AX108" s="2">
        <v>18.3</v>
      </c>
      <c r="AY108" s="2">
        <v>0.34</v>
      </c>
      <c r="AZ108" s="2">
        <v>7.3</v>
      </c>
      <c r="BA108" s="2">
        <v>0.9</v>
      </c>
      <c r="BB108" s="2">
        <v>7.5</v>
      </c>
      <c r="BC108" s="2">
        <v>2.9</v>
      </c>
      <c r="BD108" s="2">
        <f>+AN108*EXP(-0.0495*Y108)</f>
        <v>8.437669594447323</v>
      </c>
      <c r="BE108" s="2">
        <f>+AO108*EXP(-0.024*Y108)</f>
        <v>27.62101104002701</v>
      </c>
    </row>
    <row r="109" spans="1:57" x14ac:dyDescent="0.2">
      <c r="A109" s="2" t="s">
        <v>2811</v>
      </c>
      <c r="B109" s="2" t="s">
        <v>19</v>
      </c>
      <c r="C109" s="2" t="s">
        <v>1907</v>
      </c>
      <c r="D109" s="2" t="s">
        <v>21</v>
      </c>
      <c r="E109" s="2" t="s">
        <v>499</v>
      </c>
      <c r="F109" s="2">
        <v>6</v>
      </c>
      <c r="G109" s="2">
        <v>337</v>
      </c>
      <c r="H109" s="2">
        <v>5</v>
      </c>
      <c r="I109" s="2">
        <v>4</v>
      </c>
      <c r="J109" s="2">
        <v>4</v>
      </c>
      <c r="K109" s="2" t="s">
        <v>61</v>
      </c>
      <c r="L109" s="6" t="s">
        <v>113</v>
      </c>
      <c r="M109" s="5">
        <v>1800000000</v>
      </c>
      <c r="N109" s="2">
        <v>0</v>
      </c>
      <c r="O109" s="2">
        <v>4.7221727370000002</v>
      </c>
      <c r="P109" s="2">
        <v>-74.075866700000006</v>
      </c>
      <c r="Q109" s="2" t="s">
        <v>2812</v>
      </c>
      <c r="R109" s="2">
        <v>5341246.2910000002</v>
      </c>
      <c r="S109" s="2">
        <v>0</v>
      </c>
      <c r="T109" s="2" t="s">
        <v>68</v>
      </c>
      <c r="U109" s="2" t="s">
        <v>69</v>
      </c>
      <c r="V109" s="2" t="s">
        <v>28</v>
      </c>
      <c r="W109" s="2" t="s">
        <v>70</v>
      </c>
      <c r="X109" s="2" t="s">
        <v>71</v>
      </c>
      <c r="Y109" s="2">
        <v>1.8164634169148499</v>
      </c>
      <c r="Z109" s="2">
        <v>4.73719444444444</v>
      </c>
      <c r="AA109" s="2">
        <v>-74.069472222222203</v>
      </c>
      <c r="AB109" s="2">
        <v>2555</v>
      </c>
      <c r="AC109" s="2" t="s">
        <v>31</v>
      </c>
      <c r="AD109" s="2" t="s">
        <v>58</v>
      </c>
      <c r="AE109" s="2" t="s">
        <v>33</v>
      </c>
      <c r="AF109" s="2" t="s">
        <v>34</v>
      </c>
      <c r="AG109" s="2" t="s">
        <v>72</v>
      </c>
      <c r="AH109" s="2">
        <v>0.16253310041385099</v>
      </c>
      <c r="AI109" s="2">
        <v>5.4938375675169704</v>
      </c>
      <c r="AJ109" s="2">
        <v>0.76761692685335803</v>
      </c>
      <c r="AK109" s="2">
        <v>0.44730174689859398</v>
      </c>
      <c r="AL109" s="2">
        <v>0.25666886689603202</v>
      </c>
      <c r="AM109" s="2">
        <v>15.3</v>
      </c>
      <c r="AN109" s="2">
        <v>9.8000000000000007</v>
      </c>
      <c r="AO109" s="2">
        <v>29.7</v>
      </c>
      <c r="AP109" s="2">
        <v>564</v>
      </c>
      <c r="AQ109" s="2">
        <v>68</v>
      </c>
      <c r="AR109" s="2">
        <v>1.8</v>
      </c>
      <c r="AS109" s="2">
        <v>43</v>
      </c>
      <c r="AT109" s="2">
        <v>25.4</v>
      </c>
      <c r="AU109" s="2">
        <v>162</v>
      </c>
      <c r="AV109" s="2">
        <v>9.1</v>
      </c>
      <c r="AW109" s="2">
        <v>9.1999999999999993</v>
      </c>
      <c r="AX109" s="2">
        <v>18.3</v>
      </c>
      <c r="AY109" s="2">
        <v>0.34</v>
      </c>
      <c r="AZ109" s="2">
        <v>7.3</v>
      </c>
      <c r="BA109" s="2">
        <v>0.9</v>
      </c>
      <c r="BB109" s="2">
        <v>7.5</v>
      </c>
      <c r="BC109" s="2">
        <v>2.9</v>
      </c>
      <c r="BD109" s="2">
        <f>+AN109*EXP(-0.0495*Y109)</f>
        <v>8.9572874978565515</v>
      </c>
      <c r="BE109" s="2">
        <f>+AO109*EXP(-0.024*Y109)</f>
        <v>28.433042119861884</v>
      </c>
    </row>
    <row r="110" spans="1:57" x14ac:dyDescent="0.2">
      <c r="A110" s="2" t="s">
        <v>2821</v>
      </c>
      <c r="B110" s="2" t="s">
        <v>19</v>
      </c>
      <c r="C110" s="2" t="s">
        <v>1907</v>
      </c>
      <c r="D110" s="2" t="s">
        <v>21</v>
      </c>
      <c r="E110" s="2" t="s">
        <v>499</v>
      </c>
      <c r="F110" s="2">
        <v>6</v>
      </c>
      <c r="G110" s="2">
        <v>337</v>
      </c>
      <c r="H110" s="2">
        <v>5</v>
      </c>
      <c r="I110" s="2">
        <v>4</v>
      </c>
      <c r="J110" s="2">
        <v>4</v>
      </c>
      <c r="K110" s="2" t="s">
        <v>61</v>
      </c>
      <c r="L110" s="6" t="s">
        <v>113</v>
      </c>
      <c r="M110" s="5">
        <v>1800000000</v>
      </c>
      <c r="N110" s="2">
        <v>0</v>
      </c>
      <c r="O110" s="2">
        <v>4.7219457629999999</v>
      </c>
      <c r="P110" s="2">
        <v>-74.074043270000004</v>
      </c>
      <c r="Q110" s="2" t="s">
        <v>2822</v>
      </c>
      <c r="R110" s="2">
        <v>5341246.2910000002</v>
      </c>
      <c r="S110" s="2">
        <v>0</v>
      </c>
      <c r="T110" s="2" t="s">
        <v>68</v>
      </c>
      <c r="U110" s="2" t="s">
        <v>69</v>
      </c>
      <c r="V110" s="2" t="s">
        <v>28</v>
      </c>
      <c r="W110" s="2" t="s">
        <v>70</v>
      </c>
      <c r="X110" s="2" t="s">
        <v>71</v>
      </c>
      <c r="Y110" s="2">
        <v>1.77160593668483</v>
      </c>
      <c r="Z110" s="2">
        <v>4.73719444444444</v>
      </c>
      <c r="AA110" s="2">
        <v>-74.069472222222203</v>
      </c>
      <c r="AB110" s="2">
        <v>2555</v>
      </c>
      <c r="AC110" s="2" t="s">
        <v>31</v>
      </c>
      <c r="AD110" s="2" t="s">
        <v>58</v>
      </c>
      <c r="AE110" s="2" t="s">
        <v>33</v>
      </c>
      <c r="AF110" s="2" t="s">
        <v>34</v>
      </c>
      <c r="AG110" s="2" t="s">
        <v>72</v>
      </c>
      <c r="AH110" s="2">
        <v>0.105431012233975</v>
      </c>
      <c r="AI110" s="2">
        <v>5.5691473596653198</v>
      </c>
      <c r="AJ110" s="2">
        <v>0.63382393406960102</v>
      </c>
      <c r="AK110" s="2">
        <v>0.26591491035985299</v>
      </c>
      <c r="AL110" s="2">
        <v>0.21085573190771301</v>
      </c>
      <c r="AM110" s="2">
        <v>15.3</v>
      </c>
      <c r="AN110" s="2">
        <v>9.8000000000000007</v>
      </c>
      <c r="AO110" s="2">
        <v>29.7</v>
      </c>
      <c r="AP110" s="2">
        <v>564</v>
      </c>
      <c r="AQ110" s="2">
        <v>68</v>
      </c>
      <c r="AR110" s="2">
        <v>1.8</v>
      </c>
      <c r="AS110" s="2">
        <v>43</v>
      </c>
      <c r="AT110" s="2">
        <v>25.4</v>
      </c>
      <c r="AU110" s="2">
        <v>162</v>
      </c>
      <c r="AV110" s="2">
        <v>9.1</v>
      </c>
      <c r="AW110" s="2">
        <v>9.1999999999999993</v>
      </c>
      <c r="AX110" s="2">
        <v>18.3</v>
      </c>
      <c r="AY110" s="2">
        <v>0.34</v>
      </c>
      <c r="AZ110" s="2">
        <v>7.3</v>
      </c>
      <c r="BA110" s="2">
        <v>0.9</v>
      </c>
      <c r="BB110" s="2">
        <v>7.5</v>
      </c>
      <c r="BC110" s="2">
        <v>2.9</v>
      </c>
      <c r="BD110" s="2">
        <f>+AN110*EXP(-0.0495*Y110)</f>
        <v>8.9771987622812457</v>
      </c>
      <c r="BE110" s="2">
        <f>+AO110*EXP(-0.024*Y110)</f>
        <v>28.463669034052653</v>
      </c>
    </row>
    <row r="111" spans="1:57" x14ac:dyDescent="0.2">
      <c r="A111" s="2" t="s">
        <v>2569</v>
      </c>
      <c r="B111" s="2" t="s">
        <v>19</v>
      </c>
      <c r="C111" s="2" t="s">
        <v>1907</v>
      </c>
      <c r="D111" s="2" t="s">
        <v>21</v>
      </c>
      <c r="E111" s="2" t="s">
        <v>1468</v>
      </c>
      <c r="F111" s="2">
        <v>5</v>
      </c>
      <c r="G111" s="2">
        <v>335</v>
      </c>
      <c r="H111" s="2">
        <v>4</v>
      </c>
      <c r="I111" s="2">
        <v>3</v>
      </c>
      <c r="J111" s="2">
        <v>3</v>
      </c>
      <c r="K111" s="2" t="s">
        <v>61</v>
      </c>
      <c r="L111" s="6" t="s">
        <v>113</v>
      </c>
      <c r="M111" s="5">
        <v>1080000000</v>
      </c>
      <c r="N111" s="2">
        <v>0</v>
      </c>
      <c r="O111" s="2">
        <v>4.70547</v>
      </c>
      <c r="P111" s="2">
        <v>-74.0735952</v>
      </c>
      <c r="Q111" s="2" t="s">
        <v>2570</v>
      </c>
      <c r="R111" s="2">
        <v>3223880.5970000001</v>
      </c>
      <c r="S111" s="2">
        <v>0</v>
      </c>
      <c r="T111" s="2" t="s">
        <v>68</v>
      </c>
      <c r="U111" s="2" t="s">
        <v>69</v>
      </c>
      <c r="V111" s="2" t="s">
        <v>28</v>
      </c>
      <c r="W111" s="2" t="s">
        <v>70</v>
      </c>
      <c r="X111" s="2" t="s">
        <v>71</v>
      </c>
      <c r="Y111" s="2">
        <v>3.56104796894072</v>
      </c>
      <c r="Z111" s="2">
        <v>4.73719444444444</v>
      </c>
      <c r="AA111" s="2">
        <v>-74.069472222222203</v>
      </c>
      <c r="AB111" s="2">
        <v>2555</v>
      </c>
      <c r="AC111" s="2" t="s">
        <v>31</v>
      </c>
      <c r="AD111" s="2" t="s">
        <v>58</v>
      </c>
      <c r="AE111" s="2" t="s">
        <v>33</v>
      </c>
      <c r="AF111" s="2" t="s">
        <v>34</v>
      </c>
      <c r="AG111" s="2" t="s">
        <v>72</v>
      </c>
      <c r="AH111" s="2">
        <v>0.300375644093059</v>
      </c>
      <c r="AI111" s="2">
        <v>5.0918384261078904</v>
      </c>
      <c r="AJ111" s="2">
        <v>0.95344776088000904</v>
      </c>
      <c r="AK111" s="2">
        <v>0.17673923577885101</v>
      </c>
      <c r="AL111" s="2">
        <v>6.3432783328131695E-2</v>
      </c>
      <c r="AM111" s="2">
        <v>15.3</v>
      </c>
      <c r="AN111" s="2">
        <v>9.8000000000000007</v>
      </c>
      <c r="AO111" s="2">
        <v>29.7</v>
      </c>
      <c r="AP111" s="2">
        <v>564</v>
      </c>
      <c r="AQ111" s="2">
        <v>68</v>
      </c>
      <c r="AR111" s="2">
        <v>1.8</v>
      </c>
      <c r="AS111" s="2">
        <v>43</v>
      </c>
      <c r="AT111" s="2">
        <v>25.4</v>
      </c>
      <c r="AU111" s="2">
        <v>162</v>
      </c>
      <c r="AV111" s="2">
        <v>9.1</v>
      </c>
      <c r="AW111" s="2">
        <v>9.1999999999999993</v>
      </c>
      <c r="AX111" s="2">
        <v>18.3</v>
      </c>
      <c r="AY111" s="2">
        <v>0.34</v>
      </c>
      <c r="AZ111" s="2">
        <v>7.3</v>
      </c>
      <c r="BA111" s="2">
        <v>0.9</v>
      </c>
      <c r="BB111" s="2">
        <v>7.5</v>
      </c>
      <c r="BC111" s="2">
        <v>2.9</v>
      </c>
      <c r="BD111" s="2">
        <f>+AN111*EXP(-0.0495*Y111)</f>
        <v>8.2162221520398973</v>
      </c>
      <c r="BE111" s="2">
        <f>+AO111*EXP(-0.024*Y111)</f>
        <v>27.267128557373137</v>
      </c>
    </row>
    <row r="112" spans="1:57" x14ac:dyDescent="0.2">
      <c r="A112" s="2" t="s">
        <v>2417</v>
      </c>
      <c r="B112" s="2" t="s">
        <v>19</v>
      </c>
      <c r="C112" s="2" t="s">
        <v>1907</v>
      </c>
      <c r="D112" s="2" t="s">
        <v>21</v>
      </c>
      <c r="E112" s="2" t="s">
        <v>300</v>
      </c>
      <c r="F112" s="2">
        <v>6</v>
      </c>
      <c r="G112" s="2">
        <v>333.33</v>
      </c>
      <c r="H112" s="2">
        <v>3</v>
      </c>
      <c r="I112" s="2">
        <v>4</v>
      </c>
      <c r="J112" s="2">
        <v>3</v>
      </c>
      <c r="K112" s="2" t="s">
        <v>61</v>
      </c>
      <c r="L112" s="6" t="s">
        <v>84</v>
      </c>
      <c r="M112" s="5">
        <v>2950000000</v>
      </c>
      <c r="N112" s="2">
        <v>0</v>
      </c>
      <c r="O112" s="2">
        <v>4.7286679999999999</v>
      </c>
      <c r="P112" s="2">
        <v>-74.084076999999994</v>
      </c>
      <c r="Q112" s="2" t="s">
        <v>2418</v>
      </c>
      <c r="R112" s="2">
        <v>8850088.5010000002</v>
      </c>
      <c r="S112" s="2">
        <v>0</v>
      </c>
      <c r="T112" s="2" t="s">
        <v>68</v>
      </c>
      <c r="U112" s="2" t="s">
        <v>69</v>
      </c>
      <c r="V112" s="2" t="s">
        <v>28</v>
      </c>
      <c r="W112" s="2" t="s">
        <v>70</v>
      </c>
      <c r="X112" s="2" t="s">
        <v>71</v>
      </c>
      <c r="Y112" s="2">
        <v>1.87779721149487</v>
      </c>
      <c r="Z112" s="2">
        <v>4.73719444444444</v>
      </c>
      <c r="AA112" s="2">
        <v>-74.069472222222203</v>
      </c>
      <c r="AB112" s="2">
        <v>2555</v>
      </c>
      <c r="AC112" s="2" t="s">
        <v>31</v>
      </c>
      <c r="AD112" s="2" t="s">
        <v>58</v>
      </c>
      <c r="AE112" s="2" t="s">
        <v>33</v>
      </c>
      <c r="AF112" s="2" t="s">
        <v>34</v>
      </c>
      <c r="AG112" s="2" t="s">
        <v>72</v>
      </c>
      <c r="AH112" s="2">
        <v>0.82995691684837603</v>
      </c>
      <c r="AI112" s="2">
        <v>4.5286400734216903</v>
      </c>
      <c r="AJ112" s="2">
        <v>1.91720272153755</v>
      </c>
      <c r="AK112" s="2">
        <v>0.47216729178773298</v>
      </c>
      <c r="AL112" s="2">
        <v>1.3670074129372401E-4</v>
      </c>
      <c r="AM112" s="2">
        <v>15.3</v>
      </c>
      <c r="AN112" s="2">
        <v>9.8000000000000007</v>
      </c>
      <c r="AO112" s="2">
        <v>29.7</v>
      </c>
      <c r="AP112" s="2">
        <v>564</v>
      </c>
      <c r="AQ112" s="2">
        <v>68</v>
      </c>
      <c r="AR112" s="2">
        <v>1.8</v>
      </c>
      <c r="AS112" s="2">
        <v>43</v>
      </c>
      <c r="AT112" s="2">
        <v>25.4</v>
      </c>
      <c r="AU112" s="2">
        <v>162</v>
      </c>
      <c r="AV112" s="2">
        <v>9.1</v>
      </c>
      <c r="AW112" s="2">
        <v>9.1999999999999993</v>
      </c>
      <c r="AX112" s="2">
        <v>18.3</v>
      </c>
      <c r="AY112" s="2">
        <v>0.34</v>
      </c>
      <c r="AZ112" s="2">
        <v>7.3</v>
      </c>
      <c r="BA112" s="2">
        <v>0.9</v>
      </c>
      <c r="BB112" s="2">
        <v>7.5</v>
      </c>
      <c r="BC112" s="2">
        <v>2.9</v>
      </c>
      <c r="BD112" s="2">
        <f>+AN112*EXP(-0.0495*Y112)</f>
        <v>8.930134208363258</v>
      </c>
      <c r="BE112" s="2">
        <f>+AO112*EXP(-0.024*Y112)</f>
        <v>28.391219156594278</v>
      </c>
    </row>
    <row r="113" spans="1:57" x14ac:dyDescent="0.2">
      <c r="A113" s="2" t="s">
        <v>2741</v>
      </c>
      <c r="B113" s="2" t="s">
        <v>19</v>
      </c>
      <c r="C113" s="2" t="s">
        <v>1907</v>
      </c>
      <c r="D113" s="2" t="s">
        <v>21</v>
      </c>
      <c r="E113" s="2" t="s">
        <v>218</v>
      </c>
      <c r="F113" s="2">
        <v>6</v>
      </c>
      <c r="G113" s="2">
        <v>333</v>
      </c>
      <c r="H113" s="2">
        <v>4</v>
      </c>
      <c r="I113" s="2">
        <v>5</v>
      </c>
      <c r="J113" s="2">
        <v>4</v>
      </c>
      <c r="K113" s="2" t="s">
        <v>61</v>
      </c>
      <c r="L113" s="6" t="s">
        <v>113</v>
      </c>
      <c r="M113" s="5">
        <v>2980000000</v>
      </c>
      <c r="N113" s="2">
        <v>0</v>
      </c>
      <c r="O113" s="2">
        <v>4.8177399999999997</v>
      </c>
      <c r="P113" s="2">
        <v>-74.047229999999999</v>
      </c>
      <c r="Q113" s="2" t="s">
        <v>2742</v>
      </c>
      <c r="R113" s="2">
        <v>8948948.9489999991</v>
      </c>
      <c r="S113" s="2">
        <v>0</v>
      </c>
      <c r="T113" s="2" t="s">
        <v>102</v>
      </c>
      <c r="U113" s="2" t="s">
        <v>103</v>
      </c>
      <c r="V113" s="2" t="s">
        <v>28</v>
      </c>
      <c r="W113" s="2" t="s">
        <v>70</v>
      </c>
      <c r="X113" s="2" t="s">
        <v>104</v>
      </c>
      <c r="Y113" s="2">
        <v>3.7992547065598998</v>
      </c>
      <c r="Z113" s="2">
        <v>4.7837500000000004</v>
      </c>
      <c r="AA113" s="2">
        <v>-74.044138888888895</v>
      </c>
      <c r="AB113" s="2">
        <v>2580</v>
      </c>
      <c r="AC113" s="2" t="s">
        <v>105</v>
      </c>
      <c r="AD113" s="2" t="s">
        <v>58</v>
      </c>
      <c r="AE113" s="2" t="s">
        <v>33</v>
      </c>
      <c r="AF113" s="2" t="s">
        <v>34</v>
      </c>
      <c r="AG113" s="2" t="s">
        <v>72</v>
      </c>
      <c r="AH113" s="2">
        <v>5.4215650193401999</v>
      </c>
      <c r="AI113" s="2">
        <v>1.0706398780751201</v>
      </c>
      <c r="AJ113" s="2">
        <v>1.95467676980362</v>
      </c>
      <c r="AK113" s="2">
        <v>4.4662901491804501</v>
      </c>
      <c r="AL113" s="2">
        <v>0.32100648481090899</v>
      </c>
      <c r="AM113" s="2">
        <v>15.3</v>
      </c>
      <c r="AN113" s="2">
        <v>9.8000000000000007</v>
      </c>
      <c r="AO113" s="2">
        <v>29.7</v>
      </c>
      <c r="AP113" s="2">
        <v>564</v>
      </c>
      <c r="AQ113" s="2">
        <v>68</v>
      </c>
      <c r="AR113" s="2">
        <v>1.8</v>
      </c>
      <c r="AS113" s="2">
        <v>43</v>
      </c>
      <c r="AT113" s="2">
        <v>25.4</v>
      </c>
      <c r="AU113" s="2">
        <v>162</v>
      </c>
      <c r="AV113" s="2">
        <v>9.1</v>
      </c>
      <c r="AW113" s="2">
        <v>9.1999999999999993</v>
      </c>
      <c r="AX113" s="2">
        <v>18.3</v>
      </c>
      <c r="AY113" s="2">
        <v>0.34</v>
      </c>
      <c r="AZ113" s="2">
        <v>7.3</v>
      </c>
      <c r="BA113" s="2">
        <v>0.9</v>
      </c>
      <c r="BB113" s="2">
        <v>7.5</v>
      </c>
      <c r="BC113" s="2">
        <v>2.9</v>
      </c>
      <c r="BD113" s="2">
        <f>+AN113*EXP(-0.0495*Y113)</f>
        <v>8.1199116835294713</v>
      </c>
      <c r="BE113" s="2">
        <f>+AO113*EXP(-0.024*Y113)</f>
        <v>27.111688174385019</v>
      </c>
    </row>
    <row r="114" spans="1:57" x14ac:dyDescent="0.2">
      <c r="A114" s="2" t="s">
        <v>2481</v>
      </c>
      <c r="B114" s="2" t="s">
        <v>19</v>
      </c>
      <c r="C114" s="2" t="s">
        <v>1907</v>
      </c>
      <c r="D114" s="2" t="s">
        <v>21</v>
      </c>
      <c r="E114" s="2" t="s">
        <v>218</v>
      </c>
      <c r="F114" s="2">
        <v>6</v>
      </c>
      <c r="G114" s="2">
        <v>330</v>
      </c>
      <c r="H114" s="2">
        <v>4</v>
      </c>
      <c r="I114" s="2">
        <v>5</v>
      </c>
      <c r="J114" s="2">
        <v>4</v>
      </c>
      <c r="K114" s="2" t="s">
        <v>61</v>
      </c>
      <c r="L114" s="6" t="s">
        <v>75</v>
      </c>
      <c r="M114" s="5">
        <v>2500000000</v>
      </c>
      <c r="N114" s="2">
        <v>0</v>
      </c>
      <c r="O114" s="2">
        <v>4.8174900000000003</v>
      </c>
      <c r="P114" s="2">
        <v>-74.048879999999997</v>
      </c>
      <c r="Q114" s="2" t="s">
        <v>2482</v>
      </c>
      <c r="R114" s="2">
        <v>7575757.5760000004</v>
      </c>
      <c r="S114" s="2">
        <v>0</v>
      </c>
      <c r="T114" s="2" t="s">
        <v>102</v>
      </c>
      <c r="U114" s="2" t="s">
        <v>103</v>
      </c>
      <c r="V114" s="2" t="s">
        <v>28</v>
      </c>
      <c r="W114" s="2" t="s">
        <v>70</v>
      </c>
      <c r="X114" s="2" t="s">
        <v>104</v>
      </c>
      <c r="Y114" s="2">
        <v>3.7925625865066901</v>
      </c>
      <c r="Z114" s="2">
        <v>4.7837500000000004</v>
      </c>
      <c r="AA114" s="2">
        <v>-74.044138888888895</v>
      </c>
      <c r="AB114" s="2">
        <v>2580</v>
      </c>
      <c r="AC114" s="2" t="s">
        <v>105</v>
      </c>
      <c r="AD114" s="2" t="s">
        <v>58</v>
      </c>
      <c r="AE114" s="2" t="s">
        <v>33</v>
      </c>
      <c r="AF114" s="2" t="s">
        <v>34</v>
      </c>
      <c r="AG114" s="2" t="s">
        <v>72</v>
      </c>
      <c r="AH114" s="2">
        <v>5.4108421686627199</v>
      </c>
      <c r="AI114" s="2">
        <v>1.1038505888488399</v>
      </c>
      <c r="AJ114" s="2">
        <v>1.9375094107936499</v>
      </c>
      <c r="AK114" s="2">
        <v>4.3701942660085704</v>
      </c>
      <c r="AL114" s="2">
        <v>0.44544975947863402</v>
      </c>
      <c r="AM114" s="2">
        <v>15.3</v>
      </c>
      <c r="AN114" s="2">
        <v>9.8000000000000007</v>
      </c>
      <c r="AO114" s="2">
        <v>29.7</v>
      </c>
      <c r="AP114" s="2">
        <v>564</v>
      </c>
      <c r="AQ114" s="2">
        <v>68</v>
      </c>
      <c r="AR114" s="2">
        <v>1.8</v>
      </c>
      <c r="AS114" s="2">
        <v>43</v>
      </c>
      <c r="AT114" s="2">
        <v>25.4</v>
      </c>
      <c r="AU114" s="2">
        <v>162</v>
      </c>
      <c r="AV114" s="2">
        <v>9.1</v>
      </c>
      <c r="AW114" s="2">
        <v>9.1999999999999993</v>
      </c>
      <c r="AX114" s="2">
        <v>18.3</v>
      </c>
      <c r="AY114" s="2">
        <v>0.34</v>
      </c>
      <c r="AZ114" s="2">
        <v>7.3</v>
      </c>
      <c r="BA114" s="2">
        <v>0.9</v>
      </c>
      <c r="BB114" s="2">
        <v>7.5</v>
      </c>
      <c r="BC114" s="2">
        <v>2.9</v>
      </c>
      <c r="BD114" s="2">
        <f>+AN114*EXP(-0.0495*Y114)</f>
        <v>8.122601930568889</v>
      </c>
      <c r="BE114" s="2">
        <f>+AO114*EXP(-0.024*Y114)</f>
        <v>27.116042956218926</v>
      </c>
    </row>
    <row r="115" spans="1:57" x14ac:dyDescent="0.2">
      <c r="A115" s="2" t="s">
        <v>2534</v>
      </c>
      <c r="B115" s="2" t="s">
        <v>19</v>
      </c>
      <c r="C115" s="2" t="s">
        <v>1907</v>
      </c>
      <c r="D115" s="2" t="s">
        <v>21</v>
      </c>
      <c r="E115" s="2" t="s">
        <v>1675</v>
      </c>
      <c r="F115" s="2">
        <v>5</v>
      </c>
      <c r="G115" s="2">
        <v>330</v>
      </c>
      <c r="H115" s="2">
        <v>3</v>
      </c>
      <c r="I115" s="2">
        <v>3</v>
      </c>
      <c r="J115" s="2">
        <v>4</v>
      </c>
      <c r="K115" s="2" t="s">
        <v>61</v>
      </c>
      <c r="L115" s="6" t="s">
        <v>113</v>
      </c>
      <c r="M115" s="5">
        <v>1900000000</v>
      </c>
      <c r="N115" s="2">
        <v>0</v>
      </c>
      <c r="O115" s="2">
        <v>4.7643437390000001</v>
      </c>
      <c r="P115" s="2">
        <v>-74.076255799999998</v>
      </c>
      <c r="Q115" s="2" t="s">
        <v>2535</v>
      </c>
      <c r="R115" s="2">
        <v>5757575.7580000004</v>
      </c>
      <c r="S115" s="2">
        <v>0</v>
      </c>
      <c r="T115" s="2" t="s">
        <v>70</v>
      </c>
      <c r="U115" s="2" t="s">
        <v>738</v>
      </c>
      <c r="V115" s="2" t="s">
        <v>28</v>
      </c>
      <c r="W115" s="2" t="s">
        <v>70</v>
      </c>
      <c r="X115" s="2" t="s">
        <v>739</v>
      </c>
      <c r="Y115" s="2">
        <v>1.9395495332079999</v>
      </c>
      <c r="Z115" s="2">
        <v>4.7612472222222202</v>
      </c>
      <c r="AA115" s="2">
        <v>-74.093461111111097</v>
      </c>
      <c r="AB115" s="2">
        <v>2571</v>
      </c>
      <c r="AC115" s="2" t="s">
        <v>105</v>
      </c>
      <c r="AD115" s="2" t="s">
        <v>58</v>
      </c>
      <c r="AE115" s="2" t="s">
        <v>33</v>
      </c>
      <c r="AF115" s="2" t="s">
        <v>34</v>
      </c>
      <c r="AG115" s="2" t="s">
        <v>72</v>
      </c>
      <c r="AH115" s="2">
        <v>2.7830624955013601</v>
      </c>
      <c r="AI115" s="2">
        <v>3.16327815662933</v>
      </c>
      <c r="AJ115" s="2">
        <v>2.7987794713454099</v>
      </c>
      <c r="AK115" s="2">
        <v>0.67274370955684304</v>
      </c>
      <c r="AL115" s="2">
        <v>0.75288375622502202</v>
      </c>
      <c r="AM115" s="2">
        <v>15.3</v>
      </c>
      <c r="AN115" s="2">
        <v>9.8000000000000007</v>
      </c>
      <c r="AO115" s="2">
        <v>29.7</v>
      </c>
      <c r="AP115" s="2">
        <v>564</v>
      </c>
      <c r="AQ115" s="2">
        <v>68</v>
      </c>
      <c r="AR115" s="2">
        <v>1.8</v>
      </c>
      <c r="AS115" s="2">
        <v>43</v>
      </c>
      <c r="AT115" s="2">
        <v>25.4</v>
      </c>
      <c r="AU115" s="2">
        <v>162</v>
      </c>
      <c r="AV115" s="2">
        <v>9.1</v>
      </c>
      <c r="AW115" s="2">
        <v>9.1999999999999993</v>
      </c>
      <c r="AX115" s="2">
        <v>18.3</v>
      </c>
      <c r="AY115" s="2">
        <v>0.34</v>
      </c>
      <c r="AZ115" s="2">
        <v>7.3</v>
      </c>
      <c r="BA115" s="2">
        <v>0.9</v>
      </c>
      <c r="BB115" s="2">
        <v>7.5</v>
      </c>
      <c r="BC115" s="2">
        <v>2.9</v>
      </c>
      <c r="BD115" s="2">
        <f>+AN115*EXP(-0.0495*Y115)</f>
        <v>8.9028787881823597</v>
      </c>
      <c r="BE115" s="2">
        <f>+AO115*EXP(-0.024*Y115)</f>
        <v>28.349172952918337</v>
      </c>
    </row>
    <row r="116" spans="1:57" x14ac:dyDescent="0.2">
      <c r="A116" s="2" t="s">
        <v>3526</v>
      </c>
      <c r="B116" s="2" t="s">
        <v>19</v>
      </c>
      <c r="C116" s="2" t="s">
        <v>3245</v>
      </c>
      <c r="D116" s="2" t="s">
        <v>21</v>
      </c>
      <c r="E116" s="2" t="s">
        <v>3527</v>
      </c>
      <c r="F116" s="2">
        <v>5</v>
      </c>
      <c r="G116" s="2">
        <v>330</v>
      </c>
      <c r="H116" s="2">
        <v>4</v>
      </c>
      <c r="I116" s="2">
        <v>5</v>
      </c>
      <c r="J116" s="2">
        <v>3</v>
      </c>
      <c r="K116" s="2" t="s">
        <v>61</v>
      </c>
      <c r="L116" s="6" t="s">
        <v>62</v>
      </c>
      <c r="M116" s="5">
        <v>1800000000</v>
      </c>
      <c r="N116" s="2">
        <v>0</v>
      </c>
      <c r="O116" s="2">
        <v>4.7161943109999998</v>
      </c>
      <c r="P116" s="2">
        <v>-74.081050860000005</v>
      </c>
      <c r="Q116" s="2" t="s">
        <v>3528</v>
      </c>
      <c r="R116" s="2">
        <v>5454545.4550000001</v>
      </c>
      <c r="S116" s="2">
        <v>0</v>
      </c>
      <c r="T116" s="2" t="s">
        <v>68</v>
      </c>
      <c r="U116" s="2" t="s">
        <v>69</v>
      </c>
      <c r="V116" s="2" t="s">
        <v>28</v>
      </c>
      <c r="W116" s="2" t="s">
        <v>70</v>
      </c>
      <c r="X116" s="2" t="s">
        <v>71</v>
      </c>
      <c r="Y116" s="2">
        <v>2.6673974090976098</v>
      </c>
      <c r="Z116" s="2">
        <v>4.73719444444444</v>
      </c>
      <c r="AA116" s="2">
        <v>-74.069472222222203</v>
      </c>
      <c r="AB116" s="2">
        <v>2555</v>
      </c>
      <c r="AC116" s="2" t="s">
        <v>31</v>
      </c>
      <c r="AD116" s="2" t="s">
        <v>58</v>
      </c>
      <c r="AE116" s="2" t="s">
        <v>33</v>
      </c>
      <c r="AF116" s="2" t="s">
        <v>34</v>
      </c>
      <c r="AG116" s="2" t="s">
        <v>72</v>
      </c>
      <c r="AH116" s="2">
        <v>0.89905984710588405</v>
      </c>
      <c r="AI116" s="2">
        <v>5.05454237051035</v>
      </c>
      <c r="AJ116" s="2">
        <v>1.07067158629172</v>
      </c>
      <c r="AK116" s="2">
        <v>0.34670785717901298</v>
      </c>
      <c r="AL116" s="2">
        <v>0.42715868298606902</v>
      </c>
      <c r="AM116" s="2">
        <v>15.3</v>
      </c>
      <c r="AN116" s="2">
        <v>9.8000000000000007</v>
      </c>
      <c r="AO116" s="2">
        <v>29.7</v>
      </c>
      <c r="AP116" s="2">
        <v>564</v>
      </c>
      <c r="AQ116" s="2">
        <v>68</v>
      </c>
      <c r="AR116" s="2">
        <v>1.8</v>
      </c>
      <c r="AS116" s="2">
        <v>43</v>
      </c>
      <c r="AT116" s="2">
        <v>25.4</v>
      </c>
      <c r="AU116" s="2">
        <v>162</v>
      </c>
      <c r="AV116" s="2">
        <v>9.1</v>
      </c>
      <c r="AW116" s="2">
        <v>9.1999999999999993</v>
      </c>
      <c r="AX116" s="2">
        <v>18.3</v>
      </c>
      <c r="AY116" s="2">
        <v>0.34</v>
      </c>
      <c r="AZ116" s="2">
        <v>7.3</v>
      </c>
      <c r="BA116" s="2">
        <v>0.9</v>
      </c>
      <c r="BB116" s="2">
        <v>7.5</v>
      </c>
      <c r="BC116" s="2">
        <v>2.9</v>
      </c>
      <c r="BD116" s="2">
        <f>+AN116*EXP(-0.0495*Y116)</f>
        <v>8.5878311092768751</v>
      </c>
      <c r="BE116" s="2">
        <f>+AO116*EXP(-0.024*Y116)</f>
        <v>27.858259908676768</v>
      </c>
    </row>
    <row r="117" spans="1:57" x14ac:dyDescent="0.2">
      <c r="A117" s="2" t="s">
        <v>2116</v>
      </c>
      <c r="B117" s="2" t="s">
        <v>19</v>
      </c>
      <c r="C117" s="2" t="s">
        <v>1907</v>
      </c>
      <c r="D117" s="2" t="s">
        <v>21</v>
      </c>
      <c r="E117" s="2" t="s">
        <v>518</v>
      </c>
      <c r="F117" s="2">
        <v>6</v>
      </c>
      <c r="G117" s="2">
        <v>326.68</v>
      </c>
      <c r="H117" s="2">
        <v>3</v>
      </c>
      <c r="I117" s="2">
        <v>5</v>
      </c>
      <c r="J117" s="2">
        <v>4</v>
      </c>
      <c r="K117" s="2" t="s">
        <v>61</v>
      </c>
      <c r="L117" s="6" t="s">
        <v>113</v>
      </c>
      <c r="M117" s="5">
        <v>2200000000</v>
      </c>
      <c r="N117" s="2">
        <v>0</v>
      </c>
      <c r="O117" s="2">
        <v>4.721654</v>
      </c>
      <c r="P117" s="2">
        <v>-74.081587999999996</v>
      </c>
      <c r="Q117" s="2" t="s">
        <v>2117</v>
      </c>
      <c r="R117" s="2">
        <v>6734419.0029999996</v>
      </c>
      <c r="S117" s="2">
        <v>0</v>
      </c>
      <c r="T117" s="2" t="s">
        <v>68</v>
      </c>
      <c r="U117" s="2" t="s">
        <v>69</v>
      </c>
      <c r="V117" s="2" t="s">
        <v>28</v>
      </c>
      <c r="W117" s="2" t="s">
        <v>70</v>
      </c>
      <c r="X117" s="2" t="s">
        <v>71</v>
      </c>
      <c r="Y117" s="2">
        <v>2.1907596120739301</v>
      </c>
      <c r="Z117" s="2">
        <v>4.73719444444444</v>
      </c>
      <c r="AA117" s="2">
        <v>-74.069472222222203</v>
      </c>
      <c r="AB117" s="2">
        <v>2555</v>
      </c>
      <c r="AC117" s="2" t="s">
        <v>31</v>
      </c>
      <c r="AD117" s="2" t="s">
        <v>58</v>
      </c>
      <c r="AE117" s="2" t="s">
        <v>33</v>
      </c>
      <c r="AF117" s="2" t="s">
        <v>34</v>
      </c>
      <c r="AG117" s="2" t="s">
        <v>72</v>
      </c>
      <c r="AH117" s="2">
        <v>0.76361562546694395</v>
      </c>
      <c r="AI117" s="2">
        <v>4.8761262019993099</v>
      </c>
      <c r="AJ117" s="2">
        <v>1.24638955608228</v>
      </c>
      <c r="AK117" s="2">
        <v>0.69666971174547798</v>
      </c>
      <c r="AL117" s="2">
        <v>9.7205584613891199E-2</v>
      </c>
      <c r="AM117" s="2">
        <v>15.3</v>
      </c>
      <c r="AN117" s="2">
        <v>9.8000000000000007</v>
      </c>
      <c r="AO117" s="2">
        <v>29.7</v>
      </c>
      <c r="AP117" s="2">
        <v>564</v>
      </c>
      <c r="AQ117" s="2">
        <v>68</v>
      </c>
      <c r="AR117" s="2">
        <v>1.8</v>
      </c>
      <c r="AS117" s="2">
        <v>43</v>
      </c>
      <c r="AT117" s="2">
        <v>25.4</v>
      </c>
      <c r="AU117" s="2">
        <v>162</v>
      </c>
      <c r="AV117" s="2">
        <v>9.1</v>
      </c>
      <c r="AW117" s="2">
        <v>9.1999999999999993</v>
      </c>
      <c r="AX117" s="2">
        <v>18.3</v>
      </c>
      <c r="AY117" s="2">
        <v>0.34</v>
      </c>
      <c r="AZ117" s="2">
        <v>7.3</v>
      </c>
      <c r="BA117" s="2">
        <v>0.9</v>
      </c>
      <c r="BB117" s="2">
        <v>7.5</v>
      </c>
      <c r="BC117" s="2">
        <v>2.9</v>
      </c>
      <c r="BD117" s="2">
        <f>+AN117*EXP(-0.0495*Y117)</f>
        <v>8.7928578577491461</v>
      </c>
      <c r="BE117" s="2">
        <f>+AO117*EXP(-0.024*Y117)</f>
        <v>28.178768804606865</v>
      </c>
    </row>
    <row r="118" spans="1:57" x14ac:dyDescent="0.2">
      <c r="A118" s="2" t="s">
        <v>2855</v>
      </c>
      <c r="B118" s="2" t="s">
        <v>19</v>
      </c>
      <c r="C118" s="2" t="s">
        <v>1907</v>
      </c>
      <c r="D118" s="2" t="s">
        <v>21</v>
      </c>
      <c r="E118" s="2" t="s">
        <v>1468</v>
      </c>
      <c r="F118" s="2">
        <v>5</v>
      </c>
      <c r="G118" s="2">
        <v>325</v>
      </c>
      <c r="H118" s="2">
        <v>5</v>
      </c>
      <c r="I118" s="2">
        <v>5</v>
      </c>
      <c r="J118" s="2">
        <v>3</v>
      </c>
      <c r="K118" s="2" t="s">
        <v>61</v>
      </c>
      <c r="L118" s="6" t="s">
        <v>113</v>
      </c>
      <c r="M118" s="5">
        <v>2100000000</v>
      </c>
      <c r="N118" s="2">
        <v>0</v>
      </c>
      <c r="O118" s="2">
        <v>4.7089499999999997</v>
      </c>
      <c r="P118" s="2">
        <v>-74.077349999999996</v>
      </c>
      <c r="Q118" s="2" t="s">
        <v>2856</v>
      </c>
      <c r="R118" s="2">
        <v>6461538.4620000003</v>
      </c>
      <c r="S118" s="2">
        <v>0</v>
      </c>
      <c r="T118" s="2" t="s">
        <v>68</v>
      </c>
      <c r="U118" s="2" t="s">
        <v>69</v>
      </c>
      <c r="V118" s="2" t="s">
        <v>28</v>
      </c>
      <c r="W118" s="2" t="s">
        <v>70</v>
      </c>
      <c r="X118" s="2" t="s">
        <v>71</v>
      </c>
      <c r="Y118" s="2">
        <v>3.2633651344820902</v>
      </c>
      <c r="Z118" s="2">
        <v>4.73719444444444</v>
      </c>
      <c r="AA118" s="2">
        <v>-74.069472222222203</v>
      </c>
      <c r="AB118" s="2">
        <v>2555</v>
      </c>
      <c r="AC118" s="2" t="s">
        <v>31</v>
      </c>
      <c r="AD118" s="2" t="s">
        <v>58</v>
      </c>
      <c r="AE118" s="2" t="s">
        <v>33</v>
      </c>
      <c r="AF118" s="2" t="s">
        <v>34</v>
      </c>
      <c r="AG118" s="2" t="s">
        <v>72</v>
      </c>
      <c r="AH118" s="2">
        <v>0.65293921648012099</v>
      </c>
      <c r="AI118" s="2">
        <v>5.6553608201175498</v>
      </c>
      <c r="AJ118" s="2">
        <v>1.0933188166346699</v>
      </c>
      <c r="AK118" s="2">
        <v>0.169607293711899</v>
      </c>
      <c r="AL118" s="2">
        <v>0.16753705672524399</v>
      </c>
      <c r="AM118" s="2">
        <v>15.3</v>
      </c>
      <c r="AN118" s="2">
        <v>9.8000000000000007</v>
      </c>
      <c r="AO118" s="2">
        <v>29.7</v>
      </c>
      <c r="AP118" s="2">
        <v>564</v>
      </c>
      <c r="AQ118" s="2">
        <v>68</v>
      </c>
      <c r="AR118" s="2">
        <v>1.8</v>
      </c>
      <c r="AS118" s="2">
        <v>43</v>
      </c>
      <c r="AT118" s="2">
        <v>25.4</v>
      </c>
      <c r="AU118" s="2">
        <v>162</v>
      </c>
      <c r="AV118" s="2">
        <v>9.1</v>
      </c>
      <c r="AW118" s="2">
        <v>9.1999999999999993</v>
      </c>
      <c r="AX118" s="2">
        <v>18.3</v>
      </c>
      <c r="AY118" s="2">
        <v>0.34</v>
      </c>
      <c r="AZ118" s="2">
        <v>7.3</v>
      </c>
      <c r="BA118" s="2">
        <v>0.9</v>
      </c>
      <c r="BB118" s="2">
        <v>7.5</v>
      </c>
      <c r="BC118" s="2">
        <v>2.9</v>
      </c>
      <c r="BD118" s="2">
        <f>+AN118*EXP(-0.0495*Y118)</f>
        <v>8.3381870406229446</v>
      </c>
      <c r="BE118" s="2">
        <f>+AO118*EXP(-0.024*Y118)</f>
        <v>27.462633052574439</v>
      </c>
    </row>
    <row r="119" spans="1:57" x14ac:dyDescent="0.2">
      <c r="A119" s="2" t="s">
        <v>2878</v>
      </c>
      <c r="B119" s="2" t="s">
        <v>19</v>
      </c>
      <c r="C119" s="2" t="s">
        <v>1907</v>
      </c>
      <c r="D119" s="2" t="s">
        <v>21</v>
      </c>
      <c r="E119" s="2" t="s">
        <v>1468</v>
      </c>
      <c r="F119" s="2">
        <v>5</v>
      </c>
      <c r="G119" s="2">
        <v>325</v>
      </c>
      <c r="H119" s="2">
        <v>5</v>
      </c>
      <c r="I119" s="2">
        <v>5</v>
      </c>
      <c r="J119" s="2">
        <v>3</v>
      </c>
      <c r="K119" s="2" t="s">
        <v>61</v>
      </c>
      <c r="L119" s="6" t="s">
        <v>113</v>
      </c>
      <c r="M119" s="5">
        <v>2000000000</v>
      </c>
      <c r="N119" s="2">
        <v>0</v>
      </c>
      <c r="O119" s="2">
        <v>4.7089499999999997</v>
      </c>
      <c r="P119" s="2">
        <v>-74.077349999999996</v>
      </c>
      <c r="Q119" s="2" t="s">
        <v>2879</v>
      </c>
      <c r="R119" s="2">
        <v>6153846.1540000001</v>
      </c>
      <c r="S119" s="2">
        <v>0</v>
      </c>
      <c r="T119" s="2" t="s">
        <v>68</v>
      </c>
      <c r="U119" s="2" t="s">
        <v>69</v>
      </c>
      <c r="V119" s="2" t="s">
        <v>28</v>
      </c>
      <c r="W119" s="2" t="s">
        <v>70</v>
      </c>
      <c r="X119" s="2" t="s">
        <v>71</v>
      </c>
      <c r="Y119" s="2">
        <v>3.2633651344820902</v>
      </c>
      <c r="Z119" s="2">
        <v>4.73719444444444</v>
      </c>
      <c r="AA119" s="2">
        <v>-74.069472222222203</v>
      </c>
      <c r="AB119" s="2">
        <v>2555</v>
      </c>
      <c r="AC119" s="2" t="s">
        <v>31</v>
      </c>
      <c r="AD119" s="2" t="s">
        <v>58</v>
      </c>
      <c r="AE119" s="2" t="s">
        <v>33</v>
      </c>
      <c r="AF119" s="2" t="s">
        <v>34</v>
      </c>
      <c r="AG119" s="2" t="s">
        <v>72</v>
      </c>
      <c r="AH119" s="2">
        <v>0.65293921648012099</v>
      </c>
      <c r="AI119" s="2">
        <v>5.6553608201175498</v>
      </c>
      <c r="AJ119" s="2">
        <v>1.0933188166346699</v>
      </c>
      <c r="AK119" s="2">
        <v>0.169607293711899</v>
      </c>
      <c r="AL119" s="2">
        <v>0.16753705672524399</v>
      </c>
      <c r="AM119" s="2">
        <v>15.3</v>
      </c>
      <c r="AN119" s="2">
        <v>9.8000000000000007</v>
      </c>
      <c r="AO119" s="2">
        <v>29.7</v>
      </c>
      <c r="AP119" s="2">
        <v>564</v>
      </c>
      <c r="AQ119" s="2">
        <v>68</v>
      </c>
      <c r="AR119" s="2">
        <v>1.8</v>
      </c>
      <c r="AS119" s="2">
        <v>43</v>
      </c>
      <c r="AT119" s="2">
        <v>25.4</v>
      </c>
      <c r="AU119" s="2">
        <v>162</v>
      </c>
      <c r="AV119" s="2">
        <v>9.1</v>
      </c>
      <c r="AW119" s="2">
        <v>9.1999999999999993</v>
      </c>
      <c r="AX119" s="2">
        <v>18.3</v>
      </c>
      <c r="AY119" s="2">
        <v>0.34</v>
      </c>
      <c r="AZ119" s="2">
        <v>7.3</v>
      </c>
      <c r="BA119" s="2">
        <v>0.9</v>
      </c>
      <c r="BB119" s="2">
        <v>7.5</v>
      </c>
      <c r="BC119" s="2">
        <v>2.9</v>
      </c>
      <c r="BD119" s="2">
        <f>+AN119*EXP(-0.0495*Y119)</f>
        <v>8.3381870406229446</v>
      </c>
      <c r="BE119" s="2">
        <f>+AO119*EXP(-0.024*Y119)</f>
        <v>27.462633052574439</v>
      </c>
    </row>
    <row r="120" spans="1:57" x14ac:dyDescent="0.2">
      <c r="A120" s="2" t="s">
        <v>2423</v>
      </c>
      <c r="B120" s="2" t="s">
        <v>19</v>
      </c>
      <c r="C120" s="2" t="s">
        <v>1907</v>
      </c>
      <c r="D120" s="2" t="s">
        <v>21</v>
      </c>
      <c r="E120" s="2" t="s">
        <v>2424</v>
      </c>
      <c r="F120" s="2">
        <v>5</v>
      </c>
      <c r="G120" s="2">
        <v>323</v>
      </c>
      <c r="H120" s="2">
        <v>4</v>
      </c>
      <c r="I120" s="2">
        <v>5</v>
      </c>
      <c r="J120" s="2">
        <v>4</v>
      </c>
      <c r="K120" s="2" t="s">
        <v>61</v>
      </c>
      <c r="L120" s="6" t="s">
        <v>84</v>
      </c>
      <c r="M120" s="5">
        <v>2680000000</v>
      </c>
      <c r="N120" s="2">
        <v>0</v>
      </c>
      <c r="O120" s="2">
        <v>4.7660517689999997</v>
      </c>
      <c r="P120" s="2">
        <v>-74.06549072</v>
      </c>
      <c r="Q120" s="2" t="s">
        <v>2425</v>
      </c>
      <c r="R120" s="2">
        <v>8297213.6220000004</v>
      </c>
      <c r="S120" s="2">
        <v>0</v>
      </c>
      <c r="T120" s="2" t="s">
        <v>102</v>
      </c>
      <c r="U120" s="2" t="s">
        <v>103</v>
      </c>
      <c r="V120" s="2" t="s">
        <v>28</v>
      </c>
      <c r="W120" s="2" t="s">
        <v>70</v>
      </c>
      <c r="X120" s="2" t="s">
        <v>104</v>
      </c>
      <c r="Y120" s="2">
        <v>3.0808945253048101</v>
      </c>
      <c r="Z120" s="2">
        <v>4.7837500000000004</v>
      </c>
      <c r="AA120" s="2">
        <v>-74.044138888888895</v>
      </c>
      <c r="AB120" s="2">
        <v>2580</v>
      </c>
      <c r="AC120" s="2" t="s">
        <v>105</v>
      </c>
      <c r="AD120" s="2" t="s">
        <v>58</v>
      </c>
      <c r="AE120" s="2" t="s">
        <v>33</v>
      </c>
      <c r="AF120" s="2" t="s">
        <v>34</v>
      </c>
      <c r="AG120" s="2" t="s">
        <v>72</v>
      </c>
      <c r="AH120" s="2">
        <v>2.3526421576834</v>
      </c>
      <c r="AI120" s="2">
        <v>3.7349416723084201</v>
      </c>
      <c r="AJ120" s="2">
        <v>1.9310339301520301</v>
      </c>
      <c r="AK120" s="2">
        <v>0.44068902742477201</v>
      </c>
      <c r="AL120" s="2">
        <v>7.5407375780519202E-3</v>
      </c>
      <c r="AM120" s="2">
        <v>15.3</v>
      </c>
      <c r="AN120" s="2">
        <v>9.8000000000000007</v>
      </c>
      <c r="AO120" s="2">
        <v>29.7</v>
      </c>
      <c r="AP120" s="2">
        <v>564</v>
      </c>
      <c r="AQ120" s="2">
        <v>68</v>
      </c>
      <c r="AR120" s="2">
        <v>1.8</v>
      </c>
      <c r="AS120" s="2">
        <v>43</v>
      </c>
      <c r="AT120" s="2">
        <v>25.4</v>
      </c>
      <c r="AU120" s="2">
        <v>162</v>
      </c>
      <c r="AV120" s="2">
        <v>9.1</v>
      </c>
      <c r="AW120" s="2">
        <v>9.1999999999999993</v>
      </c>
      <c r="AX120" s="2">
        <v>18.3</v>
      </c>
      <c r="AY120" s="2">
        <v>0.34</v>
      </c>
      <c r="AZ120" s="2">
        <v>7.3</v>
      </c>
      <c r="BA120" s="2">
        <v>0.9</v>
      </c>
      <c r="BB120" s="2">
        <v>7.5</v>
      </c>
      <c r="BC120" s="2">
        <v>2.9</v>
      </c>
      <c r="BD120" s="2">
        <f>+AN120*EXP(-0.0495*Y120)</f>
        <v>8.4138411578475498</v>
      </c>
      <c r="BE120" s="2">
        <f>+AO120*EXP(-0.024*Y120)</f>
        <v>27.583163740826638</v>
      </c>
    </row>
    <row r="121" spans="1:57" x14ac:dyDescent="0.2">
      <c r="A121" s="2" t="s">
        <v>3016</v>
      </c>
      <c r="B121" s="2" t="s">
        <v>19</v>
      </c>
      <c r="C121" s="2" t="s">
        <v>1907</v>
      </c>
      <c r="D121" s="2" t="s">
        <v>21</v>
      </c>
      <c r="E121" s="2" t="s">
        <v>443</v>
      </c>
      <c r="F121" s="2">
        <v>5</v>
      </c>
      <c r="G121" s="2">
        <v>322</v>
      </c>
      <c r="H121" s="2">
        <v>5</v>
      </c>
      <c r="I121" s="2">
        <v>5</v>
      </c>
      <c r="J121" s="2">
        <v>0</v>
      </c>
      <c r="K121" s="2" t="s">
        <v>61</v>
      </c>
      <c r="L121" s="6" t="s">
        <v>113</v>
      </c>
      <c r="M121" s="5">
        <v>1490000000</v>
      </c>
      <c r="N121" s="2">
        <v>0</v>
      </c>
      <c r="O121" s="2">
        <v>4.7139338449999997</v>
      </c>
      <c r="P121" s="2">
        <v>-74.072554710000006</v>
      </c>
      <c r="Q121" s="2" t="s">
        <v>3017</v>
      </c>
      <c r="R121" s="2">
        <v>4627329.193</v>
      </c>
      <c r="S121" s="2">
        <v>0</v>
      </c>
      <c r="T121" s="2" t="s">
        <v>68</v>
      </c>
      <c r="U121" s="2" t="s">
        <v>69</v>
      </c>
      <c r="V121" s="2" t="s">
        <v>28</v>
      </c>
      <c r="W121" s="2" t="s">
        <v>70</v>
      </c>
      <c r="X121" s="2" t="s">
        <v>71</v>
      </c>
      <c r="Y121" s="2">
        <v>2.6118426217266402</v>
      </c>
      <c r="Z121" s="2">
        <v>4.73719444444444</v>
      </c>
      <c r="AA121" s="2">
        <v>-74.069472222222203</v>
      </c>
      <c r="AB121" s="2">
        <v>2555</v>
      </c>
      <c r="AC121" s="2" t="s">
        <v>31</v>
      </c>
      <c r="AD121" s="2" t="s">
        <v>58</v>
      </c>
      <c r="AE121" s="2" t="s">
        <v>33</v>
      </c>
      <c r="AF121" s="2" t="s">
        <v>34</v>
      </c>
      <c r="AG121" s="2" t="s">
        <v>72</v>
      </c>
      <c r="AH121" s="2">
        <v>0.215334190816345</v>
      </c>
      <c r="AI121" s="2">
        <v>5.2901965394635502</v>
      </c>
      <c r="AJ121" s="2">
        <v>0.34627411793887602</v>
      </c>
      <c r="AK121" s="2">
        <v>5.51259600993486E-2</v>
      </c>
      <c r="AL121" s="2">
        <v>5.3120154681302399E-2</v>
      </c>
      <c r="AM121" s="2">
        <v>15.3</v>
      </c>
      <c r="AN121" s="2">
        <v>9.8000000000000007</v>
      </c>
      <c r="AO121" s="2">
        <v>29.7</v>
      </c>
      <c r="AP121" s="2">
        <v>564</v>
      </c>
      <c r="AQ121" s="2">
        <v>68</v>
      </c>
      <c r="AR121" s="2">
        <v>1.8</v>
      </c>
      <c r="AS121" s="2">
        <v>43</v>
      </c>
      <c r="AT121" s="2">
        <v>25.4</v>
      </c>
      <c r="AU121" s="2">
        <v>162</v>
      </c>
      <c r="AV121" s="2">
        <v>9.1</v>
      </c>
      <c r="AW121" s="2">
        <v>9.1999999999999993</v>
      </c>
      <c r="AX121" s="2">
        <v>18.3</v>
      </c>
      <c r="AY121" s="2">
        <v>0.34</v>
      </c>
      <c r="AZ121" s="2">
        <v>7.3</v>
      </c>
      <c r="BA121" s="2">
        <v>0.9</v>
      </c>
      <c r="BB121" s="2">
        <v>7.5</v>
      </c>
      <c r="BC121" s="2">
        <v>2.9</v>
      </c>
      <c r="BD121" s="2">
        <f>+AN121*EXP(-0.0495*Y121)</f>
        <v>8.6114798198982143</v>
      </c>
      <c r="BE121" s="2">
        <f>+AO121*EXP(-0.024*Y121)</f>
        <v>27.895428514836645</v>
      </c>
    </row>
    <row r="122" spans="1:57" x14ac:dyDescent="0.2">
      <c r="A122" s="2" t="s">
        <v>2168</v>
      </c>
      <c r="B122" s="2" t="s">
        <v>19</v>
      </c>
      <c r="C122" s="2" t="s">
        <v>1907</v>
      </c>
      <c r="D122" s="2" t="s">
        <v>21</v>
      </c>
      <c r="E122" s="2" t="s">
        <v>300</v>
      </c>
      <c r="F122" s="2">
        <v>5</v>
      </c>
      <c r="G122" s="2">
        <v>321.51</v>
      </c>
      <c r="H122" s="2">
        <v>3</v>
      </c>
      <c r="I122" s="2">
        <v>4</v>
      </c>
      <c r="J122" s="2">
        <v>2</v>
      </c>
      <c r="K122" s="2" t="s">
        <v>61</v>
      </c>
      <c r="L122" s="6" t="s">
        <v>75</v>
      </c>
      <c r="M122" s="5">
        <v>2300000000</v>
      </c>
      <c r="N122" s="2">
        <v>0</v>
      </c>
      <c r="O122" s="2">
        <v>4.7292680000000002</v>
      </c>
      <c r="P122" s="2">
        <v>-74.073453000000001</v>
      </c>
      <c r="Q122" s="2" t="s">
        <v>2169</v>
      </c>
      <c r="R122" s="2">
        <v>7153743.2740000002</v>
      </c>
      <c r="S122" s="2">
        <v>0</v>
      </c>
      <c r="T122" s="2" t="s">
        <v>68</v>
      </c>
      <c r="U122" s="2" t="s">
        <v>69</v>
      </c>
      <c r="V122" s="2" t="s">
        <v>28</v>
      </c>
      <c r="W122" s="2" t="s">
        <v>70</v>
      </c>
      <c r="X122" s="2" t="s">
        <v>71</v>
      </c>
      <c r="Y122" s="2">
        <v>0.98671535818298495</v>
      </c>
      <c r="Z122" s="2">
        <v>4.73719444444444</v>
      </c>
      <c r="AA122" s="2">
        <v>-74.069472222222203</v>
      </c>
      <c r="AB122" s="2">
        <v>2555</v>
      </c>
      <c r="AC122" s="2" t="s">
        <v>31</v>
      </c>
      <c r="AD122" s="2" t="s">
        <v>58</v>
      </c>
      <c r="AE122" s="2" t="s">
        <v>33</v>
      </c>
      <c r="AF122" s="2" t="s">
        <v>34</v>
      </c>
      <c r="AG122" s="2" t="s">
        <v>72</v>
      </c>
      <c r="AH122" s="2">
        <v>0.24483616424368199</v>
      </c>
      <c r="AI122" s="2">
        <v>5.6320119510179296</v>
      </c>
      <c r="AJ122" s="2">
        <v>1.3906065693259599</v>
      </c>
      <c r="AK122" s="2">
        <v>0.58175584030467897</v>
      </c>
      <c r="AL122" s="2">
        <v>0.2494078032724</v>
      </c>
      <c r="AM122" s="2">
        <v>15.3</v>
      </c>
      <c r="AN122" s="2">
        <v>9.8000000000000007</v>
      </c>
      <c r="AO122" s="2">
        <v>29.7</v>
      </c>
      <c r="AP122" s="2">
        <v>564</v>
      </c>
      <c r="AQ122" s="2">
        <v>68</v>
      </c>
      <c r="AR122" s="2">
        <v>1.8</v>
      </c>
      <c r="AS122" s="2">
        <v>43</v>
      </c>
      <c r="AT122" s="2">
        <v>25.4</v>
      </c>
      <c r="AU122" s="2">
        <v>162</v>
      </c>
      <c r="AV122" s="2">
        <v>9.1</v>
      </c>
      <c r="AW122" s="2">
        <v>9.1999999999999993</v>
      </c>
      <c r="AX122" s="2">
        <v>18.3</v>
      </c>
      <c r="AY122" s="2">
        <v>0.34</v>
      </c>
      <c r="AZ122" s="2">
        <v>7.3</v>
      </c>
      <c r="BA122" s="2">
        <v>0.9</v>
      </c>
      <c r="BB122" s="2">
        <v>7.5</v>
      </c>
      <c r="BC122" s="2">
        <v>2.9</v>
      </c>
      <c r="BD122" s="2">
        <f>+AN122*EXP(-0.0495*Y122)</f>
        <v>9.3328457161723097</v>
      </c>
      <c r="BE122" s="2">
        <f>+AO122*EXP(-0.024*Y122)</f>
        <v>29.004931788854481</v>
      </c>
    </row>
    <row r="123" spans="1:57" x14ac:dyDescent="0.2">
      <c r="A123" s="2" t="s">
        <v>503</v>
      </c>
      <c r="B123" s="2" t="s">
        <v>19</v>
      </c>
      <c r="C123" s="2" t="s">
        <v>20</v>
      </c>
      <c r="D123" s="2" t="s">
        <v>21</v>
      </c>
      <c r="E123" s="2" t="s">
        <v>300</v>
      </c>
      <c r="F123" s="2">
        <v>6</v>
      </c>
      <c r="G123" s="2">
        <v>321.37</v>
      </c>
      <c r="H123" s="2">
        <v>3</v>
      </c>
      <c r="I123" s="2">
        <v>4</v>
      </c>
      <c r="J123" s="2">
        <v>4</v>
      </c>
      <c r="K123" s="2" t="s">
        <v>61</v>
      </c>
      <c r="L123" s="6" t="s">
        <v>75</v>
      </c>
      <c r="M123" s="5">
        <v>2500000000</v>
      </c>
      <c r="N123" s="2">
        <v>0</v>
      </c>
      <c r="O123" s="2">
        <v>4.7333980000000002</v>
      </c>
      <c r="P123" s="2">
        <v>-74.074433999999997</v>
      </c>
      <c r="Q123" s="2" t="s">
        <v>504</v>
      </c>
      <c r="R123" s="2">
        <v>7779195.3200000003</v>
      </c>
      <c r="S123" s="2">
        <v>0</v>
      </c>
      <c r="T123" s="2" t="s">
        <v>68</v>
      </c>
      <c r="U123" s="2" t="s">
        <v>69</v>
      </c>
      <c r="V123" s="2" t="s">
        <v>28</v>
      </c>
      <c r="W123" s="2" t="s">
        <v>70</v>
      </c>
      <c r="X123" s="2" t="s">
        <v>71</v>
      </c>
      <c r="Y123" s="2">
        <v>0.69398084157348305</v>
      </c>
      <c r="Z123" s="2">
        <v>4.73719444444444</v>
      </c>
      <c r="AA123" s="2">
        <v>-74.069472222222203</v>
      </c>
      <c r="AB123" s="2">
        <v>2555</v>
      </c>
      <c r="AC123" s="2" t="s">
        <v>31</v>
      </c>
      <c r="AD123" s="2" t="s">
        <v>58</v>
      </c>
      <c r="AE123" s="2" t="s">
        <v>33</v>
      </c>
      <c r="AF123" s="2" t="s">
        <v>34</v>
      </c>
      <c r="AG123" s="2" t="s">
        <v>72</v>
      </c>
      <c r="AH123" s="2">
        <v>0.657467733343292</v>
      </c>
      <c r="AI123" s="2">
        <v>5.3604673285971396</v>
      </c>
      <c r="AJ123" s="2">
        <v>1.8589247979500501</v>
      </c>
      <c r="AK123" s="2">
        <v>0.74057456081265305</v>
      </c>
      <c r="AL123" s="2">
        <v>2.3867656499286401E-2</v>
      </c>
      <c r="AM123" s="2">
        <v>15.3</v>
      </c>
      <c r="AN123" s="2">
        <v>9.8000000000000007</v>
      </c>
      <c r="AO123" s="2">
        <v>29.7</v>
      </c>
      <c r="AP123" s="2">
        <v>564</v>
      </c>
      <c r="AQ123" s="2">
        <v>68</v>
      </c>
      <c r="AR123" s="2">
        <v>1.8</v>
      </c>
      <c r="AS123" s="2">
        <v>43</v>
      </c>
      <c r="AT123" s="2">
        <v>25.4</v>
      </c>
      <c r="AU123" s="2">
        <v>162</v>
      </c>
      <c r="AV123" s="2">
        <v>9.1</v>
      </c>
      <c r="AW123" s="2">
        <v>9.1999999999999993</v>
      </c>
      <c r="AX123" s="2">
        <v>18.3</v>
      </c>
      <c r="AY123" s="2">
        <v>0.34</v>
      </c>
      <c r="AZ123" s="2">
        <v>7.3</v>
      </c>
      <c r="BA123" s="2">
        <v>0.9</v>
      </c>
      <c r="BB123" s="2">
        <v>7.5</v>
      </c>
      <c r="BC123" s="2">
        <v>2.9</v>
      </c>
      <c r="BD123" s="2">
        <f>+AN123*EXP(-0.0495*Y123)</f>
        <v>9.4690665579985041</v>
      </c>
      <c r="BE123" s="2">
        <f>+AO123*EXP(-0.024*Y123)</f>
        <v>29.209427174477142</v>
      </c>
    </row>
    <row r="124" spans="1:57" x14ac:dyDescent="0.2">
      <c r="A124" s="2" t="s">
        <v>3079</v>
      </c>
      <c r="B124" s="2" t="s">
        <v>19</v>
      </c>
      <c r="C124" s="2" t="s">
        <v>1907</v>
      </c>
      <c r="D124" s="2" t="s">
        <v>21</v>
      </c>
      <c r="E124" s="2" t="s">
        <v>218</v>
      </c>
      <c r="F124" s="2">
        <v>6</v>
      </c>
      <c r="G124" s="2">
        <v>320</v>
      </c>
      <c r="H124" s="2">
        <v>3</v>
      </c>
      <c r="I124" s="2">
        <v>4</v>
      </c>
      <c r="J124" s="2">
        <v>4</v>
      </c>
      <c r="K124" s="2" t="s">
        <v>61</v>
      </c>
      <c r="L124" s="6" t="s">
        <v>113</v>
      </c>
      <c r="M124" s="5">
        <v>2500000000</v>
      </c>
      <c r="N124" s="2">
        <v>0</v>
      </c>
      <c r="O124" s="2">
        <v>4.8154199999999996</v>
      </c>
      <c r="P124" s="2">
        <v>-74.041520000000006</v>
      </c>
      <c r="Q124" s="2" t="s">
        <v>3080</v>
      </c>
      <c r="R124" s="2">
        <v>7812500</v>
      </c>
      <c r="S124" s="2">
        <v>0</v>
      </c>
      <c r="T124" s="2" t="s">
        <v>102</v>
      </c>
      <c r="U124" s="2" t="s">
        <v>103</v>
      </c>
      <c r="V124" s="2" t="s">
        <v>28</v>
      </c>
      <c r="W124" s="2" t="s">
        <v>70</v>
      </c>
      <c r="X124" s="2" t="s">
        <v>104</v>
      </c>
      <c r="Y124" s="2">
        <v>3.5374375282619499</v>
      </c>
      <c r="Z124" s="2">
        <v>4.7837500000000004</v>
      </c>
      <c r="AA124" s="2">
        <v>-74.044138888888895</v>
      </c>
      <c r="AB124" s="2">
        <v>2580</v>
      </c>
      <c r="AC124" s="2" t="s">
        <v>105</v>
      </c>
      <c r="AD124" s="2" t="s">
        <v>58</v>
      </c>
      <c r="AE124" s="2" t="s">
        <v>33</v>
      </c>
      <c r="AF124" s="2" t="s">
        <v>34</v>
      </c>
      <c r="AG124" s="2" t="s">
        <v>72</v>
      </c>
      <c r="AH124" s="2">
        <v>5.1550133358738801</v>
      </c>
      <c r="AI124" s="2">
        <v>1.4247411305667901</v>
      </c>
      <c r="AJ124" s="2">
        <v>1.80578132536789</v>
      </c>
      <c r="AK124" s="2">
        <v>4.2038880721100202</v>
      </c>
      <c r="AL124" s="2">
        <v>9.8726092636697502E-2</v>
      </c>
      <c r="AM124" s="2">
        <v>15.3</v>
      </c>
      <c r="AN124" s="2">
        <v>9.8000000000000007</v>
      </c>
      <c r="AO124" s="2">
        <v>29.7</v>
      </c>
      <c r="AP124" s="2">
        <v>564</v>
      </c>
      <c r="AQ124" s="2">
        <v>68</v>
      </c>
      <c r="AR124" s="2">
        <v>1.8</v>
      </c>
      <c r="AS124" s="2">
        <v>43</v>
      </c>
      <c r="AT124" s="2">
        <v>25.4</v>
      </c>
      <c r="AU124" s="2">
        <v>162</v>
      </c>
      <c r="AV124" s="2">
        <v>9.1</v>
      </c>
      <c r="AW124" s="2">
        <v>9.1999999999999993</v>
      </c>
      <c r="AX124" s="2">
        <v>18.3</v>
      </c>
      <c r="AY124" s="2">
        <v>0.34</v>
      </c>
      <c r="AZ124" s="2">
        <v>7.3</v>
      </c>
      <c r="BA124" s="2">
        <v>0.9</v>
      </c>
      <c r="BB124" s="2">
        <v>7.5</v>
      </c>
      <c r="BC124" s="2">
        <v>2.9</v>
      </c>
      <c r="BD124" s="2">
        <f>+AN124*EXP(-0.0495*Y124)</f>
        <v>8.225830202464655</v>
      </c>
      <c r="BE124" s="2">
        <f>+AO124*EXP(-0.024*Y124)</f>
        <v>27.282583869951299</v>
      </c>
    </row>
    <row r="125" spans="1:57" x14ac:dyDescent="0.2">
      <c r="A125" s="2" t="s">
        <v>2378</v>
      </c>
      <c r="B125" s="2" t="s">
        <v>19</v>
      </c>
      <c r="C125" s="2" t="s">
        <v>1907</v>
      </c>
      <c r="D125" s="2" t="s">
        <v>21</v>
      </c>
      <c r="E125" s="2" t="s">
        <v>499</v>
      </c>
      <c r="F125" s="2">
        <v>6</v>
      </c>
      <c r="G125" s="2">
        <v>318</v>
      </c>
      <c r="H125" s="2">
        <v>4</v>
      </c>
      <c r="I125" s="2">
        <v>5</v>
      </c>
      <c r="J125" s="2">
        <v>4</v>
      </c>
      <c r="K125" s="2" t="s">
        <v>61</v>
      </c>
      <c r="L125" s="6" t="s">
        <v>84</v>
      </c>
      <c r="M125" s="5">
        <v>1950000000</v>
      </c>
      <c r="N125" s="2">
        <v>0</v>
      </c>
      <c r="O125" s="2">
        <v>4.7204236999999996</v>
      </c>
      <c r="P125" s="2">
        <v>-74.07817</v>
      </c>
      <c r="Q125" s="2" t="s">
        <v>2379</v>
      </c>
      <c r="R125" s="2">
        <v>6132075.4720000001</v>
      </c>
      <c r="S125" s="2">
        <v>0</v>
      </c>
      <c r="T125" s="2" t="s">
        <v>68</v>
      </c>
      <c r="U125" s="2" t="s">
        <v>69</v>
      </c>
      <c r="V125" s="2" t="s">
        <v>28</v>
      </c>
      <c r="W125" s="2" t="s">
        <v>70</v>
      </c>
      <c r="X125" s="2" t="s">
        <v>71</v>
      </c>
      <c r="Y125" s="2">
        <v>2.1015370352171998</v>
      </c>
      <c r="Z125" s="2">
        <v>4.73719444444444</v>
      </c>
      <c r="AA125" s="2">
        <v>-74.069472222222203</v>
      </c>
      <c r="AB125" s="2">
        <v>2555</v>
      </c>
      <c r="AC125" s="2" t="s">
        <v>31</v>
      </c>
      <c r="AD125" s="2" t="s">
        <v>58</v>
      </c>
      <c r="AE125" s="2" t="s">
        <v>33</v>
      </c>
      <c r="AF125" s="2" t="s">
        <v>34</v>
      </c>
      <c r="AG125" s="2" t="s">
        <v>72</v>
      </c>
      <c r="AH125" s="2">
        <v>0.39461397356676198</v>
      </c>
      <c r="AI125" s="2">
        <v>5.2732057111618298</v>
      </c>
      <c r="AJ125" s="2">
        <v>0.84646449700526705</v>
      </c>
      <c r="AK125" s="2">
        <v>0.43207944548499799</v>
      </c>
      <c r="AL125" s="2">
        <v>5.6795571690429897E-3</v>
      </c>
      <c r="AM125" s="2">
        <v>15.3</v>
      </c>
      <c r="AN125" s="2">
        <v>9.8000000000000007</v>
      </c>
      <c r="AO125" s="2">
        <v>29.7</v>
      </c>
      <c r="AP125" s="2">
        <v>564</v>
      </c>
      <c r="AQ125" s="2">
        <v>68</v>
      </c>
      <c r="AR125" s="2">
        <v>1.8</v>
      </c>
      <c r="AS125" s="2">
        <v>43</v>
      </c>
      <c r="AT125" s="2">
        <v>25.4</v>
      </c>
      <c r="AU125" s="2">
        <v>162</v>
      </c>
      <c r="AV125" s="2">
        <v>9.1</v>
      </c>
      <c r="AW125" s="2">
        <v>9.1999999999999993</v>
      </c>
      <c r="AX125" s="2">
        <v>18.3</v>
      </c>
      <c r="AY125" s="2">
        <v>0.34</v>
      </c>
      <c r="AZ125" s="2">
        <v>7.3</v>
      </c>
      <c r="BA125" s="2">
        <v>0.9</v>
      </c>
      <c r="BB125" s="2">
        <v>7.5</v>
      </c>
      <c r="BC125" s="2">
        <v>2.9</v>
      </c>
      <c r="BD125" s="2">
        <f>+AN125*EXP(-0.0495*Y125)</f>
        <v>8.8317775503213074</v>
      </c>
      <c r="BE125" s="2">
        <f>+AO125*EXP(-0.024*Y125)</f>
        <v>28.239173832201512</v>
      </c>
    </row>
    <row r="126" spans="1:57" x14ac:dyDescent="0.2">
      <c r="A126" s="2" t="s">
        <v>2419</v>
      </c>
      <c r="B126" s="2" t="s">
        <v>19</v>
      </c>
      <c r="C126" s="2" t="s">
        <v>1907</v>
      </c>
      <c r="D126" s="2" t="s">
        <v>21</v>
      </c>
      <c r="E126" s="2" t="s">
        <v>499</v>
      </c>
      <c r="F126" s="2">
        <v>5</v>
      </c>
      <c r="G126" s="2">
        <v>317</v>
      </c>
      <c r="H126" s="2">
        <v>4</v>
      </c>
      <c r="I126" s="2">
        <v>4</v>
      </c>
      <c r="J126" s="2">
        <v>4</v>
      </c>
      <c r="K126" s="2" t="s">
        <v>61</v>
      </c>
      <c r="L126" s="6" t="s">
        <v>113</v>
      </c>
      <c r="M126" s="5">
        <v>1600000000</v>
      </c>
      <c r="N126" s="2">
        <v>0</v>
      </c>
      <c r="O126" s="2">
        <v>4.7152592210000002</v>
      </c>
      <c r="P126" s="2">
        <v>-74.076857500000003</v>
      </c>
      <c r="Q126" s="2" t="s">
        <v>2420</v>
      </c>
      <c r="R126" s="2">
        <v>5047318.6119999997</v>
      </c>
      <c r="S126" s="2">
        <v>0</v>
      </c>
      <c r="T126" s="2" t="s">
        <v>68</v>
      </c>
      <c r="U126" s="2" t="s">
        <v>69</v>
      </c>
      <c r="V126" s="2" t="s">
        <v>28</v>
      </c>
      <c r="W126" s="2" t="s">
        <v>70</v>
      </c>
      <c r="X126" s="2" t="s">
        <v>71</v>
      </c>
      <c r="Y126" s="2">
        <v>2.5756118180956702</v>
      </c>
      <c r="Z126" s="2">
        <v>4.73719444444444</v>
      </c>
      <c r="AA126" s="2">
        <v>-74.069472222222203</v>
      </c>
      <c r="AB126" s="2">
        <v>2555</v>
      </c>
      <c r="AC126" s="2" t="s">
        <v>31</v>
      </c>
      <c r="AD126" s="2" t="s">
        <v>58</v>
      </c>
      <c r="AE126" s="2" t="s">
        <v>33</v>
      </c>
      <c r="AF126" s="2" t="s">
        <v>34</v>
      </c>
      <c r="AG126" s="2" t="s">
        <v>72</v>
      </c>
      <c r="AH126" s="2">
        <v>0.61981964414419799</v>
      </c>
      <c r="AI126" s="2">
        <v>5.5308027305163199</v>
      </c>
      <c r="AJ126" s="2">
        <v>0.62840893820131305</v>
      </c>
      <c r="AK126" s="2">
        <v>0.18401910469817701</v>
      </c>
      <c r="AL126" s="2">
        <v>6.3649209368380505E-2</v>
      </c>
      <c r="AM126" s="2">
        <v>15.3</v>
      </c>
      <c r="AN126" s="2">
        <v>9.8000000000000007</v>
      </c>
      <c r="AO126" s="2">
        <v>29.7</v>
      </c>
      <c r="AP126" s="2">
        <v>564</v>
      </c>
      <c r="AQ126" s="2">
        <v>68</v>
      </c>
      <c r="AR126" s="2">
        <v>1.8</v>
      </c>
      <c r="AS126" s="2">
        <v>43</v>
      </c>
      <c r="AT126" s="2">
        <v>25.4</v>
      </c>
      <c r="AU126" s="2">
        <v>162</v>
      </c>
      <c r="AV126" s="2">
        <v>9.1</v>
      </c>
      <c r="AW126" s="2">
        <v>9.1999999999999993</v>
      </c>
      <c r="AX126" s="2">
        <v>18.3</v>
      </c>
      <c r="AY126" s="2">
        <v>0.34</v>
      </c>
      <c r="AZ126" s="2">
        <v>7.3</v>
      </c>
      <c r="BA126" s="2">
        <v>0.9</v>
      </c>
      <c r="BB126" s="2">
        <v>7.5</v>
      </c>
      <c r="BC126" s="2">
        <v>2.9</v>
      </c>
      <c r="BD126" s="2">
        <f>+AN126*EXP(-0.0495*Y126)</f>
        <v>8.6269377183432496</v>
      </c>
      <c r="BE126" s="2">
        <f>+AO126*EXP(-0.024*Y126)</f>
        <v>27.919695234766166</v>
      </c>
    </row>
    <row r="127" spans="1:57" x14ac:dyDescent="0.2">
      <c r="A127" s="2" t="s">
        <v>2127</v>
      </c>
      <c r="B127" s="2" t="s">
        <v>19</v>
      </c>
      <c r="C127" s="2" t="s">
        <v>1907</v>
      </c>
      <c r="D127" s="2" t="s">
        <v>21</v>
      </c>
      <c r="E127" s="2" t="s">
        <v>218</v>
      </c>
      <c r="F127" s="2">
        <v>6</v>
      </c>
      <c r="G127" s="2">
        <v>311.7</v>
      </c>
      <c r="H127" s="2">
        <v>3</v>
      </c>
      <c r="I127" s="2">
        <v>4</v>
      </c>
      <c r="J127" s="2">
        <v>3</v>
      </c>
      <c r="K127" s="2" t="s">
        <v>61</v>
      </c>
      <c r="L127" s="6" t="s">
        <v>75</v>
      </c>
      <c r="M127" s="5">
        <v>2490000000</v>
      </c>
      <c r="N127" s="2">
        <v>0</v>
      </c>
      <c r="O127" s="2">
        <v>4.8185691830000001</v>
      </c>
      <c r="P127" s="2">
        <v>-74.057525630000001</v>
      </c>
      <c r="Q127" s="2" t="s">
        <v>2128</v>
      </c>
      <c r="R127" s="2">
        <v>7988450.4330000002</v>
      </c>
      <c r="S127" s="2">
        <v>0</v>
      </c>
      <c r="T127" s="2" t="s">
        <v>102</v>
      </c>
      <c r="U127" s="2" t="s">
        <v>103</v>
      </c>
      <c r="V127" s="2" t="s">
        <v>28</v>
      </c>
      <c r="W127" s="2" t="s">
        <v>70</v>
      </c>
      <c r="X127" s="2" t="s">
        <v>104</v>
      </c>
      <c r="Y127" s="2">
        <v>4.1507766808306599</v>
      </c>
      <c r="Z127" s="2">
        <v>4.7837500000000004</v>
      </c>
      <c r="AA127" s="2">
        <v>-74.044138888888895</v>
      </c>
      <c r="AB127" s="2">
        <v>2580</v>
      </c>
      <c r="AC127" s="2" t="s">
        <v>105</v>
      </c>
      <c r="AD127" s="2" t="s">
        <v>58</v>
      </c>
      <c r="AE127" s="2" t="s">
        <v>33</v>
      </c>
      <c r="AF127" s="2" t="s">
        <v>34</v>
      </c>
      <c r="AG127" s="2" t="s">
        <v>72</v>
      </c>
      <c r="AH127" s="2">
        <v>5.7114883814053803</v>
      </c>
      <c r="AI127" s="2">
        <v>0.71729904876120898</v>
      </c>
      <c r="AJ127" s="2">
        <v>2.3523496772779899</v>
      </c>
      <c r="AK127" s="2">
        <v>3.7740888512023001</v>
      </c>
      <c r="AL127" s="2">
        <v>0.850910763329631</v>
      </c>
      <c r="AM127" s="2">
        <v>15.3</v>
      </c>
      <c r="AN127" s="2">
        <v>9.8000000000000007</v>
      </c>
      <c r="AO127" s="2">
        <v>29.7</v>
      </c>
      <c r="AP127" s="2">
        <v>564</v>
      </c>
      <c r="AQ127" s="2">
        <v>68</v>
      </c>
      <c r="AR127" s="2">
        <v>1.8</v>
      </c>
      <c r="AS127" s="2">
        <v>43</v>
      </c>
      <c r="AT127" s="2">
        <v>25.4</v>
      </c>
      <c r="AU127" s="2">
        <v>162</v>
      </c>
      <c r="AV127" s="2">
        <v>9.1</v>
      </c>
      <c r="AW127" s="2">
        <v>9.1999999999999993</v>
      </c>
      <c r="AX127" s="2">
        <v>18.3</v>
      </c>
      <c r="AY127" s="2">
        <v>0.34</v>
      </c>
      <c r="AZ127" s="2">
        <v>7.3</v>
      </c>
      <c r="BA127" s="2">
        <v>0.9</v>
      </c>
      <c r="BB127" s="2">
        <v>7.5</v>
      </c>
      <c r="BC127" s="2">
        <v>2.9</v>
      </c>
      <c r="BD127" s="2">
        <f>+AN127*EXP(-0.0495*Y127)</f>
        <v>7.9798446190520096</v>
      </c>
      <c r="BE127" s="2">
        <f>+AO127*EXP(-0.024*Y127)</f>
        <v>26.883921804262808</v>
      </c>
    </row>
    <row r="128" spans="1:57" x14ac:dyDescent="0.2">
      <c r="A128" s="2" t="s">
        <v>2567</v>
      </c>
      <c r="B128" s="2" t="s">
        <v>19</v>
      </c>
      <c r="C128" s="2" t="s">
        <v>1907</v>
      </c>
      <c r="D128" s="2" t="s">
        <v>21</v>
      </c>
      <c r="E128" s="2" t="s">
        <v>499</v>
      </c>
      <c r="F128" s="2">
        <v>6</v>
      </c>
      <c r="G128" s="2">
        <v>310</v>
      </c>
      <c r="H128" s="2">
        <v>4</v>
      </c>
      <c r="I128" s="2">
        <v>4</v>
      </c>
      <c r="J128" s="2">
        <v>2</v>
      </c>
      <c r="K128" s="2" t="s">
        <v>61</v>
      </c>
      <c r="L128" s="6" t="s">
        <v>113</v>
      </c>
      <c r="M128" s="5">
        <v>1400000000</v>
      </c>
      <c r="N128" s="2">
        <v>0</v>
      </c>
      <c r="O128" s="2">
        <v>4.719013006</v>
      </c>
      <c r="P128" s="2">
        <v>-74.078213500000004</v>
      </c>
      <c r="Q128" s="2" t="s">
        <v>2568</v>
      </c>
      <c r="R128" s="2">
        <v>4516129.0319999997</v>
      </c>
      <c r="S128" s="2">
        <v>0</v>
      </c>
      <c r="T128" s="2" t="s">
        <v>68</v>
      </c>
      <c r="U128" s="2" t="s">
        <v>69</v>
      </c>
      <c r="V128" s="2" t="s">
        <v>28</v>
      </c>
      <c r="W128" s="2" t="s">
        <v>70</v>
      </c>
      <c r="X128" s="2" t="s">
        <v>71</v>
      </c>
      <c r="Y128" s="2">
        <v>2.2442834584674101</v>
      </c>
      <c r="Z128" s="2">
        <v>4.73719444444444</v>
      </c>
      <c r="AA128" s="2">
        <v>-74.069472222222203</v>
      </c>
      <c r="AB128" s="2">
        <v>2555</v>
      </c>
      <c r="AC128" s="2" t="s">
        <v>31</v>
      </c>
      <c r="AD128" s="2" t="s">
        <v>58</v>
      </c>
      <c r="AE128" s="2" t="s">
        <v>33</v>
      </c>
      <c r="AF128" s="2" t="s">
        <v>34</v>
      </c>
      <c r="AG128" s="2" t="s">
        <v>72</v>
      </c>
      <c r="AH128" s="2">
        <v>0.46131447406869902</v>
      </c>
      <c r="AI128" s="2">
        <v>5.2992353012716702</v>
      </c>
      <c r="AJ128" s="2">
        <v>0.79055174449500798</v>
      </c>
      <c r="AK128" s="2">
        <v>0.277085996420598</v>
      </c>
      <c r="AL128" s="2">
        <v>0.161050774057416</v>
      </c>
      <c r="AM128" s="2">
        <v>15.3</v>
      </c>
      <c r="AN128" s="2">
        <v>9.8000000000000007</v>
      </c>
      <c r="AO128" s="2">
        <v>29.7</v>
      </c>
      <c r="AP128" s="2">
        <v>564</v>
      </c>
      <c r="AQ128" s="2">
        <v>68</v>
      </c>
      <c r="AR128" s="2">
        <v>1.8</v>
      </c>
      <c r="AS128" s="2">
        <v>43</v>
      </c>
      <c r="AT128" s="2">
        <v>25.4</v>
      </c>
      <c r="AU128" s="2">
        <v>162</v>
      </c>
      <c r="AV128" s="2">
        <v>9.1</v>
      </c>
      <c r="AW128" s="2">
        <v>9.1999999999999993</v>
      </c>
      <c r="AX128" s="2">
        <v>18.3</v>
      </c>
      <c r="AY128" s="2">
        <v>0.34</v>
      </c>
      <c r="AZ128" s="2">
        <v>7.3</v>
      </c>
      <c r="BA128" s="2">
        <v>0.9</v>
      </c>
      <c r="BB128" s="2">
        <v>7.5</v>
      </c>
      <c r="BC128" s="2">
        <v>2.9</v>
      </c>
      <c r="BD128" s="2">
        <f>+AN128*EXP(-0.0495*Y128)</f>
        <v>8.7695926262837869</v>
      </c>
      <c r="BE128" s="2">
        <f>+AO128*EXP(-0.024*Y128)</f>
        <v>28.142594377681547</v>
      </c>
    </row>
    <row r="129" spans="1:57" x14ac:dyDescent="0.2">
      <c r="A129" s="2" t="s">
        <v>2576</v>
      </c>
      <c r="B129" s="2" t="s">
        <v>19</v>
      </c>
      <c r="C129" s="2" t="s">
        <v>1907</v>
      </c>
      <c r="D129" s="2" t="s">
        <v>21</v>
      </c>
      <c r="E129" s="2" t="s">
        <v>2171</v>
      </c>
      <c r="F129" s="2">
        <v>4</v>
      </c>
      <c r="G129" s="2">
        <v>310</v>
      </c>
      <c r="H129" s="2">
        <v>4</v>
      </c>
      <c r="I129" s="2">
        <v>5</v>
      </c>
      <c r="J129" s="2">
        <v>3</v>
      </c>
      <c r="K129" s="2" t="s">
        <v>61</v>
      </c>
      <c r="L129" s="6" t="s">
        <v>62</v>
      </c>
      <c r="M129" s="5">
        <v>1200000000</v>
      </c>
      <c r="N129" s="2">
        <v>0</v>
      </c>
      <c r="O129" s="2">
        <v>4.6995886000000002</v>
      </c>
      <c r="P129" s="2">
        <v>-74.073932900000003</v>
      </c>
      <c r="Q129" s="2" t="s">
        <v>2577</v>
      </c>
      <c r="R129" s="2">
        <v>3870967.7420000001</v>
      </c>
      <c r="S129" s="2">
        <v>0</v>
      </c>
      <c r="T129" s="2" t="s">
        <v>68</v>
      </c>
      <c r="U129" s="2" t="s">
        <v>69</v>
      </c>
      <c r="V129" s="2" t="s">
        <v>28</v>
      </c>
      <c r="W129" s="2" t="s">
        <v>70</v>
      </c>
      <c r="X129" s="2" t="s">
        <v>71</v>
      </c>
      <c r="Y129" s="2">
        <v>4.2154128496127701</v>
      </c>
      <c r="Z129" s="2">
        <v>4.73719444444444</v>
      </c>
      <c r="AA129" s="2">
        <v>-74.069472222222203</v>
      </c>
      <c r="AB129" s="2">
        <v>2555</v>
      </c>
      <c r="AC129" s="2" t="s">
        <v>31</v>
      </c>
      <c r="AD129" s="2" t="s">
        <v>58</v>
      </c>
      <c r="AE129" s="2" t="s">
        <v>33</v>
      </c>
      <c r="AF129" s="2" t="s">
        <v>34</v>
      </c>
      <c r="AG129" s="2" t="s">
        <v>72</v>
      </c>
      <c r="AH129" s="2">
        <v>0.45500060162046302</v>
      </c>
      <c r="AI129" s="2">
        <v>4.7500669181062003</v>
      </c>
      <c r="AJ129" s="2">
        <v>0.51736577516567706</v>
      </c>
      <c r="AK129" s="2">
        <v>3.2871227009701499E-2</v>
      </c>
      <c r="AL129" s="2">
        <v>0.276519413147639</v>
      </c>
      <c r="AM129" s="2">
        <v>15.3</v>
      </c>
      <c r="AN129" s="2">
        <v>9.8000000000000007</v>
      </c>
      <c r="AO129" s="2">
        <v>29.7</v>
      </c>
      <c r="AP129" s="2">
        <v>564</v>
      </c>
      <c r="AQ129" s="2">
        <v>68</v>
      </c>
      <c r="AR129" s="2">
        <v>1.8</v>
      </c>
      <c r="AS129" s="2">
        <v>43</v>
      </c>
      <c r="AT129" s="2">
        <v>25.4</v>
      </c>
      <c r="AU129" s="2">
        <v>162</v>
      </c>
      <c r="AV129" s="2">
        <v>9.1</v>
      </c>
      <c r="AW129" s="2">
        <v>9.1999999999999993</v>
      </c>
      <c r="AX129" s="2">
        <v>18.3</v>
      </c>
      <c r="AY129" s="2">
        <v>0.34</v>
      </c>
      <c r="AZ129" s="2">
        <v>7.3</v>
      </c>
      <c r="BA129" s="2">
        <v>0.9</v>
      </c>
      <c r="BB129" s="2">
        <v>7.5</v>
      </c>
      <c r="BC129" s="2">
        <v>2.9</v>
      </c>
      <c r="BD129" s="2">
        <f>+AN129*EXP(-0.0495*Y129)</f>
        <v>7.9543539834277173</v>
      </c>
      <c r="BE129" s="2">
        <f>+AO129*EXP(-0.024*Y129)</f>
        <v>26.842249965741004</v>
      </c>
    </row>
    <row r="130" spans="1:57" x14ac:dyDescent="0.2">
      <c r="A130" s="2" t="s">
        <v>2376</v>
      </c>
      <c r="B130" s="2" t="s">
        <v>19</v>
      </c>
      <c r="C130" s="2" t="s">
        <v>1907</v>
      </c>
      <c r="D130" s="2" t="s">
        <v>21</v>
      </c>
      <c r="E130" s="2" t="s">
        <v>434</v>
      </c>
      <c r="F130" s="2">
        <v>3</v>
      </c>
      <c r="G130" s="2">
        <v>310</v>
      </c>
      <c r="H130" s="2">
        <v>5</v>
      </c>
      <c r="I130" s="2">
        <v>5</v>
      </c>
      <c r="J130" s="2">
        <v>1</v>
      </c>
      <c r="K130" s="2" t="s">
        <v>61</v>
      </c>
      <c r="L130" s="6" t="s">
        <v>113</v>
      </c>
      <c r="M130" s="5">
        <v>890000000</v>
      </c>
      <c r="N130" s="2">
        <v>0</v>
      </c>
      <c r="O130" s="2">
        <v>4.7199296999999998</v>
      </c>
      <c r="P130" s="2">
        <v>-74.068825000000004</v>
      </c>
      <c r="Q130" s="2" t="s">
        <v>2377</v>
      </c>
      <c r="R130" s="2">
        <v>2870967.7420000001</v>
      </c>
      <c r="S130" s="2">
        <v>0</v>
      </c>
      <c r="T130" s="2" t="s">
        <v>68</v>
      </c>
      <c r="U130" s="2" t="s">
        <v>69</v>
      </c>
      <c r="V130" s="2" t="s">
        <v>28</v>
      </c>
      <c r="W130" s="2" t="s">
        <v>70</v>
      </c>
      <c r="X130" s="2" t="s">
        <v>71</v>
      </c>
      <c r="Y130" s="2">
        <v>1.9232433944115299</v>
      </c>
      <c r="Z130" s="2">
        <v>4.73719444444444</v>
      </c>
      <c r="AA130" s="2">
        <v>-74.069472222222203</v>
      </c>
      <c r="AB130" s="2">
        <v>2555</v>
      </c>
      <c r="AC130" s="2" t="s">
        <v>31</v>
      </c>
      <c r="AD130" s="2" t="s">
        <v>58</v>
      </c>
      <c r="AE130" s="2" t="s">
        <v>33</v>
      </c>
      <c r="AF130" s="2" t="s">
        <v>34</v>
      </c>
      <c r="AG130" s="2" t="s">
        <v>72</v>
      </c>
      <c r="AH130" s="2">
        <v>0.66920758075865105</v>
      </c>
      <c r="AI130" s="2">
        <v>4.9605754308093903</v>
      </c>
      <c r="AJ130" s="2">
        <v>0.44527887969531199</v>
      </c>
      <c r="AK130" s="2">
        <v>5.61376876578491E-2</v>
      </c>
      <c r="AL130" s="2">
        <v>0.18769730305815699</v>
      </c>
      <c r="AM130" s="2">
        <v>15.3</v>
      </c>
      <c r="AN130" s="2">
        <v>9.8000000000000007</v>
      </c>
      <c r="AO130" s="2">
        <v>29.7</v>
      </c>
      <c r="AP130" s="2">
        <v>564</v>
      </c>
      <c r="AQ130" s="2">
        <v>68</v>
      </c>
      <c r="AR130" s="2">
        <v>1.8</v>
      </c>
      <c r="AS130" s="2">
        <v>43</v>
      </c>
      <c r="AT130" s="2">
        <v>25.4</v>
      </c>
      <c r="AU130" s="2">
        <v>162</v>
      </c>
      <c r="AV130" s="2">
        <v>9.1</v>
      </c>
      <c r="AW130" s="2">
        <v>9.1999999999999993</v>
      </c>
      <c r="AX130" s="2">
        <v>18.3</v>
      </c>
      <c r="AY130" s="2">
        <v>0.34</v>
      </c>
      <c r="AZ130" s="2">
        <v>7.3</v>
      </c>
      <c r="BA130" s="2">
        <v>0.9</v>
      </c>
      <c r="BB130" s="2">
        <v>7.5</v>
      </c>
      <c r="BC130" s="2">
        <v>2.9</v>
      </c>
      <c r="BD130" s="2">
        <f>+AN130*EXP(-0.0495*Y130)</f>
        <v>8.9100676821356615</v>
      </c>
      <c r="BE130" s="2">
        <f>+AO130*EXP(-0.024*Y130)</f>
        <v>28.36026949725267</v>
      </c>
    </row>
    <row r="131" spans="1:57" x14ac:dyDescent="0.2">
      <c r="A131" s="2" t="s">
        <v>2518</v>
      </c>
      <c r="B131" s="2" t="s">
        <v>19</v>
      </c>
      <c r="C131" s="2" t="s">
        <v>1907</v>
      </c>
      <c r="D131" s="2" t="s">
        <v>21</v>
      </c>
      <c r="E131" s="2" t="s">
        <v>218</v>
      </c>
      <c r="F131" s="2">
        <v>6</v>
      </c>
      <c r="G131" s="2">
        <v>308</v>
      </c>
      <c r="H131" s="2">
        <v>4</v>
      </c>
      <c r="I131" s="2">
        <v>5</v>
      </c>
      <c r="J131" s="2">
        <v>4</v>
      </c>
      <c r="K131" s="2" t="s">
        <v>61</v>
      </c>
      <c r="L131" s="6" t="s">
        <v>75</v>
      </c>
      <c r="M131" s="5">
        <v>2500000000</v>
      </c>
      <c r="N131" s="2">
        <v>0</v>
      </c>
      <c r="O131" s="2">
        <v>4.8135906869999996</v>
      </c>
      <c r="P131" s="2">
        <v>-74.040249419999995</v>
      </c>
      <c r="Q131" s="2" t="s">
        <v>2519</v>
      </c>
      <c r="R131" s="2">
        <v>8116883.1169999996</v>
      </c>
      <c r="S131" s="2">
        <v>0</v>
      </c>
      <c r="T131" s="2" t="s">
        <v>102</v>
      </c>
      <c r="U131" s="2" t="s">
        <v>103</v>
      </c>
      <c r="V131" s="2" t="s">
        <v>28</v>
      </c>
      <c r="W131" s="2" t="s">
        <v>70</v>
      </c>
      <c r="X131" s="2" t="s">
        <v>104</v>
      </c>
      <c r="Y131" s="2">
        <v>3.3497525689807901</v>
      </c>
      <c r="Z131" s="2">
        <v>4.7837500000000004</v>
      </c>
      <c r="AA131" s="2">
        <v>-74.044138888888895</v>
      </c>
      <c r="AB131" s="2">
        <v>2580</v>
      </c>
      <c r="AC131" s="2" t="s">
        <v>105</v>
      </c>
      <c r="AD131" s="2" t="s">
        <v>58</v>
      </c>
      <c r="AE131" s="2" t="s">
        <v>33</v>
      </c>
      <c r="AF131" s="2" t="s">
        <v>34</v>
      </c>
      <c r="AG131" s="2" t="s">
        <v>72</v>
      </c>
      <c r="AH131" s="2">
        <v>4.9615235876087</v>
      </c>
      <c r="AI131" s="2">
        <v>1.66545216315207</v>
      </c>
      <c r="AJ131" s="2">
        <v>1.6756811519707899</v>
      </c>
      <c r="AK131" s="2">
        <v>4.0141516902998804</v>
      </c>
      <c r="AL131" s="2">
        <v>9.2115312205508105E-3</v>
      </c>
      <c r="AM131" s="2">
        <v>15.3</v>
      </c>
      <c r="AN131" s="2">
        <v>9.8000000000000007</v>
      </c>
      <c r="AO131" s="2">
        <v>29.7</v>
      </c>
      <c r="AP131" s="2">
        <v>564</v>
      </c>
      <c r="AQ131" s="2">
        <v>68</v>
      </c>
      <c r="AR131" s="2">
        <v>1.8</v>
      </c>
      <c r="AS131" s="2">
        <v>43</v>
      </c>
      <c r="AT131" s="2">
        <v>25.4</v>
      </c>
      <c r="AU131" s="2">
        <v>162</v>
      </c>
      <c r="AV131" s="2">
        <v>9.1</v>
      </c>
      <c r="AW131" s="2">
        <v>9.1999999999999993</v>
      </c>
      <c r="AX131" s="2">
        <v>18.3</v>
      </c>
      <c r="AY131" s="2">
        <v>0.34</v>
      </c>
      <c r="AZ131" s="2">
        <v>7.3</v>
      </c>
      <c r="BA131" s="2">
        <v>0.9</v>
      </c>
      <c r="BB131" s="2">
        <v>7.5</v>
      </c>
      <c r="BC131" s="2">
        <v>2.9</v>
      </c>
      <c r="BD131" s="2">
        <f>+AN131*EXP(-0.0495*Y131)</f>
        <v>8.3026075948139457</v>
      </c>
      <c r="BE131" s="2">
        <f>+AO131*EXP(-0.024*Y131)</f>
        <v>27.405753802843112</v>
      </c>
    </row>
    <row r="132" spans="1:57" x14ac:dyDescent="0.2">
      <c r="A132" s="2" t="s">
        <v>2140</v>
      </c>
      <c r="B132" s="2" t="s">
        <v>19</v>
      </c>
      <c r="C132" s="2" t="s">
        <v>1907</v>
      </c>
      <c r="D132" s="2" t="s">
        <v>21</v>
      </c>
      <c r="E132" s="2" t="s">
        <v>443</v>
      </c>
      <c r="F132" s="2">
        <v>4</v>
      </c>
      <c r="G132" s="2">
        <v>305</v>
      </c>
      <c r="H132" s="2">
        <v>4</v>
      </c>
      <c r="I132" s="2">
        <v>5</v>
      </c>
      <c r="J132" s="2">
        <v>2</v>
      </c>
      <c r="K132" s="2" t="s">
        <v>61</v>
      </c>
      <c r="L132" s="6" t="s">
        <v>66</v>
      </c>
      <c r="M132" s="5">
        <v>1290000000</v>
      </c>
      <c r="N132" s="2">
        <v>0</v>
      </c>
      <c r="O132" s="2">
        <v>4.7135996819999999</v>
      </c>
      <c r="P132" s="2">
        <v>-74.070625309999997</v>
      </c>
      <c r="Q132" s="2" t="s">
        <v>2141</v>
      </c>
      <c r="R132" s="2">
        <v>4229508.1969999997</v>
      </c>
      <c r="S132" s="2">
        <v>0</v>
      </c>
      <c r="T132" s="2" t="s">
        <v>68</v>
      </c>
      <c r="U132" s="2" t="s">
        <v>69</v>
      </c>
      <c r="V132" s="2" t="s">
        <v>28</v>
      </c>
      <c r="W132" s="2" t="s">
        <v>70</v>
      </c>
      <c r="X132" s="2" t="s">
        <v>71</v>
      </c>
      <c r="Y132" s="2">
        <v>2.6296703457645898</v>
      </c>
      <c r="Z132" s="2">
        <v>4.73719444444444</v>
      </c>
      <c r="AA132" s="2">
        <v>-74.069472222222203</v>
      </c>
      <c r="AB132" s="2">
        <v>2555</v>
      </c>
      <c r="AC132" s="2" t="s">
        <v>31</v>
      </c>
      <c r="AD132" s="2" t="s">
        <v>58</v>
      </c>
      <c r="AE132" s="2" t="s">
        <v>33</v>
      </c>
      <c r="AF132" s="2" t="s">
        <v>34</v>
      </c>
      <c r="AG132" s="2" t="s">
        <v>72</v>
      </c>
      <c r="AH132" s="2">
        <v>0.25686609243852698</v>
      </c>
      <c r="AI132" s="2">
        <v>5.0737011927387501</v>
      </c>
      <c r="AJ132" s="2">
        <v>0.36994757914211301</v>
      </c>
      <c r="AK132" s="2">
        <v>5.37700267333154E-2</v>
      </c>
      <c r="AL132" s="2">
        <v>0.26441432316727298</v>
      </c>
      <c r="AM132" s="2">
        <v>15.3</v>
      </c>
      <c r="AN132" s="2">
        <v>9.8000000000000007</v>
      </c>
      <c r="AO132" s="2">
        <v>29.7</v>
      </c>
      <c r="AP132" s="2">
        <v>564</v>
      </c>
      <c r="AQ132" s="2">
        <v>68</v>
      </c>
      <c r="AR132" s="2">
        <v>1.8</v>
      </c>
      <c r="AS132" s="2">
        <v>43</v>
      </c>
      <c r="AT132" s="2">
        <v>25.4</v>
      </c>
      <c r="AU132" s="2">
        <v>162</v>
      </c>
      <c r="AV132" s="2">
        <v>9.1</v>
      </c>
      <c r="AW132" s="2">
        <v>9.1999999999999993</v>
      </c>
      <c r="AX132" s="2">
        <v>18.3</v>
      </c>
      <c r="AY132" s="2">
        <v>0.34</v>
      </c>
      <c r="AZ132" s="2">
        <v>7.3</v>
      </c>
      <c r="BA132" s="2">
        <v>0.9</v>
      </c>
      <c r="BB132" s="2">
        <v>7.5</v>
      </c>
      <c r="BC132" s="2">
        <v>2.9</v>
      </c>
      <c r="BD132" s="2">
        <f>+AN132*EXP(-0.0495*Y132)</f>
        <v>8.603883779292552</v>
      </c>
      <c r="BE132" s="2">
        <f>+AO132*EXP(-0.024*Y132)</f>
        <v>27.883495579827972</v>
      </c>
    </row>
    <row r="133" spans="1:57" x14ac:dyDescent="0.2">
      <c r="A133" s="2" t="s">
        <v>1978</v>
      </c>
      <c r="B133" s="2" t="s">
        <v>19</v>
      </c>
      <c r="C133" s="2" t="s">
        <v>1907</v>
      </c>
      <c r="D133" s="2" t="s">
        <v>21</v>
      </c>
      <c r="E133" s="2" t="s">
        <v>1554</v>
      </c>
      <c r="F133" s="2">
        <v>4</v>
      </c>
      <c r="G133" s="2">
        <v>300.32</v>
      </c>
      <c r="H133" s="2">
        <v>4</v>
      </c>
      <c r="I133" s="2">
        <v>5</v>
      </c>
      <c r="J133" s="2">
        <v>4</v>
      </c>
      <c r="K133" s="2" t="s">
        <v>61</v>
      </c>
      <c r="L133" s="6" t="s">
        <v>113</v>
      </c>
      <c r="M133" s="5">
        <v>1650000000</v>
      </c>
      <c r="N133" s="2">
        <v>0</v>
      </c>
      <c r="O133" s="2">
        <v>4.7339725489999998</v>
      </c>
      <c r="P133" s="2">
        <v>-74.047119140000007</v>
      </c>
      <c r="Q133" s="2" t="s">
        <v>1979</v>
      </c>
      <c r="R133" s="2">
        <v>5494139.5839999998</v>
      </c>
      <c r="S133" s="2">
        <v>0</v>
      </c>
      <c r="T133" s="2" t="s">
        <v>68</v>
      </c>
      <c r="U133" s="2" t="s">
        <v>69</v>
      </c>
      <c r="V133" s="2" t="s">
        <v>28</v>
      </c>
      <c r="W133" s="2" t="s">
        <v>70</v>
      </c>
      <c r="X133" s="2" t="s">
        <v>71</v>
      </c>
      <c r="Y133" s="2">
        <v>2.5056416119549398</v>
      </c>
      <c r="Z133" s="2">
        <v>4.73719444444444</v>
      </c>
      <c r="AA133" s="2">
        <v>-74.069472222222203</v>
      </c>
      <c r="AB133" s="2">
        <v>2555</v>
      </c>
      <c r="AC133" s="2" t="s">
        <v>31</v>
      </c>
      <c r="AD133" s="2" t="s">
        <v>58</v>
      </c>
      <c r="AE133" s="2" t="s">
        <v>33</v>
      </c>
      <c r="AF133" s="2" t="s">
        <v>34</v>
      </c>
      <c r="AG133" s="2" t="s">
        <v>59</v>
      </c>
      <c r="AH133" s="2">
        <v>0.243334555521245</v>
      </c>
      <c r="AI133" s="2">
        <v>2.7891124861507102</v>
      </c>
      <c r="AJ133" s="2">
        <v>0.80145152086729898</v>
      </c>
      <c r="AK133" s="2">
        <v>0.374186228864268</v>
      </c>
      <c r="AL133" s="2">
        <v>0.29583870368426501</v>
      </c>
      <c r="AM133" s="2">
        <v>15.3</v>
      </c>
      <c r="AN133" s="2">
        <v>9.8000000000000007</v>
      </c>
      <c r="AO133" s="2">
        <v>29.7</v>
      </c>
      <c r="AP133" s="2">
        <v>564</v>
      </c>
      <c r="AQ133" s="2">
        <v>68</v>
      </c>
      <c r="AR133" s="2">
        <v>1.8</v>
      </c>
      <c r="AS133" s="2">
        <v>43</v>
      </c>
      <c r="AT133" s="2">
        <v>25.4</v>
      </c>
      <c r="AU133" s="2">
        <v>162</v>
      </c>
      <c r="AV133" s="2">
        <v>9.1</v>
      </c>
      <c r="AW133" s="2">
        <v>9.1999999999999993</v>
      </c>
      <c r="AX133" s="2">
        <v>18.3</v>
      </c>
      <c r="AY133" s="2">
        <v>0.34</v>
      </c>
      <c r="AZ133" s="2">
        <v>7.3</v>
      </c>
      <c r="BA133" s="2">
        <v>0.9</v>
      </c>
      <c r="BB133" s="2">
        <v>7.5</v>
      </c>
      <c r="BC133" s="2">
        <v>2.9</v>
      </c>
      <c r="BD133" s="2">
        <f>+AN133*EXP(-0.0495*Y133)</f>
        <v>8.6568691387568197</v>
      </c>
      <c r="BE133" s="2">
        <f>+AO133*EXP(-0.024*Y133)</f>
        <v>27.966619747495969</v>
      </c>
    </row>
    <row r="134" spans="1:57" x14ac:dyDescent="0.2">
      <c r="A134" s="2" t="s">
        <v>3180</v>
      </c>
      <c r="B134" s="2" t="s">
        <v>19</v>
      </c>
      <c r="C134" s="2" t="s">
        <v>1907</v>
      </c>
      <c r="D134" s="2" t="s">
        <v>21</v>
      </c>
      <c r="E134" s="2" t="s">
        <v>1675</v>
      </c>
      <c r="F134" s="2">
        <v>6</v>
      </c>
      <c r="G134" s="2">
        <v>300</v>
      </c>
      <c r="H134" s="2">
        <v>4</v>
      </c>
      <c r="I134" s="2">
        <v>5</v>
      </c>
      <c r="J134" s="2">
        <v>4</v>
      </c>
      <c r="K134" s="2" t="s">
        <v>61</v>
      </c>
      <c r="L134" s="6" t="s">
        <v>62</v>
      </c>
      <c r="M134" s="5">
        <v>2600000000</v>
      </c>
      <c r="N134" s="2">
        <v>0</v>
      </c>
      <c r="O134" s="2">
        <v>4.7618017000000004</v>
      </c>
      <c r="P134" s="2">
        <v>-74.062658999999996</v>
      </c>
      <c r="Q134" s="2" t="s">
        <v>3181</v>
      </c>
      <c r="R134" s="2">
        <v>8666666.6669999994</v>
      </c>
      <c r="S134" s="2">
        <v>0</v>
      </c>
      <c r="T134" s="2" t="s">
        <v>68</v>
      </c>
      <c r="U134" s="2" t="s">
        <v>69</v>
      </c>
      <c r="V134" s="2" t="s">
        <v>28</v>
      </c>
      <c r="W134" s="2" t="s">
        <v>70</v>
      </c>
      <c r="X134" s="2" t="s">
        <v>71</v>
      </c>
      <c r="Y134" s="2">
        <v>2.8416331249557198</v>
      </c>
      <c r="Z134" s="2">
        <v>4.73719444444444</v>
      </c>
      <c r="AA134" s="2">
        <v>-74.069472222222203</v>
      </c>
      <c r="AB134" s="2">
        <v>2555</v>
      </c>
      <c r="AC134" s="2" t="s">
        <v>31</v>
      </c>
      <c r="AD134" s="2" t="s">
        <v>58</v>
      </c>
      <c r="AE134" s="2" t="s">
        <v>33</v>
      </c>
      <c r="AF134" s="2" t="s">
        <v>34</v>
      </c>
      <c r="AG134" s="2" t="s">
        <v>72</v>
      </c>
      <c r="AH134" s="2">
        <v>2.0055900536215399</v>
      </c>
      <c r="AI134" s="2">
        <v>4.2949534803834801</v>
      </c>
      <c r="AJ134" s="2">
        <v>1.37755148939758</v>
      </c>
      <c r="AK134" s="2">
        <v>0.28713461733330597</v>
      </c>
      <c r="AL134" s="2">
        <v>0.198143004594697</v>
      </c>
      <c r="AM134" s="2">
        <v>15.3</v>
      </c>
      <c r="AN134" s="2">
        <v>9.8000000000000007</v>
      </c>
      <c r="AO134" s="2">
        <v>29.7</v>
      </c>
      <c r="AP134" s="2">
        <v>564</v>
      </c>
      <c r="AQ134" s="2">
        <v>68</v>
      </c>
      <c r="AR134" s="2">
        <v>1.8</v>
      </c>
      <c r="AS134" s="2">
        <v>43</v>
      </c>
      <c r="AT134" s="2">
        <v>25.4</v>
      </c>
      <c r="AU134" s="2">
        <v>162</v>
      </c>
      <c r="AV134" s="2">
        <v>9.1</v>
      </c>
      <c r="AW134" s="2">
        <v>9.1999999999999993</v>
      </c>
      <c r="AX134" s="2">
        <v>18.3</v>
      </c>
      <c r="AY134" s="2">
        <v>0.34</v>
      </c>
      <c r="AZ134" s="2">
        <v>7.3</v>
      </c>
      <c r="BA134" s="2">
        <v>0.9</v>
      </c>
      <c r="BB134" s="2">
        <v>7.5</v>
      </c>
      <c r="BC134" s="2">
        <v>2.9</v>
      </c>
      <c r="BD134" s="2">
        <f>+AN134*EXP(-0.0495*Y134)</f>
        <v>8.5140824038736582</v>
      </c>
      <c r="BE134" s="2">
        <f>+AO134*EXP(-0.024*Y134)</f>
        <v>27.742009445282015</v>
      </c>
    </row>
    <row r="135" spans="1:57" x14ac:dyDescent="0.2">
      <c r="A135" s="2" t="s">
        <v>3060</v>
      </c>
      <c r="B135" s="2" t="s">
        <v>19</v>
      </c>
      <c r="C135" s="2" t="s">
        <v>1907</v>
      </c>
      <c r="D135" s="2" t="s">
        <v>21</v>
      </c>
      <c r="E135" s="2" t="s">
        <v>1675</v>
      </c>
      <c r="F135" s="2">
        <v>5</v>
      </c>
      <c r="G135" s="2">
        <v>300</v>
      </c>
      <c r="H135" s="2">
        <v>4</v>
      </c>
      <c r="I135" s="2">
        <v>5</v>
      </c>
      <c r="J135" s="2">
        <v>3</v>
      </c>
      <c r="K135" s="2" t="s">
        <v>61</v>
      </c>
      <c r="L135" s="6" t="s">
        <v>113</v>
      </c>
      <c r="M135" s="5">
        <v>2050000000</v>
      </c>
      <c r="N135" s="2">
        <v>0</v>
      </c>
      <c r="O135" s="2">
        <v>4.7629700000000001</v>
      </c>
      <c r="P135" s="2">
        <v>-74.055639999999997</v>
      </c>
      <c r="Q135" s="2" t="s">
        <v>3061</v>
      </c>
      <c r="R135" s="2">
        <v>6833333.3329999996</v>
      </c>
      <c r="S135" s="2">
        <v>0</v>
      </c>
      <c r="T135" s="2" t="s">
        <v>102</v>
      </c>
      <c r="U135" s="2" t="s">
        <v>103</v>
      </c>
      <c r="V135" s="2" t="s">
        <v>28</v>
      </c>
      <c r="W135" s="2" t="s">
        <v>70</v>
      </c>
      <c r="X135" s="2" t="s">
        <v>104</v>
      </c>
      <c r="Y135" s="2">
        <v>2.6417407358737699</v>
      </c>
      <c r="Z135" s="2">
        <v>4.7837500000000004</v>
      </c>
      <c r="AA135" s="2">
        <v>-74.044138888888895</v>
      </c>
      <c r="AB135" s="2">
        <v>2580</v>
      </c>
      <c r="AC135" s="2" t="s">
        <v>105</v>
      </c>
      <c r="AD135" s="2" t="s">
        <v>58</v>
      </c>
      <c r="AE135" s="2" t="s">
        <v>33</v>
      </c>
      <c r="AF135" s="2" t="s">
        <v>34</v>
      </c>
      <c r="AG135" s="2" t="s">
        <v>72</v>
      </c>
      <c r="AH135" s="2">
        <v>1.24196586537255</v>
      </c>
      <c r="AI135" s="2">
        <v>3.6566685901732101</v>
      </c>
      <c r="AJ135" s="2">
        <v>1.0863287911059201</v>
      </c>
      <c r="AK135" s="2">
        <v>0.61340499970792295</v>
      </c>
      <c r="AL135" s="2">
        <v>0.35929596196202201</v>
      </c>
      <c r="AM135" s="2">
        <v>15.3</v>
      </c>
      <c r="AN135" s="2">
        <v>9.8000000000000007</v>
      </c>
      <c r="AO135" s="2">
        <v>29.7</v>
      </c>
      <c r="AP135" s="2">
        <v>564</v>
      </c>
      <c r="AQ135" s="2">
        <v>68</v>
      </c>
      <c r="AR135" s="2">
        <v>1.8</v>
      </c>
      <c r="AS135" s="2">
        <v>43</v>
      </c>
      <c r="AT135" s="2">
        <v>25.4</v>
      </c>
      <c r="AU135" s="2">
        <v>162</v>
      </c>
      <c r="AV135" s="2">
        <v>9.1</v>
      </c>
      <c r="AW135" s="2">
        <v>9.1999999999999993</v>
      </c>
      <c r="AX135" s="2">
        <v>18.3</v>
      </c>
      <c r="AY135" s="2">
        <v>0.34</v>
      </c>
      <c r="AZ135" s="2">
        <v>7.3</v>
      </c>
      <c r="BA135" s="2">
        <v>0.9</v>
      </c>
      <c r="BB135" s="2">
        <v>7.5</v>
      </c>
      <c r="BC135" s="2">
        <v>2.9</v>
      </c>
      <c r="BD135" s="2">
        <f>+AN135*EXP(-0.0495*Y135)</f>
        <v>8.5987446291595528</v>
      </c>
      <c r="BE135" s="2">
        <f>+AO135*EXP(-0.024*Y135)</f>
        <v>27.875419197643307</v>
      </c>
    </row>
    <row r="136" spans="1:57" x14ac:dyDescent="0.2">
      <c r="A136" s="2" t="s">
        <v>1848</v>
      </c>
      <c r="B136" s="2" t="s">
        <v>19</v>
      </c>
      <c r="C136" s="2" t="s">
        <v>20</v>
      </c>
      <c r="D136" s="2" t="s">
        <v>21</v>
      </c>
      <c r="E136" s="2" t="s">
        <v>300</v>
      </c>
      <c r="F136" s="2">
        <v>6</v>
      </c>
      <c r="G136" s="2">
        <v>300</v>
      </c>
      <c r="H136" s="2">
        <v>3</v>
      </c>
      <c r="I136" s="2">
        <v>4</v>
      </c>
      <c r="J136" s="2">
        <v>3</v>
      </c>
      <c r="K136" s="2" t="s">
        <v>61</v>
      </c>
      <c r="L136" s="6" t="s">
        <v>113</v>
      </c>
      <c r="M136" s="5">
        <v>1580000000</v>
      </c>
      <c r="N136" s="2">
        <v>0</v>
      </c>
      <c r="O136" s="2">
        <v>4.7312846000000004</v>
      </c>
      <c r="P136" s="2">
        <v>-74.075659999999999</v>
      </c>
      <c r="Q136" s="2" t="s">
        <v>1849</v>
      </c>
      <c r="R136" s="2">
        <v>5266666.6670000004</v>
      </c>
      <c r="S136" s="2">
        <v>0</v>
      </c>
      <c r="T136" s="2" t="s">
        <v>68</v>
      </c>
      <c r="U136" s="2" t="s">
        <v>69</v>
      </c>
      <c r="V136" s="2" t="s">
        <v>28</v>
      </c>
      <c r="W136" s="2" t="s">
        <v>70</v>
      </c>
      <c r="X136" s="2" t="s">
        <v>71</v>
      </c>
      <c r="Y136" s="2">
        <v>0.95081468108450395</v>
      </c>
      <c r="Z136" s="2">
        <v>4.73719444444444</v>
      </c>
      <c r="AA136" s="2">
        <v>-74.069472222222203</v>
      </c>
      <c r="AB136" s="2">
        <v>2555</v>
      </c>
      <c r="AC136" s="2" t="s">
        <v>31</v>
      </c>
      <c r="AD136" s="2" t="s">
        <v>58</v>
      </c>
      <c r="AE136" s="2" t="s">
        <v>33</v>
      </c>
      <c r="AF136" s="2" t="s">
        <v>34</v>
      </c>
      <c r="AG136" s="2" t="s">
        <v>72</v>
      </c>
      <c r="AH136" s="2">
        <v>0.43568507837493198</v>
      </c>
      <c r="AI136" s="2">
        <v>5.3934873163992796</v>
      </c>
      <c r="AJ136" s="2">
        <v>1.66295745760988</v>
      </c>
      <c r="AK136" s="2">
        <v>0.85253139747212303</v>
      </c>
      <c r="AL136" s="2">
        <v>2.3052357473437899E-2</v>
      </c>
      <c r="AM136" s="2">
        <v>15.3</v>
      </c>
      <c r="AN136" s="2">
        <v>9.8000000000000007</v>
      </c>
      <c r="AO136" s="2">
        <v>29.7</v>
      </c>
      <c r="AP136" s="2">
        <v>564</v>
      </c>
      <c r="AQ136" s="2">
        <v>68</v>
      </c>
      <c r="AR136" s="2">
        <v>1.8</v>
      </c>
      <c r="AS136" s="2">
        <v>43</v>
      </c>
      <c r="AT136" s="2">
        <v>25.4</v>
      </c>
      <c r="AU136" s="2">
        <v>162</v>
      </c>
      <c r="AV136" s="2">
        <v>9.1</v>
      </c>
      <c r="AW136" s="2">
        <v>9.1999999999999993</v>
      </c>
      <c r="AX136" s="2">
        <v>18.3</v>
      </c>
      <c r="AY136" s="2">
        <v>0.34</v>
      </c>
      <c r="AZ136" s="2">
        <v>7.3</v>
      </c>
      <c r="BA136" s="2">
        <v>0.9</v>
      </c>
      <c r="BB136" s="2">
        <v>7.5</v>
      </c>
      <c r="BC136" s="2">
        <v>2.9</v>
      </c>
      <c r="BD136" s="2">
        <f>+AN136*EXP(-0.0495*Y136)</f>
        <v>9.349445707872599</v>
      </c>
      <c r="BE136" s="2">
        <f>+AO136*EXP(-0.024*Y136)</f>
        <v>29.029933678895073</v>
      </c>
    </row>
    <row r="137" spans="1:57" x14ac:dyDescent="0.2">
      <c r="A137" s="2" t="s">
        <v>1460</v>
      </c>
      <c r="B137" s="2" t="s">
        <v>19</v>
      </c>
      <c r="C137" s="2" t="s">
        <v>20</v>
      </c>
      <c r="D137" s="2" t="s">
        <v>21</v>
      </c>
      <c r="E137" s="2" t="s">
        <v>879</v>
      </c>
      <c r="F137" s="2">
        <v>4</v>
      </c>
      <c r="G137" s="2">
        <v>300</v>
      </c>
      <c r="H137" s="2">
        <v>5</v>
      </c>
      <c r="I137" s="2">
        <v>5</v>
      </c>
      <c r="J137" s="2">
        <v>2</v>
      </c>
      <c r="K137" s="2" t="s">
        <v>61</v>
      </c>
      <c r="L137" s="6" t="s">
        <v>75</v>
      </c>
      <c r="M137" s="5">
        <v>1300000000</v>
      </c>
      <c r="N137" s="2">
        <v>0</v>
      </c>
      <c r="O137" s="2">
        <v>4.7328262329999999</v>
      </c>
      <c r="P137" s="2">
        <v>-74.058204649999993</v>
      </c>
      <c r="Q137" s="2" t="s">
        <v>1461</v>
      </c>
      <c r="R137" s="2">
        <v>4333333.3329999996</v>
      </c>
      <c r="S137" s="2">
        <v>0</v>
      </c>
      <c r="T137" s="2" t="s">
        <v>68</v>
      </c>
      <c r="U137" s="2" t="s">
        <v>69</v>
      </c>
      <c r="V137" s="2" t="s">
        <v>28</v>
      </c>
      <c r="W137" s="2" t="s">
        <v>70</v>
      </c>
      <c r="X137" s="2" t="s">
        <v>71</v>
      </c>
      <c r="Y137" s="2">
        <v>1.3412698347972101</v>
      </c>
      <c r="Z137" s="2">
        <v>4.73719444444444</v>
      </c>
      <c r="AA137" s="2">
        <v>-74.069472222222203</v>
      </c>
      <c r="AB137" s="2">
        <v>2555</v>
      </c>
      <c r="AC137" s="2" t="s">
        <v>31</v>
      </c>
      <c r="AD137" s="2" t="s">
        <v>58</v>
      </c>
      <c r="AE137" s="2" t="s">
        <v>33</v>
      </c>
      <c r="AF137" s="2" t="s">
        <v>34</v>
      </c>
      <c r="AG137" s="2" t="s">
        <v>72</v>
      </c>
      <c r="AH137" s="2">
        <v>0.95485769184195501</v>
      </c>
      <c r="AI137" s="2">
        <v>4.0145524395730403</v>
      </c>
      <c r="AJ137" s="2">
        <v>2.0214605390835398</v>
      </c>
      <c r="AK137" s="2">
        <v>0.22304401634250801</v>
      </c>
      <c r="AL137" s="2">
        <v>6.3524280932226902E-3</v>
      </c>
      <c r="AM137" s="2">
        <v>15.3</v>
      </c>
      <c r="AN137" s="2">
        <v>9.8000000000000007</v>
      </c>
      <c r="AO137" s="2">
        <v>29.7</v>
      </c>
      <c r="AP137" s="2">
        <v>564</v>
      </c>
      <c r="AQ137" s="2">
        <v>68</v>
      </c>
      <c r="AR137" s="2">
        <v>1.8</v>
      </c>
      <c r="AS137" s="2">
        <v>43</v>
      </c>
      <c r="AT137" s="2">
        <v>25.4</v>
      </c>
      <c r="AU137" s="2">
        <v>162</v>
      </c>
      <c r="AV137" s="2">
        <v>9.1</v>
      </c>
      <c r="AW137" s="2">
        <v>9.1999999999999993</v>
      </c>
      <c r="AX137" s="2">
        <v>18.3</v>
      </c>
      <c r="AY137" s="2">
        <v>0.34</v>
      </c>
      <c r="AZ137" s="2">
        <v>7.3</v>
      </c>
      <c r="BA137" s="2">
        <v>0.9</v>
      </c>
      <c r="BB137" s="2">
        <v>7.5</v>
      </c>
      <c r="BC137" s="2">
        <v>2.9</v>
      </c>
      <c r="BD137" s="2">
        <f>+AN137*EXP(-0.0495*Y137)</f>
        <v>9.1704790770247886</v>
      </c>
      <c r="BE137" s="2">
        <f>+AO137*EXP(-0.024*Y137)</f>
        <v>28.759167033901299</v>
      </c>
    </row>
    <row r="138" spans="1:57" x14ac:dyDescent="0.2">
      <c r="A138" s="2" t="s">
        <v>2825</v>
      </c>
      <c r="B138" s="2" t="s">
        <v>19</v>
      </c>
      <c r="C138" s="2" t="s">
        <v>1907</v>
      </c>
      <c r="D138" s="2" t="s">
        <v>21</v>
      </c>
      <c r="E138" s="2" t="s">
        <v>329</v>
      </c>
      <c r="F138" s="2">
        <v>4</v>
      </c>
      <c r="G138" s="2">
        <v>300</v>
      </c>
      <c r="H138" s="2">
        <v>5</v>
      </c>
      <c r="I138" s="2">
        <v>5</v>
      </c>
      <c r="J138" s="2">
        <v>2</v>
      </c>
      <c r="K138" s="2" t="s">
        <v>61</v>
      </c>
      <c r="L138" s="6" t="s">
        <v>113</v>
      </c>
      <c r="M138" s="5">
        <v>1200000000</v>
      </c>
      <c r="N138" s="2">
        <v>0</v>
      </c>
      <c r="O138" s="2">
        <v>4.722391129</v>
      </c>
      <c r="P138" s="2">
        <v>-74.066467290000006</v>
      </c>
      <c r="Q138" s="2" t="s">
        <v>2826</v>
      </c>
      <c r="R138" s="2">
        <v>4000000</v>
      </c>
      <c r="S138" s="2">
        <v>0</v>
      </c>
      <c r="T138" s="2" t="s">
        <v>68</v>
      </c>
      <c r="U138" s="2" t="s">
        <v>69</v>
      </c>
      <c r="V138" s="2" t="s">
        <v>28</v>
      </c>
      <c r="W138" s="2" t="s">
        <v>70</v>
      </c>
      <c r="X138" s="2" t="s">
        <v>71</v>
      </c>
      <c r="Y138" s="2">
        <v>1.6812795093170101</v>
      </c>
      <c r="Z138" s="2">
        <v>4.73719444444444</v>
      </c>
      <c r="AA138" s="2">
        <v>-74.069472222222203</v>
      </c>
      <c r="AB138" s="2">
        <v>2555</v>
      </c>
      <c r="AC138" s="2" t="s">
        <v>31</v>
      </c>
      <c r="AD138" s="2" t="s">
        <v>58</v>
      </c>
      <c r="AE138" s="2" t="s">
        <v>33</v>
      </c>
      <c r="AF138" s="2" t="s">
        <v>34</v>
      </c>
      <c r="AG138" s="2" t="s">
        <v>72</v>
      </c>
      <c r="AH138" s="2">
        <v>0.92249081795175103</v>
      </c>
      <c r="AI138" s="2">
        <v>4.7571121967608603</v>
      </c>
      <c r="AJ138" s="2">
        <v>0.82212582436450499</v>
      </c>
      <c r="AK138" s="2">
        <v>7.37802456865366E-2</v>
      </c>
      <c r="AL138" s="2">
        <v>0.36534148854919102</v>
      </c>
      <c r="AM138" s="2">
        <v>15.3</v>
      </c>
      <c r="AN138" s="2">
        <v>9.8000000000000007</v>
      </c>
      <c r="AO138" s="2">
        <v>29.7</v>
      </c>
      <c r="AP138" s="2">
        <v>564</v>
      </c>
      <c r="AQ138" s="2">
        <v>68</v>
      </c>
      <c r="AR138" s="2">
        <v>1.8</v>
      </c>
      <c r="AS138" s="2">
        <v>43</v>
      </c>
      <c r="AT138" s="2">
        <v>25.4</v>
      </c>
      <c r="AU138" s="2">
        <v>162</v>
      </c>
      <c r="AV138" s="2">
        <v>9.1</v>
      </c>
      <c r="AW138" s="2">
        <v>9.1999999999999993</v>
      </c>
      <c r="AX138" s="2">
        <v>18.3</v>
      </c>
      <c r="AY138" s="2">
        <v>0.34</v>
      </c>
      <c r="AZ138" s="2">
        <v>7.3</v>
      </c>
      <c r="BA138" s="2">
        <v>0.9</v>
      </c>
      <c r="BB138" s="2">
        <v>7.5</v>
      </c>
      <c r="BC138" s="2">
        <v>2.9</v>
      </c>
      <c r="BD138" s="2">
        <f>+AN138*EXP(-0.0495*Y138)</f>
        <v>9.0174271043556047</v>
      </c>
      <c r="BE138" s="2">
        <f>+AO138*EXP(-0.024*Y138)</f>
        <v>28.525440481798668</v>
      </c>
    </row>
    <row r="139" spans="1:57" x14ac:dyDescent="0.2">
      <c r="A139" s="2" t="s">
        <v>2068</v>
      </c>
      <c r="B139" s="2" t="s">
        <v>19</v>
      </c>
      <c r="C139" s="2" t="s">
        <v>1907</v>
      </c>
      <c r="D139" s="2" t="s">
        <v>21</v>
      </c>
      <c r="E139" s="2" t="s">
        <v>280</v>
      </c>
      <c r="F139" s="2">
        <v>5</v>
      </c>
      <c r="G139" s="2">
        <v>300</v>
      </c>
      <c r="H139" s="2">
        <v>4</v>
      </c>
      <c r="I139" s="2">
        <v>4</v>
      </c>
      <c r="J139" s="2">
        <v>2</v>
      </c>
      <c r="K139" s="2" t="s">
        <v>61</v>
      </c>
      <c r="L139" s="6" t="s">
        <v>113</v>
      </c>
      <c r="M139" s="5">
        <v>1145000000</v>
      </c>
      <c r="N139" s="2">
        <v>0</v>
      </c>
      <c r="O139" s="2">
        <v>4.6998295780000001</v>
      </c>
      <c r="P139" s="2">
        <v>-74.080612180000003</v>
      </c>
      <c r="Q139" s="2" t="s">
        <v>2069</v>
      </c>
      <c r="R139" s="2">
        <v>3816666.6669999999</v>
      </c>
      <c r="S139" s="2">
        <v>0</v>
      </c>
      <c r="T139" s="2" t="s">
        <v>68</v>
      </c>
      <c r="U139" s="2" t="s">
        <v>69</v>
      </c>
      <c r="V139" s="2" t="s">
        <v>28</v>
      </c>
      <c r="W139" s="2" t="s">
        <v>70</v>
      </c>
      <c r="X139" s="2" t="s">
        <v>71</v>
      </c>
      <c r="Y139" s="2">
        <v>4.3391648533166096</v>
      </c>
      <c r="Z139" s="2">
        <v>4.73719444444444</v>
      </c>
      <c r="AA139" s="2">
        <v>-74.069472222222203</v>
      </c>
      <c r="AB139" s="2">
        <v>2555</v>
      </c>
      <c r="AC139" s="2" t="s">
        <v>31</v>
      </c>
      <c r="AD139" s="2" t="s">
        <v>58</v>
      </c>
      <c r="AE139" s="2" t="s">
        <v>33</v>
      </c>
      <c r="AF139" s="2" t="s">
        <v>34</v>
      </c>
      <c r="AG139" s="2" t="s">
        <v>72</v>
      </c>
      <c r="AH139" s="2">
        <v>0.97328555936184402</v>
      </c>
      <c r="AI139" s="2">
        <v>5.3797795433259497</v>
      </c>
      <c r="AJ139" s="2">
        <v>0.99734660158989796</v>
      </c>
      <c r="AK139" s="2">
        <v>9.5605608444650797E-2</v>
      </c>
      <c r="AL139" s="2">
        <v>0.385899077587471</v>
      </c>
      <c r="AM139" s="2">
        <v>15.3</v>
      </c>
      <c r="AN139" s="2">
        <v>9.8000000000000007</v>
      </c>
      <c r="AO139" s="2">
        <v>29.7</v>
      </c>
      <c r="AP139" s="2">
        <v>564</v>
      </c>
      <c r="AQ139" s="2">
        <v>68</v>
      </c>
      <c r="AR139" s="2">
        <v>1.8</v>
      </c>
      <c r="AS139" s="2">
        <v>43</v>
      </c>
      <c r="AT139" s="2">
        <v>25.4</v>
      </c>
      <c r="AU139" s="2">
        <v>162</v>
      </c>
      <c r="AV139" s="2">
        <v>9.1</v>
      </c>
      <c r="AW139" s="2">
        <v>9.1999999999999993</v>
      </c>
      <c r="AX139" s="2">
        <v>18.3</v>
      </c>
      <c r="AY139" s="2">
        <v>0.34</v>
      </c>
      <c r="AZ139" s="2">
        <v>7.3</v>
      </c>
      <c r="BA139" s="2">
        <v>0.9</v>
      </c>
      <c r="BB139" s="2">
        <v>7.5</v>
      </c>
      <c r="BC139" s="2">
        <v>2.9</v>
      </c>
      <c r="BD139" s="2">
        <f>+AN139*EXP(-0.0495*Y139)</f>
        <v>7.9057767421623275</v>
      </c>
      <c r="BE139" s="2">
        <f>+AO139*EXP(-0.024*Y139)</f>
        <v>26.762645465642546</v>
      </c>
    </row>
    <row r="140" spans="1:57" x14ac:dyDescent="0.2">
      <c r="A140" s="2" t="s">
        <v>2349</v>
      </c>
      <c r="B140" s="2" t="s">
        <v>19</v>
      </c>
      <c r="C140" s="2" t="s">
        <v>1907</v>
      </c>
      <c r="D140" s="2" t="s">
        <v>21</v>
      </c>
      <c r="E140" s="2" t="s">
        <v>2350</v>
      </c>
      <c r="F140" s="2">
        <v>4</v>
      </c>
      <c r="G140" s="2">
        <v>300</v>
      </c>
      <c r="H140" s="2">
        <v>4</v>
      </c>
      <c r="I140" s="2">
        <v>3</v>
      </c>
      <c r="J140" s="2">
        <v>2</v>
      </c>
      <c r="K140" s="2" t="s">
        <v>61</v>
      </c>
      <c r="L140" s="6" t="s">
        <v>113</v>
      </c>
      <c r="M140" s="5">
        <v>980000000</v>
      </c>
      <c r="N140" s="2">
        <v>0</v>
      </c>
      <c r="O140" s="2">
        <v>4.7439031600000003</v>
      </c>
      <c r="P140" s="2">
        <v>-74.09061432</v>
      </c>
      <c r="Q140" s="2" t="s">
        <v>2351</v>
      </c>
      <c r="R140" s="2">
        <v>3266666.6669999999</v>
      </c>
      <c r="S140" s="2">
        <v>0</v>
      </c>
      <c r="T140" s="2" t="s">
        <v>70</v>
      </c>
      <c r="U140" s="2" t="s">
        <v>738</v>
      </c>
      <c r="V140" s="2" t="s">
        <v>28</v>
      </c>
      <c r="W140" s="2" t="s">
        <v>70</v>
      </c>
      <c r="X140" s="2" t="s">
        <v>739</v>
      </c>
      <c r="Y140" s="2">
        <v>1.9563908242222601</v>
      </c>
      <c r="Z140" s="2">
        <v>4.7612472222222202</v>
      </c>
      <c r="AA140" s="2">
        <v>-74.093461111111097</v>
      </c>
      <c r="AB140" s="2">
        <v>2571</v>
      </c>
      <c r="AC140" s="2" t="s">
        <v>105</v>
      </c>
      <c r="AD140" s="2" t="s">
        <v>58</v>
      </c>
      <c r="AE140" s="2" t="s">
        <v>33</v>
      </c>
      <c r="AF140" s="2" t="s">
        <v>34</v>
      </c>
      <c r="AG140" s="2" t="s">
        <v>72</v>
      </c>
      <c r="AH140" s="2">
        <v>0.152630626208176</v>
      </c>
      <c r="AI140" s="2">
        <v>3.22810098799141</v>
      </c>
      <c r="AJ140" s="2">
        <v>3.66986681742975</v>
      </c>
      <c r="AK140" s="2">
        <v>0.21626552193842</v>
      </c>
      <c r="AL140" s="2">
        <v>0.11405720931386901</v>
      </c>
      <c r="AM140" s="2">
        <v>15.3</v>
      </c>
      <c r="AN140" s="2">
        <v>9.8000000000000007</v>
      </c>
      <c r="AO140" s="2">
        <v>29.7</v>
      </c>
      <c r="AP140" s="2">
        <v>564</v>
      </c>
      <c r="AQ140" s="2">
        <v>68</v>
      </c>
      <c r="AR140" s="2">
        <v>1.8</v>
      </c>
      <c r="AS140" s="2">
        <v>43</v>
      </c>
      <c r="AT140" s="2">
        <v>25.4</v>
      </c>
      <c r="AU140" s="2">
        <v>162</v>
      </c>
      <c r="AV140" s="2">
        <v>9.1</v>
      </c>
      <c r="AW140" s="2">
        <v>9.1999999999999993</v>
      </c>
      <c r="AX140" s="2">
        <v>18.3</v>
      </c>
      <c r="AY140" s="2">
        <v>0.34</v>
      </c>
      <c r="AZ140" s="2">
        <v>7.3</v>
      </c>
      <c r="BA140" s="2">
        <v>0.9</v>
      </c>
      <c r="BB140" s="2">
        <v>7.5</v>
      </c>
      <c r="BC140" s="2">
        <v>2.9</v>
      </c>
      <c r="BD140" s="2">
        <f>+AN140*EXP(-0.0495*Y140)</f>
        <v>8.8954600502642744</v>
      </c>
      <c r="BE140" s="2">
        <f>+AO140*EXP(-0.024*Y140)</f>
        <v>28.337716788192424</v>
      </c>
    </row>
    <row r="141" spans="1:57" x14ac:dyDescent="0.2">
      <c r="A141" s="2" t="s">
        <v>2910</v>
      </c>
      <c r="B141" s="2" t="s">
        <v>19</v>
      </c>
      <c r="C141" s="2" t="s">
        <v>1907</v>
      </c>
      <c r="D141" s="2" t="s">
        <v>21</v>
      </c>
      <c r="E141" s="2" t="s">
        <v>228</v>
      </c>
      <c r="F141" s="2">
        <v>5</v>
      </c>
      <c r="G141" s="2">
        <v>296</v>
      </c>
      <c r="H141" s="2">
        <v>4</v>
      </c>
      <c r="I141" s="2">
        <v>5</v>
      </c>
      <c r="J141" s="2">
        <v>4</v>
      </c>
      <c r="K141" s="2" t="s">
        <v>61</v>
      </c>
      <c r="L141" s="6" t="s">
        <v>113</v>
      </c>
      <c r="M141" s="5">
        <v>1480000000</v>
      </c>
      <c r="N141" s="2">
        <v>0</v>
      </c>
      <c r="O141" s="2">
        <v>4.7256536479999998</v>
      </c>
      <c r="P141" s="2">
        <v>-74.06293488</v>
      </c>
      <c r="Q141" s="2" t="s">
        <v>2911</v>
      </c>
      <c r="R141" s="2">
        <v>5000000</v>
      </c>
      <c r="S141" s="2">
        <v>0</v>
      </c>
      <c r="T141" s="2" t="s">
        <v>68</v>
      </c>
      <c r="U141" s="2" t="s">
        <v>69</v>
      </c>
      <c r="V141" s="2" t="s">
        <v>28</v>
      </c>
      <c r="W141" s="2" t="s">
        <v>70</v>
      </c>
      <c r="X141" s="2" t="s">
        <v>71</v>
      </c>
      <c r="Y141" s="2">
        <v>1.47529219793721</v>
      </c>
      <c r="Z141" s="2">
        <v>4.73719444444444</v>
      </c>
      <c r="AA141" s="2">
        <v>-74.069472222222203</v>
      </c>
      <c r="AB141" s="2">
        <v>2555</v>
      </c>
      <c r="AC141" s="2" t="s">
        <v>31</v>
      </c>
      <c r="AD141" s="2" t="s">
        <v>58</v>
      </c>
      <c r="AE141" s="2" t="s">
        <v>33</v>
      </c>
      <c r="AF141" s="2" t="s">
        <v>34</v>
      </c>
      <c r="AG141" s="2" t="s">
        <v>72</v>
      </c>
      <c r="AH141" s="2">
        <v>1.3221205874272399</v>
      </c>
      <c r="AI141" s="2">
        <v>4.4151386301266502</v>
      </c>
      <c r="AJ141" s="2">
        <v>1.3529823308445299</v>
      </c>
      <c r="AK141" s="2">
        <v>0.12100001797946</v>
      </c>
      <c r="AL141" s="2">
        <v>0.49489876180445003</v>
      </c>
      <c r="AM141" s="2">
        <v>15.3</v>
      </c>
      <c r="AN141" s="2">
        <v>9.8000000000000007</v>
      </c>
      <c r="AO141" s="2">
        <v>29.7</v>
      </c>
      <c r="AP141" s="2">
        <v>564</v>
      </c>
      <c r="AQ141" s="2">
        <v>68</v>
      </c>
      <c r="AR141" s="2">
        <v>1.8</v>
      </c>
      <c r="AS141" s="2">
        <v>43</v>
      </c>
      <c r="AT141" s="2">
        <v>25.4</v>
      </c>
      <c r="AU141" s="2">
        <v>162</v>
      </c>
      <c r="AV141" s="2">
        <v>9.1</v>
      </c>
      <c r="AW141" s="2">
        <v>9.1999999999999993</v>
      </c>
      <c r="AX141" s="2">
        <v>18.3</v>
      </c>
      <c r="AY141" s="2">
        <v>0.34</v>
      </c>
      <c r="AZ141" s="2">
        <v>7.3</v>
      </c>
      <c r="BA141" s="2">
        <v>0.9</v>
      </c>
      <c r="BB141" s="2">
        <v>7.5</v>
      </c>
      <c r="BC141" s="2">
        <v>2.9</v>
      </c>
      <c r="BD141" s="2">
        <f>+AN141*EXP(-0.0495*Y141)</f>
        <v>9.1098424949892376</v>
      </c>
      <c r="BE141" s="2">
        <f>+AO141*EXP(-0.024*Y141)</f>
        <v>28.666810730581197</v>
      </c>
    </row>
    <row r="142" spans="1:57" x14ac:dyDescent="0.2">
      <c r="A142" s="2" t="s">
        <v>405</v>
      </c>
      <c r="B142" s="2" t="s">
        <v>19</v>
      </c>
      <c r="C142" s="2" t="s">
        <v>20</v>
      </c>
      <c r="D142" s="2" t="s">
        <v>21</v>
      </c>
      <c r="E142" s="2" t="s">
        <v>406</v>
      </c>
      <c r="F142" s="2">
        <v>6</v>
      </c>
      <c r="G142" s="2">
        <v>294</v>
      </c>
      <c r="H142" s="2">
        <v>3</v>
      </c>
      <c r="I142" s="2">
        <v>4</v>
      </c>
      <c r="J142" s="2">
        <v>4</v>
      </c>
      <c r="K142" s="2" t="s">
        <v>61</v>
      </c>
      <c r="L142" s="6" t="s">
        <v>84</v>
      </c>
      <c r="M142" s="5">
        <v>1930000000</v>
      </c>
      <c r="N142" s="2">
        <v>0</v>
      </c>
      <c r="O142" s="2">
        <v>4.7376313210000003</v>
      </c>
      <c r="P142" s="2">
        <v>-74.076515200000003</v>
      </c>
      <c r="Q142" s="2" t="s">
        <v>407</v>
      </c>
      <c r="R142" s="2">
        <v>6564625.8499999996</v>
      </c>
      <c r="S142" s="2">
        <v>0</v>
      </c>
      <c r="T142" s="2" t="s">
        <v>68</v>
      </c>
      <c r="U142" s="2" t="s">
        <v>69</v>
      </c>
      <c r="V142" s="2" t="s">
        <v>28</v>
      </c>
      <c r="W142" s="2" t="s">
        <v>70</v>
      </c>
      <c r="X142" s="2" t="s">
        <v>71</v>
      </c>
      <c r="Y142" s="2">
        <v>0.78285428516756905</v>
      </c>
      <c r="Z142" s="2">
        <v>4.73719444444444</v>
      </c>
      <c r="AA142" s="2">
        <v>-74.069472222222203</v>
      </c>
      <c r="AB142" s="2">
        <v>2555</v>
      </c>
      <c r="AC142" s="2" t="s">
        <v>31</v>
      </c>
      <c r="AD142" s="2" t="s">
        <v>58</v>
      </c>
      <c r="AE142" s="2" t="s">
        <v>33</v>
      </c>
      <c r="AF142" s="2" t="s">
        <v>34</v>
      </c>
      <c r="AG142" s="2" t="s">
        <v>72</v>
      </c>
      <c r="AH142" s="2">
        <v>0.54847321732255006</v>
      </c>
      <c r="AI142" s="2">
        <v>4.9058090640856502</v>
      </c>
      <c r="AJ142" s="2">
        <v>2.3649650816507699</v>
      </c>
      <c r="AK142" s="2">
        <v>0.56070020073001303</v>
      </c>
      <c r="AL142" s="2">
        <v>5.6293506580864499E-3</v>
      </c>
      <c r="AM142" s="2">
        <v>15.3</v>
      </c>
      <c r="AN142" s="2">
        <v>9.8000000000000007</v>
      </c>
      <c r="AO142" s="2">
        <v>29.7</v>
      </c>
      <c r="AP142" s="2">
        <v>564</v>
      </c>
      <c r="AQ142" s="2">
        <v>68</v>
      </c>
      <c r="AR142" s="2">
        <v>1.8</v>
      </c>
      <c r="AS142" s="2">
        <v>43</v>
      </c>
      <c r="AT142" s="2">
        <v>25.4</v>
      </c>
      <c r="AU142" s="2">
        <v>162</v>
      </c>
      <c r="AV142" s="2">
        <v>9.1</v>
      </c>
      <c r="AW142" s="2">
        <v>9.1999999999999993</v>
      </c>
      <c r="AX142" s="2">
        <v>18.3</v>
      </c>
      <c r="AY142" s="2">
        <v>0.34</v>
      </c>
      <c r="AZ142" s="2">
        <v>7.3</v>
      </c>
      <c r="BA142" s="2">
        <v>0.9</v>
      </c>
      <c r="BB142" s="2">
        <v>7.5</v>
      </c>
      <c r="BC142" s="2">
        <v>2.9</v>
      </c>
      <c r="BD142" s="2">
        <f>+AN142*EXP(-0.0495*Y142)</f>
        <v>9.4275013991387411</v>
      </c>
      <c r="BE142" s="2">
        <f>+AO142*EXP(-0.024*Y142)</f>
        <v>29.147190954756798</v>
      </c>
    </row>
    <row r="143" spans="1:57" x14ac:dyDescent="0.2">
      <c r="A143" s="2" t="s">
        <v>514</v>
      </c>
      <c r="B143" s="2" t="s">
        <v>19</v>
      </c>
      <c r="C143" s="2" t="s">
        <v>20</v>
      </c>
      <c r="D143" s="2" t="s">
        <v>21</v>
      </c>
      <c r="E143" s="2" t="s">
        <v>300</v>
      </c>
      <c r="F143" s="2">
        <v>6</v>
      </c>
      <c r="G143" s="2">
        <v>284.33</v>
      </c>
      <c r="H143" s="2">
        <v>3</v>
      </c>
      <c r="I143" s="2">
        <v>4</v>
      </c>
      <c r="J143" s="2">
        <v>4</v>
      </c>
      <c r="K143" s="2" t="s">
        <v>61</v>
      </c>
      <c r="L143" s="6" t="s">
        <v>75</v>
      </c>
      <c r="M143" s="5">
        <v>2400000000</v>
      </c>
      <c r="N143" s="2">
        <v>0</v>
      </c>
      <c r="O143" s="2">
        <v>4.7245939999999997</v>
      </c>
      <c r="P143" s="2">
        <v>-74.077755999999994</v>
      </c>
      <c r="Q143" s="2" t="s">
        <v>515</v>
      </c>
      <c r="R143" s="2">
        <v>8440896.1420000009</v>
      </c>
      <c r="S143" s="2">
        <v>0</v>
      </c>
      <c r="T143" s="2" t="s">
        <v>68</v>
      </c>
      <c r="U143" s="2" t="s">
        <v>69</v>
      </c>
      <c r="V143" s="2" t="s">
        <v>28</v>
      </c>
      <c r="W143" s="2" t="s">
        <v>70</v>
      </c>
      <c r="X143" s="2" t="s">
        <v>71</v>
      </c>
      <c r="Y143" s="2">
        <v>1.6769216112958401</v>
      </c>
      <c r="Z143" s="2">
        <v>4.73719444444444</v>
      </c>
      <c r="AA143" s="2">
        <v>-74.069472222222203</v>
      </c>
      <c r="AB143" s="2">
        <v>2555</v>
      </c>
      <c r="AC143" s="2" t="s">
        <v>31</v>
      </c>
      <c r="AD143" s="2" t="s">
        <v>58</v>
      </c>
      <c r="AE143" s="2" t="s">
        <v>33</v>
      </c>
      <c r="AF143" s="2" t="s">
        <v>34</v>
      </c>
      <c r="AG143" s="2" t="s">
        <v>72</v>
      </c>
      <c r="AH143" s="2">
        <v>0.46161353433427399</v>
      </c>
      <c r="AI143" s="2">
        <v>5.2539618595607998</v>
      </c>
      <c r="AJ143" s="2">
        <v>1.1073041562811199</v>
      </c>
      <c r="AK143" s="2">
        <v>0.76951546069237198</v>
      </c>
      <c r="AL143" s="2">
        <v>3.8906724229921197E-2</v>
      </c>
      <c r="AM143" s="2">
        <v>15.3</v>
      </c>
      <c r="AN143" s="2">
        <v>9.8000000000000007</v>
      </c>
      <c r="AO143" s="2">
        <v>29.7</v>
      </c>
      <c r="AP143" s="2">
        <v>564</v>
      </c>
      <c r="AQ143" s="2">
        <v>68</v>
      </c>
      <c r="AR143" s="2">
        <v>1.8</v>
      </c>
      <c r="AS143" s="2">
        <v>43</v>
      </c>
      <c r="AT143" s="2">
        <v>25.4</v>
      </c>
      <c r="AU143" s="2">
        <v>162</v>
      </c>
      <c r="AV143" s="2">
        <v>9.1</v>
      </c>
      <c r="AW143" s="2">
        <v>9.1999999999999993</v>
      </c>
      <c r="AX143" s="2">
        <v>18.3</v>
      </c>
      <c r="AY143" s="2">
        <v>0.34</v>
      </c>
      <c r="AZ143" s="2">
        <v>7.3</v>
      </c>
      <c r="BA143" s="2">
        <v>0.9</v>
      </c>
      <c r="BB143" s="2">
        <v>7.5</v>
      </c>
      <c r="BC143" s="2">
        <v>2.9</v>
      </c>
      <c r="BD143" s="2">
        <f>+AN143*EXP(-0.0495*Y143)</f>
        <v>9.0193725170491756</v>
      </c>
      <c r="BE143" s="2">
        <f>+AO143*EXP(-0.024*Y143)</f>
        <v>28.52842410087873</v>
      </c>
    </row>
    <row r="144" spans="1:57" x14ac:dyDescent="0.2">
      <c r="A144" s="2" t="s">
        <v>1909</v>
      </c>
      <c r="B144" s="2" t="s">
        <v>19</v>
      </c>
      <c r="C144" s="2" t="s">
        <v>1907</v>
      </c>
      <c r="D144" s="2" t="s">
        <v>21</v>
      </c>
      <c r="E144" s="2" t="s">
        <v>499</v>
      </c>
      <c r="F144" s="2">
        <v>6</v>
      </c>
      <c r="G144" s="2">
        <v>280</v>
      </c>
      <c r="H144" s="2">
        <v>4</v>
      </c>
      <c r="I144" s="2">
        <v>5</v>
      </c>
      <c r="J144" s="2">
        <v>2</v>
      </c>
      <c r="K144" s="2" t="s">
        <v>23</v>
      </c>
      <c r="L144" s="6" t="s">
        <v>24</v>
      </c>
      <c r="M144" s="5">
        <v>2550000000</v>
      </c>
      <c r="N144" s="2">
        <v>0</v>
      </c>
      <c r="O144" s="2">
        <v>4.7226160000000004</v>
      </c>
      <c r="P144" s="2">
        <v>-74.074935999999994</v>
      </c>
      <c r="Q144" s="2" t="s">
        <v>1910</v>
      </c>
      <c r="R144" s="2">
        <v>9107142.8570000008</v>
      </c>
      <c r="S144" s="2">
        <v>0</v>
      </c>
      <c r="T144" s="2" t="s">
        <v>68</v>
      </c>
      <c r="U144" s="2" t="s">
        <v>69</v>
      </c>
      <c r="V144" s="2" t="s">
        <v>28</v>
      </c>
      <c r="W144" s="2" t="s">
        <v>70</v>
      </c>
      <c r="X144" s="2" t="s">
        <v>71</v>
      </c>
      <c r="Y144" s="2">
        <v>1.73237209652619</v>
      </c>
      <c r="Z144" s="2">
        <v>4.73719444444444</v>
      </c>
      <c r="AA144" s="2">
        <v>-74.069472222222203</v>
      </c>
      <c r="AB144" s="2">
        <v>2555</v>
      </c>
      <c r="AC144" s="2" t="s">
        <v>31</v>
      </c>
      <c r="AD144" s="2" t="s">
        <v>58</v>
      </c>
      <c r="AE144" s="2" t="s">
        <v>33</v>
      </c>
      <c r="AF144" s="2" t="s">
        <v>34</v>
      </c>
      <c r="AG144" s="2" t="s">
        <v>72</v>
      </c>
      <c r="AH144" s="2">
        <v>0.151125754368475</v>
      </c>
      <c r="AI144" s="2">
        <v>5.5894365406695998</v>
      </c>
      <c r="AJ144" s="2">
        <v>0.74703752955565506</v>
      </c>
      <c r="AK144" s="2">
        <v>0.38906789108147799</v>
      </c>
      <c r="AL144" s="2">
        <v>0.206048737707242</v>
      </c>
      <c r="AM144" s="2">
        <v>15.3</v>
      </c>
      <c r="AN144" s="2">
        <v>9.8000000000000007</v>
      </c>
      <c r="AO144" s="2">
        <v>29.7</v>
      </c>
      <c r="AP144" s="2">
        <v>564</v>
      </c>
      <c r="AQ144" s="2">
        <v>68</v>
      </c>
      <c r="AR144" s="2">
        <v>1.8</v>
      </c>
      <c r="AS144" s="2">
        <v>43</v>
      </c>
      <c r="AT144" s="2">
        <v>25.4</v>
      </c>
      <c r="AU144" s="2">
        <v>162</v>
      </c>
      <c r="AV144" s="2">
        <v>9.1</v>
      </c>
      <c r="AW144" s="2">
        <v>9.1999999999999993</v>
      </c>
      <c r="AX144" s="2">
        <v>18.3</v>
      </c>
      <c r="AY144" s="2">
        <v>0.34</v>
      </c>
      <c r="AZ144" s="2">
        <v>7.3</v>
      </c>
      <c r="BA144" s="2">
        <v>0.9</v>
      </c>
      <c r="BB144" s="2">
        <v>7.5</v>
      </c>
      <c r="BC144" s="2">
        <v>2.9</v>
      </c>
      <c r="BD144" s="2">
        <f>+AN144*EXP(-0.0495*Y144)</f>
        <v>8.994650096772121</v>
      </c>
      <c r="BE144" s="2">
        <f>+AO144*EXP(-0.024*Y144)</f>
        <v>28.490483393423972</v>
      </c>
    </row>
    <row r="145" spans="1:57" x14ac:dyDescent="0.2">
      <c r="A145" s="2" t="s">
        <v>896</v>
      </c>
      <c r="B145" s="2" t="s">
        <v>19</v>
      </c>
      <c r="C145" s="2" t="s">
        <v>20</v>
      </c>
      <c r="D145" s="2" t="s">
        <v>21</v>
      </c>
      <c r="E145" s="2" t="s">
        <v>612</v>
      </c>
      <c r="F145" s="2">
        <v>5</v>
      </c>
      <c r="G145" s="2">
        <v>280</v>
      </c>
      <c r="H145" s="2">
        <v>4</v>
      </c>
      <c r="I145" s="2">
        <v>5</v>
      </c>
      <c r="J145" s="2">
        <v>4</v>
      </c>
      <c r="K145" s="2" t="s">
        <v>61</v>
      </c>
      <c r="L145" s="6" t="s">
        <v>62</v>
      </c>
      <c r="M145" s="5">
        <v>2300000000</v>
      </c>
      <c r="N145" s="2">
        <v>0</v>
      </c>
      <c r="O145" s="2">
        <v>4.7446045999999997</v>
      </c>
      <c r="P145" s="2">
        <v>-74.069360000000003</v>
      </c>
      <c r="Q145" s="2" t="s">
        <v>897</v>
      </c>
      <c r="R145" s="2">
        <v>8214285.7139999997</v>
      </c>
      <c r="S145" s="2">
        <v>0</v>
      </c>
      <c r="T145" s="2" t="s">
        <v>68</v>
      </c>
      <c r="U145" s="2" t="s">
        <v>69</v>
      </c>
      <c r="V145" s="2" t="s">
        <v>28</v>
      </c>
      <c r="W145" s="2" t="s">
        <v>70</v>
      </c>
      <c r="X145" s="2" t="s">
        <v>71</v>
      </c>
      <c r="Y145" s="2">
        <v>0.82498868735807995</v>
      </c>
      <c r="Z145" s="2">
        <v>4.73719444444444</v>
      </c>
      <c r="AA145" s="2">
        <v>-74.069472222222203</v>
      </c>
      <c r="AB145" s="2">
        <v>2555</v>
      </c>
      <c r="AC145" s="2" t="s">
        <v>31</v>
      </c>
      <c r="AD145" s="2" t="s">
        <v>58</v>
      </c>
      <c r="AE145" s="2" t="s">
        <v>33</v>
      </c>
      <c r="AF145" s="2" t="s">
        <v>34</v>
      </c>
      <c r="AG145" s="2" t="s">
        <v>72</v>
      </c>
      <c r="AH145" s="2">
        <v>1.6347025191731599</v>
      </c>
      <c r="AI145" s="2">
        <v>5.2642264421688898</v>
      </c>
      <c r="AJ145" s="2">
        <v>2.0078190469213899</v>
      </c>
      <c r="AK145" s="2">
        <v>0.69909970570939906</v>
      </c>
      <c r="AL145" s="2">
        <v>6.9609346514785996E-3</v>
      </c>
      <c r="AM145" s="2">
        <v>15.3</v>
      </c>
      <c r="AN145" s="2">
        <v>9.8000000000000007</v>
      </c>
      <c r="AO145" s="2">
        <v>29.7</v>
      </c>
      <c r="AP145" s="2">
        <v>564</v>
      </c>
      <c r="AQ145" s="2">
        <v>68</v>
      </c>
      <c r="AR145" s="2">
        <v>1.8</v>
      </c>
      <c r="AS145" s="2">
        <v>43</v>
      </c>
      <c r="AT145" s="2">
        <v>25.4</v>
      </c>
      <c r="AU145" s="2">
        <v>162</v>
      </c>
      <c r="AV145" s="2">
        <v>9.1</v>
      </c>
      <c r="AW145" s="2">
        <v>9.1999999999999993</v>
      </c>
      <c r="AX145" s="2">
        <v>18.3</v>
      </c>
      <c r="AY145" s="2">
        <v>0.34</v>
      </c>
      <c r="AZ145" s="2">
        <v>7.3</v>
      </c>
      <c r="BA145" s="2">
        <v>0.9</v>
      </c>
      <c r="BB145" s="2">
        <v>7.5</v>
      </c>
      <c r="BC145" s="2">
        <v>2.9</v>
      </c>
      <c r="BD145" s="2">
        <f>+AN145*EXP(-0.0495*Y145)</f>
        <v>9.4078593937493711</v>
      </c>
      <c r="BE145" s="2">
        <f>+AO145*EXP(-0.024*Y145)</f>
        <v>29.117731465169101</v>
      </c>
    </row>
    <row r="146" spans="1:57" x14ac:dyDescent="0.2">
      <c r="A146" s="2" t="s">
        <v>3224</v>
      </c>
      <c r="B146" s="2" t="s">
        <v>19</v>
      </c>
      <c r="C146" s="2" t="s">
        <v>1907</v>
      </c>
      <c r="D146" s="2" t="s">
        <v>21</v>
      </c>
      <c r="E146" s="2" t="s">
        <v>1675</v>
      </c>
      <c r="F146" s="2">
        <v>6</v>
      </c>
      <c r="G146" s="2">
        <v>280</v>
      </c>
      <c r="H146" s="2">
        <v>3</v>
      </c>
      <c r="I146" s="2">
        <v>4</v>
      </c>
      <c r="J146" s="2">
        <v>4</v>
      </c>
      <c r="K146" s="2" t="s">
        <v>61</v>
      </c>
      <c r="L146" s="6" t="s">
        <v>113</v>
      </c>
      <c r="M146" s="5">
        <v>1599000000</v>
      </c>
      <c r="N146" s="2">
        <v>0</v>
      </c>
      <c r="O146" s="2">
        <v>4.7599428650000002</v>
      </c>
      <c r="P146" s="2">
        <v>-74.061474380000007</v>
      </c>
      <c r="Q146" s="2" t="s">
        <v>3225</v>
      </c>
      <c r="R146" s="2">
        <v>5710714.2860000003</v>
      </c>
      <c r="S146" s="2">
        <v>0</v>
      </c>
      <c r="T146" s="2" t="s">
        <v>68</v>
      </c>
      <c r="U146" s="2" t="s">
        <v>69</v>
      </c>
      <c r="V146" s="2" t="s">
        <v>28</v>
      </c>
      <c r="W146" s="2" t="s">
        <v>70</v>
      </c>
      <c r="X146" s="2" t="s">
        <v>71</v>
      </c>
      <c r="Y146" s="2">
        <v>2.6832795063824002</v>
      </c>
      <c r="Z146" s="2">
        <v>4.73719444444444</v>
      </c>
      <c r="AA146" s="2">
        <v>-74.069472222222203</v>
      </c>
      <c r="AB146" s="2">
        <v>2555</v>
      </c>
      <c r="AC146" s="2" t="s">
        <v>31</v>
      </c>
      <c r="AD146" s="2" t="s">
        <v>58</v>
      </c>
      <c r="AE146" s="2" t="s">
        <v>33</v>
      </c>
      <c r="AF146" s="2" t="s">
        <v>34</v>
      </c>
      <c r="AG146" s="2" t="s">
        <v>72</v>
      </c>
      <c r="AH146" s="2">
        <v>1.80888188967848</v>
      </c>
      <c r="AI146" s="2">
        <v>4.3401258417349302</v>
      </c>
      <c r="AJ146" s="2">
        <v>1.1436319812604501</v>
      </c>
      <c r="AK146" s="2">
        <v>0.16313204640307699</v>
      </c>
      <c r="AL146" s="2">
        <v>0.285412959235959</v>
      </c>
      <c r="AM146" s="2">
        <v>15.3</v>
      </c>
      <c r="AN146" s="2">
        <v>9.8000000000000007</v>
      </c>
      <c r="AO146" s="2">
        <v>29.7</v>
      </c>
      <c r="AP146" s="2">
        <v>564</v>
      </c>
      <c r="AQ146" s="2">
        <v>68</v>
      </c>
      <c r="AR146" s="2">
        <v>1.8</v>
      </c>
      <c r="AS146" s="2">
        <v>43</v>
      </c>
      <c r="AT146" s="2">
        <v>25.4</v>
      </c>
      <c r="AU146" s="2">
        <v>162</v>
      </c>
      <c r="AV146" s="2">
        <v>9.1</v>
      </c>
      <c r="AW146" s="2">
        <v>9.1999999999999993</v>
      </c>
      <c r="AX146" s="2">
        <v>18.3</v>
      </c>
      <c r="AY146" s="2">
        <v>0.34</v>
      </c>
      <c r="AZ146" s="2">
        <v>7.3</v>
      </c>
      <c r="BA146" s="2">
        <v>0.9</v>
      </c>
      <c r="BB146" s="2">
        <v>7.5</v>
      </c>
      <c r="BC146" s="2">
        <v>2.9</v>
      </c>
      <c r="BD146" s="2">
        <f>+AN146*EXP(-0.0495*Y146)</f>
        <v>8.5810823203787105</v>
      </c>
      <c r="BE146" s="2">
        <f>+AO146*EXP(-0.024*Y146)</f>
        <v>27.847643189937116</v>
      </c>
    </row>
    <row r="147" spans="1:57" x14ac:dyDescent="0.2">
      <c r="A147" s="2" t="s">
        <v>2108</v>
      </c>
      <c r="B147" s="2" t="s">
        <v>19</v>
      </c>
      <c r="C147" s="2" t="s">
        <v>1907</v>
      </c>
      <c r="D147" s="2" t="s">
        <v>21</v>
      </c>
      <c r="E147" s="2" t="s">
        <v>1675</v>
      </c>
      <c r="F147" s="2">
        <v>5</v>
      </c>
      <c r="G147" s="2">
        <v>280</v>
      </c>
      <c r="H147" s="2">
        <v>3</v>
      </c>
      <c r="I147" s="2">
        <v>3</v>
      </c>
      <c r="J147" s="2">
        <v>2</v>
      </c>
      <c r="K147" s="2" t="s">
        <v>61</v>
      </c>
      <c r="L147" s="6" t="s">
        <v>75</v>
      </c>
      <c r="M147" s="5">
        <v>1500000000</v>
      </c>
      <c r="N147" s="2">
        <v>0</v>
      </c>
      <c r="O147" s="2">
        <v>4.7669396400000004</v>
      </c>
      <c r="P147" s="2">
        <v>-74.063850400000007</v>
      </c>
      <c r="Q147" s="2" t="s">
        <v>2109</v>
      </c>
      <c r="R147" s="2">
        <v>5357142.8569999998</v>
      </c>
      <c r="S147" s="2">
        <v>0</v>
      </c>
      <c r="T147" s="2" t="s">
        <v>102</v>
      </c>
      <c r="U147" s="2" t="s">
        <v>103</v>
      </c>
      <c r="V147" s="2" t="s">
        <v>28</v>
      </c>
      <c r="W147" s="2" t="s">
        <v>70</v>
      </c>
      <c r="X147" s="2" t="s">
        <v>104</v>
      </c>
      <c r="Y147" s="2">
        <v>2.8780751940276201</v>
      </c>
      <c r="Z147" s="2">
        <v>4.7837500000000004</v>
      </c>
      <c r="AA147" s="2">
        <v>-74.044138888888895</v>
      </c>
      <c r="AB147" s="2">
        <v>2580</v>
      </c>
      <c r="AC147" s="2" t="s">
        <v>105</v>
      </c>
      <c r="AD147" s="2" t="s">
        <v>58</v>
      </c>
      <c r="AE147" s="2" t="s">
        <v>33</v>
      </c>
      <c r="AF147" s="2" t="s">
        <v>34</v>
      </c>
      <c r="AG147" s="2" t="s">
        <v>72</v>
      </c>
      <c r="AH147" s="2">
        <v>2.1881034271370998</v>
      </c>
      <c r="AI147" s="2">
        <v>3.7886604622208599</v>
      </c>
      <c r="AJ147" s="2">
        <v>1.8875892410246999</v>
      </c>
      <c r="AK147" s="2">
        <v>0.64194638437695795</v>
      </c>
      <c r="AL147" s="2">
        <v>0.17031971783223801</v>
      </c>
      <c r="AM147" s="2">
        <v>15.3</v>
      </c>
      <c r="AN147" s="2">
        <v>9.8000000000000007</v>
      </c>
      <c r="AO147" s="2">
        <v>29.7</v>
      </c>
      <c r="AP147" s="2">
        <v>564</v>
      </c>
      <c r="AQ147" s="2">
        <v>68</v>
      </c>
      <c r="AR147" s="2">
        <v>1.8</v>
      </c>
      <c r="AS147" s="2">
        <v>43</v>
      </c>
      <c r="AT147" s="2">
        <v>25.4</v>
      </c>
      <c r="AU147" s="2">
        <v>162</v>
      </c>
      <c r="AV147" s="2">
        <v>9.1</v>
      </c>
      <c r="AW147" s="2">
        <v>9.1999999999999993</v>
      </c>
      <c r="AX147" s="2">
        <v>18.3</v>
      </c>
      <c r="AY147" s="2">
        <v>0.34</v>
      </c>
      <c r="AZ147" s="2">
        <v>7.3</v>
      </c>
      <c r="BA147" s="2">
        <v>0.9</v>
      </c>
      <c r="BB147" s="2">
        <v>7.5</v>
      </c>
      <c r="BC147" s="2">
        <v>2.9</v>
      </c>
      <c r="BD147" s="2">
        <f>+AN147*EXP(-0.0495*Y147)</f>
        <v>8.4987378443623793</v>
      </c>
      <c r="BE147" s="2">
        <f>+AO147*EXP(-0.024*Y147)</f>
        <v>27.717756623318614</v>
      </c>
    </row>
    <row r="148" spans="1:57" x14ac:dyDescent="0.2">
      <c r="A148" s="2" t="s">
        <v>2191</v>
      </c>
      <c r="B148" s="2" t="s">
        <v>19</v>
      </c>
      <c r="C148" s="2" t="s">
        <v>1907</v>
      </c>
      <c r="D148" s="2" t="s">
        <v>21</v>
      </c>
      <c r="E148" s="2" t="s">
        <v>1675</v>
      </c>
      <c r="F148" s="2">
        <v>5</v>
      </c>
      <c r="G148" s="2">
        <v>280</v>
      </c>
      <c r="H148" s="2">
        <v>4</v>
      </c>
      <c r="I148" s="2">
        <v>3</v>
      </c>
      <c r="J148" s="2">
        <v>2</v>
      </c>
      <c r="K148" s="2" t="s">
        <v>61</v>
      </c>
      <c r="L148" s="6" t="s">
        <v>113</v>
      </c>
      <c r="M148" s="5">
        <v>1350000000</v>
      </c>
      <c r="N148" s="2">
        <v>0</v>
      </c>
      <c r="O148" s="2">
        <v>4.7632493970000001</v>
      </c>
      <c r="P148" s="2">
        <v>-74.063232420000006</v>
      </c>
      <c r="Q148" s="2" t="s">
        <v>2192</v>
      </c>
      <c r="R148" s="2">
        <v>4821428.5710000005</v>
      </c>
      <c r="S148" s="2">
        <v>0</v>
      </c>
      <c r="T148" s="2" t="s">
        <v>68</v>
      </c>
      <c r="U148" s="2" t="s">
        <v>69</v>
      </c>
      <c r="V148" s="2" t="s">
        <v>28</v>
      </c>
      <c r="W148" s="2" t="s">
        <v>70</v>
      </c>
      <c r="X148" s="2" t="s">
        <v>71</v>
      </c>
      <c r="Y148" s="2">
        <v>2.98188466326165</v>
      </c>
      <c r="Z148" s="2">
        <v>4.73719444444444</v>
      </c>
      <c r="AA148" s="2">
        <v>-74.069472222222203</v>
      </c>
      <c r="AB148" s="2">
        <v>2555</v>
      </c>
      <c r="AC148" s="2" t="s">
        <v>31</v>
      </c>
      <c r="AD148" s="2" t="s">
        <v>58</v>
      </c>
      <c r="AE148" s="2" t="s">
        <v>33</v>
      </c>
      <c r="AF148" s="2" t="s">
        <v>34</v>
      </c>
      <c r="AG148" s="2" t="s">
        <v>72</v>
      </c>
      <c r="AH148" s="2">
        <v>2.08308185739507</v>
      </c>
      <c r="AI148" s="2">
        <v>4.1327133094717201</v>
      </c>
      <c r="AJ148" s="2">
        <v>1.53436783394829</v>
      </c>
      <c r="AK148" s="2">
        <v>0.441398800782694</v>
      </c>
      <c r="AL148" s="2">
        <v>0.107743031047442</v>
      </c>
      <c r="AM148" s="2">
        <v>15.3</v>
      </c>
      <c r="AN148" s="2">
        <v>9.8000000000000007</v>
      </c>
      <c r="AO148" s="2">
        <v>29.7</v>
      </c>
      <c r="AP148" s="2">
        <v>564</v>
      </c>
      <c r="AQ148" s="2">
        <v>68</v>
      </c>
      <c r="AR148" s="2">
        <v>1.8</v>
      </c>
      <c r="AS148" s="2">
        <v>43</v>
      </c>
      <c r="AT148" s="2">
        <v>25.4</v>
      </c>
      <c r="AU148" s="2">
        <v>162</v>
      </c>
      <c r="AV148" s="2">
        <v>9.1</v>
      </c>
      <c r="AW148" s="2">
        <v>9.1999999999999993</v>
      </c>
      <c r="AX148" s="2">
        <v>18.3</v>
      </c>
      <c r="AY148" s="2">
        <v>0.34</v>
      </c>
      <c r="AZ148" s="2">
        <v>7.3</v>
      </c>
      <c r="BA148" s="2">
        <v>0.9</v>
      </c>
      <c r="BB148" s="2">
        <v>7.5</v>
      </c>
      <c r="BC148" s="2">
        <v>2.9</v>
      </c>
      <c r="BD148" s="2">
        <f>+AN148*EXP(-0.0495*Y148)</f>
        <v>8.455178508025627</v>
      </c>
      <c r="BE148" s="2">
        <f>+AO148*EXP(-0.024*Y148)</f>
        <v>27.648785802404522</v>
      </c>
    </row>
    <row r="149" spans="1:57" x14ac:dyDescent="0.2">
      <c r="A149" s="2" t="s">
        <v>2404</v>
      </c>
      <c r="B149" s="2" t="s">
        <v>19</v>
      </c>
      <c r="C149" s="2" t="s">
        <v>1907</v>
      </c>
      <c r="D149" s="2" t="s">
        <v>21</v>
      </c>
      <c r="E149" s="2" t="s">
        <v>156</v>
      </c>
      <c r="F149" s="2">
        <v>4</v>
      </c>
      <c r="G149" s="2">
        <v>280</v>
      </c>
      <c r="H149" s="2">
        <v>3</v>
      </c>
      <c r="I149" s="2">
        <v>3</v>
      </c>
      <c r="J149" s="2">
        <v>1</v>
      </c>
      <c r="K149" s="2" t="s">
        <v>61</v>
      </c>
      <c r="L149" s="6" t="s">
        <v>113</v>
      </c>
      <c r="M149" s="5">
        <v>950000000</v>
      </c>
      <c r="N149" s="2">
        <v>0</v>
      </c>
      <c r="O149" s="2">
        <v>4.7320259</v>
      </c>
      <c r="P149" s="2">
        <v>-74.048428000000001</v>
      </c>
      <c r="Q149" s="2" t="s">
        <v>2405</v>
      </c>
      <c r="R149" s="2">
        <v>3392857.1430000002</v>
      </c>
      <c r="S149" s="2">
        <v>0</v>
      </c>
      <c r="T149" s="2" t="s">
        <v>68</v>
      </c>
      <c r="U149" s="2" t="s">
        <v>69</v>
      </c>
      <c r="V149" s="2" t="s">
        <v>28</v>
      </c>
      <c r="W149" s="2" t="s">
        <v>70</v>
      </c>
      <c r="X149" s="2" t="s">
        <v>71</v>
      </c>
      <c r="Y149" s="2">
        <v>2.4044906096426901</v>
      </c>
      <c r="Z149" s="2">
        <v>4.73719444444444</v>
      </c>
      <c r="AA149" s="2">
        <v>-74.069472222222203</v>
      </c>
      <c r="AB149" s="2">
        <v>2555</v>
      </c>
      <c r="AC149" s="2" t="s">
        <v>31</v>
      </c>
      <c r="AD149" s="2" t="s">
        <v>58</v>
      </c>
      <c r="AE149" s="2" t="s">
        <v>33</v>
      </c>
      <c r="AF149" s="2" t="s">
        <v>34</v>
      </c>
      <c r="AG149" s="2" t="s">
        <v>59</v>
      </c>
      <c r="AH149" s="2">
        <v>0.19811180578301699</v>
      </c>
      <c r="AI149" s="2">
        <v>2.9314446268156602</v>
      </c>
      <c r="AJ149" s="2">
        <v>0.94227465316288295</v>
      </c>
      <c r="AK149" s="2">
        <v>0.33161007142408999</v>
      </c>
      <c r="AL149" s="2">
        <v>0.18688321562707599</v>
      </c>
      <c r="AM149" s="2">
        <v>15.3</v>
      </c>
      <c r="AN149" s="2">
        <v>9.8000000000000007</v>
      </c>
      <c r="AO149" s="2">
        <v>29.7</v>
      </c>
      <c r="AP149" s="2">
        <v>564</v>
      </c>
      <c r="AQ149" s="2">
        <v>68</v>
      </c>
      <c r="AR149" s="2">
        <v>1.8</v>
      </c>
      <c r="AS149" s="2">
        <v>43</v>
      </c>
      <c r="AT149" s="2">
        <v>25.4</v>
      </c>
      <c r="AU149" s="2">
        <v>162</v>
      </c>
      <c r="AV149" s="2">
        <v>9.1</v>
      </c>
      <c r="AW149" s="2">
        <v>9.1999999999999993</v>
      </c>
      <c r="AX149" s="2">
        <v>18.3</v>
      </c>
      <c r="AY149" s="2">
        <v>0.34</v>
      </c>
      <c r="AZ149" s="2">
        <v>7.3</v>
      </c>
      <c r="BA149" s="2">
        <v>0.9</v>
      </c>
      <c r="BB149" s="2">
        <v>7.5</v>
      </c>
      <c r="BC149" s="2">
        <v>2.9</v>
      </c>
      <c r="BD149" s="2">
        <f>+AN149*EXP(-0.0495*Y149)</f>
        <v>8.7003225570758129</v>
      </c>
      <c r="BE149" s="2">
        <f>+AO149*EXP(-0.024*Y149)</f>
        <v>28.034594661730953</v>
      </c>
    </row>
    <row r="150" spans="1:57" x14ac:dyDescent="0.2">
      <c r="A150" s="2" t="s">
        <v>482</v>
      </c>
      <c r="B150" s="2" t="s">
        <v>19</v>
      </c>
      <c r="C150" s="2" t="s">
        <v>20</v>
      </c>
      <c r="D150" s="2" t="s">
        <v>21</v>
      </c>
      <c r="E150" s="2" t="s">
        <v>483</v>
      </c>
      <c r="F150" s="2">
        <v>6</v>
      </c>
      <c r="G150" s="2">
        <v>274.67</v>
      </c>
      <c r="H150" s="2">
        <v>3</v>
      </c>
      <c r="I150" s="2">
        <v>4</v>
      </c>
      <c r="J150" s="2">
        <v>4</v>
      </c>
      <c r="K150" s="2" t="s">
        <v>61</v>
      </c>
      <c r="L150" s="6" t="s">
        <v>84</v>
      </c>
      <c r="M150" s="5">
        <v>2600000000</v>
      </c>
      <c r="N150" s="2">
        <v>0</v>
      </c>
      <c r="O150" s="2">
        <v>4.7245939999999997</v>
      </c>
      <c r="P150" s="2">
        <v>-74.077755999999994</v>
      </c>
      <c r="Q150" s="2" t="s">
        <v>484</v>
      </c>
      <c r="R150" s="2">
        <v>9465904.5399999991</v>
      </c>
      <c r="S150" s="2">
        <v>0</v>
      </c>
      <c r="T150" s="2" t="s">
        <v>68</v>
      </c>
      <c r="U150" s="2" t="s">
        <v>69</v>
      </c>
      <c r="V150" s="2" t="s">
        <v>28</v>
      </c>
      <c r="W150" s="2" t="s">
        <v>70</v>
      </c>
      <c r="X150" s="2" t="s">
        <v>71</v>
      </c>
      <c r="Y150" s="2">
        <v>1.6769216112958401</v>
      </c>
      <c r="Z150" s="2">
        <v>4.73719444444444</v>
      </c>
      <c r="AA150" s="2">
        <v>-74.069472222222203</v>
      </c>
      <c r="AB150" s="2">
        <v>2555</v>
      </c>
      <c r="AC150" s="2" t="s">
        <v>31</v>
      </c>
      <c r="AD150" s="2" t="s">
        <v>58</v>
      </c>
      <c r="AE150" s="2" t="s">
        <v>33</v>
      </c>
      <c r="AF150" s="2" t="s">
        <v>34</v>
      </c>
      <c r="AG150" s="2" t="s">
        <v>72</v>
      </c>
      <c r="AH150" s="2">
        <v>0.46161353433427399</v>
      </c>
      <c r="AI150" s="2">
        <v>5.2539618595607998</v>
      </c>
      <c r="AJ150" s="2">
        <v>1.1073041562811199</v>
      </c>
      <c r="AK150" s="2">
        <v>0.76951546069237198</v>
      </c>
      <c r="AL150" s="2">
        <v>3.8906724229921197E-2</v>
      </c>
      <c r="AM150" s="2">
        <v>15.3</v>
      </c>
      <c r="AN150" s="2">
        <v>9.8000000000000007</v>
      </c>
      <c r="AO150" s="2">
        <v>29.7</v>
      </c>
      <c r="AP150" s="2">
        <v>564</v>
      </c>
      <c r="AQ150" s="2">
        <v>68</v>
      </c>
      <c r="AR150" s="2">
        <v>1.8</v>
      </c>
      <c r="AS150" s="2">
        <v>43</v>
      </c>
      <c r="AT150" s="2">
        <v>25.4</v>
      </c>
      <c r="AU150" s="2">
        <v>162</v>
      </c>
      <c r="AV150" s="2">
        <v>9.1</v>
      </c>
      <c r="AW150" s="2">
        <v>9.1999999999999993</v>
      </c>
      <c r="AX150" s="2">
        <v>18.3</v>
      </c>
      <c r="AY150" s="2">
        <v>0.34</v>
      </c>
      <c r="AZ150" s="2">
        <v>7.3</v>
      </c>
      <c r="BA150" s="2">
        <v>0.9</v>
      </c>
      <c r="BB150" s="2">
        <v>7.5</v>
      </c>
      <c r="BC150" s="2">
        <v>2.9</v>
      </c>
      <c r="BD150" s="2">
        <f>+AN150*EXP(-0.0495*Y150)</f>
        <v>9.0193725170491756</v>
      </c>
      <c r="BE150" s="2">
        <f>+AO150*EXP(-0.024*Y150)</f>
        <v>28.52842410087873</v>
      </c>
    </row>
    <row r="151" spans="1:57" x14ac:dyDescent="0.2">
      <c r="A151" s="2" t="s">
        <v>1968</v>
      </c>
      <c r="B151" s="2" t="s">
        <v>19</v>
      </c>
      <c r="C151" s="2" t="s">
        <v>1907</v>
      </c>
      <c r="D151" s="2" t="s">
        <v>21</v>
      </c>
      <c r="E151" s="2" t="s">
        <v>1539</v>
      </c>
      <c r="F151" s="2">
        <v>6</v>
      </c>
      <c r="G151" s="2">
        <v>273</v>
      </c>
      <c r="H151" s="2">
        <v>3</v>
      </c>
      <c r="I151" s="2">
        <v>5</v>
      </c>
      <c r="J151" s="2">
        <v>4</v>
      </c>
      <c r="K151" s="2" t="s">
        <v>61</v>
      </c>
      <c r="L151" s="6" t="s">
        <v>75</v>
      </c>
      <c r="M151" s="5">
        <v>1800000000</v>
      </c>
      <c r="N151" s="2">
        <v>0</v>
      </c>
      <c r="O151" s="2">
        <v>4.7995290759999998</v>
      </c>
      <c r="P151" s="2">
        <v>-74.072242739999993</v>
      </c>
      <c r="Q151" s="2" t="s">
        <v>1969</v>
      </c>
      <c r="R151" s="2">
        <v>6593406.5930000003</v>
      </c>
      <c r="S151" s="2">
        <v>0</v>
      </c>
      <c r="T151" s="2" t="s">
        <v>102</v>
      </c>
      <c r="U151" s="2" t="s">
        <v>103</v>
      </c>
      <c r="V151" s="2" t="s">
        <v>28</v>
      </c>
      <c r="W151" s="2" t="s">
        <v>70</v>
      </c>
      <c r="X151" s="2" t="s">
        <v>104</v>
      </c>
      <c r="Y151" s="2">
        <v>3.57835379364679</v>
      </c>
      <c r="Z151" s="2">
        <v>4.7837500000000004</v>
      </c>
      <c r="AA151" s="2">
        <v>-74.044138888888895</v>
      </c>
      <c r="AB151" s="2">
        <v>2580</v>
      </c>
      <c r="AC151" s="2" t="s">
        <v>105</v>
      </c>
      <c r="AD151" s="2" t="s">
        <v>58</v>
      </c>
      <c r="AE151" s="2" t="s">
        <v>33</v>
      </c>
      <c r="AF151" s="2" t="s">
        <v>34</v>
      </c>
      <c r="AG151" s="2" t="s">
        <v>72</v>
      </c>
      <c r="AH151" s="2">
        <v>4.6498632791945296</v>
      </c>
      <c r="AI151" s="2">
        <v>0.98390806949631804</v>
      </c>
      <c r="AJ151" s="2">
        <v>2.7925849847145701</v>
      </c>
      <c r="AK151" s="2">
        <v>1.1161748333030299</v>
      </c>
      <c r="AL151" s="2">
        <v>2.1180353485275201</v>
      </c>
      <c r="AM151" s="2">
        <v>15.3</v>
      </c>
      <c r="AN151" s="2">
        <v>9.8000000000000007</v>
      </c>
      <c r="AO151" s="2">
        <v>29.7</v>
      </c>
      <c r="AP151" s="2">
        <v>564</v>
      </c>
      <c r="AQ151" s="2">
        <v>68</v>
      </c>
      <c r="AR151" s="2">
        <v>1.8</v>
      </c>
      <c r="AS151" s="2">
        <v>43</v>
      </c>
      <c r="AT151" s="2">
        <v>25.4</v>
      </c>
      <c r="AU151" s="2">
        <v>162</v>
      </c>
      <c r="AV151" s="2">
        <v>9.1</v>
      </c>
      <c r="AW151" s="2">
        <v>9.1999999999999993</v>
      </c>
      <c r="AX151" s="2">
        <v>18.3</v>
      </c>
      <c r="AY151" s="2">
        <v>0.34</v>
      </c>
      <c r="AZ151" s="2">
        <v>7.3</v>
      </c>
      <c r="BA151" s="2">
        <v>0.9</v>
      </c>
      <c r="BB151" s="2">
        <v>7.5</v>
      </c>
      <c r="BC151" s="2">
        <v>2.9</v>
      </c>
      <c r="BD151" s="2">
        <f>+AN151*EXP(-0.0495*Y151)</f>
        <v>8.2091868350658785</v>
      </c>
      <c r="BE151" s="2">
        <f>+AO151*EXP(-0.024*Y151)</f>
        <v>27.255805785405549</v>
      </c>
    </row>
    <row r="152" spans="1:57" x14ac:dyDescent="0.2">
      <c r="A152" s="2" t="s">
        <v>2166</v>
      </c>
      <c r="B152" s="2" t="s">
        <v>19</v>
      </c>
      <c r="C152" s="2" t="s">
        <v>1907</v>
      </c>
      <c r="D152" s="2" t="s">
        <v>21</v>
      </c>
      <c r="E152" s="2" t="s">
        <v>518</v>
      </c>
      <c r="F152" s="2">
        <v>6</v>
      </c>
      <c r="G152" s="2">
        <v>269</v>
      </c>
      <c r="H152" s="2">
        <v>3</v>
      </c>
      <c r="I152" s="2">
        <v>4</v>
      </c>
      <c r="J152" s="2">
        <v>2</v>
      </c>
      <c r="K152" s="2" t="s">
        <v>61</v>
      </c>
      <c r="L152" s="6" t="s">
        <v>113</v>
      </c>
      <c r="M152" s="5">
        <v>1450000000</v>
      </c>
      <c r="N152" s="2">
        <v>0</v>
      </c>
      <c r="O152" s="2">
        <v>4.7201599999999999</v>
      </c>
      <c r="P152" s="2">
        <v>-74.080022999999997</v>
      </c>
      <c r="Q152" s="2" t="s">
        <v>2167</v>
      </c>
      <c r="R152" s="2">
        <v>5390334.5719999997</v>
      </c>
      <c r="S152" s="2">
        <v>0</v>
      </c>
      <c r="T152" s="2" t="s">
        <v>68</v>
      </c>
      <c r="U152" s="2" t="s">
        <v>69</v>
      </c>
      <c r="V152" s="2" t="s">
        <v>28</v>
      </c>
      <c r="W152" s="2" t="s">
        <v>70</v>
      </c>
      <c r="X152" s="2" t="s">
        <v>71</v>
      </c>
      <c r="Y152" s="2">
        <v>2.22843352408435</v>
      </c>
      <c r="Z152" s="2">
        <v>4.73719444444444</v>
      </c>
      <c r="AA152" s="2">
        <v>-74.069472222222203</v>
      </c>
      <c r="AB152" s="2">
        <v>2555</v>
      </c>
      <c r="AC152" s="2" t="s">
        <v>31</v>
      </c>
      <c r="AD152" s="2" t="s">
        <v>58</v>
      </c>
      <c r="AE152" s="2" t="s">
        <v>33</v>
      </c>
      <c r="AF152" s="2" t="s">
        <v>34</v>
      </c>
      <c r="AG152" s="2" t="s">
        <v>72</v>
      </c>
      <c r="AH152" s="2">
        <v>0.60147543078413401</v>
      </c>
      <c r="AI152" s="2">
        <v>5.0770385199168002</v>
      </c>
      <c r="AJ152" s="2">
        <v>1.02187754880336</v>
      </c>
      <c r="AK152" s="2">
        <v>0.463738262623414</v>
      </c>
      <c r="AL152" s="2">
        <v>2.2619570172409901E-3</v>
      </c>
      <c r="AM152" s="2">
        <v>15.3</v>
      </c>
      <c r="AN152" s="2">
        <v>9.8000000000000007</v>
      </c>
      <c r="AO152" s="2">
        <v>29.7</v>
      </c>
      <c r="AP152" s="2">
        <v>564</v>
      </c>
      <c r="AQ152" s="2">
        <v>68</v>
      </c>
      <c r="AR152" s="2">
        <v>1.8</v>
      </c>
      <c r="AS152" s="2">
        <v>43</v>
      </c>
      <c r="AT152" s="2">
        <v>25.4</v>
      </c>
      <c r="AU152" s="2">
        <v>162</v>
      </c>
      <c r="AV152" s="2">
        <v>9.1</v>
      </c>
      <c r="AW152" s="2">
        <v>9.1999999999999993</v>
      </c>
      <c r="AX152" s="2">
        <v>18.3</v>
      </c>
      <c r="AY152" s="2">
        <v>0.34</v>
      </c>
      <c r="AZ152" s="2">
        <v>7.3</v>
      </c>
      <c r="BA152" s="2">
        <v>0.9</v>
      </c>
      <c r="BB152" s="2">
        <v>7.5</v>
      </c>
      <c r="BC152" s="2">
        <v>2.9</v>
      </c>
      <c r="BD152" s="2">
        <f>+AN152*EXP(-0.0495*Y152)</f>
        <v>8.7764757007143874</v>
      </c>
      <c r="BE152" s="2">
        <f>+AO152*EXP(-0.024*Y152)</f>
        <v>28.153301812680265</v>
      </c>
    </row>
    <row r="153" spans="1:57" x14ac:dyDescent="0.2">
      <c r="A153" s="2" t="s">
        <v>2406</v>
      </c>
      <c r="B153" s="2" t="s">
        <v>19</v>
      </c>
      <c r="C153" s="2" t="s">
        <v>1907</v>
      </c>
      <c r="D153" s="2" t="s">
        <v>21</v>
      </c>
      <c r="E153" s="2" t="s">
        <v>2407</v>
      </c>
      <c r="F153" s="2">
        <v>6</v>
      </c>
      <c r="G153" s="2">
        <v>268</v>
      </c>
      <c r="H153" s="2">
        <v>4</v>
      </c>
      <c r="I153" s="2">
        <v>4</v>
      </c>
      <c r="J153" s="2">
        <v>3</v>
      </c>
      <c r="K153" s="2" t="s">
        <v>61</v>
      </c>
      <c r="L153" s="6" t="s">
        <v>113</v>
      </c>
      <c r="M153" s="5">
        <v>1200000000</v>
      </c>
      <c r="N153" s="2">
        <v>0</v>
      </c>
      <c r="O153" s="2">
        <v>4.7345613000000002</v>
      </c>
      <c r="P153" s="2">
        <v>-74.0753579</v>
      </c>
      <c r="Q153" s="2" t="s">
        <v>2408</v>
      </c>
      <c r="R153" s="2">
        <v>4477611.9400000004</v>
      </c>
      <c r="S153" s="2">
        <v>0</v>
      </c>
      <c r="T153" s="2" t="s">
        <v>68</v>
      </c>
      <c r="U153" s="2" t="s">
        <v>69</v>
      </c>
      <c r="V153" s="2" t="s">
        <v>28</v>
      </c>
      <c r="W153" s="2" t="s">
        <v>70</v>
      </c>
      <c r="X153" s="2" t="s">
        <v>71</v>
      </c>
      <c r="Y153" s="2">
        <v>0.71572908011700598</v>
      </c>
      <c r="Z153" s="2">
        <v>4.73719444444444</v>
      </c>
      <c r="AA153" s="2">
        <v>-74.069472222222203</v>
      </c>
      <c r="AB153" s="2">
        <v>2555</v>
      </c>
      <c r="AC153" s="2" t="s">
        <v>31</v>
      </c>
      <c r="AD153" s="2" t="s">
        <v>58</v>
      </c>
      <c r="AE153" s="2" t="s">
        <v>33</v>
      </c>
      <c r="AF153" s="2" t="s">
        <v>34</v>
      </c>
      <c r="AG153" s="2" t="s">
        <v>72</v>
      </c>
      <c r="AH153" s="2">
        <v>0.63277327262271099</v>
      </c>
      <c r="AI153" s="2">
        <v>5.2023833731016396</v>
      </c>
      <c r="AJ153" s="2">
        <v>2.0053239567766399</v>
      </c>
      <c r="AK153" s="2">
        <v>0.76599858737369197</v>
      </c>
      <c r="AL153" s="2">
        <v>0.187957444989407</v>
      </c>
      <c r="AM153" s="2">
        <v>15.3</v>
      </c>
      <c r="AN153" s="2">
        <v>9.8000000000000007</v>
      </c>
      <c r="AO153" s="2">
        <v>29.7</v>
      </c>
      <c r="AP153" s="2">
        <v>564</v>
      </c>
      <c r="AQ153" s="2">
        <v>68</v>
      </c>
      <c r="AR153" s="2">
        <v>1.8</v>
      </c>
      <c r="AS153" s="2">
        <v>43</v>
      </c>
      <c r="AT153" s="2">
        <v>25.4</v>
      </c>
      <c r="AU153" s="2">
        <v>162</v>
      </c>
      <c r="AV153" s="2">
        <v>9.1</v>
      </c>
      <c r="AW153" s="2">
        <v>9.1999999999999993</v>
      </c>
      <c r="AX153" s="2">
        <v>18.3</v>
      </c>
      <c r="AY153" s="2">
        <v>0.34</v>
      </c>
      <c r="AZ153" s="2">
        <v>7.3</v>
      </c>
      <c r="BA153" s="2">
        <v>0.9</v>
      </c>
      <c r="BB153" s="2">
        <v>7.5</v>
      </c>
      <c r="BC153" s="2">
        <v>2.9</v>
      </c>
      <c r="BD153" s="2">
        <f>+AN153*EXP(-0.0495*Y153)</f>
        <v>9.458878234884736</v>
      </c>
      <c r="BE153" s="2">
        <f>+AO153*EXP(-0.024*Y153)</f>
        <v>29.194185066533336</v>
      </c>
    </row>
    <row r="154" spans="1:57" x14ac:dyDescent="0.2">
      <c r="A154" s="2" t="s">
        <v>2662</v>
      </c>
      <c r="B154" s="2" t="s">
        <v>19</v>
      </c>
      <c r="C154" s="2" t="s">
        <v>1907</v>
      </c>
      <c r="D154" s="2" t="s">
        <v>21</v>
      </c>
      <c r="E154" s="2" t="s">
        <v>406</v>
      </c>
      <c r="F154" s="2">
        <v>6</v>
      </c>
      <c r="G154" s="2">
        <v>268</v>
      </c>
      <c r="H154" s="2">
        <v>4</v>
      </c>
      <c r="I154" s="2">
        <v>4</v>
      </c>
      <c r="J154" s="2">
        <v>3</v>
      </c>
      <c r="K154" s="2" t="s">
        <v>61</v>
      </c>
      <c r="L154" s="6" t="s">
        <v>113</v>
      </c>
      <c r="M154" s="5">
        <v>1150000000</v>
      </c>
      <c r="N154" s="2">
        <v>0</v>
      </c>
      <c r="O154" s="2">
        <v>4.7345613000000002</v>
      </c>
      <c r="P154" s="2">
        <v>-74.0753579</v>
      </c>
      <c r="Q154" s="2" t="s">
        <v>2663</v>
      </c>
      <c r="R154" s="2">
        <v>4291044.7759999996</v>
      </c>
      <c r="S154" s="2">
        <v>0</v>
      </c>
      <c r="T154" s="2" t="s">
        <v>68</v>
      </c>
      <c r="U154" s="2" t="s">
        <v>69</v>
      </c>
      <c r="V154" s="2" t="s">
        <v>28</v>
      </c>
      <c r="W154" s="2" t="s">
        <v>70</v>
      </c>
      <c r="X154" s="2" t="s">
        <v>71</v>
      </c>
      <c r="Y154" s="2">
        <v>0.71572908011700598</v>
      </c>
      <c r="Z154" s="2">
        <v>4.73719444444444</v>
      </c>
      <c r="AA154" s="2">
        <v>-74.069472222222203</v>
      </c>
      <c r="AB154" s="2">
        <v>2555</v>
      </c>
      <c r="AC154" s="2" t="s">
        <v>31</v>
      </c>
      <c r="AD154" s="2" t="s">
        <v>58</v>
      </c>
      <c r="AE154" s="2" t="s">
        <v>33</v>
      </c>
      <c r="AF154" s="2" t="s">
        <v>34</v>
      </c>
      <c r="AG154" s="2" t="s">
        <v>72</v>
      </c>
      <c r="AH154" s="2">
        <v>0.63277327262271099</v>
      </c>
      <c r="AI154" s="2">
        <v>5.2023833731016396</v>
      </c>
      <c r="AJ154" s="2">
        <v>2.0053239567766399</v>
      </c>
      <c r="AK154" s="2">
        <v>0.76599858737369197</v>
      </c>
      <c r="AL154" s="2">
        <v>0.187957444989407</v>
      </c>
      <c r="AM154" s="2">
        <v>15.3</v>
      </c>
      <c r="AN154" s="2">
        <v>9.8000000000000007</v>
      </c>
      <c r="AO154" s="2">
        <v>29.7</v>
      </c>
      <c r="AP154" s="2">
        <v>564</v>
      </c>
      <c r="AQ154" s="2">
        <v>68</v>
      </c>
      <c r="AR154" s="2">
        <v>1.8</v>
      </c>
      <c r="AS154" s="2">
        <v>43</v>
      </c>
      <c r="AT154" s="2">
        <v>25.4</v>
      </c>
      <c r="AU154" s="2">
        <v>162</v>
      </c>
      <c r="AV154" s="2">
        <v>9.1</v>
      </c>
      <c r="AW154" s="2">
        <v>9.1999999999999993</v>
      </c>
      <c r="AX154" s="2">
        <v>18.3</v>
      </c>
      <c r="AY154" s="2">
        <v>0.34</v>
      </c>
      <c r="AZ154" s="2">
        <v>7.3</v>
      </c>
      <c r="BA154" s="2">
        <v>0.9</v>
      </c>
      <c r="BB154" s="2">
        <v>7.5</v>
      </c>
      <c r="BC154" s="2">
        <v>2.9</v>
      </c>
      <c r="BD154" s="2">
        <f>+AN154*EXP(-0.0495*Y154)</f>
        <v>9.458878234884736</v>
      </c>
      <c r="BE154" s="2">
        <f>+AO154*EXP(-0.024*Y154)</f>
        <v>29.194185066533336</v>
      </c>
    </row>
    <row r="155" spans="1:57" x14ac:dyDescent="0.2">
      <c r="A155" s="2" t="s">
        <v>3029</v>
      </c>
      <c r="B155" s="2" t="s">
        <v>19</v>
      </c>
      <c r="C155" s="2" t="s">
        <v>1907</v>
      </c>
      <c r="D155" s="2" t="s">
        <v>21</v>
      </c>
      <c r="E155" s="2" t="s">
        <v>3030</v>
      </c>
      <c r="F155" s="2">
        <v>6</v>
      </c>
      <c r="G155" s="2">
        <v>268</v>
      </c>
      <c r="H155" s="2">
        <v>3</v>
      </c>
      <c r="I155" s="2">
        <v>3</v>
      </c>
      <c r="J155" s="2">
        <v>3</v>
      </c>
      <c r="K155" s="2" t="s">
        <v>61</v>
      </c>
      <c r="L155" s="6" t="s">
        <v>113</v>
      </c>
      <c r="M155" s="5">
        <v>1150000000</v>
      </c>
      <c r="N155" s="2">
        <v>0</v>
      </c>
      <c r="O155" s="2">
        <v>4.7348618509999998</v>
      </c>
      <c r="P155" s="2">
        <v>-74.074096679999997</v>
      </c>
      <c r="Q155" s="2" t="s">
        <v>3031</v>
      </c>
      <c r="R155" s="2">
        <v>4291044.7759999996</v>
      </c>
      <c r="S155" s="2">
        <v>0</v>
      </c>
      <c r="T155" s="2" t="s">
        <v>68</v>
      </c>
      <c r="U155" s="2" t="s">
        <v>69</v>
      </c>
      <c r="V155" s="2" t="s">
        <v>28</v>
      </c>
      <c r="W155" s="2" t="s">
        <v>70</v>
      </c>
      <c r="X155" s="2" t="s">
        <v>71</v>
      </c>
      <c r="Y155" s="2">
        <v>0.57500386636131195</v>
      </c>
      <c r="Z155" s="2">
        <v>4.73719444444444</v>
      </c>
      <c r="AA155" s="2">
        <v>-74.069472222222203</v>
      </c>
      <c r="AB155" s="2">
        <v>2555</v>
      </c>
      <c r="AC155" s="2" t="s">
        <v>31</v>
      </c>
      <c r="AD155" s="2" t="s">
        <v>58</v>
      </c>
      <c r="AE155" s="2" t="s">
        <v>33</v>
      </c>
      <c r="AF155" s="2" t="s">
        <v>34</v>
      </c>
      <c r="AG155" s="2" t="s">
        <v>72</v>
      </c>
      <c r="AH155" s="2">
        <v>0.76722844843998095</v>
      </c>
      <c r="AI155" s="2">
        <v>5.2984179042595603</v>
      </c>
      <c r="AJ155" s="2">
        <v>2.01240597715364</v>
      </c>
      <c r="AK155" s="2">
        <v>0.76438146251484296</v>
      </c>
      <c r="AL155" s="2">
        <v>0.173594918448056</v>
      </c>
      <c r="AM155" s="2">
        <v>15.3</v>
      </c>
      <c r="AN155" s="2">
        <v>9.8000000000000007</v>
      </c>
      <c r="AO155" s="2">
        <v>29.7</v>
      </c>
      <c r="AP155" s="2">
        <v>564</v>
      </c>
      <c r="AQ155" s="2">
        <v>68</v>
      </c>
      <c r="AR155" s="2">
        <v>1.8</v>
      </c>
      <c r="AS155" s="2">
        <v>43</v>
      </c>
      <c r="AT155" s="2">
        <v>25.4</v>
      </c>
      <c r="AU155" s="2">
        <v>162</v>
      </c>
      <c r="AV155" s="2">
        <v>9.1</v>
      </c>
      <c r="AW155" s="2">
        <v>9.1999999999999993</v>
      </c>
      <c r="AX155" s="2">
        <v>18.3</v>
      </c>
      <c r="AY155" s="2">
        <v>0.34</v>
      </c>
      <c r="AZ155" s="2">
        <v>7.3</v>
      </c>
      <c r="BA155" s="2">
        <v>0.9</v>
      </c>
      <c r="BB155" s="2">
        <v>7.5</v>
      </c>
      <c r="BC155" s="2">
        <v>2.9</v>
      </c>
      <c r="BD155" s="2">
        <f>+AN155*EXP(-0.0495*Y155)</f>
        <v>9.5249978404815447</v>
      </c>
      <c r="BE155" s="2">
        <f>+AO155*EXP(-0.024*Y155)</f>
        <v>29.292952351629481</v>
      </c>
    </row>
    <row r="156" spans="1:57" x14ac:dyDescent="0.2">
      <c r="A156" s="2" t="s">
        <v>2638</v>
      </c>
      <c r="B156" s="2" t="s">
        <v>19</v>
      </c>
      <c r="C156" s="2" t="s">
        <v>1907</v>
      </c>
      <c r="D156" s="2" t="s">
        <v>21</v>
      </c>
      <c r="E156" s="2" t="s">
        <v>518</v>
      </c>
      <c r="F156" s="2">
        <v>6</v>
      </c>
      <c r="G156" s="2">
        <v>265</v>
      </c>
      <c r="H156" s="2">
        <v>4</v>
      </c>
      <c r="I156" s="2">
        <v>3</v>
      </c>
      <c r="J156" s="2">
        <v>3</v>
      </c>
      <c r="K156" s="2" t="s">
        <v>61</v>
      </c>
      <c r="L156" s="6" t="s">
        <v>113</v>
      </c>
      <c r="M156" s="5">
        <v>1260000000</v>
      </c>
      <c r="N156" s="2">
        <v>0</v>
      </c>
      <c r="O156" s="2">
        <v>4.7124199999999998</v>
      </c>
      <c r="P156" s="2">
        <v>-74.079549999999998</v>
      </c>
      <c r="Q156" s="2" t="s">
        <v>2639</v>
      </c>
      <c r="R156" s="2">
        <v>4754716.9809999997</v>
      </c>
      <c r="S156" s="2">
        <v>0</v>
      </c>
      <c r="T156" s="2" t="s">
        <v>68</v>
      </c>
      <c r="U156" s="2" t="s">
        <v>69</v>
      </c>
      <c r="V156" s="2" t="s">
        <v>28</v>
      </c>
      <c r="W156" s="2" t="s">
        <v>70</v>
      </c>
      <c r="X156" s="2" t="s">
        <v>71</v>
      </c>
      <c r="Y156" s="2">
        <v>2.9758879878273499</v>
      </c>
      <c r="Z156" s="2">
        <v>4.73719444444444</v>
      </c>
      <c r="AA156" s="2">
        <v>-74.069472222222203</v>
      </c>
      <c r="AB156" s="2">
        <v>2555</v>
      </c>
      <c r="AC156" s="2" t="s">
        <v>31</v>
      </c>
      <c r="AD156" s="2" t="s">
        <v>58</v>
      </c>
      <c r="AE156" s="2" t="s">
        <v>33</v>
      </c>
      <c r="AF156" s="2" t="s">
        <v>34</v>
      </c>
      <c r="AG156" s="2" t="s">
        <v>72</v>
      </c>
      <c r="AH156" s="2">
        <v>0.80438908018171995</v>
      </c>
      <c r="AI156" s="2">
        <v>5.3163748469185599</v>
      </c>
      <c r="AJ156" s="2">
        <v>1.0262093051732599</v>
      </c>
      <c r="AK156" s="2">
        <v>0.25151874877709302</v>
      </c>
      <c r="AL156" s="2">
        <v>0.346615818594117</v>
      </c>
      <c r="AM156" s="2">
        <v>15.3</v>
      </c>
      <c r="AN156" s="2">
        <v>9.8000000000000007</v>
      </c>
      <c r="AO156" s="2">
        <v>29.7</v>
      </c>
      <c r="AP156" s="2">
        <v>564</v>
      </c>
      <c r="AQ156" s="2">
        <v>68</v>
      </c>
      <c r="AR156" s="2">
        <v>1.8</v>
      </c>
      <c r="AS156" s="2">
        <v>43</v>
      </c>
      <c r="AT156" s="2">
        <v>25.4</v>
      </c>
      <c r="AU156" s="2">
        <v>162</v>
      </c>
      <c r="AV156" s="2">
        <v>9.1</v>
      </c>
      <c r="AW156" s="2">
        <v>9.1999999999999993</v>
      </c>
      <c r="AX156" s="2">
        <v>18.3</v>
      </c>
      <c r="AY156" s="2">
        <v>0.34</v>
      </c>
      <c r="AZ156" s="2">
        <v>7.3</v>
      </c>
      <c r="BA156" s="2">
        <v>0.9</v>
      </c>
      <c r="BB156" s="2">
        <v>7.5</v>
      </c>
      <c r="BC156" s="2">
        <v>2.9</v>
      </c>
      <c r="BD156" s="2">
        <f>+AN156*EXP(-0.0495*Y156)</f>
        <v>8.4576886771427251</v>
      </c>
      <c r="BE156" s="2">
        <f>+AO156*EXP(-0.024*Y156)</f>
        <v>27.65276530783391</v>
      </c>
    </row>
    <row r="157" spans="1:57" x14ac:dyDescent="0.2">
      <c r="A157" s="2" t="s">
        <v>2164</v>
      </c>
      <c r="B157" s="2" t="s">
        <v>19</v>
      </c>
      <c r="C157" s="2" t="s">
        <v>1907</v>
      </c>
      <c r="D157" s="2" t="s">
        <v>21</v>
      </c>
      <c r="E157" s="2" t="s">
        <v>300</v>
      </c>
      <c r="F157" s="2">
        <v>6</v>
      </c>
      <c r="G157" s="2">
        <v>265</v>
      </c>
      <c r="H157" s="2">
        <v>4</v>
      </c>
      <c r="I157" s="2">
        <v>4</v>
      </c>
      <c r="J157" s="2">
        <v>2</v>
      </c>
      <c r="K157" s="2" t="s">
        <v>61</v>
      </c>
      <c r="L157" s="6" t="s">
        <v>113</v>
      </c>
      <c r="M157" s="5">
        <v>1260000000</v>
      </c>
      <c r="N157" s="2">
        <v>0</v>
      </c>
      <c r="O157" s="2">
        <v>4.7190630000000002</v>
      </c>
      <c r="P157" s="2">
        <v>-74.076117999999994</v>
      </c>
      <c r="Q157" s="2" t="s">
        <v>2165</v>
      </c>
      <c r="R157" s="2">
        <v>4754716.9809999997</v>
      </c>
      <c r="S157" s="2">
        <v>0</v>
      </c>
      <c r="T157" s="2" t="s">
        <v>68</v>
      </c>
      <c r="U157" s="2" t="s">
        <v>69</v>
      </c>
      <c r="V157" s="2" t="s">
        <v>28</v>
      </c>
      <c r="W157" s="2" t="s">
        <v>70</v>
      </c>
      <c r="X157" s="2" t="s">
        <v>71</v>
      </c>
      <c r="Y157" s="2">
        <v>2.1488282423504601</v>
      </c>
      <c r="Z157" s="2">
        <v>4.73719444444444</v>
      </c>
      <c r="AA157" s="2">
        <v>-74.069472222222203</v>
      </c>
      <c r="AB157" s="2">
        <v>2555</v>
      </c>
      <c r="AC157" s="2" t="s">
        <v>31</v>
      </c>
      <c r="AD157" s="2" t="s">
        <v>58</v>
      </c>
      <c r="AE157" s="2" t="s">
        <v>33</v>
      </c>
      <c r="AF157" s="2" t="s">
        <v>34</v>
      </c>
      <c r="AG157" s="2" t="s">
        <v>72</v>
      </c>
      <c r="AH157" s="2">
        <v>0.28922221593892999</v>
      </c>
      <c r="AI157" s="2">
        <v>5.5254928828701804</v>
      </c>
      <c r="AJ157" s="2">
        <v>0.575706155458376</v>
      </c>
      <c r="AK157" s="2">
        <v>0.34609916564204701</v>
      </c>
      <c r="AL157" s="2">
        <v>3.12082737665462E-2</v>
      </c>
      <c r="AM157" s="2">
        <v>15.3</v>
      </c>
      <c r="AN157" s="2">
        <v>9.8000000000000007</v>
      </c>
      <c r="AO157" s="2">
        <v>29.7</v>
      </c>
      <c r="AP157" s="2">
        <v>564</v>
      </c>
      <c r="AQ157" s="2">
        <v>68</v>
      </c>
      <c r="AR157" s="2">
        <v>1.8</v>
      </c>
      <c r="AS157" s="2">
        <v>43</v>
      </c>
      <c r="AT157" s="2">
        <v>25.4</v>
      </c>
      <c r="AU157" s="2">
        <v>162</v>
      </c>
      <c r="AV157" s="2">
        <v>9.1</v>
      </c>
      <c r="AW157" s="2">
        <v>9.1999999999999993</v>
      </c>
      <c r="AX157" s="2">
        <v>18.3</v>
      </c>
      <c r="AY157" s="2">
        <v>0.34</v>
      </c>
      <c r="AZ157" s="2">
        <v>7.3</v>
      </c>
      <c r="BA157" s="2">
        <v>0.9</v>
      </c>
      <c r="BB157" s="2">
        <v>7.5</v>
      </c>
      <c r="BC157" s="2">
        <v>2.9</v>
      </c>
      <c r="BD157" s="2">
        <f>+AN157*EXP(-0.0495*Y157)</f>
        <v>8.8111272916353833</v>
      </c>
      <c r="BE157" s="2">
        <f>+AO157*EXP(-0.024*Y157)</f>
        <v>28.207140863318148</v>
      </c>
    </row>
    <row r="158" spans="1:57" x14ac:dyDescent="0.2">
      <c r="A158" s="2" t="s">
        <v>2491</v>
      </c>
      <c r="B158" s="2" t="s">
        <v>19</v>
      </c>
      <c r="C158" s="2" t="s">
        <v>1907</v>
      </c>
      <c r="D158" s="2" t="s">
        <v>21</v>
      </c>
      <c r="E158" s="2" t="s">
        <v>2492</v>
      </c>
      <c r="F158" s="2">
        <v>5</v>
      </c>
      <c r="G158" s="2">
        <v>264.39999999999998</v>
      </c>
      <c r="H158" s="2">
        <v>4</v>
      </c>
      <c r="I158" s="2">
        <v>4</v>
      </c>
      <c r="J158" s="2">
        <v>2</v>
      </c>
      <c r="K158" s="2" t="s">
        <v>61</v>
      </c>
      <c r="L158" s="6" t="s">
        <v>75</v>
      </c>
      <c r="M158" s="5">
        <v>1350000000</v>
      </c>
      <c r="N158" s="2">
        <v>0</v>
      </c>
      <c r="O158" s="2">
        <v>4.7395550999999996</v>
      </c>
      <c r="P158" s="2">
        <v>-74.067940899999996</v>
      </c>
      <c r="Q158" s="2" t="s">
        <v>2493</v>
      </c>
      <c r="R158" s="2">
        <v>5105900.1509999996</v>
      </c>
      <c r="S158" s="2">
        <v>0</v>
      </c>
      <c r="T158" s="2" t="s">
        <v>68</v>
      </c>
      <c r="U158" s="2" t="s">
        <v>69</v>
      </c>
      <c r="V158" s="2" t="s">
        <v>28</v>
      </c>
      <c r="W158" s="2" t="s">
        <v>70</v>
      </c>
      <c r="X158" s="2" t="s">
        <v>71</v>
      </c>
      <c r="Y158" s="2">
        <v>0.31291750571288302</v>
      </c>
      <c r="Z158" s="2">
        <v>4.73719444444444</v>
      </c>
      <c r="AA158" s="2">
        <v>-74.069472222222203</v>
      </c>
      <c r="AB158" s="2">
        <v>2555</v>
      </c>
      <c r="AC158" s="2" t="s">
        <v>31</v>
      </c>
      <c r="AD158" s="2" t="s">
        <v>58</v>
      </c>
      <c r="AE158" s="2" t="s">
        <v>33</v>
      </c>
      <c r="AF158" s="2" t="s">
        <v>34</v>
      </c>
      <c r="AG158" s="2" t="s">
        <v>72</v>
      </c>
      <c r="AH158" s="2">
        <v>1.51396838335746</v>
      </c>
      <c r="AI158" s="2">
        <v>5.1503667705745801</v>
      </c>
      <c r="AJ158" s="2">
        <v>2.2127407798830498</v>
      </c>
      <c r="AK158" s="2">
        <v>0.32343651590945299</v>
      </c>
      <c r="AL158" s="2">
        <v>0.10948692256784701</v>
      </c>
      <c r="AM158" s="2">
        <v>15.3</v>
      </c>
      <c r="AN158" s="2">
        <v>9.8000000000000007</v>
      </c>
      <c r="AO158" s="2">
        <v>29.7</v>
      </c>
      <c r="AP158" s="2">
        <v>564</v>
      </c>
      <c r="AQ158" s="2">
        <v>68</v>
      </c>
      <c r="AR158" s="2">
        <v>1.8</v>
      </c>
      <c r="AS158" s="2">
        <v>43</v>
      </c>
      <c r="AT158" s="2">
        <v>25.4</v>
      </c>
      <c r="AU158" s="2">
        <v>162</v>
      </c>
      <c r="AV158" s="2">
        <v>9.1</v>
      </c>
      <c r="AW158" s="2">
        <v>9.1999999999999993</v>
      </c>
      <c r="AX158" s="2">
        <v>18.3</v>
      </c>
      <c r="AY158" s="2">
        <v>0.34</v>
      </c>
      <c r="AZ158" s="2">
        <v>7.3</v>
      </c>
      <c r="BA158" s="2">
        <v>0.9</v>
      </c>
      <c r="BB158" s="2">
        <v>7.5</v>
      </c>
      <c r="BC158" s="2">
        <v>2.9</v>
      </c>
      <c r="BD158" s="2">
        <f>+AN158*EXP(-0.0495*Y158)</f>
        <v>9.6493732894524022</v>
      </c>
      <c r="BE158" s="2">
        <f>+AO158*EXP(-0.024*Y158)</f>
        <v>29.47778785517259</v>
      </c>
    </row>
    <row r="159" spans="1:57" x14ac:dyDescent="0.2">
      <c r="A159" s="2" t="s">
        <v>1913</v>
      </c>
      <c r="B159" s="2" t="s">
        <v>19</v>
      </c>
      <c r="C159" s="2" t="s">
        <v>1907</v>
      </c>
      <c r="D159" s="2" t="s">
        <v>21</v>
      </c>
      <c r="E159" s="2" t="s">
        <v>339</v>
      </c>
      <c r="F159" s="2">
        <v>6</v>
      </c>
      <c r="G159" s="2">
        <v>261.5</v>
      </c>
      <c r="H159" s="2">
        <v>4</v>
      </c>
      <c r="I159" s="2">
        <v>5</v>
      </c>
      <c r="J159" s="2">
        <v>4</v>
      </c>
      <c r="K159" s="2" t="s">
        <v>23</v>
      </c>
      <c r="L159" s="6" t="s">
        <v>24</v>
      </c>
      <c r="M159" s="5">
        <v>3979999000</v>
      </c>
      <c r="N159" s="2">
        <v>0</v>
      </c>
      <c r="O159" s="2">
        <v>4.7454169999999998</v>
      </c>
      <c r="P159" s="2">
        <v>-74.074520000000007</v>
      </c>
      <c r="Q159" s="2" t="s">
        <v>1914</v>
      </c>
      <c r="R159" s="2">
        <v>15219881.449999999</v>
      </c>
      <c r="S159" s="2">
        <v>0</v>
      </c>
      <c r="T159" s="2" t="s">
        <v>68</v>
      </c>
      <c r="U159" s="2" t="s">
        <v>69</v>
      </c>
      <c r="V159" s="2" t="s">
        <v>28</v>
      </c>
      <c r="W159" s="2" t="s">
        <v>70</v>
      </c>
      <c r="X159" s="2" t="s">
        <v>71</v>
      </c>
      <c r="Y159" s="2">
        <v>1.0730436510305299</v>
      </c>
      <c r="Z159" s="2">
        <v>4.73719444444444</v>
      </c>
      <c r="AA159" s="2">
        <v>-74.069472222222203</v>
      </c>
      <c r="AB159" s="2">
        <v>2555</v>
      </c>
      <c r="AC159" s="2" t="s">
        <v>31</v>
      </c>
      <c r="AD159" s="2" t="s">
        <v>58</v>
      </c>
      <c r="AE159" s="2" t="s">
        <v>33</v>
      </c>
      <c r="AF159" s="2" t="s">
        <v>34</v>
      </c>
      <c r="AG159" s="2" t="s">
        <v>72</v>
      </c>
      <c r="AH159" s="2">
        <v>1.30888673422818</v>
      </c>
      <c r="AI159" s="2">
        <v>4.6998070568874502</v>
      </c>
      <c r="AJ159" s="2">
        <v>2.4908581066797701</v>
      </c>
      <c r="AK159" s="2">
        <v>0.75507979697583905</v>
      </c>
      <c r="AL159" s="2">
        <v>2.49755832596214E-2</v>
      </c>
      <c r="AM159" s="2">
        <v>15.3</v>
      </c>
      <c r="AN159" s="2">
        <v>9.8000000000000007</v>
      </c>
      <c r="AO159" s="2">
        <v>29.7</v>
      </c>
      <c r="AP159" s="2">
        <v>564</v>
      </c>
      <c r="AQ159" s="2">
        <v>68</v>
      </c>
      <c r="AR159" s="2">
        <v>1.8</v>
      </c>
      <c r="AS159" s="2">
        <v>43</v>
      </c>
      <c r="AT159" s="2">
        <v>25.4</v>
      </c>
      <c r="AU159" s="2">
        <v>162</v>
      </c>
      <c r="AV159" s="2">
        <v>9.1</v>
      </c>
      <c r="AW159" s="2">
        <v>9.1999999999999993</v>
      </c>
      <c r="AX159" s="2">
        <v>18.3</v>
      </c>
      <c r="AY159" s="2">
        <v>0.34</v>
      </c>
      <c r="AZ159" s="2">
        <v>7.3</v>
      </c>
      <c r="BA159" s="2">
        <v>0.9</v>
      </c>
      <c r="BB159" s="2">
        <v>7.5</v>
      </c>
      <c r="BC159" s="2">
        <v>2.9</v>
      </c>
      <c r="BD159" s="2">
        <f>+AN159*EXP(-0.0495*Y159)</f>
        <v>9.2930492193461252</v>
      </c>
      <c r="BE159" s="2">
        <f>+AO159*EXP(-0.024*Y159)</f>
        <v>28.944899290474932</v>
      </c>
    </row>
    <row r="160" spans="1:57" x14ac:dyDescent="0.2">
      <c r="A160" s="2" t="s">
        <v>2616</v>
      </c>
      <c r="B160" s="2" t="s">
        <v>19</v>
      </c>
      <c r="C160" s="2" t="s">
        <v>1907</v>
      </c>
      <c r="D160" s="2" t="s">
        <v>21</v>
      </c>
      <c r="E160" s="2" t="s">
        <v>443</v>
      </c>
      <c r="F160" s="2">
        <v>4</v>
      </c>
      <c r="G160" s="2">
        <v>261</v>
      </c>
      <c r="H160" s="2">
        <v>5</v>
      </c>
      <c r="I160" s="2">
        <v>5</v>
      </c>
      <c r="J160" s="2">
        <v>4</v>
      </c>
      <c r="K160" s="2" t="s">
        <v>61</v>
      </c>
      <c r="L160" s="6" t="s">
        <v>66</v>
      </c>
      <c r="M160" s="5">
        <v>1350000000</v>
      </c>
      <c r="N160" s="2">
        <v>0</v>
      </c>
      <c r="O160" s="2">
        <v>4.7180266380000004</v>
      </c>
      <c r="P160" s="2">
        <v>-74.070426940000004</v>
      </c>
      <c r="Q160" s="2" t="s">
        <v>2617</v>
      </c>
      <c r="R160" s="2">
        <v>5172413.7929999996</v>
      </c>
      <c r="S160" s="2">
        <v>0</v>
      </c>
      <c r="T160" s="2" t="s">
        <v>68</v>
      </c>
      <c r="U160" s="2" t="s">
        <v>69</v>
      </c>
      <c r="V160" s="2" t="s">
        <v>28</v>
      </c>
      <c r="W160" s="2" t="s">
        <v>70</v>
      </c>
      <c r="X160" s="2" t="s">
        <v>71</v>
      </c>
      <c r="Y160" s="2">
        <v>2.13637764233729</v>
      </c>
      <c r="Z160" s="2">
        <v>4.73719444444444</v>
      </c>
      <c r="AA160" s="2">
        <v>-74.069472222222203</v>
      </c>
      <c r="AB160" s="2">
        <v>2555</v>
      </c>
      <c r="AC160" s="2" t="s">
        <v>31</v>
      </c>
      <c r="AD160" s="2" t="s">
        <v>58</v>
      </c>
      <c r="AE160" s="2" t="s">
        <v>33</v>
      </c>
      <c r="AF160" s="2" t="s">
        <v>34</v>
      </c>
      <c r="AG160" s="2" t="s">
        <v>72</v>
      </c>
      <c r="AH160" s="2">
        <v>0.59492603115851295</v>
      </c>
      <c r="AI160" s="2">
        <v>5.1070038760696601</v>
      </c>
      <c r="AJ160" s="2">
        <v>0.16999992706971001</v>
      </c>
      <c r="AK160" s="2">
        <v>9.5834931340090204E-2</v>
      </c>
      <c r="AL160" s="2">
        <v>6.8919070230812299E-2</v>
      </c>
      <c r="AM160" s="2">
        <v>15.3</v>
      </c>
      <c r="AN160" s="2">
        <v>9.8000000000000007</v>
      </c>
      <c r="AO160" s="2">
        <v>29.7</v>
      </c>
      <c r="AP160" s="2">
        <v>564</v>
      </c>
      <c r="AQ160" s="2">
        <v>68</v>
      </c>
      <c r="AR160" s="2">
        <v>1.8</v>
      </c>
      <c r="AS160" s="2">
        <v>43</v>
      </c>
      <c r="AT160" s="2">
        <v>25.4</v>
      </c>
      <c r="AU160" s="2">
        <v>162</v>
      </c>
      <c r="AV160" s="2">
        <v>9.1</v>
      </c>
      <c r="AW160" s="2">
        <v>9.1999999999999993</v>
      </c>
      <c r="AX160" s="2">
        <v>18.3</v>
      </c>
      <c r="AY160" s="2">
        <v>0.34</v>
      </c>
      <c r="AZ160" s="2">
        <v>7.3</v>
      </c>
      <c r="BA160" s="2">
        <v>0.9</v>
      </c>
      <c r="BB160" s="2">
        <v>7.5</v>
      </c>
      <c r="BC160" s="2">
        <v>2.9</v>
      </c>
      <c r="BD160" s="2">
        <f>+AN160*EXP(-0.0495*Y160)</f>
        <v>8.8165593045188597</v>
      </c>
      <c r="BE160" s="2">
        <f>+AO160*EXP(-0.024*Y160)</f>
        <v>28.215570822633747</v>
      </c>
    </row>
    <row r="161" spans="1:57" x14ac:dyDescent="0.2">
      <c r="A161" s="2" t="s">
        <v>3186</v>
      </c>
      <c r="B161" s="2" t="s">
        <v>19</v>
      </c>
      <c r="C161" s="2" t="s">
        <v>1907</v>
      </c>
      <c r="D161" s="2" t="s">
        <v>21</v>
      </c>
      <c r="E161" s="2" t="s">
        <v>218</v>
      </c>
      <c r="F161" s="2">
        <v>6</v>
      </c>
      <c r="G161" s="2">
        <v>260</v>
      </c>
      <c r="H161" s="2">
        <v>4</v>
      </c>
      <c r="I161" s="2">
        <v>4</v>
      </c>
      <c r="J161" s="2">
        <v>2</v>
      </c>
      <c r="K161" s="2" t="s">
        <v>61</v>
      </c>
      <c r="L161" s="6" t="s">
        <v>75</v>
      </c>
      <c r="M161" s="5">
        <v>1800000000</v>
      </c>
      <c r="N161" s="2">
        <v>0</v>
      </c>
      <c r="O161" s="2">
        <v>4.8192005160000004</v>
      </c>
      <c r="P161" s="2">
        <v>-74.041084290000001</v>
      </c>
      <c r="Q161" s="2" t="s">
        <v>3187</v>
      </c>
      <c r="R161" s="2">
        <v>6923076.9230000004</v>
      </c>
      <c r="S161" s="2">
        <v>0</v>
      </c>
      <c r="T161" s="2" t="s">
        <v>102</v>
      </c>
      <c r="U161" s="2" t="s">
        <v>103</v>
      </c>
      <c r="V161" s="2" t="s">
        <v>28</v>
      </c>
      <c r="W161" s="2" t="s">
        <v>70</v>
      </c>
      <c r="X161" s="2" t="s">
        <v>104</v>
      </c>
      <c r="Y161" s="2">
        <v>3.9608536790384101</v>
      </c>
      <c r="Z161" s="2">
        <v>4.7837500000000004</v>
      </c>
      <c r="AA161" s="2">
        <v>-74.044138888888895</v>
      </c>
      <c r="AB161" s="2">
        <v>2580</v>
      </c>
      <c r="AC161" s="2" t="s">
        <v>105</v>
      </c>
      <c r="AD161" s="2" t="s">
        <v>58</v>
      </c>
      <c r="AE161" s="2" t="s">
        <v>33</v>
      </c>
      <c r="AF161" s="2" t="s">
        <v>34</v>
      </c>
      <c r="AG161" s="2" t="s">
        <v>72</v>
      </c>
      <c r="AH161" s="2">
        <v>5.5746097397625398</v>
      </c>
      <c r="AI161" s="2">
        <v>1.07227956348163</v>
      </c>
      <c r="AJ161" s="2">
        <v>2.21721150407698</v>
      </c>
      <c r="AK161" s="2">
        <v>4.6239717682486399</v>
      </c>
      <c r="AL161" s="2">
        <v>2.0650607888673699E-2</v>
      </c>
      <c r="AM161" s="2">
        <v>15.3</v>
      </c>
      <c r="AN161" s="2">
        <v>9.8000000000000007</v>
      </c>
      <c r="AO161" s="2">
        <v>29.7</v>
      </c>
      <c r="AP161" s="2">
        <v>564</v>
      </c>
      <c r="AQ161" s="2">
        <v>68</v>
      </c>
      <c r="AR161" s="2">
        <v>1.8</v>
      </c>
      <c r="AS161" s="2">
        <v>43</v>
      </c>
      <c r="AT161" s="2">
        <v>25.4</v>
      </c>
      <c r="AU161" s="2">
        <v>162</v>
      </c>
      <c r="AV161" s="2">
        <v>9.1</v>
      </c>
      <c r="AW161" s="2">
        <v>9.1999999999999993</v>
      </c>
      <c r="AX161" s="2">
        <v>18.3</v>
      </c>
      <c r="AY161" s="2">
        <v>0.34</v>
      </c>
      <c r="AZ161" s="2">
        <v>7.3</v>
      </c>
      <c r="BA161" s="2">
        <v>0.9</v>
      </c>
      <c r="BB161" s="2">
        <v>7.5</v>
      </c>
      <c r="BC161" s="2">
        <v>2.9</v>
      </c>
      <c r="BD161" s="2">
        <f>+AN161*EXP(-0.0495*Y161)</f>
        <v>8.0552183895984015</v>
      </c>
      <c r="BE161" s="2">
        <f>+AO161*EXP(-0.024*Y161)</f>
        <v>27.006742512438898</v>
      </c>
    </row>
    <row r="162" spans="1:57" x14ac:dyDescent="0.2">
      <c r="A162" s="2" t="s">
        <v>2618</v>
      </c>
      <c r="B162" s="2" t="s">
        <v>19</v>
      </c>
      <c r="C162" s="2" t="s">
        <v>1907</v>
      </c>
      <c r="D162" s="2" t="s">
        <v>21</v>
      </c>
      <c r="E162" s="2" t="s">
        <v>2619</v>
      </c>
      <c r="F162" s="2">
        <v>6</v>
      </c>
      <c r="G162" s="2">
        <v>260</v>
      </c>
      <c r="H162" s="2">
        <v>3</v>
      </c>
      <c r="I162" s="2">
        <v>5</v>
      </c>
      <c r="J162" s="2">
        <v>3</v>
      </c>
      <c r="K162" s="2" t="s">
        <v>61</v>
      </c>
      <c r="L162" s="6" t="s">
        <v>113</v>
      </c>
      <c r="M162" s="5">
        <v>1800000000</v>
      </c>
      <c r="N162" s="2">
        <v>0</v>
      </c>
      <c r="O162" s="2">
        <v>4.7350199999999996</v>
      </c>
      <c r="P162" s="2">
        <v>-74.07647</v>
      </c>
      <c r="Q162" s="2" t="s">
        <v>2620</v>
      </c>
      <c r="R162" s="2">
        <v>6923076.9230000004</v>
      </c>
      <c r="S162" s="2">
        <v>0</v>
      </c>
      <c r="T162" s="2" t="s">
        <v>68</v>
      </c>
      <c r="U162" s="2" t="s">
        <v>69</v>
      </c>
      <c r="V162" s="2" t="s">
        <v>28</v>
      </c>
      <c r="W162" s="2" t="s">
        <v>70</v>
      </c>
      <c r="X162" s="2" t="s">
        <v>71</v>
      </c>
      <c r="Y162" s="2">
        <v>0.81319074616419496</v>
      </c>
      <c r="Z162" s="2">
        <v>4.73719444444444</v>
      </c>
      <c r="AA162" s="2">
        <v>-74.069472222222203</v>
      </c>
      <c r="AB162" s="2">
        <v>2555</v>
      </c>
      <c r="AC162" s="2" t="s">
        <v>31</v>
      </c>
      <c r="AD162" s="2" t="s">
        <v>58</v>
      </c>
      <c r="AE162" s="2" t="s">
        <v>33</v>
      </c>
      <c r="AF162" s="2" t="s">
        <v>34</v>
      </c>
      <c r="AG162" s="2" t="s">
        <v>72</v>
      </c>
      <c r="AH162" s="2">
        <v>0.50365724024899095</v>
      </c>
      <c r="AI162" s="2">
        <v>5.0725459869614298</v>
      </c>
      <c r="AJ162" s="2">
        <v>2.0845347770317799</v>
      </c>
      <c r="AK162" s="2">
        <v>0.63299486822722695</v>
      </c>
      <c r="AL162" s="2">
        <v>8.8493335048841701E-2</v>
      </c>
      <c r="AM162" s="2">
        <v>15.3</v>
      </c>
      <c r="AN162" s="2">
        <v>9.8000000000000007</v>
      </c>
      <c r="AO162" s="2">
        <v>29.7</v>
      </c>
      <c r="AP162" s="2">
        <v>564</v>
      </c>
      <c r="AQ162" s="2">
        <v>68</v>
      </c>
      <c r="AR162" s="2">
        <v>1.8</v>
      </c>
      <c r="AS162" s="2">
        <v>43</v>
      </c>
      <c r="AT162" s="2">
        <v>25.4</v>
      </c>
      <c r="AU162" s="2">
        <v>162</v>
      </c>
      <c r="AV162" s="2">
        <v>9.1</v>
      </c>
      <c r="AW162" s="2">
        <v>9.1999999999999993</v>
      </c>
      <c r="AX162" s="2">
        <v>18.3</v>
      </c>
      <c r="AY162" s="2">
        <v>0.34</v>
      </c>
      <c r="AZ162" s="2">
        <v>7.3</v>
      </c>
      <c r="BA162" s="2">
        <v>0.9</v>
      </c>
      <c r="BB162" s="2">
        <v>7.5</v>
      </c>
      <c r="BC162" s="2">
        <v>2.9</v>
      </c>
      <c r="BD162" s="2">
        <f>+AN162*EXP(-0.0495*Y162)</f>
        <v>9.4133551702631113</v>
      </c>
      <c r="BE162" s="2">
        <f>+AO162*EXP(-0.024*Y162)</f>
        <v>29.125977335330113</v>
      </c>
    </row>
    <row r="163" spans="1:57" x14ac:dyDescent="0.2">
      <c r="A163" s="2" t="s">
        <v>1964</v>
      </c>
      <c r="B163" s="2" t="s">
        <v>19</v>
      </c>
      <c r="C163" s="2" t="s">
        <v>1907</v>
      </c>
      <c r="D163" s="2" t="s">
        <v>21</v>
      </c>
      <c r="E163" s="2" t="s">
        <v>406</v>
      </c>
      <c r="F163" s="2">
        <v>6</v>
      </c>
      <c r="G163" s="2">
        <v>259</v>
      </c>
      <c r="H163" s="2">
        <v>4</v>
      </c>
      <c r="I163" s="2">
        <v>5</v>
      </c>
      <c r="J163" s="2">
        <v>2</v>
      </c>
      <c r="K163" s="2" t="s">
        <v>61</v>
      </c>
      <c r="L163" s="6" t="s">
        <v>113</v>
      </c>
      <c r="M163" s="5">
        <v>1100000000</v>
      </c>
      <c r="N163" s="2">
        <v>0</v>
      </c>
      <c r="O163" s="2">
        <v>4.7376995089999996</v>
      </c>
      <c r="P163" s="2">
        <v>-74.076545719999999</v>
      </c>
      <c r="Q163" s="2" t="s">
        <v>1965</v>
      </c>
      <c r="R163" s="2">
        <v>4247104.2470000004</v>
      </c>
      <c r="S163" s="2">
        <v>0</v>
      </c>
      <c r="T163" s="2" t="s">
        <v>68</v>
      </c>
      <c r="U163" s="2" t="s">
        <v>69</v>
      </c>
      <c r="V163" s="2" t="s">
        <v>28</v>
      </c>
      <c r="W163" s="2" t="s">
        <v>70</v>
      </c>
      <c r="X163" s="2" t="s">
        <v>71</v>
      </c>
      <c r="Y163" s="2">
        <v>0.78673960163071899</v>
      </c>
      <c r="Z163" s="2">
        <v>4.73719444444444</v>
      </c>
      <c r="AA163" s="2">
        <v>-74.069472222222203</v>
      </c>
      <c r="AB163" s="2">
        <v>2555</v>
      </c>
      <c r="AC163" s="2" t="s">
        <v>31</v>
      </c>
      <c r="AD163" s="2" t="s">
        <v>58</v>
      </c>
      <c r="AE163" s="2" t="s">
        <v>33</v>
      </c>
      <c r="AF163" s="2" t="s">
        <v>34</v>
      </c>
      <c r="AG163" s="2" t="s">
        <v>72</v>
      </c>
      <c r="AH163" s="2">
        <v>0.54870064077564995</v>
      </c>
      <c r="AI163" s="2">
        <v>4.8988745615195199</v>
      </c>
      <c r="AJ163" s="2">
        <v>2.3730916048531601</v>
      </c>
      <c r="AK163" s="2">
        <v>0.55742899024924597</v>
      </c>
      <c r="AL163" s="2">
        <v>9.6446447352999398E-3</v>
      </c>
      <c r="AM163" s="2">
        <v>15.3</v>
      </c>
      <c r="AN163" s="2">
        <v>9.8000000000000007</v>
      </c>
      <c r="AO163" s="2">
        <v>29.7</v>
      </c>
      <c r="AP163" s="2">
        <v>564</v>
      </c>
      <c r="AQ163" s="2">
        <v>68</v>
      </c>
      <c r="AR163" s="2">
        <v>1.8</v>
      </c>
      <c r="AS163" s="2">
        <v>43</v>
      </c>
      <c r="AT163" s="2">
        <v>25.4</v>
      </c>
      <c r="AU163" s="2">
        <v>162</v>
      </c>
      <c r="AV163" s="2">
        <v>9.1</v>
      </c>
      <c r="AW163" s="2">
        <v>9.1999999999999993</v>
      </c>
      <c r="AX163" s="2">
        <v>18.3</v>
      </c>
      <c r="AY163" s="2">
        <v>0.34</v>
      </c>
      <c r="AZ163" s="2">
        <v>7.3</v>
      </c>
      <c r="BA163" s="2">
        <v>0.9</v>
      </c>
      <c r="BB163" s="2">
        <v>7.5</v>
      </c>
      <c r="BC163" s="2">
        <v>2.9</v>
      </c>
      <c r="BD163" s="2">
        <f>+AN163*EXP(-0.0495*Y163)</f>
        <v>9.4256884465742896</v>
      </c>
      <c r="BE163" s="2">
        <f>+AO163*EXP(-0.024*Y163)</f>
        <v>29.144473176011029</v>
      </c>
    </row>
    <row r="164" spans="1:57" x14ac:dyDescent="0.2">
      <c r="A164" s="2" t="s">
        <v>2273</v>
      </c>
      <c r="B164" s="2" t="s">
        <v>19</v>
      </c>
      <c r="C164" s="2" t="s">
        <v>1907</v>
      </c>
      <c r="D164" s="2" t="s">
        <v>21</v>
      </c>
      <c r="E164" s="2" t="s">
        <v>406</v>
      </c>
      <c r="F164" s="2">
        <v>6</v>
      </c>
      <c r="G164" s="2">
        <v>257.72000000000003</v>
      </c>
      <c r="H164" s="2">
        <v>4</v>
      </c>
      <c r="I164" s="2">
        <v>5</v>
      </c>
      <c r="J164" s="2">
        <v>2</v>
      </c>
      <c r="K164" s="2" t="s">
        <v>61</v>
      </c>
      <c r="L164" s="6" t="s">
        <v>113</v>
      </c>
      <c r="M164" s="5">
        <v>1100000000</v>
      </c>
      <c r="N164" s="2">
        <v>0</v>
      </c>
      <c r="O164" s="2">
        <v>4.7374687</v>
      </c>
      <c r="P164" s="2">
        <v>-74.076453999999998</v>
      </c>
      <c r="Q164" s="2" t="s">
        <v>2274</v>
      </c>
      <c r="R164" s="2">
        <v>4268198.0439999998</v>
      </c>
      <c r="S164" s="2">
        <v>0</v>
      </c>
      <c r="T164" s="2" t="s">
        <v>68</v>
      </c>
      <c r="U164" s="2" t="s">
        <v>69</v>
      </c>
      <c r="V164" s="2" t="s">
        <v>28</v>
      </c>
      <c r="W164" s="2" t="s">
        <v>70</v>
      </c>
      <c r="X164" s="2" t="s">
        <v>71</v>
      </c>
      <c r="Y164" s="2">
        <v>0.77515429527079904</v>
      </c>
      <c r="Z164" s="2">
        <v>4.73719444444444</v>
      </c>
      <c r="AA164" s="2">
        <v>-74.069472222222203</v>
      </c>
      <c r="AB164" s="2">
        <v>2555</v>
      </c>
      <c r="AC164" s="2" t="s">
        <v>31</v>
      </c>
      <c r="AD164" s="2" t="s">
        <v>58</v>
      </c>
      <c r="AE164" s="2" t="s">
        <v>33</v>
      </c>
      <c r="AF164" s="2" t="s">
        <v>34</v>
      </c>
      <c r="AG164" s="2" t="s">
        <v>72</v>
      </c>
      <c r="AH164" s="2">
        <v>0.54725296149645397</v>
      </c>
      <c r="AI164" s="2">
        <v>4.9212869137584399</v>
      </c>
      <c r="AJ164" s="2">
        <v>2.34589351540032</v>
      </c>
      <c r="AK164" s="2">
        <v>0.56762572603240002</v>
      </c>
      <c r="AL164" s="2">
        <v>6.9599904157464296E-3</v>
      </c>
      <c r="AM164" s="2">
        <v>15.3</v>
      </c>
      <c r="AN164" s="2">
        <v>9.8000000000000007</v>
      </c>
      <c r="AO164" s="2">
        <v>29.7</v>
      </c>
      <c r="AP164" s="2">
        <v>564</v>
      </c>
      <c r="AQ164" s="2">
        <v>68</v>
      </c>
      <c r="AR164" s="2">
        <v>1.8</v>
      </c>
      <c r="AS164" s="2">
        <v>43</v>
      </c>
      <c r="AT164" s="2">
        <v>25.4</v>
      </c>
      <c r="AU164" s="2">
        <v>162</v>
      </c>
      <c r="AV164" s="2">
        <v>9.1</v>
      </c>
      <c r="AW164" s="2">
        <v>9.1999999999999993</v>
      </c>
      <c r="AX164" s="2">
        <v>18.3</v>
      </c>
      <c r="AY164" s="2">
        <v>0.34</v>
      </c>
      <c r="AZ164" s="2">
        <v>7.3</v>
      </c>
      <c r="BA164" s="2">
        <v>0.9</v>
      </c>
      <c r="BB164" s="2">
        <v>7.5</v>
      </c>
      <c r="BC164" s="2">
        <v>2.9</v>
      </c>
      <c r="BD164" s="2">
        <f>+AN164*EXP(-0.0495*Y164)</f>
        <v>9.4310953714591008</v>
      </c>
      <c r="BE164" s="2">
        <f>+AO164*EXP(-0.024*Y164)</f>
        <v>29.152577846310496</v>
      </c>
    </row>
    <row r="165" spans="1:57" x14ac:dyDescent="0.2">
      <c r="A165" s="2" t="s">
        <v>555</v>
      </c>
      <c r="B165" s="2" t="s">
        <v>19</v>
      </c>
      <c r="C165" s="2" t="s">
        <v>20</v>
      </c>
      <c r="D165" s="2" t="s">
        <v>21</v>
      </c>
      <c r="E165" s="2" t="s">
        <v>499</v>
      </c>
      <c r="F165" s="2">
        <v>6</v>
      </c>
      <c r="G165" s="2">
        <v>255</v>
      </c>
      <c r="H165" s="2">
        <v>3</v>
      </c>
      <c r="I165" s="2">
        <v>5</v>
      </c>
      <c r="J165" s="2">
        <v>4</v>
      </c>
      <c r="K165" s="2" t="s">
        <v>61</v>
      </c>
      <c r="L165" s="6" t="s">
        <v>84</v>
      </c>
      <c r="M165" s="5">
        <v>3600000000</v>
      </c>
      <c r="N165" s="2">
        <v>0</v>
      </c>
      <c r="O165" s="2">
        <v>4.7245936390000001</v>
      </c>
      <c r="P165" s="2">
        <v>-74.077758790000004</v>
      </c>
      <c r="Q165" s="2" t="s">
        <v>556</v>
      </c>
      <c r="R165" s="2">
        <v>14117647.060000001</v>
      </c>
      <c r="S165" s="2">
        <v>0</v>
      </c>
      <c r="T165" s="2" t="s">
        <v>68</v>
      </c>
      <c r="U165" s="2" t="s">
        <v>69</v>
      </c>
      <c r="V165" s="2" t="s">
        <v>28</v>
      </c>
      <c r="W165" s="2" t="s">
        <v>70</v>
      </c>
      <c r="X165" s="2" t="s">
        <v>71</v>
      </c>
      <c r="Y165" s="2">
        <v>1.6771248705386901</v>
      </c>
      <c r="Z165" s="2">
        <v>4.73719444444444</v>
      </c>
      <c r="AA165" s="2">
        <v>-74.069472222222203</v>
      </c>
      <c r="AB165" s="2">
        <v>2555</v>
      </c>
      <c r="AC165" s="2" t="s">
        <v>31</v>
      </c>
      <c r="AD165" s="2" t="s">
        <v>58</v>
      </c>
      <c r="AE165" s="2" t="s">
        <v>33</v>
      </c>
      <c r="AF165" s="2" t="s">
        <v>34</v>
      </c>
      <c r="AG165" s="2" t="s">
        <v>72</v>
      </c>
      <c r="AH165" s="2">
        <v>0.46186623077198402</v>
      </c>
      <c r="AI165" s="2">
        <v>5.2536578252352202</v>
      </c>
      <c r="AJ165" s="2">
        <v>1.1074697207309201</v>
      </c>
      <c r="AK165" s="2">
        <v>0.76973474798449004</v>
      </c>
      <c r="AL165" s="2">
        <v>3.9074462529165403E-2</v>
      </c>
      <c r="AM165" s="2">
        <v>15.3</v>
      </c>
      <c r="AN165" s="2">
        <v>9.8000000000000007</v>
      </c>
      <c r="AO165" s="2">
        <v>29.7</v>
      </c>
      <c r="AP165" s="2">
        <v>564</v>
      </c>
      <c r="AQ165" s="2">
        <v>68</v>
      </c>
      <c r="AR165" s="2">
        <v>1.8</v>
      </c>
      <c r="AS165" s="2">
        <v>43</v>
      </c>
      <c r="AT165" s="2">
        <v>25.4</v>
      </c>
      <c r="AU165" s="2">
        <v>162</v>
      </c>
      <c r="AV165" s="2">
        <v>9.1</v>
      </c>
      <c r="AW165" s="2">
        <v>9.1999999999999993</v>
      </c>
      <c r="AX165" s="2">
        <v>18.3</v>
      </c>
      <c r="AY165" s="2">
        <v>0.34</v>
      </c>
      <c r="AZ165" s="2">
        <v>7.3</v>
      </c>
      <c r="BA165" s="2">
        <v>0.9</v>
      </c>
      <c r="BB165" s="2">
        <v>7.5</v>
      </c>
      <c r="BC165" s="2">
        <v>2.9</v>
      </c>
      <c r="BD165" s="2">
        <f>+AN165*EXP(-0.0495*Y165)</f>
        <v>9.0192817705996671</v>
      </c>
      <c r="BE165" s="2">
        <f>+AO165*EXP(-0.024*Y165)</f>
        <v>28.528284933236993</v>
      </c>
    </row>
    <row r="166" spans="1:57" x14ac:dyDescent="0.2">
      <c r="A166" s="2" t="s">
        <v>1736</v>
      </c>
      <c r="B166" s="2" t="s">
        <v>19</v>
      </c>
      <c r="C166" s="2" t="s">
        <v>20</v>
      </c>
      <c r="D166" s="2" t="s">
        <v>21</v>
      </c>
      <c r="E166" s="2" t="s">
        <v>660</v>
      </c>
      <c r="F166" s="2">
        <v>6</v>
      </c>
      <c r="G166" s="2">
        <v>253.13</v>
      </c>
      <c r="H166" s="2">
        <v>3</v>
      </c>
      <c r="I166" s="2">
        <v>5</v>
      </c>
      <c r="J166" s="2">
        <v>3</v>
      </c>
      <c r="K166" s="2" t="s">
        <v>61</v>
      </c>
      <c r="L166" s="6" t="s">
        <v>84</v>
      </c>
      <c r="M166" s="5">
        <v>2000000000</v>
      </c>
      <c r="N166" s="2">
        <v>0</v>
      </c>
      <c r="O166" s="2">
        <v>4.7405790000000003</v>
      </c>
      <c r="P166" s="2">
        <v>-74.070468000000005</v>
      </c>
      <c r="Q166" s="2" t="s">
        <v>1737</v>
      </c>
      <c r="R166" s="2">
        <v>7901078.4970000004</v>
      </c>
      <c r="S166" s="2">
        <v>0</v>
      </c>
      <c r="T166" s="2" t="s">
        <v>68</v>
      </c>
      <c r="U166" s="2" t="s">
        <v>69</v>
      </c>
      <c r="V166" s="2" t="s">
        <v>28</v>
      </c>
      <c r="W166" s="2" t="s">
        <v>70</v>
      </c>
      <c r="X166" s="2" t="s">
        <v>71</v>
      </c>
      <c r="Y166" s="2">
        <v>0.39262846755416397</v>
      </c>
      <c r="Z166" s="2">
        <v>4.73719444444444</v>
      </c>
      <c r="AA166" s="2">
        <v>-74.069472222222203</v>
      </c>
      <c r="AB166" s="2">
        <v>2555</v>
      </c>
      <c r="AC166" s="2" t="s">
        <v>31</v>
      </c>
      <c r="AD166" s="2" t="s">
        <v>58</v>
      </c>
      <c r="AE166" s="2" t="s">
        <v>33</v>
      </c>
      <c r="AF166" s="2" t="s">
        <v>34</v>
      </c>
      <c r="AG166" s="2" t="s">
        <v>72</v>
      </c>
      <c r="AH166" s="2">
        <v>1.2938706282419601</v>
      </c>
      <c r="AI166" s="2">
        <v>5.3297666929854399</v>
      </c>
      <c r="AJ166" s="2">
        <v>2.35349546019253</v>
      </c>
      <c r="AK166" s="2">
        <v>0.62519238326051796</v>
      </c>
      <c r="AL166" s="2">
        <v>9.1690644740663296E-2</v>
      </c>
      <c r="AM166" s="2">
        <v>15.3</v>
      </c>
      <c r="AN166" s="2">
        <v>9.8000000000000007</v>
      </c>
      <c r="AO166" s="2">
        <v>29.7</v>
      </c>
      <c r="AP166" s="2">
        <v>564</v>
      </c>
      <c r="AQ166" s="2">
        <v>68</v>
      </c>
      <c r="AR166" s="2">
        <v>1.8</v>
      </c>
      <c r="AS166" s="2">
        <v>43</v>
      </c>
      <c r="AT166" s="2">
        <v>25.4</v>
      </c>
      <c r="AU166" s="2">
        <v>162</v>
      </c>
      <c r="AV166" s="2">
        <v>9.1</v>
      </c>
      <c r="AW166" s="2">
        <v>9.1999999999999993</v>
      </c>
      <c r="AX166" s="2">
        <v>18.3</v>
      </c>
      <c r="AY166" s="2">
        <v>0.34</v>
      </c>
      <c r="AZ166" s="2">
        <v>7.3</v>
      </c>
      <c r="BA166" s="2">
        <v>0.9</v>
      </c>
      <c r="BB166" s="2">
        <v>7.5</v>
      </c>
      <c r="BC166" s="2">
        <v>2.9</v>
      </c>
      <c r="BD166" s="2">
        <f>+AN166*EXP(-0.0495*Y166)</f>
        <v>9.6113748429550263</v>
      </c>
      <c r="BE166" s="2">
        <f>+AO166*EXP(-0.024*Y166)</f>
        <v>29.42144889459858</v>
      </c>
    </row>
    <row r="167" spans="1:57" x14ac:dyDescent="0.2">
      <c r="A167" s="2" t="s">
        <v>3070</v>
      </c>
      <c r="B167" s="2" t="s">
        <v>19</v>
      </c>
      <c r="C167" s="2" t="s">
        <v>1907</v>
      </c>
      <c r="D167" s="2" t="s">
        <v>21</v>
      </c>
      <c r="E167" s="2" t="s">
        <v>1506</v>
      </c>
      <c r="F167" s="2">
        <v>4</v>
      </c>
      <c r="G167" s="2">
        <v>252</v>
      </c>
      <c r="H167" s="2">
        <v>4</v>
      </c>
      <c r="I167" s="2">
        <v>4</v>
      </c>
      <c r="J167" s="2">
        <v>2</v>
      </c>
      <c r="K167" s="2" t="s">
        <v>61</v>
      </c>
      <c r="L167" s="6" t="s">
        <v>75</v>
      </c>
      <c r="M167" s="5">
        <v>940000000</v>
      </c>
      <c r="N167" s="2">
        <v>0</v>
      </c>
      <c r="O167" s="2">
        <v>4.7378600000000004</v>
      </c>
      <c r="P167" s="2">
        <v>-74.045139000000006</v>
      </c>
      <c r="Q167" s="2" t="s">
        <v>3071</v>
      </c>
      <c r="R167" s="2">
        <v>3730158.73</v>
      </c>
      <c r="S167" s="2">
        <v>0</v>
      </c>
      <c r="T167" s="2" t="s">
        <v>68</v>
      </c>
      <c r="U167" s="2" t="s">
        <v>69</v>
      </c>
      <c r="V167" s="2" t="s">
        <v>28</v>
      </c>
      <c r="W167" s="2" t="s">
        <v>70</v>
      </c>
      <c r="X167" s="2" t="s">
        <v>71</v>
      </c>
      <c r="Y167" s="2">
        <v>2.70052395407123</v>
      </c>
      <c r="Z167" s="2">
        <v>4.73719444444444</v>
      </c>
      <c r="AA167" s="2">
        <v>-74.069472222222203</v>
      </c>
      <c r="AB167" s="2">
        <v>2555</v>
      </c>
      <c r="AC167" s="2" t="s">
        <v>31</v>
      </c>
      <c r="AD167" s="2" t="s">
        <v>58</v>
      </c>
      <c r="AE167" s="2" t="s">
        <v>33</v>
      </c>
      <c r="AF167" s="2" t="s">
        <v>34</v>
      </c>
      <c r="AG167" s="2" t="s">
        <v>59</v>
      </c>
      <c r="AH167" s="2">
        <v>0.54907906478160695</v>
      </c>
      <c r="AI167" s="2">
        <v>2.6290263706901098</v>
      </c>
      <c r="AJ167" s="2">
        <v>0.794054921303185</v>
      </c>
      <c r="AK167" s="2">
        <v>0.27953817800479902</v>
      </c>
      <c r="AL167" s="2">
        <v>0.39726444446818698</v>
      </c>
      <c r="AM167" s="2">
        <v>15.3</v>
      </c>
      <c r="AN167" s="2">
        <v>9.8000000000000007</v>
      </c>
      <c r="AO167" s="2">
        <v>29.7</v>
      </c>
      <c r="AP167" s="2">
        <v>564</v>
      </c>
      <c r="AQ167" s="2">
        <v>68</v>
      </c>
      <c r="AR167" s="2">
        <v>1.8</v>
      </c>
      <c r="AS167" s="2">
        <v>43</v>
      </c>
      <c r="AT167" s="2">
        <v>25.4</v>
      </c>
      <c r="AU167" s="2">
        <v>162</v>
      </c>
      <c r="AV167" s="2">
        <v>9.1</v>
      </c>
      <c r="AW167" s="2">
        <v>9.1999999999999993</v>
      </c>
      <c r="AX167" s="2">
        <v>18.3</v>
      </c>
      <c r="AY167" s="2">
        <v>0.34</v>
      </c>
      <c r="AZ167" s="2">
        <v>7.3</v>
      </c>
      <c r="BA167" s="2">
        <v>0.9</v>
      </c>
      <c r="BB167" s="2">
        <v>7.5</v>
      </c>
      <c r="BC167" s="2">
        <v>2.9</v>
      </c>
      <c r="BD167" s="2">
        <f>+AN167*EXP(-0.0495*Y167)</f>
        <v>8.5737606324734941</v>
      </c>
      <c r="BE167" s="2">
        <f>+AO167*EXP(-0.024*Y167)</f>
        <v>27.83612036112951</v>
      </c>
    </row>
    <row r="168" spans="1:57" x14ac:dyDescent="0.2">
      <c r="A168" s="2" t="s">
        <v>1634</v>
      </c>
      <c r="B168" s="2" t="s">
        <v>19</v>
      </c>
      <c r="C168" s="2" t="s">
        <v>20</v>
      </c>
      <c r="D168" s="2" t="s">
        <v>21</v>
      </c>
      <c r="E168" s="2" t="s">
        <v>300</v>
      </c>
      <c r="F168" s="2">
        <v>6</v>
      </c>
      <c r="G168" s="2">
        <v>246.29</v>
      </c>
      <c r="H168" s="2">
        <v>3</v>
      </c>
      <c r="I168" s="2">
        <v>4</v>
      </c>
      <c r="J168" s="2">
        <v>0</v>
      </c>
      <c r="K168" s="2" t="s">
        <v>61</v>
      </c>
      <c r="L168" s="6" t="s">
        <v>75</v>
      </c>
      <c r="M168" s="5">
        <v>1795000000</v>
      </c>
      <c r="N168" s="2">
        <v>0</v>
      </c>
      <c r="O168" s="2">
        <v>4.7240168420000002</v>
      </c>
      <c r="P168" s="2">
        <v>-74.078664779999997</v>
      </c>
      <c r="Q168" s="2" t="s">
        <v>1635</v>
      </c>
      <c r="R168" s="2">
        <v>7288156.2390000001</v>
      </c>
      <c r="S168" s="2">
        <v>0</v>
      </c>
      <c r="T168" s="2" t="s">
        <v>68</v>
      </c>
      <c r="U168" s="2" t="s">
        <v>69</v>
      </c>
      <c r="V168" s="2" t="s">
        <v>28</v>
      </c>
      <c r="W168" s="2" t="s">
        <v>70</v>
      </c>
      <c r="X168" s="2" t="s">
        <v>71</v>
      </c>
      <c r="Y168" s="2">
        <v>1.78659140876291</v>
      </c>
      <c r="Z168" s="2">
        <v>4.73719444444444</v>
      </c>
      <c r="AA168" s="2">
        <v>-74.069472222222203</v>
      </c>
      <c r="AB168" s="2">
        <v>2555</v>
      </c>
      <c r="AC168" s="2" t="s">
        <v>31</v>
      </c>
      <c r="AD168" s="2" t="s">
        <v>58</v>
      </c>
      <c r="AE168" s="2" t="s">
        <v>33</v>
      </c>
      <c r="AF168" s="2" t="s">
        <v>34</v>
      </c>
      <c r="AG168" s="2" t="s">
        <v>72</v>
      </c>
      <c r="AH168" s="2">
        <v>0.53333966201247696</v>
      </c>
      <c r="AI168" s="2">
        <v>5.1603584692094699</v>
      </c>
      <c r="AJ168" s="2">
        <v>1.1282028556633801</v>
      </c>
      <c r="AK168" s="2">
        <v>0.81742325334521604</v>
      </c>
      <c r="AL168" s="2">
        <v>7.9883255660657595E-3</v>
      </c>
      <c r="AM168" s="2">
        <v>15.3</v>
      </c>
      <c r="AN168" s="2">
        <v>9.8000000000000007</v>
      </c>
      <c r="AO168" s="2">
        <v>29.7</v>
      </c>
      <c r="AP168" s="2">
        <v>564</v>
      </c>
      <c r="AQ168" s="2">
        <v>68</v>
      </c>
      <c r="AR168" s="2">
        <v>1.8</v>
      </c>
      <c r="AS168" s="2">
        <v>43</v>
      </c>
      <c r="AT168" s="2">
        <v>25.4</v>
      </c>
      <c r="AU168" s="2">
        <v>162</v>
      </c>
      <c r="AV168" s="2">
        <v>9.1</v>
      </c>
      <c r="AW168" s="2">
        <v>9.1999999999999993</v>
      </c>
      <c r="AX168" s="2">
        <v>18.3</v>
      </c>
      <c r="AY168" s="2">
        <v>0.34</v>
      </c>
      <c r="AZ168" s="2">
        <v>7.3</v>
      </c>
      <c r="BA168" s="2">
        <v>0.9</v>
      </c>
      <c r="BB168" s="2">
        <v>7.5</v>
      </c>
      <c r="BC168" s="2">
        <v>2.9</v>
      </c>
      <c r="BD168" s="2">
        <f>+AN168*EXP(-0.0495*Y168)</f>
        <v>8.970542117183582</v>
      </c>
      <c r="BE168" s="2">
        <f>+AO168*EXP(-0.024*Y168)</f>
        <v>28.453433878285484</v>
      </c>
    </row>
    <row r="169" spans="1:57" x14ac:dyDescent="0.2">
      <c r="A169" s="2" t="s">
        <v>1399</v>
      </c>
      <c r="B169" s="2" t="s">
        <v>19</v>
      </c>
      <c r="C169" s="2" t="s">
        <v>20</v>
      </c>
      <c r="D169" s="2" t="s">
        <v>21</v>
      </c>
      <c r="E169" s="2" t="s">
        <v>300</v>
      </c>
      <c r="F169" s="2">
        <v>6</v>
      </c>
      <c r="G169" s="2">
        <v>245</v>
      </c>
      <c r="H169" s="2">
        <v>3</v>
      </c>
      <c r="I169" s="2">
        <v>5</v>
      </c>
      <c r="J169" s="2">
        <v>4</v>
      </c>
      <c r="K169" s="2" t="s">
        <v>61</v>
      </c>
      <c r="L169" s="6" t="s">
        <v>75</v>
      </c>
      <c r="M169" s="5">
        <v>2500000000</v>
      </c>
      <c r="N169" s="2">
        <v>0</v>
      </c>
      <c r="O169" s="2">
        <v>4.7245935000000001</v>
      </c>
      <c r="P169" s="2">
        <v>-74.077756300000004</v>
      </c>
      <c r="Q169" s="2" t="s">
        <v>1400</v>
      </c>
      <c r="R169" s="2">
        <v>10204081.630000001</v>
      </c>
      <c r="S169" s="2">
        <v>0</v>
      </c>
      <c r="T169" s="2" t="s">
        <v>68</v>
      </c>
      <c r="U169" s="2" t="s">
        <v>69</v>
      </c>
      <c r="V169" s="2" t="s">
        <v>28</v>
      </c>
      <c r="W169" s="2" t="s">
        <v>70</v>
      </c>
      <c r="X169" s="2" t="s">
        <v>71</v>
      </c>
      <c r="Y169" s="2">
        <v>1.67698640812878</v>
      </c>
      <c r="Z169" s="2">
        <v>4.73719444444444</v>
      </c>
      <c r="AA169" s="2">
        <v>-74.069472222222203</v>
      </c>
      <c r="AB169" s="2">
        <v>2555</v>
      </c>
      <c r="AC169" s="2" t="s">
        <v>31</v>
      </c>
      <c r="AD169" s="2" t="s">
        <v>58</v>
      </c>
      <c r="AE169" s="2" t="s">
        <v>33</v>
      </c>
      <c r="AF169" s="2" t="s">
        <v>34</v>
      </c>
      <c r="AG169" s="2" t="s">
        <v>72</v>
      </c>
      <c r="AH169" s="2">
        <v>0.46167562181163602</v>
      </c>
      <c r="AI169" s="2">
        <v>5.25393409486629</v>
      </c>
      <c r="AJ169" s="2">
        <v>1.1072825752104301</v>
      </c>
      <c r="AK169" s="2">
        <v>0.76950767074754201</v>
      </c>
      <c r="AL169" s="2">
        <v>3.8970882427421097E-2</v>
      </c>
      <c r="AM169" s="2">
        <v>15.3</v>
      </c>
      <c r="AN169" s="2">
        <v>9.8000000000000007</v>
      </c>
      <c r="AO169" s="2">
        <v>29.7</v>
      </c>
      <c r="AP169" s="2">
        <v>564</v>
      </c>
      <c r="AQ169" s="2">
        <v>68</v>
      </c>
      <c r="AR169" s="2">
        <v>1.8</v>
      </c>
      <c r="AS169" s="2">
        <v>43</v>
      </c>
      <c r="AT169" s="2">
        <v>25.4</v>
      </c>
      <c r="AU169" s="2">
        <v>162</v>
      </c>
      <c r="AV169" s="2">
        <v>9.1</v>
      </c>
      <c r="AW169" s="2">
        <v>9.1999999999999993</v>
      </c>
      <c r="AX169" s="2">
        <v>18.3</v>
      </c>
      <c r="AY169" s="2">
        <v>0.34</v>
      </c>
      <c r="AZ169" s="2">
        <v>7.3</v>
      </c>
      <c r="BA169" s="2">
        <v>0.9</v>
      </c>
      <c r="BB169" s="2">
        <v>7.5</v>
      </c>
      <c r="BC169" s="2">
        <v>2.9</v>
      </c>
      <c r="BD169" s="2">
        <f>+AN169*EXP(-0.0495*Y169)</f>
        <v>9.0193435879702459</v>
      </c>
      <c r="BE169" s="2">
        <f>+AO169*EXP(-0.024*Y169)</f>
        <v>28.528379735676491</v>
      </c>
    </row>
    <row r="170" spans="1:57" x14ac:dyDescent="0.2">
      <c r="A170" s="2" t="s">
        <v>1070</v>
      </c>
      <c r="B170" s="2" t="s">
        <v>19</v>
      </c>
      <c r="C170" s="2" t="s">
        <v>20</v>
      </c>
      <c r="D170" s="2" t="s">
        <v>21</v>
      </c>
      <c r="E170" s="2" t="s">
        <v>630</v>
      </c>
      <c r="F170" s="2">
        <v>6</v>
      </c>
      <c r="G170" s="2">
        <v>245</v>
      </c>
      <c r="H170" s="2">
        <v>3</v>
      </c>
      <c r="I170" s="2">
        <v>3</v>
      </c>
      <c r="J170" s="2">
        <v>3</v>
      </c>
      <c r="K170" s="2" t="s">
        <v>61</v>
      </c>
      <c r="L170" s="6" t="s">
        <v>113</v>
      </c>
      <c r="M170" s="5">
        <v>1950000000</v>
      </c>
      <c r="N170" s="2">
        <v>0</v>
      </c>
      <c r="O170" s="2">
        <v>4.7084530000000004</v>
      </c>
      <c r="P170" s="2">
        <v>-74.083564999999993</v>
      </c>
      <c r="Q170" s="2" t="s">
        <v>1071</v>
      </c>
      <c r="R170" s="2">
        <v>7959183.6730000004</v>
      </c>
      <c r="S170" s="2">
        <v>0</v>
      </c>
      <c r="T170" s="2" t="s">
        <v>68</v>
      </c>
      <c r="U170" s="2" t="s">
        <v>69</v>
      </c>
      <c r="V170" s="2" t="s">
        <v>28</v>
      </c>
      <c r="W170" s="2" t="s">
        <v>70</v>
      </c>
      <c r="X170" s="2" t="s">
        <v>71</v>
      </c>
      <c r="Y170" s="2">
        <v>3.56105923532651</v>
      </c>
      <c r="Z170" s="2">
        <v>4.73719444444444</v>
      </c>
      <c r="AA170" s="2">
        <v>-74.069472222222203</v>
      </c>
      <c r="AB170" s="2">
        <v>2555</v>
      </c>
      <c r="AC170" s="2" t="s">
        <v>31</v>
      </c>
      <c r="AD170" s="2" t="s">
        <v>58</v>
      </c>
      <c r="AE170" s="2" t="s">
        <v>33</v>
      </c>
      <c r="AF170" s="2" t="s">
        <v>34</v>
      </c>
      <c r="AG170" s="2" t="s">
        <v>72</v>
      </c>
      <c r="AH170" s="2">
        <v>1.3083733795410499</v>
      </c>
      <c r="AI170" s="2">
        <v>5.0378142669391002</v>
      </c>
      <c r="AJ170" s="2">
        <v>1.0348669605362799</v>
      </c>
      <c r="AK170" s="2">
        <v>0.56898925361006603</v>
      </c>
      <c r="AL170" s="2">
        <v>0.52148988069485003</v>
      </c>
      <c r="AM170" s="2">
        <v>15.3</v>
      </c>
      <c r="AN170" s="2">
        <v>9.8000000000000007</v>
      </c>
      <c r="AO170" s="2">
        <v>29.7</v>
      </c>
      <c r="AP170" s="2">
        <v>564</v>
      </c>
      <c r="AQ170" s="2">
        <v>68</v>
      </c>
      <c r="AR170" s="2">
        <v>1.8</v>
      </c>
      <c r="AS170" s="2">
        <v>43</v>
      </c>
      <c r="AT170" s="2">
        <v>25.4</v>
      </c>
      <c r="AU170" s="2">
        <v>162</v>
      </c>
      <c r="AV170" s="2">
        <v>9.1</v>
      </c>
      <c r="AW170" s="2">
        <v>9.1999999999999993</v>
      </c>
      <c r="AX170" s="2">
        <v>18.3</v>
      </c>
      <c r="AY170" s="2">
        <v>0.34</v>
      </c>
      <c r="AZ170" s="2">
        <v>7.3</v>
      </c>
      <c r="BA170" s="2">
        <v>0.9</v>
      </c>
      <c r="BB170" s="2">
        <v>7.5</v>
      </c>
      <c r="BC170" s="2">
        <v>2.9</v>
      </c>
      <c r="BD170" s="2">
        <f>+AN170*EXP(-0.0495*Y170)</f>
        <v>8.2162175699683146</v>
      </c>
      <c r="BE170" s="2">
        <f>+AO170*EXP(-0.024*Y170)</f>
        <v>27.267121184526381</v>
      </c>
    </row>
    <row r="171" spans="1:57" x14ac:dyDescent="0.2">
      <c r="A171" s="2" t="s">
        <v>338</v>
      </c>
      <c r="B171" s="2" t="s">
        <v>19</v>
      </c>
      <c r="C171" s="2" t="s">
        <v>20</v>
      </c>
      <c r="D171" s="2" t="s">
        <v>21</v>
      </c>
      <c r="E171" s="2" t="s">
        <v>339</v>
      </c>
      <c r="F171" s="2">
        <v>6</v>
      </c>
      <c r="G171" s="2">
        <v>244</v>
      </c>
      <c r="H171" s="2">
        <v>3</v>
      </c>
      <c r="I171" s="2">
        <v>5</v>
      </c>
      <c r="J171" s="2">
        <v>4</v>
      </c>
      <c r="K171" s="2" t="s">
        <v>61</v>
      </c>
      <c r="L171" s="6" t="s">
        <v>75</v>
      </c>
      <c r="M171" s="5">
        <v>2500000000</v>
      </c>
      <c r="N171" s="2">
        <v>0</v>
      </c>
      <c r="O171" s="2">
        <v>4.7247439240000002</v>
      </c>
      <c r="P171" s="2">
        <v>-74.077763559999994</v>
      </c>
      <c r="Q171" s="2" t="s">
        <v>340</v>
      </c>
      <c r="R171" s="2">
        <v>10245901.640000001</v>
      </c>
      <c r="S171" s="2">
        <v>0</v>
      </c>
      <c r="T171" s="2" t="s">
        <v>68</v>
      </c>
      <c r="U171" s="2" t="s">
        <v>69</v>
      </c>
      <c r="V171" s="2" t="s">
        <v>28</v>
      </c>
      <c r="W171" s="2" t="s">
        <v>70</v>
      </c>
      <c r="X171" s="2" t="s">
        <v>71</v>
      </c>
      <c r="Y171" s="2">
        <v>1.6634503039233099</v>
      </c>
      <c r="Z171" s="2">
        <v>4.73719444444444</v>
      </c>
      <c r="AA171" s="2">
        <v>-74.069472222222203</v>
      </c>
      <c r="AB171" s="2">
        <v>2555</v>
      </c>
      <c r="AC171" s="2" t="s">
        <v>31</v>
      </c>
      <c r="AD171" s="2" t="s">
        <v>58</v>
      </c>
      <c r="AE171" s="2" t="s">
        <v>33</v>
      </c>
      <c r="AF171" s="2" t="s">
        <v>34</v>
      </c>
      <c r="AG171" s="2" t="s">
        <v>72</v>
      </c>
      <c r="AH171" s="2">
        <v>0.45104952670701798</v>
      </c>
      <c r="AI171" s="2">
        <v>5.2515515477054597</v>
      </c>
      <c r="AJ171" s="2">
        <v>1.12068221111991</v>
      </c>
      <c r="AK171" s="2">
        <v>0.78047433725719595</v>
      </c>
      <c r="AL171" s="2">
        <v>2.4269862667300902E-2</v>
      </c>
      <c r="AM171" s="2">
        <v>15.3</v>
      </c>
      <c r="AN171" s="2">
        <v>9.8000000000000007</v>
      </c>
      <c r="AO171" s="2">
        <v>29.7</v>
      </c>
      <c r="AP171" s="2">
        <v>564</v>
      </c>
      <c r="AQ171" s="2">
        <v>68</v>
      </c>
      <c r="AR171" s="2">
        <v>1.8</v>
      </c>
      <c r="AS171" s="2">
        <v>43</v>
      </c>
      <c r="AT171" s="2">
        <v>25.4</v>
      </c>
      <c r="AU171" s="2">
        <v>162</v>
      </c>
      <c r="AV171" s="2">
        <v>9.1</v>
      </c>
      <c r="AW171" s="2">
        <v>9.1999999999999993</v>
      </c>
      <c r="AX171" s="2">
        <v>18.3</v>
      </c>
      <c r="AY171" s="2">
        <v>0.34</v>
      </c>
      <c r="AZ171" s="2">
        <v>7.3</v>
      </c>
      <c r="BA171" s="2">
        <v>0.9</v>
      </c>
      <c r="BB171" s="2">
        <v>7.5</v>
      </c>
      <c r="BC171" s="2">
        <v>2.9</v>
      </c>
      <c r="BD171" s="2">
        <f>+AN171*EXP(-0.0495*Y171)</f>
        <v>9.025388908384981</v>
      </c>
      <c r="BE171" s="2">
        <f>+AO171*EXP(-0.024*Y171)</f>
        <v>28.537649156159038</v>
      </c>
    </row>
    <row r="172" spans="1:57" x14ac:dyDescent="0.2">
      <c r="A172" s="2" t="s">
        <v>3689</v>
      </c>
      <c r="B172" s="2" t="s">
        <v>19</v>
      </c>
      <c r="C172" s="2" t="s">
        <v>3245</v>
      </c>
      <c r="D172" s="2" t="s">
        <v>21</v>
      </c>
      <c r="E172" s="2" t="s">
        <v>499</v>
      </c>
      <c r="F172" s="2">
        <v>6</v>
      </c>
      <c r="G172" s="2">
        <v>243</v>
      </c>
      <c r="H172" s="2">
        <v>3</v>
      </c>
      <c r="I172" s="2">
        <v>4</v>
      </c>
      <c r="J172" s="2">
        <v>4</v>
      </c>
      <c r="K172" s="2" t="s">
        <v>61</v>
      </c>
      <c r="L172" s="6" t="s">
        <v>75</v>
      </c>
      <c r="M172" s="5">
        <v>2500000000</v>
      </c>
      <c r="N172" s="2">
        <v>0</v>
      </c>
      <c r="O172" s="2">
        <v>4.7204235729999997</v>
      </c>
      <c r="P172" s="2">
        <v>-74.078169239999994</v>
      </c>
      <c r="Q172" s="2" t="s">
        <v>3690</v>
      </c>
      <c r="R172" s="2">
        <v>10288065.84</v>
      </c>
      <c r="S172" s="2">
        <v>0</v>
      </c>
      <c r="T172" s="2" t="s">
        <v>68</v>
      </c>
      <c r="U172" s="2" t="s">
        <v>69</v>
      </c>
      <c r="V172" s="2" t="s">
        <v>28</v>
      </c>
      <c r="W172" s="2" t="s">
        <v>70</v>
      </c>
      <c r="X172" s="2" t="s">
        <v>71</v>
      </c>
      <c r="Y172" s="2">
        <v>2.10151088223579</v>
      </c>
      <c r="Z172" s="2">
        <v>4.73719444444444</v>
      </c>
      <c r="AA172" s="2">
        <v>-74.069472222222203</v>
      </c>
      <c r="AB172" s="2">
        <v>2555</v>
      </c>
      <c r="AC172" s="2" t="s">
        <v>31</v>
      </c>
      <c r="AD172" s="2" t="s">
        <v>58</v>
      </c>
      <c r="AE172" s="2" t="s">
        <v>33</v>
      </c>
      <c r="AF172" s="2" t="s">
        <v>34</v>
      </c>
      <c r="AG172" s="2" t="s">
        <v>72</v>
      </c>
      <c r="AH172" s="2">
        <v>0.39453540972627599</v>
      </c>
      <c r="AI172" s="2">
        <v>5.2732911206181603</v>
      </c>
      <c r="AJ172" s="2">
        <v>0.84638341092222003</v>
      </c>
      <c r="AK172" s="2">
        <v>0.43206048743466202</v>
      </c>
      <c r="AL172" s="2">
        <v>5.6983743027067997E-3</v>
      </c>
      <c r="AM172" s="2">
        <v>15.3</v>
      </c>
      <c r="AN172" s="2">
        <v>9.8000000000000007</v>
      </c>
      <c r="AO172" s="2">
        <v>29.7</v>
      </c>
      <c r="AP172" s="2">
        <v>564</v>
      </c>
      <c r="AQ172" s="2">
        <v>68</v>
      </c>
      <c r="AR172" s="2">
        <v>1.8</v>
      </c>
      <c r="AS172" s="2">
        <v>43</v>
      </c>
      <c r="AT172" s="2">
        <v>25.4</v>
      </c>
      <c r="AU172" s="2">
        <v>162</v>
      </c>
      <c r="AV172" s="2">
        <v>9.1</v>
      </c>
      <c r="AW172" s="2">
        <v>9.1999999999999993</v>
      </c>
      <c r="AX172" s="2">
        <v>18.3</v>
      </c>
      <c r="AY172" s="2">
        <v>0.34</v>
      </c>
      <c r="AZ172" s="2">
        <v>7.3</v>
      </c>
      <c r="BA172" s="2">
        <v>0.9</v>
      </c>
      <c r="BB172" s="2">
        <v>7.5</v>
      </c>
      <c r="BC172" s="2">
        <v>2.9</v>
      </c>
      <c r="BD172" s="2">
        <f>+AN172*EXP(-0.0495*Y172)</f>
        <v>8.8317889837057564</v>
      </c>
      <c r="BE172" s="2">
        <f>+AO172*EXP(-0.024*Y172)</f>
        <v>28.239191557133193</v>
      </c>
    </row>
    <row r="173" spans="1:57" x14ac:dyDescent="0.2">
      <c r="A173" s="2" t="s">
        <v>2706</v>
      </c>
      <c r="B173" s="2" t="s">
        <v>19</v>
      </c>
      <c r="C173" s="2" t="s">
        <v>1907</v>
      </c>
      <c r="D173" s="2" t="s">
        <v>21</v>
      </c>
      <c r="E173" s="2" t="s">
        <v>660</v>
      </c>
      <c r="F173" s="2">
        <v>5</v>
      </c>
      <c r="G173" s="2">
        <v>243</v>
      </c>
      <c r="H173" s="2">
        <v>4</v>
      </c>
      <c r="I173" s="2">
        <v>3</v>
      </c>
      <c r="J173" s="2">
        <v>4</v>
      </c>
      <c r="K173" s="2" t="s">
        <v>61</v>
      </c>
      <c r="L173" s="6" t="s">
        <v>113</v>
      </c>
      <c r="M173" s="5">
        <v>1500000000</v>
      </c>
      <c r="N173" s="2">
        <v>0</v>
      </c>
      <c r="O173" s="2">
        <v>4.7258984999999996</v>
      </c>
      <c r="P173" s="2">
        <v>-74.064791999999997</v>
      </c>
      <c r="Q173" s="2" t="s">
        <v>2707</v>
      </c>
      <c r="R173" s="2">
        <v>6172839.5060000001</v>
      </c>
      <c r="S173" s="2">
        <v>0</v>
      </c>
      <c r="T173" s="2" t="s">
        <v>68</v>
      </c>
      <c r="U173" s="2" t="s">
        <v>69</v>
      </c>
      <c r="V173" s="2" t="s">
        <v>28</v>
      </c>
      <c r="W173" s="2" t="s">
        <v>70</v>
      </c>
      <c r="X173" s="2" t="s">
        <v>71</v>
      </c>
      <c r="Y173" s="2">
        <v>1.36043986302149</v>
      </c>
      <c r="Z173" s="2">
        <v>4.73719444444444</v>
      </c>
      <c r="AA173" s="2">
        <v>-74.069472222222203</v>
      </c>
      <c r="AB173" s="2">
        <v>2555</v>
      </c>
      <c r="AC173" s="2" t="s">
        <v>31</v>
      </c>
      <c r="AD173" s="2" t="s">
        <v>58</v>
      </c>
      <c r="AE173" s="2" t="s">
        <v>33</v>
      </c>
      <c r="AF173" s="2" t="s">
        <v>34</v>
      </c>
      <c r="AG173" s="2" t="s">
        <v>72</v>
      </c>
      <c r="AH173" s="2">
        <v>1.1144960749122199</v>
      </c>
      <c r="AI173" s="2">
        <v>4.6227830269938099</v>
      </c>
      <c r="AJ173" s="2">
        <v>1.2405878237455299</v>
      </c>
      <c r="AK173" s="2">
        <v>9.2996963056667298E-2</v>
      </c>
      <c r="AL173" s="2">
        <v>0.470154336865304</v>
      </c>
      <c r="AM173" s="2">
        <v>15.3</v>
      </c>
      <c r="AN173" s="2">
        <v>9.8000000000000007</v>
      </c>
      <c r="AO173" s="2">
        <v>29.7</v>
      </c>
      <c r="AP173" s="2">
        <v>564</v>
      </c>
      <c r="AQ173" s="2">
        <v>68</v>
      </c>
      <c r="AR173" s="2">
        <v>1.8</v>
      </c>
      <c r="AS173" s="2">
        <v>43</v>
      </c>
      <c r="AT173" s="2">
        <v>25.4</v>
      </c>
      <c r="AU173" s="2">
        <v>162</v>
      </c>
      <c r="AV173" s="2">
        <v>9.1</v>
      </c>
      <c r="AW173" s="2">
        <v>9.1999999999999993</v>
      </c>
      <c r="AX173" s="2">
        <v>18.3</v>
      </c>
      <c r="AY173" s="2">
        <v>0.34</v>
      </c>
      <c r="AZ173" s="2">
        <v>7.3</v>
      </c>
      <c r="BA173" s="2">
        <v>0.9</v>
      </c>
      <c r="BB173" s="2">
        <v>7.5</v>
      </c>
      <c r="BC173" s="2">
        <v>2.9</v>
      </c>
      <c r="BD173" s="2">
        <f>+AN173*EXP(-0.0495*Y173)</f>
        <v>9.1617811864974534</v>
      </c>
      <c r="BE173" s="2">
        <f>+AO173*EXP(-0.024*Y173)</f>
        <v>28.745938540171906</v>
      </c>
    </row>
    <row r="174" spans="1:57" x14ac:dyDescent="0.2">
      <c r="A174" s="2" t="s">
        <v>2288</v>
      </c>
      <c r="B174" s="2" t="s">
        <v>19</v>
      </c>
      <c r="C174" s="2" t="s">
        <v>1907</v>
      </c>
      <c r="D174" s="2" t="s">
        <v>21</v>
      </c>
      <c r="E174" s="2" t="s">
        <v>660</v>
      </c>
      <c r="F174" s="2">
        <v>5</v>
      </c>
      <c r="G174" s="2">
        <v>243</v>
      </c>
      <c r="H174" s="2">
        <v>5</v>
      </c>
      <c r="I174" s="2">
        <v>4</v>
      </c>
      <c r="J174" s="2">
        <v>3</v>
      </c>
      <c r="K174" s="2" t="s">
        <v>61</v>
      </c>
      <c r="L174" s="6" t="s">
        <v>113</v>
      </c>
      <c r="M174" s="5">
        <v>1400000000</v>
      </c>
      <c r="N174" s="2">
        <v>0</v>
      </c>
      <c r="O174" s="2">
        <v>4.7271320000000001</v>
      </c>
      <c r="P174" s="2">
        <v>-74.064290999999997</v>
      </c>
      <c r="Q174" s="2" t="s">
        <v>2289</v>
      </c>
      <c r="R174" s="2">
        <v>5761316.8720000004</v>
      </c>
      <c r="S174" s="2">
        <v>0</v>
      </c>
      <c r="T174" s="2" t="s">
        <v>68</v>
      </c>
      <c r="U174" s="2" t="s">
        <v>69</v>
      </c>
      <c r="V174" s="2" t="s">
        <v>28</v>
      </c>
      <c r="W174" s="2" t="s">
        <v>70</v>
      </c>
      <c r="X174" s="2" t="s">
        <v>71</v>
      </c>
      <c r="Y174" s="2">
        <v>1.2590187491790299</v>
      </c>
      <c r="Z174" s="2">
        <v>4.73719444444444</v>
      </c>
      <c r="AA174" s="2">
        <v>-74.069472222222203</v>
      </c>
      <c r="AB174" s="2">
        <v>2555</v>
      </c>
      <c r="AC174" s="2" t="s">
        <v>31</v>
      </c>
      <c r="AD174" s="2" t="s">
        <v>58</v>
      </c>
      <c r="AE174" s="2" t="s">
        <v>33</v>
      </c>
      <c r="AF174" s="2" t="s">
        <v>34</v>
      </c>
      <c r="AG174" s="2" t="s">
        <v>72</v>
      </c>
      <c r="AH174" s="2">
        <v>1.15722747952382</v>
      </c>
      <c r="AI174" s="2">
        <v>4.5901533187331198</v>
      </c>
      <c r="AJ174" s="2">
        <v>1.3837992319219199</v>
      </c>
      <c r="AK174" s="2">
        <v>5.2534723581862001E-2</v>
      </c>
      <c r="AL174" s="2">
        <v>0.40397699146872101</v>
      </c>
      <c r="AM174" s="2">
        <v>15.3</v>
      </c>
      <c r="AN174" s="2">
        <v>9.8000000000000007</v>
      </c>
      <c r="AO174" s="2">
        <v>29.7</v>
      </c>
      <c r="AP174" s="2">
        <v>564</v>
      </c>
      <c r="AQ174" s="2">
        <v>68</v>
      </c>
      <c r="AR174" s="2">
        <v>1.8</v>
      </c>
      <c r="AS174" s="2">
        <v>43</v>
      </c>
      <c r="AT174" s="2">
        <v>25.4</v>
      </c>
      <c r="AU174" s="2">
        <v>162</v>
      </c>
      <c r="AV174" s="2">
        <v>9.1</v>
      </c>
      <c r="AW174" s="2">
        <v>9.1999999999999993</v>
      </c>
      <c r="AX174" s="2">
        <v>18.3</v>
      </c>
      <c r="AY174" s="2">
        <v>0.34</v>
      </c>
      <c r="AZ174" s="2">
        <v>7.3</v>
      </c>
      <c r="BA174" s="2">
        <v>0.9</v>
      </c>
      <c r="BB174" s="2">
        <v>7.5</v>
      </c>
      <c r="BC174" s="2">
        <v>2.9</v>
      </c>
      <c r="BD174" s="2">
        <f>+AN174*EXP(-0.0495*Y174)</f>
        <v>9.2078921397088731</v>
      </c>
      <c r="BE174" s="2">
        <f>+AO174*EXP(-0.024*Y174)</f>
        <v>28.81599444988785</v>
      </c>
    </row>
    <row r="175" spans="1:57" x14ac:dyDescent="0.2">
      <c r="A175" s="2" t="s">
        <v>668</v>
      </c>
      <c r="B175" s="2" t="s">
        <v>19</v>
      </c>
      <c r="C175" s="2" t="s">
        <v>20</v>
      </c>
      <c r="D175" s="2" t="s">
        <v>21</v>
      </c>
      <c r="E175" s="2" t="s">
        <v>518</v>
      </c>
      <c r="F175" s="2">
        <v>6</v>
      </c>
      <c r="G175" s="2">
        <v>242.53</v>
      </c>
      <c r="H175" s="2">
        <v>4</v>
      </c>
      <c r="I175" s="2">
        <v>4</v>
      </c>
      <c r="J175" s="2">
        <v>2</v>
      </c>
      <c r="K175" s="2" t="s">
        <v>61</v>
      </c>
      <c r="L175" s="6" t="s">
        <v>113</v>
      </c>
      <c r="M175" s="5">
        <v>1620000000</v>
      </c>
      <c r="N175" s="2">
        <v>0</v>
      </c>
      <c r="O175" s="2">
        <v>4.7190630000000002</v>
      </c>
      <c r="P175" s="2">
        <v>-74.076117999999994</v>
      </c>
      <c r="Q175" s="2" t="s">
        <v>669</v>
      </c>
      <c r="R175" s="2">
        <v>6679586.0310000004</v>
      </c>
      <c r="S175" s="2">
        <v>0</v>
      </c>
      <c r="T175" s="2" t="s">
        <v>68</v>
      </c>
      <c r="U175" s="2" t="s">
        <v>69</v>
      </c>
      <c r="V175" s="2" t="s">
        <v>28</v>
      </c>
      <c r="W175" s="2" t="s">
        <v>70</v>
      </c>
      <c r="X175" s="2" t="s">
        <v>71</v>
      </c>
      <c r="Y175" s="2">
        <v>2.1488282423504601</v>
      </c>
      <c r="Z175" s="2">
        <v>4.73719444444444</v>
      </c>
      <c r="AA175" s="2">
        <v>-74.069472222222203</v>
      </c>
      <c r="AB175" s="2">
        <v>2555</v>
      </c>
      <c r="AC175" s="2" t="s">
        <v>31</v>
      </c>
      <c r="AD175" s="2" t="s">
        <v>58</v>
      </c>
      <c r="AE175" s="2" t="s">
        <v>33</v>
      </c>
      <c r="AF175" s="2" t="s">
        <v>34</v>
      </c>
      <c r="AG175" s="2" t="s">
        <v>72</v>
      </c>
      <c r="AH175" s="2">
        <v>0.28922221593892999</v>
      </c>
      <c r="AI175" s="2">
        <v>5.5254928828701804</v>
      </c>
      <c r="AJ175" s="2">
        <v>0.575706155458376</v>
      </c>
      <c r="AK175" s="2">
        <v>0.34609916564204701</v>
      </c>
      <c r="AL175" s="2">
        <v>3.12082737665462E-2</v>
      </c>
      <c r="AM175" s="2">
        <v>15.3</v>
      </c>
      <c r="AN175" s="2">
        <v>9.8000000000000007</v>
      </c>
      <c r="AO175" s="2">
        <v>29.7</v>
      </c>
      <c r="AP175" s="2">
        <v>564</v>
      </c>
      <c r="AQ175" s="2">
        <v>68</v>
      </c>
      <c r="AR175" s="2">
        <v>1.8</v>
      </c>
      <c r="AS175" s="2">
        <v>43</v>
      </c>
      <c r="AT175" s="2">
        <v>25.4</v>
      </c>
      <c r="AU175" s="2">
        <v>162</v>
      </c>
      <c r="AV175" s="2">
        <v>9.1</v>
      </c>
      <c r="AW175" s="2">
        <v>9.1999999999999993</v>
      </c>
      <c r="AX175" s="2">
        <v>18.3</v>
      </c>
      <c r="AY175" s="2">
        <v>0.34</v>
      </c>
      <c r="AZ175" s="2">
        <v>7.3</v>
      </c>
      <c r="BA175" s="2">
        <v>0.9</v>
      </c>
      <c r="BB175" s="2">
        <v>7.5</v>
      </c>
      <c r="BC175" s="2">
        <v>2.9</v>
      </c>
      <c r="BD175" s="2">
        <f>+AN175*EXP(-0.0495*Y175)</f>
        <v>8.8111272916353833</v>
      </c>
      <c r="BE175" s="2">
        <f>+AO175*EXP(-0.024*Y175)</f>
        <v>28.207140863318148</v>
      </c>
    </row>
    <row r="176" spans="1:57" x14ac:dyDescent="0.2">
      <c r="A176" s="2" t="s">
        <v>3100</v>
      </c>
      <c r="B176" s="2" t="s">
        <v>19</v>
      </c>
      <c r="C176" s="2" t="s">
        <v>1907</v>
      </c>
      <c r="D176" s="2" t="s">
        <v>21</v>
      </c>
      <c r="E176" s="2" t="s">
        <v>2894</v>
      </c>
      <c r="F176" s="2">
        <v>5</v>
      </c>
      <c r="G176" s="2">
        <v>240</v>
      </c>
      <c r="H176" s="2">
        <v>2</v>
      </c>
      <c r="I176" s="2">
        <v>2</v>
      </c>
      <c r="J176" s="2">
        <v>1</v>
      </c>
      <c r="K176" s="2" t="s">
        <v>61</v>
      </c>
      <c r="L176" s="6" t="s">
        <v>113</v>
      </c>
      <c r="M176" s="5">
        <v>1200000000</v>
      </c>
      <c r="N176" s="2">
        <v>0</v>
      </c>
      <c r="O176" s="2">
        <v>4.7091818779999999</v>
      </c>
      <c r="P176" s="2">
        <v>-74.06686972</v>
      </c>
      <c r="Q176" s="2" t="s">
        <v>3101</v>
      </c>
      <c r="R176" s="2">
        <v>5000000</v>
      </c>
      <c r="S176" s="2">
        <v>0</v>
      </c>
      <c r="T176" s="2" t="s">
        <v>68</v>
      </c>
      <c r="U176" s="2" t="s">
        <v>69</v>
      </c>
      <c r="V176" s="2" t="s">
        <v>28</v>
      </c>
      <c r="W176" s="2" t="s">
        <v>70</v>
      </c>
      <c r="X176" s="2" t="s">
        <v>71</v>
      </c>
      <c r="Y176" s="2">
        <v>3.1316825522271801</v>
      </c>
      <c r="Z176" s="2">
        <v>4.73719444444444</v>
      </c>
      <c r="AA176" s="2">
        <v>-74.069472222222203</v>
      </c>
      <c r="AB176" s="2">
        <v>2555</v>
      </c>
      <c r="AC176" s="2" t="s">
        <v>31</v>
      </c>
      <c r="AD176" s="2" t="s">
        <v>58</v>
      </c>
      <c r="AE176" s="2" t="s">
        <v>33</v>
      </c>
      <c r="AF176" s="2" t="s">
        <v>34</v>
      </c>
      <c r="AG176" s="2" t="s">
        <v>72</v>
      </c>
      <c r="AH176" s="2">
        <v>0.55103389021842897</v>
      </c>
      <c r="AI176" s="2">
        <v>4.6342045269465704</v>
      </c>
      <c r="AJ176" s="2">
        <v>0.98621124420571304</v>
      </c>
      <c r="AK176" s="2">
        <v>0.29365747676581799</v>
      </c>
      <c r="AL176" s="2">
        <v>0.47332125967945698</v>
      </c>
      <c r="AM176" s="2">
        <v>15.3</v>
      </c>
      <c r="AN176" s="2">
        <v>9.8000000000000007</v>
      </c>
      <c r="AO176" s="2">
        <v>29.7</v>
      </c>
      <c r="AP176" s="2">
        <v>564</v>
      </c>
      <c r="AQ176" s="2">
        <v>68</v>
      </c>
      <c r="AR176" s="2">
        <v>1.8</v>
      </c>
      <c r="AS176" s="2">
        <v>43</v>
      </c>
      <c r="AT176" s="2">
        <v>25.4</v>
      </c>
      <c r="AU176" s="2">
        <v>162</v>
      </c>
      <c r="AV176" s="2">
        <v>9.1</v>
      </c>
      <c r="AW176" s="2">
        <v>9.1999999999999993</v>
      </c>
      <c r="AX176" s="2">
        <v>18.3</v>
      </c>
      <c r="AY176" s="2">
        <v>0.34</v>
      </c>
      <c r="AZ176" s="2">
        <v>7.3</v>
      </c>
      <c r="BA176" s="2">
        <v>0.9</v>
      </c>
      <c r="BB176" s="2">
        <v>7.5</v>
      </c>
      <c r="BC176" s="2">
        <v>2.9</v>
      </c>
      <c r="BD176" s="2">
        <f>+AN176*EXP(-0.0495*Y176)</f>
        <v>8.3927152659312121</v>
      </c>
      <c r="BE176" s="2">
        <f>+AO176*EXP(-0.024*Y176)</f>
        <v>27.549562756215231</v>
      </c>
    </row>
    <row r="177" spans="1:57" x14ac:dyDescent="0.2">
      <c r="A177" s="2" t="s">
        <v>2799</v>
      </c>
      <c r="B177" s="2" t="s">
        <v>19</v>
      </c>
      <c r="C177" s="2" t="s">
        <v>1907</v>
      </c>
      <c r="D177" s="2" t="s">
        <v>21</v>
      </c>
      <c r="E177" s="2" t="s">
        <v>446</v>
      </c>
      <c r="F177" s="2">
        <v>3</v>
      </c>
      <c r="G177" s="2">
        <v>240</v>
      </c>
      <c r="H177" s="2">
        <v>5</v>
      </c>
      <c r="I177" s="2">
        <v>4</v>
      </c>
      <c r="J177" s="2">
        <v>0</v>
      </c>
      <c r="K177" s="2" t="s">
        <v>61</v>
      </c>
      <c r="L177" s="6" t="s">
        <v>113</v>
      </c>
      <c r="M177" s="5">
        <v>1100000000</v>
      </c>
      <c r="N177" s="2">
        <v>0</v>
      </c>
      <c r="O177" s="2">
        <v>4.7147800000000002</v>
      </c>
      <c r="P177" s="2">
        <v>-74.056219999999996</v>
      </c>
      <c r="Q177" s="2" t="s">
        <v>2800</v>
      </c>
      <c r="R177" s="2">
        <v>4583333.3329999996</v>
      </c>
      <c r="S177" s="2">
        <v>0</v>
      </c>
      <c r="T177" s="2" t="s">
        <v>68</v>
      </c>
      <c r="U177" s="2" t="s">
        <v>69</v>
      </c>
      <c r="V177" s="2" t="s">
        <v>28</v>
      </c>
      <c r="W177" s="2" t="s">
        <v>70</v>
      </c>
      <c r="X177" s="2" t="s">
        <v>71</v>
      </c>
      <c r="Y177" s="2">
        <v>2.89609707642777</v>
      </c>
      <c r="Z177" s="2">
        <v>4.73719444444444</v>
      </c>
      <c r="AA177" s="2">
        <v>-74.069472222222203</v>
      </c>
      <c r="AB177" s="2">
        <v>2555</v>
      </c>
      <c r="AC177" s="2" t="s">
        <v>31</v>
      </c>
      <c r="AD177" s="2" t="s">
        <v>58</v>
      </c>
      <c r="AE177" s="2" t="s">
        <v>33</v>
      </c>
      <c r="AF177" s="2" t="s">
        <v>34</v>
      </c>
      <c r="AG177" s="2" t="s">
        <v>72</v>
      </c>
      <c r="AH177" s="2">
        <v>0.406730895614698</v>
      </c>
      <c r="AI177" s="2">
        <v>3.5048211439996102</v>
      </c>
      <c r="AJ177" s="2">
        <v>1.70041788943492</v>
      </c>
      <c r="AK177" s="2">
        <v>0.25370134480533602</v>
      </c>
      <c r="AL177" s="2">
        <v>5.4529065287359504E-3</v>
      </c>
      <c r="AM177" s="2">
        <v>15.3</v>
      </c>
      <c r="AN177" s="2">
        <v>9.8000000000000007</v>
      </c>
      <c r="AO177" s="2">
        <v>29.7</v>
      </c>
      <c r="AP177" s="2">
        <v>564</v>
      </c>
      <c r="AQ177" s="2">
        <v>68</v>
      </c>
      <c r="AR177" s="2">
        <v>1.8</v>
      </c>
      <c r="AS177" s="2">
        <v>43</v>
      </c>
      <c r="AT177" s="2">
        <v>25.4</v>
      </c>
      <c r="AU177" s="2">
        <v>162</v>
      </c>
      <c r="AV177" s="2">
        <v>9.1</v>
      </c>
      <c r="AW177" s="2">
        <v>9.1999999999999993</v>
      </c>
      <c r="AX177" s="2">
        <v>18.3</v>
      </c>
      <c r="AY177" s="2">
        <v>0.34</v>
      </c>
      <c r="AZ177" s="2">
        <v>7.3</v>
      </c>
      <c r="BA177" s="2">
        <v>0.9</v>
      </c>
      <c r="BB177" s="2">
        <v>7.5</v>
      </c>
      <c r="BC177" s="2">
        <v>2.9</v>
      </c>
      <c r="BD177" s="2">
        <f>+AN177*EXP(-0.0495*Y177)</f>
        <v>8.4911596439854389</v>
      </c>
      <c r="BE177" s="2">
        <f>+AO177*EXP(-0.024*Y177)</f>
        <v>27.705770588030223</v>
      </c>
    </row>
    <row r="178" spans="1:57" x14ac:dyDescent="0.2">
      <c r="A178" s="2" t="s">
        <v>1925</v>
      </c>
      <c r="B178" s="2" t="s">
        <v>19</v>
      </c>
      <c r="C178" s="2" t="s">
        <v>1907</v>
      </c>
      <c r="D178" s="2" t="s">
        <v>21</v>
      </c>
      <c r="E178" s="2" t="s">
        <v>434</v>
      </c>
      <c r="F178" s="2">
        <v>3</v>
      </c>
      <c r="G178" s="2">
        <v>240</v>
      </c>
      <c r="H178" s="2">
        <v>4</v>
      </c>
      <c r="I178" s="2">
        <v>4</v>
      </c>
      <c r="J178" s="2">
        <v>2</v>
      </c>
      <c r="K178" s="2" t="s">
        <v>61</v>
      </c>
      <c r="L178" s="6" t="s">
        <v>113</v>
      </c>
      <c r="M178" s="5">
        <v>850000000</v>
      </c>
      <c r="N178" s="2">
        <v>0</v>
      </c>
      <c r="O178" s="2">
        <v>4.7186789510000002</v>
      </c>
      <c r="P178" s="2">
        <v>-74.070037839999998</v>
      </c>
      <c r="Q178" s="2" t="s">
        <v>1926</v>
      </c>
      <c r="R178" s="2">
        <v>3541666.6669999999</v>
      </c>
      <c r="S178" s="2">
        <v>0</v>
      </c>
      <c r="T178" s="2" t="s">
        <v>68</v>
      </c>
      <c r="U178" s="2" t="s">
        <v>69</v>
      </c>
      <c r="V178" s="2" t="s">
        <v>28</v>
      </c>
      <c r="W178" s="2" t="s">
        <v>70</v>
      </c>
      <c r="X178" s="2" t="s">
        <v>71</v>
      </c>
      <c r="Y178" s="2">
        <v>2.0620902744921401</v>
      </c>
      <c r="Z178" s="2">
        <v>4.73719444444444</v>
      </c>
      <c r="AA178" s="2">
        <v>-74.069472222222203</v>
      </c>
      <c r="AB178" s="2">
        <v>2555</v>
      </c>
      <c r="AC178" s="2" t="s">
        <v>31</v>
      </c>
      <c r="AD178" s="2" t="s">
        <v>58</v>
      </c>
      <c r="AE178" s="2" t="s">
        <v>33</v>
      </c>
      <c r="AF178" s="2" t="s">
        <v>34</v>
      </c>
      <c r="AG178" s="2" t="s">
        <v>72</v>
      </c>
      <c r="AH178" s="2">
        <v>0.59190552787968798</v>
      </c>
      <c r="AI178" s="2">
        <v>5.0731855468104099</v>
      </c>
      <c r="AJ178" s="2">
        <v>0.25327110465624503</v>
      </c>
      <c r="AK178" s="2">
        <v>0.10201948365006699</v>
      </c>
      <c r="AL178" s="2">
        <v>8.0734702714801397E-3</v>
      </c>
      <c r="AM178" s="2">
        <v>15.3</v>
      </c>
      <c r="AN178" s="2">
        <v>9.8000000000000007</v>
      </c>
      <c r="AO178" s="2">
        <v>29.7</v>
      </c>
      <c r="AP178" s="2">
        <v>564</v>
      </c>
      <c r="AQ178" s="2">
        <v>68</v>
      </c>
      <c r="AR178" s="2">
        <v>1.8</v>
      </c>
      <c r="AS178" s="2">
        <v>43</v>
      </c>
      <c r="AT178" s="2">
        <v>25.4</v>
      </c>
      <c r="AU178" s="2">
        <v>162</v>
      </c>
      <c r="AV178" s="2">
        <v>9.1</v>
      </c>
      <c r="AW178" s="2">
        <v>9.1999999999999993</v>
      </c>
      <c r="AX178" s="2">
        <v>18.3</v>
      </c>
      <c r="AY178" s="2">
        <v>0.34</v>
      </c>
      <c r="AZ178" s="2">
        <v>7.3</v>
      </c>
      <c r="BA178" s="2">
        <v>0.9</v>
      </c>
      <c r="BB178" s="2">
        <v>7.5</v>
      </c>
      <c r="BC178" s="2">
        <v>2.9</v>
      </c>
      <c r="BD178" s="2">
        <f>+AN178*EXP(-0.0495*Y178)</f>
        <v>8.849039456044137</v>
      </c>
      <c r="BE178" s="2">
        <f>+AO178*EXP(-0.024*Y178)</f>
        <v>28.265921145739846</v>
      </c>
    </row>
    <row r="179" spans="1:57" x14ac:dyDescent="0.2">
      <c r="A179" s="2" t="s">
        <v>2257</v>
      </c>
      <c r="B179" s="2" t="s">
        <v>19</v>
      </c>
      <c r="C179" s="2" t="s">
        <v>1907</v>
      </c>
      <c r="D179" s="2" t="s">
        <v>21</v>
      </c>
      <c r="E179" s="2" t="s">
        <v>132</v>
      </c>
      <c r="F179" s="2">
        <v>5</v>
      </c>
      <c r="G179" s="2">
        <v>238</v>
      </c>
      <c r="H179" s="2">
        <v>3</v>
      </c>
      <c r="I179" s="2">
        <v>3</v>
      </c>
      <c r="J179" s="2">
        <v>2</v>
      </c>
      <c r="K179" s="2" t="s">
        <v>61</v>
      </c>
      <c r="L179" s="6" t="s">
        <v>113</v>
      </c>
      <c r="M179" s="5">
        <v>1050000000</v>
      </c>
      <c r="N179" s="2">
        <v>0</v>
      </c>
      <c r="O179" s="2">
        <v>4.7189670000000001</v>
      </c>
      <c r="P179" s="2">
        <v>-74.0677369</v>
      </c>
      <c r="Q179" s="2" t="s">
        <v>2258</v>
      </c>
      <c r="R179" s="2">
        <v>4411764.7060000002</v>
      </c>
      <c r="S179" s="2">
        <v>0</v>
      </c>
      <c r="T179" s="2" t="s">
        <v>68</v>
      </c>
      <c r="U179" s="2" t="s">
        <v>69</v>
      </c>
      <c r="V179" s="2" t="s">
        <v>28</v>
      </c>
      <c r="W179" s="2" t="s">
        <v>70</v>
      </c>
      <c r="X179" s="2" t="s">
        <v>71</v>
      </c>
      <c r="Y179" s="2">
        <v>2.0381824026947601</v>
      </c>
      <c r="Z179" s="2">
        <v>4.73719444444444</v>
      </c>
      <c r="AA179" s="2">
        <v>-74.069472222222203</v>
      </c>
      <c r="AB179" s="2">
        <v>2555</v>
      </c>
      <c r="AC179" s="2" t="s">
        <v>31</v>
      </c>
      <c r="AD179" s="2" t="s">
        <v>58</v>
      </c>
      <c r="AE179" s="2" t="s">
        <v>33</v>
      </c>
      <c r="AF179" s="2" t="s">
        <v>34</v>
      </c>
      <c r="AG179" s="2" t="s">
        <v>72</v>
      </c>
      <c r="AH179" s="2">
        <v>0.81403090217719798</v>
      </c>
      <c r="AI179" s="2">
        <v>4.8249552240771001</v>
      </c>
      <c r="AJ179" s="2">
        <v>0.47021497598419998</v>
      </c>
      <c r="AK179" s="2">
        <v>0.14655313163008299</v>
      </c>
      <c r="AL179" s="2">
        <v>0.13669410625089301</v>
      </c>
      <c r="AM179" s="2">
        <v>15.3</v>
      </c>
      <c r="AN179" s="2">
        <v>9.8000000000000007</v>
      </c>
      <c r="AO179" s="2">
        <v>29.7</v>
      </c>
      <c r="AP179" s="2">
        <v>564</v>
      </c>
      <c r="AQ179" s="2">
        <v>68</v>
      </c>
      <c r="AR179" s="2">
        <v>1.8</v>
      </c>
      <c r="AS179" s="2">
        <v>43</v>
      </c>
      <c r="AT179" s="2">
        <v>25.4</v>
      </c>
      <c r="AU179" s="2">
        <v>162</v>
      </c>
      <c r="AV179" s="2">
        <v>9.1</v>
      </c>
      <c r="AW179" s="2">
        <v>9.1999999999999993</v>
      </c>
      <c r="AX179" s="2">
        <v>18.3</v>
      </c>
      <c r="AY179" s="2">
        <v>0.34</v>
      </c>
      <c r="AZ179" s="2">
        <v>7.3</v>
      </c>
      <c r="BA179" s="2">
        <v>0.9</v>
      </c>
      <c r="BB179" s="2">
        <v>7.5</v>
      </c>
      <c r="BC179" s="2">
        <v>2.9</v>
      </c>
      <c r="BD179" s="2">
        <f>+AN179*EXP(-0.0495*Y179)</f>
        <v>8.8595179593511766</v>
      </c>
      <c r="BE179" s="2">
        <f>+AO179*EXP(-0.024*Y179)</f>
        <v>28.282144472132924</v>
      </c>
    </row>
    <row r="180" spans="1:57" x14ac:dyDescent="0.2">
      <c r="A180" s="2" t="s">
        <v>2428</v>
      </c>
      <c r="B180" s="2" t="s">
        <v>19</v>
      </c>
      <c r="C180" s="2" t="s">
        <v>1907</v>
      </c>
      <c r="D180" s="2" t="s">
        <v>21</v>
      </c>
      <c r="E180" s="2" t="s">
        <v>1675</v>
      </c>
      <c r="F180" s="2">
        <v>5</v>
      </c>
      <c r="G180" s="2">
        <v>237</v>
      </c>
      <c r="H180" s="2">
        <v>4</v>
      </c>
      <c r="I180" s="2">
        <v>5</v>
      </c>
      <c r="J180" s="2">
        <v>4</v>
      </c>
      <c r="K180" s="2" t="s">
        <v>61</v>
      </c>
      <c r="L180" s="6" t="s">
        <v>113</v>
      </c>
      <c r="M180" s="5">
        <v>1690000000</v>
      </c>
      <c r="N180" s="2">
        <v>0</v>
      </c>
      <c r="O180" s="2">
        <v>4.7639355659999998</v>
      </c>
      <c r="P180" s="2">
        <v>-74.056915279999998</v>
      </c>
      <c r="Q180" s="2" t="s">
        <v>2429</v>
      </c>
      <c r="R180" s="2">
        <v>7130801.6880000001</v>
      </c>
      <c r="S180" s="2">
        <v>0</v>
      </c>
      <c r="T180" s="2" t="s">
        <v>102</v>
      </c>
      <c r="U180" s="2" t="s">
        <v>103</v>
      </c>
      <c r="V180" s="2" t="s">
        <v>28</v>
      </c>
      <c r="W180" s="2" t="s">
        <v>70</v>
      </c>
      <c r="X180" s="2" t="s">
        <v>104</v>
      </c>
      <c r="Y180" s="2">
        <v>2.6218455113222698</v>
      </c>
      <c r="Z180" s="2">
        <v>4.7837500000000004</v>
      </c>
      <c r="AA180" s="2">
        <v>-74.044138888888895</v>
      </c>
      <c r="AB180" s="2">
        <v>2580</v>
      </c>
      <c r="AC180" s="2" t="s">
        <v>105</v>
      </c>
      <c r="AD180" s="2" t="s">
        <v>58</v>
      </c>
      <c r="AE180" s="2" t="s">
        <v>33</v>
      </c>
      <c r="AF180" s="2" t="s">
        <v>34</v>
      </c>
      <c r="AG180" s="2" t="s">
        <v>72</v>
      </c>
      <c r="AH180" s="2">
        <v>1.38427524712965</v>
      </c>
      <c r="AI180" s="2">
        <v>3.7850289003408601</v>
      </c>
      <c r="AJ180" s="2">
        <v>1.2266970832073301</v>
      </c>
      <c r="AK180" s="2">
        <v>0.65291906859726201</v>
      </c>
      <c r="AL180" s="2">
        <v>0.36076856586086897</v>
      </c>
      <c r="AM180" s="2">
        <v>15.3</v>
      </c>
      <c r="AN180" s="2">
        <v>9.8000000000000007</v>
      </c>
      <c r="AO180" s="2">
        <v>29.7</v>
      </c>
      <c r="AP180" s="2">
        <v>564</v>
      </c>
      <c r="AQ180" s="2">
        <v>68</v>
      </c>
      <c r="AR180" s="2">
        <v>1.8</v>
      </c>
      <c r="AS180" s="2">
        <v>43</v>
      </c>
      <c r="AT180" s="2">
        <v>25.4</v>
      </c>
      <c r="AU180" s="2">
        <v>162</v>
      </c>
      <c r="AV180" s="2">
        <v>9.1</v>
      </c>
      <c r="AW180" s="2">
        <v>9.1999999999999993</v>
      </c>
      <c r="AX180" s="2">
        <v>18.3</v>
      </c>
      <c r="AY180" s="2">
        <v>0.34</v>
      </c>
      <c r="AZ180" s="2">
        <v>7.3</v>
      </c>
      <c r="BA180" s="2">
        <v>0.9</v>
      </c>
      <c r="BB180" s="2">
        <v>7.5</v>
      </c>
      <c r="BC180" s="2">
        <v>2.9</v>
      </c>
      <c r="BD180" s="2">
        <f>+AN180*EXP(-0.0495*Y180)</f>
        <v>8.6072169610940037</v>
      </c>
      <c r="BE180" s="2">
        <f>+AO180*EXP(-0.024*Y180)</f>
        <v>27.888732481225265</v>
      </c>
    </row>
    <row r="181" spans="1:57" x14ac:dyDescent="0.2">
      <c r="A181" s="2" t="s">
        <v>2175</v>
      </c>
      <c r="B181" s="2" t="s">
        <v>19</v>
      </c>
      <c r="C181" s="2" t="s">
        <v>1907</v>
      </c>
      <c r="D181" s="2" t="s">
        <v>21</v>
      </c>
      <c r="E181" s="2" t="s">
        <v>218</v>
      </c>
      <c r="F181" s="2">
        <v>6</v>
      </c>
      <c r="G181" s="2">
        <v>235</v>
      </c>
      <c r="H181" s="2">
        <v>4</v>
      </c>
      <c r="I181" s="2">
        <v>5</v>
      </c>
      <c r="J181" s="2">
        <v>3</v>
      </c>
      <c r="K181" s="2" t="s">
        <v>61</v>
      </c>
      <c r="L181" s="6" t="s">
        <v>84</v>
      </c>
      <c r="M181" s="5">
        <v>1150000000</v>
      </c>
      <c r="N181" s="2">
        <v>0</v>
      </c>
      <c r="O181" s="2">
        <v>4.7952165600000001</v>
      </c>
      <c r="P181" s="2">
        <v>-74.059173580000007</v>
      </c>
      <c r="Q181" s="2" t="s">
        <v>2176</v>
      </c>
      <c r="R181" s="2">
        <v>4893617.0209999997</v>
      </c>
      <c r="S181" s="2">
        <v>0</v>
      </c>
      <c r="T181" s="2" t="s">
        <v>102</v>
      </c>
      <c r="U181" s="2" t="s">
        <v>103</v>
      </c>
      <c r="V181" s="2" t="s">
        <v>28</v>
      </c>
      <c r="W181" s="2" t="s">
        <v>70</v>
      </c>
      <c r="X181" s="2" t="s">
        <v>104</v>
      </c>
      <c r="Y181" s="2">
        <v>2.1002188565624702</v>
      </c>
      <c r="Z181" s="2">
        <v>4.7837500000000004</v>
      </c>
      <c r="AA181" s="2">
        <v>-74.044138888888895</v>
      </c>
      <c r="AB181" s="2">
        <v>2580</v>
      </c>
      <c r="AC181" s="2" t="s">
        <v>105</v>
      </c>
      <c r="AD181" s="2" t="s">
        <v>58</v>
      </c>
      <c r="AE181" s="2" t="s">
        <v>33</v>
      </c>
      <c r="AF181" s="2" t="s">
        <v>34</v>
      </c>
      <c r="AG181" s="2" t="s">
        <v>72</v>
      </c>
      <c r="AH181" s="2">
        <v>3.3914627939464101</v>
      </c>
      <c r="AI181" s="2">
        <v>2.41531329087905</v>
      </c>
      <c r="AJ181" s="2">
        <v>1.4455702223675</v>
      </c>
      <c r="AK181" s="2">
        <v>2.2486728413527199</v>
      </c>
      <c r="AL181" s="2">
        <v>0.60140228220639602</v>
      </c>
      <c r="AM181" s="2">
        <v>15.3</v>
      </c>
      <c r="AN181" s="2">
        <v>9.8000000000000007</v>
      </c>
      <c r="AO181" s="2">
        <v>29.7</v>
      </c>
      <c r="AP181" s="2">
        <v>564</v>
      </c>
      <c r="AQ181" s="2">
        <v>68</v>
      </c>
      <c r="AR181" s="2">
        <v>1.8</v>
      </c>
      <c r="AS181" s="2">
        <v>43</v>
      </c>
      <c r="AT181" s="2">
        <v>25.4</v>
      </c>
      <c r="AU181" s="2">
        <v>162</v>
      </c>
      <c r="AV181" s="2">
        <v>9.1</v>
      </c>
      <c r="AW181" s="2">
        <v>9.1999999999999993</v>
      </c>
      <c r="AX181" s="2">
        <v>18.3</v>
      </c>
      <c r="AY181" s="2">
        <v>0.34</v>
      </c>
      <c r="AZ181" s="2">
        <v>7.3</v>
      </c>
      <c r="BA181" s="2">
        <v>0.9</v>
      </c>
      <c r="BB181" s="2">
        <v>7.5</v>
      </c>
      <c r="BC181" s="2">
        <v>2.9</v>
      </c>
      <c r="BD181" s="2">
        <f>+AN181*EXP(-0.0495*Y181)</f>
        <v>8.832353841224732</v>
      </c>
      <c r="BE181" s="2">
        <f>+AO181*EXP(-0.024*Y181)</f>
        <v>28.240067228961465</v>
      </c>
    </row>
    <row r="182" spans="1:57" x14ac:dyDescent="0.2">
      <c r="A182" s="2" t="s">
        <v>498</v>
      </c>
      <c r="B182" s="2" t="s">
        <v>19</v>
      </c>
      <c r="C182" s="2" t="s">
        <v>20</v>
      </c>
      <c r="D182" s="2" t="s">
        <v>21</v>
      </c>
      <c r="E182" s="2" t="s">
        <v>499</v>
      </c>
      <c r="F182" s="2">
        <v>6</v>
      </c>
      <c r="G182" s="2">
        <v>234</v>
      </c>
      <c r="H182" s="2">
        <v>3</v>
      </c>
      <c r="I182" s="2">
        <v>4</v>
      </c>
      <c r="J182" s="2">
        <v>2</v>
      </c>
      <c r="K182" s="2" t="s">
        <v>61</v>
      </c>
      <c r="L182" s="6" t="s">
        <v>113</v>
      </c>
      <c r="M182" s="5">
        <v>1300000000</v>
      </c>
      <c r="N182" s="2">
        <v>0</v>
      </c>
      <c r="O182" s="2">
        <v>4.7170400619999997</v>
      </c>
      <c r="P182" s="2">
        <v>-74.077117920000006</v>
      </c>
      <c r="Q182" s="2" t="s">
        <v>500</v>
      </c>
      <c r="R182" s="2">
        <v>5555555.5559999999</v>
      </c>
      <c r="S182" s="2">
        <v>0</v>
      </c>
      <c r="T182" s="2" t="s">
        <v>68</v>
      </c>
      <c r="U182" s="2" t="s">
        <v>69</v>
      </c>
      <c r="V182" s="2" t="s">
        <v>28</v>
      </c>
      <c r="W182" s="2" t="s">
        <v>70</v>
      </c>
      <c r="X182" s="2" t="s">
        <v>71</v>
      </c>
      <c r="Y182" s="2">
        <v>2.39856389972929</v>
      </c>
      <c r="Z182" s="2">
        <v>4.73719444444444</v>
      </c>
      <c r="AA182" s="2">
        <v>-74.069472222222203</v>
      </c>
      <c r="AB182" s="2">
        <v>2555</v>
      </c>
      <c r="AC182" s="2" t="s">
        <v>31</v>
      </c>
      <c r="AD182" s="2" t="s">
        <v>58</v>
      </c>
      <c r="AE182" s="2" t="s">
        <v>33</v>
      </c>
      <c r="AF182" s="2" t="s">
        <v>34</v>
      </c>
      <c r="AG182" s="2" t="s">
        <v>72</v>
      </c>
      <c r="AH182" s="2">
        <v>0.53796716203861294</v>
      </c>
      <c r="AI182" s="2">
        <v>5.4650568327406797</v>
      </c>
      <c r="AJ182" s="2">
        <v>0.63247736099421803</v>
      </c>
      <c r="AK182" s="2">
        <v>0.107793455867603</v>
      </c>
      <c r="AL182" s="2">
        <v>0.228727495134774</v>
      </c>
      <c r="AM182" s="2">
        <v>15.3</v>
      </c>
      <c r="AN182" s="2">
        <v>9.8000000000000007</v>
      </c>
      <c r="AO182" s="2">
        <v>29.7</v>
      </c>
      <c r="AP182" s="2">
        <v>564</v>
      </c>
      <c r="AQ182" s="2">
        <v>68</v>
      </c>
      <c r="AR182" s="2">
        <v>1.8</v>
      </c>
      <c r="AS182" s="2">
        <v>43</v>
      </c>
      <c r="AT182" s="2">
        <v>25.4</v>
      </c>
      <c r="AU182" s="2">
        <v>162</v>
      </c>
      <c r="AV182" s="2">
        <v>9.1</v>
      </c>
      <c r="AW182" s="2">
        <v>9.1999999999999993</v>
      </c>
      <c r="AX182" s="2">
        <v>18.3</v>
      </c>
      <c r="AY182" s="2">
        <v>0.34</v>
      </c>
      <c r="AZ182" s="2">
        <v>7.3</v>
      </c>
      <c r="BA182" s="2">
        <v>0.9</v>
      </c>
      <c r="BB182" s="2">
        <v>7.5</v>
      </c>
      <c r="BC182" s="2">
        <v>2.9</v>
      </c>
      <c r="BD182" s="2">
        <f>+AN182*EXP(-0.0495*Y182)</f>
        <v>8.7028753637721508</v>
      </c>
      <c r="BE182" s="2">
        <f>+AO182*EXP(-0.024*Y182)</f>
        <v>28.038582615191942</v>
      </c>
    </row>
    <row r="183" spans="1:57" x14ac:dyDescent="0.2">
      <c r="A183" s="2" t="s">
        <v>3175</v>
      </c>
      <c r="B183" s="2" t="s">
        <v>19</v>
      </c>
      <c r="C183" s="2" t="s">
        <v>1907</v>
      </c>
      <c r="D183" s="2" t="s">
        <v>21</v>
      </c>
      <c r="E183" s="2" t="s">
        <v>2212</v>
      </c>
      <c r="F183" s="2">
        <v>6</v>
      </c>
      <c r="G183" s="2">
        <v>232</v>
      </c>
      <c r="H183" s="2">
        <v>4</v>
      </c>
      <c r="I183" s="2">
        <v>5</v>
      </c>
      <c r="J183" s="2">
        <v>4</v>
      </c>
      <c r="K183" s="2" t="s">
        <v>61</v>
      </c>
      <c r="L183" s="6" t="s">
        <v>75</v>
      </c>
      <c r="M183" s="5">
        <v>1800000000</v>
      </c>
      <c r="N183" s="2">
        <v>0</v>
      </c>
      <c r="O183" s="2">
        <v>4.7984900000000001</v>
      </c>
      <c r="P183" s="2">
        <v>-74.074029999999993</v>
      </c>
      <c r="Q183" s="2" t="s">
        <v>3176</v>
      </c>
      <c r="R183" s="2">
        <v>7758620.6900000004</v>
      </c>
      <c r="S183" s="2">
        <v>0</v>
      </c>
      <c r="T183" s="2" t="s">
        <v>102</v>
      </c>
      <c r="U183" s="2" t="s">
        <v>103</v>
      </c>
      <c r="V183" s="2" t="s">
        <v>28</v>
      </c>
      <c r="W183" s="2" t="s">
        <v>70</v>
      </c>
      <c r="X183" s="2" t="s">
        <v>104</v>
      </c>
      <c r="Y183" s="2">
        <v>3.6996159307372798</v>
      </c>
      <c r="Z183" s="2">
        <v>4.7837500000000004</v>
      </c>
      <c r="AA183" s="2">
        <v>-74.044138888888895</v>
      </c>
      <c r="AB183" s="2">
        <v>2580</v>
      </c>
      <c r="AC183" s="2" t="s">
        <v>105</v>
      </c>
      <c r="AD183" s="2" t="s">
        <v>58</v>
      </c>
      <c r="AE183" s="2" t="s">
        <v>33</v>
      </c>
      <c r="AF183" s="2" t="s">
        <v>34</v>
      </c>
      <c r="AG183" s="2" t="s">
        <v>72</v>
      </c>
      <c r="AH183" s="2">
        <v>4.7067890515195199</v>
      </c>
      <c r="AI183" s="2">
        <v>0.94800926522703099</v>
      </c>
      <c r="AJ183" s="2">
        <v>2.9951133954435298</v>
      </c>
      <c r="AK183" s="2">
        <v>0.89805768664406804</v>
      </c>
      <c r="AL183" s="2">
        <v>2.2855374081357902</v>
      </c>
      <c r="AM183" s="2">
        <v>15.3</v>
      </c>
      <c r="AN183" s="2">
        <v>9.8000000000000007</v>
      </c>
      <c r="AO183" s="2">
        <v>29.7</v>
      </c>
      <c r="AP183" s="2">
        <v>564</v>
      </c>
      <c r="AQ183" s="2">
        <v>68</v>
      </c>
      <c r="AR183" s="2">
        <v>1.8</v>
      </c>
      <c r="AS183" s="2">
        <v>43</v>
      </c>
      <c r="AT183" s="2">
        <v>25.4</v>
      </c>
      <c r="AU183" s="2">
        <v>162</v>
      </c>
      <c r="AV183" s="2">
        <v>9.1</v>
      </c>
      <c r="AW183" s="2">
        <v>9.1999999999999993</v>
      </c>
      <c r="AX183" s="2">
        <v>18.3</v>
      </c>
      <c r="AY183" s="2">
        <v>0.34</v>
      </c>
      <c r="AZ183" s="2">
        <v>7.3</v>
      </c>
      <c r="BA183" s="2">
        <v>0.9</v>
      </c>
      <c r="BB183" s="2">
        <v>7.5</v>
      </c>
      <c r="BC183" s="2">
        <v>2.9</v>
      </c>
      <c r="BD183" s="2">
        <f>+AN183*EXP(-0.0495*Y183)</f>
        <v>8.1600589817459284</v>
      </c>
      <c r="BE183" s="2">
        <f>+AO183*EXP(-0.024*Y183)</f>
        <v>27.176598764878246</v>
      </c>
    </row>
    <row r="184" spans="1:57" x14ac:dyDescent="0.2">
      <c r="A184" s="2" t="s">
        <v>684</v>
      </c>
      <c r="B184" s="2" t="s">
        <v>19</v>
      </c>
      <c r="C184" s="2" t="s">
        <v>20</v>
      </c>
      <c r="D184" s="2" t="s">
        <v>21</v>
      </c>
      <c r="E184" s="2" t="s">
        <v>483</v>
      </c>
      <c r="F184" s="2">
        <v>6</v>
      </c>
      <c r="G184" s="2">
        <v>231.33</v>
      </c>
      <c r="H184" s="2">
        <v>3</v>
      </c>
      <c r="I184" s="2">
        <v>5</v>
      </c>
      <c r="J184" s="2">
        <v>4</v>
      </c>
      <c r="K184" s="2" t="s">
        <v>61</v>
      </c>
      <c r="L184" s="6" t="s">
        <v>75</v>
      </c>
      <c r="M184" s="5">
        <v>1590000000</v>
      </c>
      <c r="N184" s="2">
        <v>0</v>
      </c>
      <c r="O184" s="2">
        <v>4.7120189999999997</v>
      </c>
      <c r="P184" s="2">
        <v>-74.082677000000004</v>
      </c>
      <c r="Q184" s="2" t="s">
        <v>685</v>
      </c>
      <c r="R184" s="2">
        <v>6873297.8859999999</v>
      </c>
      <c r="S184" s="2">
        <v>0</v>
      </c>
      <c r="T184" s="2" t="s">
        <v>68</v>
      </c>
      <c r="U184" s="2" t="s">
        <v>69</v>
      </c>
      <c r="V184" s="2" t="s">
        <v>28</v>
      </c>
      <c r="W184" s="2" t="s">
        <v>70</v>
      </c>
      <c r="X184" s="2" t="s">
        <v>71</v>
      </c>
      <c r="Y184" s="2">
        <v>3.1623087431183601</v>
      </c>
      <c r="Z184" s="2">
        <v>4.73719444444444</v>
      </c>
      <c r="AA184" s="2">
        <v>-74.069472222222203</v>
      </c>
      <c r="AB184" s="2">
        <v>2555</v>
      </c>
      <c r="AC184" s="2" t="s">
        <v>31</v>
      </c>
      <c r="AD184" s="2" t="s">
        <v>58</v>
      </c>
      <c r="AE184" s="2" t="s">
        <v>33</v>
      </c>
      <c r="AF184" s="2" t="s">
        <v>34</v>
      </c>
      <c r="AG184" s="2" t="s">
        <v>72</v>
      </c>
      <c r="AH184" s="2">
        <v>1.14977013639379</v>
      </c>
      <c r="AI184" s="2">
        <v>4.99697923579083</v>
      </c>
      <c r="AJ184" s="2">
        <v>1.3579437778204699</v>
      </c>
      <c r="AK184" s="2">
        <v>0.47390882419059499</v>
      </c>
      <c r="AL184" s="2">
        <v>0.51533384362516799</v>
      </c>
      <c r="AM184" s="2">
        <v>15.3</v>
      </c>
      <c r="AN184" s="2">
        <v>9.8000000000000007</v>
      </c>
      <c r="AO184" s="2">
        <v>29.7</v>
      </c>
      <c r="AP184" s="2">
        <v>564</v>
      </c>
      <c r="AQ184" s="2">
        <v>68</v>
      </c>
      <c r="AR184" s="2">
        <v>1.8</v>
      </c>
      <c r="AS184" s="2">
        <v>43</v>
      </c>
      <c r="AT184" s="2">
        <v>25.4</v>
      </c>
      <c r="AU184" s="2">
        <v>162</v>
      </c>
      <c r="AV184" s="2">
        <v>9.1</v>
      </c>
      <c r="AW184" s="2">
        <v>9.1999999999999993</v>
      </c>
      <c r="AX184" s="2">
        <v>18.3</v>
      </c>
      <c r="AY184" s="2">
        <v>0.34</v>
      </c>
      <c r="AZ184" s="2">
        <v>7.3</v>
      </c>
      <c r="BA184" s="2">
        <v>0.9</v>
      </c>
      <c r="BB184" s="2">
        <v>7.5</v>
      </c>
      <c r="BC184" s="2">
        <v>2.9</v>
      </c>
      <c r="BD184" s="2">
        <f>+AN184*EXP(-0.0495*Y184)</f>
        <v>8.3800015787768629</v>
      </c>
      <c r="BE184" s="2">
        <f>+AO184*EXP(-0.024*Y184)</f>
        <v>27.529320480421642</v>
      </c>
    </row>
    <row r="185" spans="1:57" x14ac:dyDescent="0.2">
      <c r="A185" s="2" t="s">
        <v>1911</v>
      </c>
      <c r="B185" s="2" t="s">
        <v>19</v>
      </c>
      <c r="C185" s="2" t="s">
        <v>1907</v>
      </c>
      <c r="D185" s="2" t="s">
        <v>21</v>
      </c>
      <c r="E185" s="2" t="s">
        <v>339</v>
      </c>
      <c r="F185" s="2">
        <v>6</v>
      </c>
      <c r="G185" s="2">
        <v>231</v>
      </c>
      <c r="H185" s="2">
        <v>4</v>
      </c>
      <c r="I185" s="2">
        <v>5</v>
      </c>
      <c r="J185" s="2">
        <v>3</v>
      </c>
      <c r="K185" s="2" t="s">
        <v>23</v>
      </c>
      <c r="L185" s="6" t="s">
        <v>24</v>
      </c>
      <c r="M185" s="5">
        <v>3369999000</v>
      </c>
      <c r="N185" s="2">
        <v>0</v>
      </c>
      <c r="O185" s="2">
        <v>4.7454169999999998</v>
      </c>
      <c r="P185" s="2">
        <v>-74.074520000000007</v>
      </c>
      <c r="Q185" s="2" t="s">
        <v>1912</v>
      </c>
      <c r="R185" s="2">
        <v>14588740.26</v>
      </c>
      <c r="S185" s="2">
        <v>0</v>
      </c>
      <c r="T185" s="2" t="s">
        <v>68</v>
      </c>
      <c r="U185" s="2" t="s">
        <v>69</v>
      </c>
      <c r="V185" s="2" t="s">
        <v>28</v>
      </c>
      <c r="W185" s="2" t="s">
        <v>70</v>
      </c>
      <c r="X185" s="2" t="s">
        <v>71</v>
      </c>
      <c r="Y185" s="2">
        <v>1.0730436510305299</v>
      </c>
      <c r="Z185" s="2">
        <v>4.73719444444444</v>
      </c>
      <c r="AA185" s="2">
        <v>-74.069472222222203</v>
      </c>
      <c r="AB185" s="2">
        <v>2555</v>
      </c>
      <c r="AC185" s="2" t="s">
        <v>31</v>
      </c>
      <c r="AD185" s="2" t="s">
        <v>58</v>
      </c>
      <c r="AE185" s="2" t="s">
        <v>33</v>
      </c>
      <c r="AF185" s="2" t="s">
        <v>34</v>
      </c>
      <c r="AG185" s="2" t="s">
        <v>72</v>
      </c>
      <c r="AH185" s="2">
        <v>1.30888673422818</v>
      </c>
      <c r="AI185" s="2">
        <v>4.6998070568874502</v>
      </c>
      <c r="AJ185" s="2">
        <v>2.4908581066797701</v>
      </c>
      <c r="AK185" s="2">
        <v>0.75507979697583905</v>
      </c>
      <c r="AL185" s="2">
        <v>2.49755832596214E-2</v>
      </c>
      <c r="AM185" s="2">
        <v>15.3</v>
      </c>
      <c r="AN185" s="2">
        <v>9.8000000000000007</v>
      </c>
      <c r="AO185" s="2">
        <v>29.7</v>
      </c>
      <c r="AP185" s="2">
        <v>564</v>
      </c>
      <c r="AQ185" s="2">
        <v>68</v>
      </c>
      <c r="AR185" s="2">
        <v>1.8</v>
      </c>
      <c r="AS185" s="2">
        <v>43</v>
      </c>
      <c r="AT185" s="2">
        <v>25.4</v>
      </c>
      <c r="AU185" s="2">
        <v>162</v>
      </c>
      <c r="AV185" s="2">
        <v>9.1</v>
      </c>
      <c r="AW185" s="2">
        <v>9.1999999999999993</v>
      </c>
      <c r="AX185" s="2">
        <v>18.3</v>
      </c>
      <c r="AY185" s="2">
        <v>0.34</v>
      </c>
      <c r="AZ185" s="2">
        <v>7.3</v>
      </c>
      <c r="BA185" s="2">
        <v>0.9</v>
      </c>
      <c r="BB185" s="2">
        <v>7.5</v>
      </c>
      <c r="BC185" s="2">
        <v>2.9</v>
      </c>
      <c r="BD185" s="2">
        <f>+AN185*EXP(-0.0495*Y185)</f>
        <v>9.2930492193461252</v>
      </c>
      <c r="BE185" s="2">
        <f>+AO185*EXP(-0.024*Y185)</f>
        <v>28.944899290474932</v>
      </c>
    </row>
    <row r="186" spans="1:57" x14ac:dyDescent="0.2">
      <c r="A186" s="2" t="s">
        <v>1426</v>
      </c>
      <c r="B186" s="2" t="s">
        <v>19</v>
      </c>
      <c r="C186" s="2" t="s">
        <v>20</v>
      </c>
      <c r="D186" s="2" t="s">
        <v>21</v>
      </c>
      <c r="E186" s="2" t="s">
        <v>406</v>
      </c>
      <c r="F186" s="2">
        <v>6</v>
      </c>
      <c r="G186" s="2">
        <v>231</v>
      </c>
      <c r="H186" s="2">
        <v>4</v>
      </c>
      <c r="I186" s="2">
        <v>5</v>
      </c>
      <c r="J186" s="2">
        <v>3</v>
      </c>
      <c r="K186" s="2" t="s">
        <v>61</v>
      </c>
      <c r="L186" s="6" t="s">
        <v>75</v>
      </c>
      <c r="M186" s="5">
        <v>1290000000</v>
      </c>
      <c r="N186" s="2">
        <v>0</v>
      </c>
      <c r="O186" s="2">
        <v>4.7376995089999996</v>
      </c>
      <c r="P186" s="2">
        <v>-74.076545719999999</v>
      </c>
      <c r="Q186" s="2" t="s">
        <v>1427</v>
      </c>
      <c r="R186" s="2">
        <v>5584415.5839999998</v>
      </c>
      <c r="S186" s="2">
        <v>0</v>
      </c>
      <c r="T186" s="2" t="s">
        <v>68</v>
      </c>
      <c r="U186" s="2" t="s">
        <v>69</v>
      </c>
      <c r="V186" s="2" t="s">
        <v>28</v>
      </c>
      <c r="W186" s="2" t="s">
        <v>70</v>
      </c>
      <c r="X186" s="2" t="s">
        <v>71</v>
      </c>
      <c r="Y186" s="2">
        <v>0.78673960163071899</v>
      </c>
      <c r="Z186" s="2">
        <v>4.73719444444444</v>
      </c>
      <c r="AA186" s="2">
        <v>-74.069472222222203</v>
      </c>
      <c r="AB186" s="2">
        <v>2555</v>
      </c>
      <c r="AC186" s="2" t="s">
        <v>31</v>
      </c>
      <c r="AD186" s="2" t="s">
        <v>58</v>
      </c>
      <c r="AE186" s="2" t="s">
        <v>33</v>
      </c>
      <c r="AF186" s="2" t="s">
        <v>34</v>
      </c>
      <c r="AG186" s="2" t="s">
        <v>72</v>
      </c>
      <c r="AH186" s="2">
        <v>0.54870064077564995</v>
      </c>
      <c r="AI186" s="2">
        <v>4.8988745615195199</v>
      </c>
      <c r="AJ186" s="2">
        <v>2.3730916048531601</v>
      </c>
      <c r="AK186" s="2">
        <v>0.55742899024924597</v>
      </c>
      <c r="AL186" s="2">
        <v>9.6446447352999398E-3</v>
      </c>
      <c r="AM186" s="2">
        <v>15.3</v>
      </c>
      <c r="AN186" s="2">
        <v>9.8000000000000007</v>
      </c>
      <c r="AO186" s="2">
        <v>29.7</v>
      </c>
      <c r="AP186" s="2">
        <v>564</v>
      </c>
      <c r="AQ186" s="2">
        <v>68</v>
      </c>
      <c r="AR186" s="2">
        <v>1.8</v>
      </c>
      <c r="AS186" s="2">
        <v>43</v>
      </c>
      <c r="AT186" s="2">
        <v>25.4</v>
      </c>
      <c r="AU186" s="2">
        <v>162</v>
      </c>
      <c r="AV186" s="2">
        <v>9.1</v>
      </c>
      <c r="AW186" s="2">
        <v>9.1999999999999993</v>
      </c>
      <c r="AX186" s="2">
        <v>18.3</v>
      </c>
      <c r="AY186" s="2">
        <v>0.34</v>
      </c>
      <c r="AZ186" s="2">
        <v>7.3</v>
      </c>
      <c r="BA186" s="2">
        <v>0.9</v>
      </c>
      <c r="BB186" s="2">
        <v>7.5</v>
      </c>
      <c r="BC186" s="2">
        <v>2.9</v>
      </c>
      <c r="BD186" s="2">
        <f>+AN186*EXP(-0.0495*Y186)</f>
        <v>9.4256884465742896</v>
      </c>
      <c r="BE186" s="2">
        <f>+AO186*EXP(-0.024*Y186)</f>
        <v>29.144473176011029</v>
      </c>
    </row>
    <row r="187" spans="1:57" x14ac:dyDescent="0.2">
      <c r="A187" s="2" t="s">
        <v>2434</v>
      </c>
      <c r="B187" s="2" t="s">
        <v>19</v>
      </c>
      <c r="C187" s="2" t="s">
        <v>1907</v>
      </c>
      <c r="D187" s="2" t="s">
        <v>21</v>
      </c>
      <c r="E187" s="2" t="s">
        <v>434</v>
      </c>
      <c r="F187" s="2">
        <v>4</v>
      </c>
      <c r="G187" s="2">
        <v>230</v>
      </c>
      <c r="H187" s="2">
        <v>3</v>
      </c>
      <c r="I187" s="2">
        <v>4</v>
      </c>
      <c r="J187" s="2">
        <v>4</v>
      </c>
      <c r="K187" s="2" t="s">
        <v>61</v>
      </c>
      <c r="L187" s="6" t="s">
        <v>113</v>
      </c>
      <c r="M187" s="5">
        <v>1350000000</v>
      </c>
      <c r="N187" s="2">
        <v>0</v>
      </c>
      <c r="O187" s="2">
        <v>4.721218586</v>
      </c>
      <c r="P187" s="2">
        <v>-74.073265079999999</v>
      </c>
      <c r="Q187" s="2" t="s">
        <v>2435</v>
      </c>
      <c r="R187" s="2">
        <v>5869565.2170000002</v>
      </c>
      <c r="S187" s="2">
        <v>0</v>
      </c>
      <c r="T187" s="2" t="s">
        <v>68</v>
      </c>
      <c r="U187" s="2" t="s">
        <v>69</v>
      </c>
      <c r="V187" s="2" t="s">
        <v>28</v>
      </c>
      <c r="W187" s="2" t="s">
        <v>70</v>
      </c>
      <c r="X187" s="2" t="s">
        <v>71</v>
      </c>
      <c r="Y187" s="2">
        <v>1.82752580064767</v>
      </c>
      <c r="Z187" s="2">
        <v>4.73719444444444</v>
      </c>
      <c r="AA187" s="2">
        <v>-74.069472222222203</v>
      </c>
      <c r="AB187" s="2">
        <v>2555</v>
      </c>
      <c r="AC187" s="2" t="s">
        <v>31</v>
      </c>
      <c r="AD187" s="2" t="s">
        <v>58</v>
      </c>
      <c r="AE187" s="2" t="s">
        <v>33</v>
      </c>
      <c r="AF187" s="2" t="s">
        <v>34</v>
      </c>
      <c r="AG187" s="2" t="s">
        <v>72</v>
      </c>
      <c r="AH187" s="2">
        <v>0.16047648658791699</v>
      </c>
      <c r="AI187" s="2">
        <v>5.4698367584072196</v>
      </c>
      <c r="AJ187" s="2">
        <v>0.52430811394793897</v>
      </c>
      <c r="AK187" s="2">
        <v>0.14800565050437001</v>
      </c>
      <c r="AL187" s="2">
        <v>0.14697902790339001</v>
      </c>
      <c r="AM187" s="2">
        <v>15.3</v>
      </c>
      <c r="AN187" s="2">
        <v>9.8000000000000007</v>
      </c>
      <c r="AO187" s="2">
        <v>29.7</v>
      </c>
      <c r="AP187" s="2">
        <v>564</v>
      </c>
      <c r="AQ187" s="2">
        <v>68</v>
      </c>
      <c r="AR187" s="2">
        <v>1.8</v>
      </c>
      <c r="AS187" s="2">
        <v>43</v>
      </c>
      <c r="AT187" s="2">
        <v>25.4</v>
      </c>
      <c r="AU187" s="2">
        <v>162</v>
      </c>
      <c r="AV187" s="2">
        <v>9.1</v>
      </c>
      <c r="AW187" s="2">
        <v>9.1999999999999993</v>
      </c>
      <c r="AX187" s="2">
        <v>18.3</v>
      </c>
      <c r="AY187" s="2">
        <v>0.34</v>
      </c>
      <c r="AZ187" s="2">
        <v>7.3</v>
      </c>
      <c r="BA187" s="2">
        <v>0.9</v>
      </c>
      <c r="BB187" s="2">
        <v>7.5</v>
      </c>
      <c r="BC187" s="2">
        <v>2.9</v>
      </c>
      <c r="BD187" s="2">
        <f>+AN187*EXP(-0.0495*Y187)</f>
        <v>8.9523839374449157</v>
      </c>
      <c r="BE187" s="2">
        <f>+AO187*EXP(-0.024*Y187)</f>
        <v>28.425494228535353</v>
      </c>
    </row>
    <row r="188" spans="1:57" x14ac:dyDescent="0.2">
      <c r="A188" s="2" t="s">
        <v>2436</v>
      </c>
      <c r="B188" s="2" t="s">
        <v>19</v>
      </c>
      <c r="C188" s="2" t="s">
        <v>1907</v>
      </c>
      <c r="D188" s="2" t="s">
        <v>21</v>
      </c>
      <c r="E188" s="2" t="s">
        <v>2437</v>
      </c>
      <c r="F188" s="2">
        <v>3</v>
      </c>
      <c r="G188" s="2">
        <v>230</v>
      </c>
      <c r="H188" s="2">
        <v>4</v>
      </c>
      <c r="I188" s="2">
        <v>3</v>
      </c>
      <c r="J188" s="2">
        <v>2</v>
      </c>
      <c r="K188" s="2" t="s">
        <v>61</v>
      </c>
      <c r="L188" s="6" t="s">
        <v>113</v>
      </c>
      <c r="M188" s="5">
        <v>890000000</v>
      </c>
      <c r="N188" s="2">
        <v>0</v>
      </c>
      <c r="O188" s="2">
        <v>4.7186789999999998</v>
      </c>
      <c r="P188" s="2">
        <v>-74.070040000000006</v>
      </c>
      <c r="Q188" s="2" t="s">
        <v>2438</v>
      </c>
      <c r="R188" s="2">
        <v>3869565.2170000002</v>
      </c>
      <c r="S188" s="2">
        <v>0</v>
      </c>
      <c r="T188" s="2" t="s">
        <v>68</v>
      </c>
      <c r="U188" s="2" t="s">
        <v>69</v>
      </c>
      <c r="V188" s="2" t="s">
        <v>28</v>
      </c>
      <c r="W188" s="2" t="s">
        <v>70</v>
      </c>
      <c r="X188" s="2" t="s">
        <v>71</v>
      </c>
      <c r="Y188" s="2">
        <v>2.0620921283656202</v>
      </c>
      <c r="Z188" s="2">
        <v>4.73719444444444</v>
      </c>
      <c r="AA188" s="2">
        <v>-74.069472222222203</v>
      </c>
      <c r="AB188" s="2">
        <v>2555</v>
      </c>
      <c r="AC188" s="2" t="s">
        <v>31</v>
      </c>
      <c r="AD188" s="2" t="s">
        <v>58</v>
      </c>
      <c r="AE188" s="2" t="s">
        <v>33</v>
      </c>
      <c r="AF188" s="2" t="s">
        <v>34</v>
      </c>
      <c r="AG188" s="2" t="s">
        <v>72</v>
      </c>
      <c r="AH188" s="2">
        <v>0.59169325020236296</v>
      </c>
      <c r="AI188" s="2">
        <v>5.0734236522527203</v>
      </c>
      <c r="AJ188" s="2">
        <v>0.25313094064276098</v>
      </c>
      <c r="AK188" s="2">
        <v>0.101967098375588</v>
      </c>
      <c r="AL188" s="2">
        <v>7.9852233383484305E-3</v>
      </c>
      <c r="AM188" s="2">
        <v>15.3</v>
      </c>
      <c r="AN188" s="2">
        <v>9.8000000000000007</v>
      </c>
      <c r="AO188" s="2">
        <v>29.7</v>
      </c>
      <c r="AP188" s="2">
        <v>564</v>
      </c>
      <c r="AQ188" s="2">
        <v>68</v>
      </c>
      <c r="AR188" s="2">
        <v>1.8</v>
      </c>
      <c r="AS188" s="2">
        <v>43</v>
      </c>
      <c r="AT188" s="2">
        <v>25.4</v>
      </c>
      <c r="AU188" s="2">
        <v>162</v>
      </c>
      <c r="AV188" s="2">
        <v>9.1</v>
      </c>
      <c r="AW188" s="2">
        <v>9.1999999999999993</v>
      </c>
      <c r="AX188" s="2">
        <v>18.3</v>
      </c>
      <c r="AY188" s="2">
        <v>0.34</v>
      </c>
      <c r="AZ188" s="2">
        <v>7.3</v>
      </c>
      <c r="BA188" s="2">
        <v>0.9</v>
      </c>
      <c r="BB188" s="2">
        <v>7.5</v>
      </c>
      <c r="BC188" s="2">
        <v>2.9</v>
      </c>
      <c r="BD188" s="2">
        <f>+AN188*EXP(-0.0495*Y188)</f>
        <v>8.8490386439966944</v>
      </c>
      <c r="BE188" s="2">
        <f>+AO188*EXP(-0.024*Y188)</f>
        <v>28.265919888105277</v>
      </c>
    </row>
    <row r="189" spans="1:57" x14ac:dyDescent="0.2">
      <c r="A189" s="2" t="s">
        <v>810</v>
      </c>
      <c r="B189" s="2" t="s">
        <v>19</v>
      </c>
      <c r="C189" s="2" t="s">
        <v>20</v>
      </c>
      <c r="D189" s="2" t="s">
        <v>21</v>
      </c>
      <c r="E189" s="2" t="s">
        <v>300</v>
      </c>
      <c r="F189" s="2">
        <v>6</v>
      </c>
      <c r="G189" s="2">
        <v>224.42</v>
      </c>
      <c r="H189" s="2">
        <v>3</v>
      </c>
      <c r="I189" s="2">
        <v>4</v>
      </c>
      <c r="J189" s="2">
        <v>4</v>
      </c>
      <c r="K189" s="2" t="s">
        <v>61</v>
      </c>
      <c r="L189" s="6" t="s">
        <v>113</v>
      </c>
      <c r="M189" s="5">
        <v>1450000000</v>
      </c>
      <c r="N189" s="2">
        <v>0</v>
      </c>
      <c r="O189" s="2">
        <v>4.7376310000000004</v>
      </c>
      <c r="P189" s="2">
        <v>-74.076516999999996</v>
      </c>
      <c r="Q189" s="2" t="s">
        <v>811</v>
      </c>
      <c r="R189" s="2">
        <v>6461099.7240000004</v>
      </c>
      <c r="S189" s="2">
        <v>0</v>
      </c>
      <c r="T189" s="2" t="s">
        <v>68</v>
      </c>
      <c r="U189" s="2" t="s">
        <v>69</v>
      </c>
      <c r="V189" s="2" t="s">
        <v>28</v>
      </c>
      <c r="W189" s="2" t="s">
        <v>70</v>
      </c>
      <c r="X189" s="2" t="s">
        <v>71</v>
      </c>
      <c r="Y189" s="2">
        <v>0.783051371804378</v>
      </c>
      <c r="Z189" s="2">
        <v>4.73719444444444</v>
      </c>
      <c r="AA189" s="2">
        <v>-74.069472222222203</v>
      </c>
      <c r="AB189" s="2">
        <v>2555</v>
      </c>
      <c r="AC189" s="2" t="s">
        <v>31</v>
      </c>
      <c r="AD189" s="2" t="s">
        <v>58</v>
      </c>
      <c r="AE189" s="2" t="s">
        <v>33</v>
      </c>
      <c r="AF189" s="2" t="s">
        <v>34</v>
      </c>
      <c r="AG189" s="2" t="s">
        <v>72</v>
      </c>
      <c r="AH189" s="2">
        <v>0.54827765781916205</v>
      </c>
      <c r="AI189" s="2">
        <v>4.9056608409869096</v>
      </c>
      <c r="AJ189" s="2">
        <v>2.36497834892059</v>
      </c>
      <c r="AK189" s="2">
        <v>0.56050034973964502</v>
      </c>
      <c r="AL189" s="2">
        <v>5.8042860338053601E-3</v>
      </c>
      <c r="AM189" s="2">
        <v>15.3</v>
      </c>
      <c r="AN189" s="2">
        <v>9.8000000000000007</v>
      </c>
      <c r="AO189" s="2">
        <v>29.7</v>
      </c>
      <c r="AP189" s="2">
        <v>564</v>
      </c>
      <c r="AQ189" s="2">
        <v>68</v>
      </c>
      <c r="AR189" s="2">
        <v>1.8</v>
      </c>
      <c r="AS189" s="2">
        <v>43</v>
      </c>
      <c r="AT189" s="2">
        <v>25.4</v>
      </c>
      <c r="AU189" s="2">
        <v>162</v>
      </c>
      <c r="AV189" s="2">
        <v>9.1</v>
      </c>
      <c r="AW189" s="2">
        <v>9.1999999999999993</v>
      </c>
      <c r="AX189" s="2">
        <v>18.3</v>
      </c>
      <c r="AY189" s="2">
        <v>0.34</v>
      </c>
      <c r="AZ189" s="2">
        <v>7.3</v>
      </c>
      <c r="BA189" s="2">
        <v>0.9</v>
      </c>
      <c r="BB189" s="2">
        <v>7.5</v>
      </c>
      <c r="BC189" s="2">
        <v>2.9</v>
      </c>
      <c r="BD189" s="2">
        <f>+AN189*EXP(-0.0495*Y189)</f>
        <v>9.4274094268774302</v>
      </c>
      <c r="BE189" s="2">
        <f>+AO189*EXP(-0.024*Y189)</f>
        <v>29.147053086558756</v>
      </c>
    </row>
    <row r="190" spans="1:57" x14ac:dyDescent="0.2">
      <c r="A190" s="2" t="s">
        <v>675</v>
      </c>
      <c r="B190" s="2" t="s">
        <v>19</v>
      </c>
      <c r="C190" s="2" t="s">
        <v>20</v>
      </c>
      <c r="D190" s="2" t="s">
        <v>21</v>
      </c>
      <c r="E190" s="2" t="s">
        <v>300</v>
      </c>
      <c r="F190" s="2">
        <v>6</v>
      </c>
      <c r="G190" s="2">
        <v>221.87</v>
      </c>
      <c r="H190" s="2">
        <v>3</v>
      </c>
      <c r="I190" s="2">
        <v>4</v>
      </c>
      <c r="J190" s="2">
        <v>4</v>
      </c>
      <c r="K190" s="2" t="s">
        <v>61</v>
      </c>
      <c r="L190" s="6" t="s">
        <v>75</v>
      </c>
      <c r="M190" s="5">
        <v>2000000000</v>
      </c>
      <c r="N190" s="2">
        <v>0</v>
      </c>
      <c r="O190" s="2">
        <v>4.7403329999999997</v>
      </c>
      <c r="P190" s="2">
        <v>-74.068665999999993</v>
      </c>
      <c r="Q190" s="2" t="s">
        <v>676</v>
      </c>
      <c r="R190" s="2">
        <v>9014287.6459999997</v>
      </c>
      <c r="S190" s="2">
        <v>0</v>
      </c>
      <c r="T190" s="2" t="s">
        <v>68</v>
      </c>
      <c r="U190" s="2" t="s">
        <v>69</v>
      </c>
      <c r="V190" s="2" t="s">
        <v>28</v>
      </c>
      <c r="W190" s="2" t="s">
        <v>70</v>
      </c>
      <c r="X190" s="2" t="s">
        <v>71</v>
      </c>
      <c r="Y190" s="2">
        <v>0.36064919393865302</v>
      </c>
      <c r="Z190" s="2">
        <v>4.73719444444444</v>
      </c>
      <c r="AA190" s="2">
        <v>-74.069472222222203</v>
      </c>
      <c r="AB190" s="2">
        <v>2555</v>
      </c>
      <c r="AC190" s="2" t="s">
        <v>31</v>
      </c>
      <c r="AD190" s="2" t="s">
        <v>58</v>
      </c>
      <c r="AE190" s="2" t="s">
        <v>33</v>
      </c>
      <c r="AF190" s="2" t="s">
        <v>34</v>
      </c>
      <c r="AG190" s="2" t="s">
        <v>72</v>
      </c>
      <c r="AH190" s="2">
        <v>1.4663856817276499</v>
      </c>
      <c r="AI190" s="2">
        <v>5.2430739206785004</v>
      </c>
      <c r="AJ190" s="2">
        <v>2.2146888430454301</v>
      </c>
      <c r="AK190" s="2">
        <v>0.43550231010389601</v>
      </c>
      <c r="AL190" s="2">
        <v>3.7305678892179103E-2</v>
      </c>
      <c r="AM190" s="2">
        <v>15.3</v>
      </c>
      <c r="AN190" s="2">
        <v>9.8000000000000007</v>
      </c>
      <c r="AO190" s="2">
        <v>29.7</v>
      </c>
      <c r="AP190" s="2">
        <v>564</v>
      </c>
      <c r="AQ190" s="2">
        <v>68</v>
      </c>
      <c r="AR190" s="2">
        <v>1.8</v>
      </c>
      <c r="AS190" s="2">
        <v>43</v>
      </c>
      <c r="AT190" s="2">
        <v>25.4</v>
      </c>
      <c r="AU190" s="2">
        <v>162</v>
      </c>
      <c r="AV190" s="2">
        <v>9.1</v>
      </c>
      <c r="AW190" s="2">
        <v>9.1999999999999993</v>
      </c>
      <c r="AX190" s="2">
        <v>18.3</v>
      </c>
      <c r="AY190" s="2">
        <v>0.34</v>
      </c>
      <c r="AZ190" s="2">
        <v>7.3</v>
      </c>
      <c r="BA190" s="2">
        <v>0.9</v>
      </c>
      <c r="BB190" s="2">
        <v>7.5</v>
      </c>
      <c r="BC190" s="2">
        <v>2.9</v>
      </c>
      <c r="BD190" s="2">
        <f>+AN190*EXP(-0.0495*Y190)</f>
        <v>9.6266014483392404</v>
      </c>
      <c r="BE190" s="2">
        <f>+AO190*EXP(-0.024*Y190)</f>
        <v>29.444038599862843</v>
      </c>
    </row>
    <row r="191" spans="1:57" x14ac:dyDescent="0.2">
      <c r="A191" s="2" t="s">
        <v>1906</v>
      </c>
      <c r="B191" s="2" t="s">
        <v>19</v>
      </c>
      <c r="C191" s="2" t="s">
        <v>1907</v>
      </c>
      <c r="D191" s="2" t="s">
        <v>21</v>
      </c>
      <c r="E191" s="2" t="s">
        <v>499</v>
      </c>
      <c r="F191" s="2">
        <v>6</v>
      </c>
      <c r="G191" s="2">
        <v>220</v>
      </c>
      <c r="H191" s="2">
        <v>3</v>
      </c>
      <c r="I191" s="2">
        <v>4</v>
      </c>
      <c r="J191" s="2">
        <v>2</v>
      </c>
      <c r="K191" s="2" t="s">
        <v>23</v>
      </c>
      <c r="L191" s="6" t="s">
        <v>24</v>
      </c>
      <c r="M191" s="5">
        <v>2250000000</v>
      </c>
      <c r="N191" s="2">
        <v>0</v>
      </c>
      <c r="O191" s="2">
        <v>4.7226160000000004</v>
      </c>
      <c r="P191" s="2">
        <v>-74.074935999999994</v>
      </c>
      <c r="Q191" s="2" t="s">
        <v>1908</v>
      </c>
      <c r="R191" s="2">
        <v>10227272.73</v>
      </c>
      <c r="S191" s="2">
        <v>0</v>
      </c>
      <c r="T191" s="2" t="s">
        <v>68</v>
      </c>
      <c r="U191" s="2" t="s">
        <v>69</v>
      </c>
      <c r="V191" s="2" t="s">
        <v>28</v>
      </c>
      <c r="W191" s="2" t="s">
        <v>70</v>
      </c>
      <c r="X191" s="2" t="s">
        <v>71</v>
      </c>
      <c r="Y191" s="2">
        <v>1.73237209652619</v>
      </c>
      <c r="Z191" s="2">
        <v>4.73719444444444</v>
      </c>
      <c r="AA191" s="2">
        <v>-74.069472222222203</v>
      </c>
      <c r="AB191" s="2">
        <v>2555</v>
      </c>
      <c r="AC191" s="2" t="s">
        <v>31</v>
      </c>
      <c r="AD191" s="2" t="s">
        <v>58</v>
      </c>
      <c r="AE191" s="2" t="s">
        <v>33</v>
      </c>
      <c r="AF191" s="2" t="s">
        <v>34</v>
      </c>
      <c r="AG191" s="2" t="s">
        <v>72</v>
      </c>
      <c r="AH191" s="2">
        <v>0.151125754368475</v>
      </c>
      <c r="AI191" s="2">
        <v>5.5894365406695998</v>
      </c>
      <c r="AJ191" s="2">
        <v>0.74703752955565506</v>
      </c>
      <c r="AK191" s="2">
        <v>0.38906789108147799</v>
      </c>
      <c r="AL191" s="2">
        <v>0.206048737707242</v>
      </c>
      <c r="AM191" s="2">
        <v>15.3</v>
      </c>
      <c r="AN191" s="2">
        <v>9.8000000000000007</v>
      </c>
      <c r="AO191" s="2">
        <v>29.7</v>
      </c>
      <c r="AP191" s="2">
        <v>564</v>
      </c>
      <c r="AQ191" s="2">
        <v>68</v>
      </c>
      <c r="AR191" s="2">
        <v>1.8</v>
      </c>
      <c r="AS191" s="2">
        <v>43</v>
      </c>
      <c r="AT191" s="2">
        <v>25.4</v>
      </c>
      <c r="AU191" s="2">
        <v>162</v>
      </c>
      <c r="AV191" s="2">
        <v>9.1</v>
      </c>
      <c r="AW191" s="2">
        <v>9.1999999999999993</v>
      </c>
      <c r="AX191" s="2">
        <v>18.3</v>
      </c>
      <c r="AY191" s="2">
        <v>0.34</v>
      </c>
      <c r="AZ191" s="2">
        <v>7.3</v>
      </c>
      <c r="BA191" s="2">
        <v>0.9</v>
      </c>
      <c r="BB191" s="2">
        <v>7.5</v>
      </c>
      <c r="BC191" s="2">
        <v>2.9</v>
      </c>
      <c r="BD191" s="2">
        <f>+AN191*EXP(-0.0495*Y191)</f>
        <v>8.994650096772121</v>
      </c>
      <c r="BE191" s="2">
        <f>+AO191*EXP(-0.024*Y191)</f>
        <v>28.490483393423972</v>
      </c>
    </row>
    <row r="192" spans="1:57" x14ac:dyDescent="0.2">
      <c r="A192" s="2" t="s">
        <v>2803</v>
      </c>
      <c r="B192" s="2" t="s">
        <v>19</v>
      </c>
      <c r="C192" s="2" t="s">
        <v>1907</v>
      </c>
      <c r="D192" s="2" t="s">
        <v>21</v>
      </c>
      <c r="E192" s="2" t="s">
        <v>228</v>
      </c>
      <c r="F192" s="2">
        <v>5</v>
      </c>
      <c r="G192" s="2">
        <v>220</v>
      </c>
      <c r="H192" s="2">
        <v>4</v>
      </c>
      <c r="I192" s="2">
        <v>4</v>
      </c>
      <c r="J192" s="2">
        <v>2</v>
      </c>
      <c r="K192" s="2" t="s">
        <v>61</v>
      </c>
      <c r="L192" s="6" t="s">
        <v>113</v>
      </c>
      <c r="M192" s="5">
        <v>1170000000</v>
      </c>
      <c r="N192" s="2">
        <v>0</v>
      </c>
      <c r="O192" s="2">
        <v>4.7253088950000004</v>
      </c>
      <c r="P192" s="2">
        <v>-74.063674930000005</v>
      </c>
      <c r="Q192" s="2" t="s">
        <v>2804</v>
      </c>
      <c r="R192" s="2">
        <v>5318181.818</v>
      </c>
      <c r="S192" s="2">
        <v>0</v>
      </c>
      <c r="T192" s="2" t="s">
        <v>68</v>
      </c>
      <c r="U192" s="2" t="s">
        <v>69</v>
      </c>
      <c r="V192" s="2" t="s">
        <v>28</v>
      </c>
      <c r="W192" s="2" t="s">
        <v>70</v>
      </c>
      <c r="X192" s="2" t="s">
        <v>71</v>
      </c>
      <c r="Y192" s="2">
        <v>1.4711292237323501</v>
      </c>
      <c r="Z192" s="2">
        <v>4.73719444444444</v>
      </c>
      <c r="AA192" s="2">
        <v>-74.069472222222203</v>
      </c>
      <c r="AB192" s="2">
        <v>2555</v>
      </c>
      <c r="AC192" s="2" t="s">
        <v>31</v>
      </c>
      <c r="AD192" s="2" t="s">
        <v>58</v>
      </c>
      <c r="AE192" s="2" t="s">
        <v>33</v>
      </c>
      <c r="AF192" s="2" t="s">
        <v>34</v>
      </c>
      <c r="AG192" s="2" t="s">
        <v>72</v>
      </c>
      <c r="AH192" s="2">
        <v>1.2477476288109699</v>
      </c>
      <c r="AI192" s="2">
        <v>4.4909184413823198</v>
      </c>
      <c r="AJ192" s="2">
        <v>1.2689754851105499</v>
      </c>
      <c r="AK192" s="2">
        <v>8.5064748613670499E-2</v>
      </c>
      <c r="AL192" s="2">
        <v>0.58112286601887997</v>
      </c>
      <c r="AM192" s="2">
        <v>15.3</v>
      </c>
      <c r="AN192" s="2">
        <v>9.8000000000000007</v>
      </c>
      <c r="AO192" s="2">
        <v>29.7</v>
      </c>
      <c r="AP192" s="2">
        <v>564</v>
      </c>
      <c r="AQ192" s="2">
        <v>68</v>
      </c>
      <c r="AR192" s="2">
        <v>1.8</v>
      </c>
      <c r="AS192" s="2">
        <v>43</v>
      </c>
      <c r="AT192" s="2">
        <v>25.4</v>
      </c>
      <c r="AU192" s="2">
        <v>162</v>
      </c>
      <c r="AV192" s="2">
        <v>9.1</v>
      </c>
      <c r="AW192" s="2">
        <v>9.1999999999999993</v>
      </c>
      <c r="AX192" s="2">
        <v>18.3</v>
      </c>
      <c r="AY192" s="2">
        <v>0.34</v>
      </c>
      <c r="AZ192" s="2">
        <v>7.3</v>
      </c>
      <c r="BA192" s="2">
        <v>0.9</v>
      </c>
      <c r="BB192" s="2">
        <v>7.5</v>
      </c>
      <c r="BC192" s="2">
        <v>2.9</v>
      </c>
      <c r="BD192" s="2">
        <f>+AN192*EXP(-0.0495*Y192)</f>
        <v>9.1117199283675276</v>
      </c>
      <c r="BE192" s="2">
        <f>+AO192*EXP(-0.024*Y192)</f>
        <v>28.669675014312652</v>
      </c>
    </row>
    <row r="193" spans="1:57" x14ac:dyDescent="0.2">
      <c r="A193" s="2" t="s">
        <v>788</v>
      </c>
      <c r="B193" s="2" t="s">
        <v>19</v>
      </c>
      <c r="C193" s="2" t="s">
        <v>20</v>
      </c>
      <c r="D193" s="2" t="s">
        <v>21</v>
      </c>
      <c r="E193" s="2" t="s">
        <v>660</v>
      </c>
      <c r="F193" s="2">
        <v>5</v>
      </c>
      <c r="G193" s="2">
        <v>216</v>
      </c>
      <c r="H193" s="2">
        <v>4</v>
      </c>
      <c r="I193" s="2">
        <v>4</v>
      </c>
      <c r="J193" s="2">
        <v>2</v>
      </c>
      <c r="K193" s="2" t="s">
        <v>61</v>
      </c>
      <c r="L193" s="6" t="s">
        <v>113</v>
      </c>
      <c r="M193" s="5">
        <v>1300000000</v>
      </c>
      <c r="N193" s="2">
        <v>0</v>
      </c>
      <c r="O193" s="2">
        <v>4.7341340000000001</v>
      </c>
      <c r="P193" s="2">
        <v>-74.060388000000003</v>
      </c>
      <c r="Q193" s="2" t="s">
        <v>789</v>
      </c>
      <c r="R193" s="2">
        <v>6018518.5190000003</v>
      </c>
      <c r="S193" s="2">
        <v>0</v>
      </c>
      <c r="T193" s="2" t="s">
        <v>68</v>
      </c>
      <c r="U193" s="2" t="s">
        <v>69</v>
      </c>
      <c r="V193" s="2" t="s">
        <v>28</v>
      </c>
      <c r="W193" s="2" t="s">
        <v>70</v>
      </c>
      <c r="X193" s="2" t="s">
        <v>71</v>
      </c>
      <c r="Y193" s="2">
        <v>1.0638261511609199</v>
      </c>
      <c r="Z193" s="2">
        <v>4.73719444444444</v>
      </c>
      <c r="AA193" s="2">
        <v>-74.069472222222203</v>
      </c>
      <c r="AB193" s="2">
        <v>2555</v>
      </c>
      <c r="AC193" s="2" t="s">
        <v>31</v>
      </c>
      <c r="AD193" s="2" t="s">
        <v>58</v>
      </c>
      <c r="AE193" s="2" t="s">
        <v>33</v>
      </c>
      <c r="AF193" s="2" t="s">
        <v>34</v>
      </c>
      <c r="AG193" s="2" t="s">
        <v>72</v>
      </c>
      <c r="AH193" s="2">
        <v>1.2262145294414</v>
      </c>
      <c r="AI193" s="2">
        <v>4.2596300771953901</v>
      </c>
      <c r="AJ193" s="2">
        <v>2.2595112414097001</v>
      </c>
      <c r="AK193" s="2">
        <v>0.46798329927003002</v>
      </c>
      <c r="AL193" s="2">
        <v>0.21556985504939</v>
      </c>
      <c r="AM193" s="2">
        <v>15.3</v>
      </c>
      <c r="AN193" s="2">
        <v>9.8000000000000007</v>
      </c>
      <c r="AO193" s="2">
        <v>29.7</v>
      </c>
      <c r="AP193" s="2">
        <v>564</v>
      </c>
      <c r="AQ193" s="2">
        <v>68</v>
      </c>
      <c r="AR193" s="2">
        <v>1.8</v>
      </c>
      <c r="AS193" s="2">
        <v>43</v>
      </c>
      <c r="AT193" s="2">
        <v>25.4</v>
      </c>
      <c r="AU193" s="2">
        <v>162</v>
      </c>
      <c r="AV193" s="2">
        <v>9.1</v>
      </c>
      <c r="AW193" s="2">
        <v>9.1999999999999993</v>
      </c>
      <c r="AX193" s="2">
        <v>18.3</v>
      </c>
      <c r="AY193" s="2">
        <v>0.34</v>
      </c>
      <c r="AZ193" s="2">
        <v>7.3</v>
      </c>
      <c r="BA193" s="2">
        <v>0.9</v>
      </c>
      <c r="BB193" s="2">
        <v>7.5</v>
      </c>
      <c r="BC193" s="2">
        <v>2.9</v>
      </c>
      <c r="BD193" s="2">
        <f>+AN193*EXP(-0.0495*Y193)</f>
        <v>9.2972902914599658</v>
      </c>
      <c r="BE193" s="2">
        <f>+AO193*EXP(-0.024*Y193)</f>
        <v>28.951303189314515</v>
      </c>
    </row>
    <row r="194" spans="1:57" x14ac:dyDescent="0.2">
      <c r="A194" s="2" t="s">
        <v>1008</v>
      </c>
      <c r="B194" s="2" t="s">
        <v>19</v>
      </c>
      <c r="C194" s="2" t="s">
        <v>20</v>
      </c>
      <c r="D194" s="2" t="s">
        <v>21</v>
      </c>
      <c r="E194" s="2" t="s">
        <v>1009</v>
      </c>
      <c r="F194" s="2">
        <v>6</v>
      </c>
      <c r="G194" s="2">
        <v>215</v>
      </c>
      <c r="H194" s="2">
        <v>3</v>
      </c>
      <c r="I194" s="2">
        <v>4</v>
      </c>
      <c r="J194" s="2">
        <v>3</v>
      </c>
      <c r="K194" s="2" t="s">
        <v>61</v>
      </c>
      <c r="L194" s="6" t="s">
        <v>84</v>
      </c>
      <c r="M194" s="5">
        <v>1730000000</v>
      </c>
      <c r="N194" s="2">
        <v>0</v>
      </c>
      <c r="O194" s="2">
        <v>4.7201881410000004</v>
      </c>
      <c r="P194" s="2">
        <v>-74.081779479999994</v>
      </c>
      <c r="Q194" s="2" t="s">
        <v>1010</v>
      </c>
      <c r="R194" s="2">
        <v>8046511.6279999996</v>
      </c>
      <c r="S194" s="2">
        <v>0</v>
      </c>
      <c r="T194" s="2" t="s">
        <v>68</v>
      </c>
      <c r="U194" s="2" t="s">
        <v>69</v>
      </c>
      <c r="V194" s="2" t="s">
        <v>28</v>
      </c>
      <c r="W194" s="2" t="s">
        <v>70</v>
      </c>
      <c r="X194" s="2" t="s">
        <v>71</v>
      </c>
      <c r="Y194" s="2">
        <v>2.33413793080934</v>
      </c>
      <c r="Z194" s="2">
        <v>4.73719444444444</v>
      </c>
      <c r="AA194" s="2">
        <v>-74.069472222222203</v>
      </c>
      <c r="AB194" s="2">
        <v>2555</v>
      </c>
      <c r="AC194" s="2" t="s">
        <v>31</v>
      </c>
      <c r="AD194" s="2" t="s">
        <v>58</v>
      </c>
      <c r="AE194" s="2" t="s">
        <v>33</v>
      </c>
      <c r="AF194" s="2" t="s">
        <v>34</v>
      </c>
      <c r="AG194" s="2" t="s">
        <v>72</v>
      </c>
      <c r="AH194" s="2">
        <v>0.792669862216689</v>
      </c>
      <c r="AI194" s="2">
        <v>4.88559812067371</v>
      </c>
      <c r="AJ194" s="2">
        <v>1.20669883960891</v>
      </c>
      <c r="AK194" s="2">
        <v>0.58771862538769404</v>
      </c>
      <c r="AL194" s="2">
        <v>1.0673695926724E-2</v>
      </c>
      <c r="AM194" s="2">
        <v>15.3</v>
      </c>
      <c r="AN194" s="2">
        <v>9.8000000000000007</v>
      </c>
      <c r="AO194" s="2">
        <v>29.7</v>
      </c>
      <c r="AP194" s="2">
        <v>564</v>
      </c>
      <c r="AQ194" s="2">
        <v>68</v>
      </c>
      <c r="AR194" s="2">
        <v>1.8</v>
      </c>
      <c r="AS194" s="2">
        <v>43</v>
      </c>
      <c r="AT194" s="2">
        <v>25.4</v>
      </c>
      <c r="AU194" s="2">
        <v>162</v>
      </c>
      <c r="AV194" s="2">
        <v>9.1</v>
      </c>
      <c r="AW194" s="2">
        <v>9.1999999999999993</v>
      </c>
      <c r="AX194" s="2">
        <v>18.3</v>
      </c>
      <c r="AY194" s="2">
        <v>0.34</v>
      </c>
      <c r="AZ194" s="2">
        <v>7.3</v>
      </c>
      <c r="BA194" s="2">
        <v>0.9</v>
      </c>
      <c r="BB194" s="2">
        <v>7.5</v>
      </c>
      <c r="BC194" s="2">
        <v>2.9</v>
      </c>
      <c r="BD194" s="2">
        <f>+AN194*EXP(-0.0495*Y194)</f>
        <v>8.7306738794295438</v>
      </c>
      <c r="BE194" s="2">
        <f>+AO194*EXP(-0.024*Y194)</f>
        <v>28.081970058335479</v>
      </c>
    </row>
    <row r="195" spans="1:57" x14ac:dyDescent="0.2">
      <c r="A195" s="2" t="s">
        <v>2865</v>
      </c>
      <c r="B195" s="2" t="s">
        <v>19</v>
      </c>
      <c r="C195" s="2" t="s">
        <v>1907</v>
      </c>
      <c r="D195" s="2" t="s">
        <v>21</v>
      </c>
      <c r="E195" s="2" t="s">
        <v>300</v>
      </c>
      <c r="F195" s="2">
        <v>6</v>
      </c>
      <c r="G195" s="2">
        <v>211.6</v>
      </c>
      <c r="H195" s="2">
        <v>4</v>
      </c>
      <c r="I195" s="2">
        <v>5</v>
      </c>
      <c r="J195" s="2">
        <v>4</v>
      </c>
      <c r="K195" s="2" t="s">
        <v>61</v>
      </c>
      <c r="L195" s="6" t="s">
        <v>113</v>
      </c>
      <c r="M195" s="5">
        <v>1600000000</v>
      </c>
      <c r="N195" s="2">
        <v>0</v>
      </c>
      <c r="O195" s="2">
        <v>4.7318020000000001</v>
      </c>
      <c r="P195" s="2">
        <v>-74.076486000000003</v>
      </c>
      <c r="Q195" s="2" t="s">
        <v>2866</v>
      </c>
      <c r="R195" s="2">
        <v>7561436.6730000004</v>
      </c>
      <c r="S195" s="2">
        <v>0</v>
      </c>
      <c r="T195" s="2" t="s">
        <v>68</v>
      </c>
      <c r="U195" s="2" t="s">
        <v>69</v>
      </c>
      <c r="V195" s="2" t="s">
        <v>28</v>
      </c>
      <c r="W195" s="2" t="s">
        <v>70</v>
      </c>
      <c r="X195" s="2" t="s">
        <v>71</v>
      </c>
      <c r="Y195" s="2">
        <v>0.98274623292701502</v>
      </c>
      <c r="Z195" s="2">
        <v>4.73719444444444</v>
      </c>
      <c r="AA195" s="2">
        <v>-74.069472222222203</v>
      </c>
      <c r="AB195" s="2">
        <v>2555</v>
      </c>
      <c r="AC195" s="2" t="s">
        <v>31</v>
      </c>
      <c r="AD195" s="2" t="s">
        <v>58</v>
      </c>
      <c r="AE195" s="2" t="s">
        <v>33</v>
      </c>
      <c r="AF195" s="2" t="s">
        <v>34</v>
      </c>
      <c r="AG195" s="2" t="s">
        <v>72</v>
      </c>
      <c r="AH195" s="2">
        <v>0.51854430602006096</v>
      </c>
      <c r="AI195" s="2">
        <v>5.2862661197177196</v>
      </c>
      <c r="AJ195" s="2">
        <v>1.74518318772827</v>
      </c>
      <c r="AK195" s="2">
        <v>0.85274398762780701</v>
      </c>
      <c r="AL195" s="2">
        <v>2.6513009878525902E-3</v>
      </c>
      <c r="AM195" s="2">
        <v>15.3</v>
      </c>
      <c r="AN195" s="2">
        <v>9.8000000000000007</v>
      </c>
      <c r="AO195" s="2">
        <v>29.7</v>
      </c>
      <c r="AP195" s="2">
        <v>564</v>
      </c>
      <c r="AQ195" s="2">
        <v>68</v>
      </c>
      <c r="AR195" s="2">
        <v>1.8</v>
      </c>
      <c r="AS195" s="2">
        <v>43</v>
      </c>
      <c r="AT195" s="2">
        <v>25.4</v>
      </c>
      <c r="AU195" s="2">
        <v>162</v>
      </c>
      <c r="AV195" s="2">
        <v>9.1</v>
      </c>
      <c r="AW195" s="2">
        <v>9.1999999999999993</v>
      </c>
      <c r="AX195" s="2">
        <v>18.3</v>
      </c>
      <c r="AY195" s="2">
        <v>0.34</v>
      </c>
      <c r="AZ195" s="2">
        <v>7.3</v>
      </c>
      <c r="BA195" s="2">
        <v>0.9</v>
      </c>
      <c r="BB195" s="2">
        <v>7.5</v>
      </c>
      <c r="BC195" s="2">
        <v>2.9</v>
      </c>
      <c r="BD195" s="2">
        <f>+AN195*EXP(-0.0495*Y195)</f>
        <v>9.3346795363785819</v>
      </c>
      <c r="BE195" s="2">
        <f>+AO195*EXP(-0.024*Y195)</f>
        <v>29.007694901433531</v>
      </c>
    </row>
    <row r="196" spans="1:57" x14ac:dyDescent="0.2">
      <c r="A196" s="2" t="s">
        <v>2326</v>
      </c>
      <c r="B196" s="2" t="s">
        <v>19</v>
      </c>
      <c r="C196" s="2" t="s">
        <v>1907</v>
      </c>
      <c r="D196" s="2" t="s">
        <v>21</v>
      </c>
      <c r="E196" s="2" t="s">
        <v>65</v>
      </c>
      <c r="F196" s="2">
        <v>5</v>
      </c>
      <c r="G196" s="2">
        <v>210</v>
      </c>
      <c r="H196" s="2">
        <v>3</v>
      </c>
      <c r="I196" s="2">
        <v>3</v>
      </c>
      <c r="J196" s="2">
        <v>3</v>
      </c>
      <c r="K196" s="2" t="s">
        <v>61</v>
      </c>
      <c r="L196" s="6" t="s">
        <v>113</v>
      </c>
      <c r="M196" s="5">
        <v>1390000000</v>
      </c>
      <c r="N196" s="2">
        <v>0</v>
      </c>
      <c r="O196" s="2">
        <v>4.7132271000000001</v>
      </c>
      <c r="P196" s="2">
        <v>-74.0749505</v>
      </c>
      <c r="Q196" s="2" t="s">
        <v>2327</v>
      </c>
      <c r="R196" s="2">
        <v>6619047.6189999999</v>
      </c>
      <c r="S196" s="2">
        <v>0</v>
      </c>
      <c r="T196" s="2" t="s">
        <v>68</v>
      </c>
      <c r="U196" s="2" t="s">
        <v>69</v>
      </c>
      <c r="V196" s="2" t="s">
        <v>28</v>
      </c>
      <c r="W196" s="2" t="s">
        <v>70</v>
      </c>
      <c r="X196" s="2" t="s">
        <v>71</v>
      </c>
      <c r="Y196" s="2">
        <v>2.7363804245246701</v>
      </c>
      <c r="Z196" s="2">
        <v>4.73719444444444</v>
      </c>
      <c r="AA196" s="2">
        <v>-74.069472222222203</v>
      </c>
      <c r="AB196" s="2">
        <v>2555</v>
      </c>
      <c r="AC196" s="2" t="s">
        <v>31</v>
      </c>
      <c r="AD196" s="2" t="s">
        <v>58</v>
      </c>
      <c r="AE196" s="2" t="s">
        <v>33</v>
      </c>
      <c r="AF196" s="2" t="s">
        <v>34</v>
      </c>
      <c r="AG196" s="2" t="s">
        <v>72</v>
      </c>
      <c r="AH196" s="2">
        <v>0.32287607343906199</v>
      </c>
      <c r="AI196" s="2">
        <v>5.5478330197195396</v>
      </c>
      <c r="AJ196" s="2">
        <v>0.56033828947143205</v>
      </c>
      <c r="AK196" s="2">
        <v>9.6395717177534604E-2</v>
      </c>
      <c r="AL196" s="2">
        <v>0.163734170430757</v>
      </c>
      <c r="AM196" s="2">
        <v>15.3</v>
      </c>
      <c r="AN196" s="2">
        <v>9.8000000000000007</v>
      </c>
      <c r="AO196" s="2">
        <v>29.7</v>
      </c>
      <c r="AP196" s="2">
        <v>564</v>
      </c>
      <c r="AQ196" s="2">
        <v>68</v>
      </c>
      <c r="AR196" s="2">
        <v>1.8</v>
      </c>
      <c r="AS196" s="2">
        <v>43</v>
      </c>
      <c r="AT196" s="2">
        <v>25.4</v>
      </c>
      <c r="AU196" s="2">
        <v>162</v>
      </c>
      <c r="AV196" s="2">
        <v>9.1</v>
      </c>
      <c r="AW196" s="2">
        <v>9.1999999999999993</v>
      </c>
      <c r="AX196" s="2">
        <v>18.3</v>
      </c>
      <c r="AY196" s="2">
        <v>0.34</v>
      </c>
      <c r="AZ196" s="2">
        <v>7.3</v>
      </c>
      <c r="BA196" s="2">
        <v>0.9</v>
      </c>
      <c r="BB196" s="2">
        <v>7.5</v>
      </c>
      <c r="BC196" s="2">
        <v>2.9</v>
      </c>
      <c r="BD196" s="2">
        <f>+AN196*EXP(-0.0495*Y196)</f>
        <v>8.5585566019037156</v>
      </c>
      <c r="BE196" s="2">
        <f>+AO196*EXP(-0.024*Y196)</f>
        <v>27.812176144613868</v>
      </c>
    </row>
    <row r="197" spans="1:57" x14ac:dyDescent="0.2">
      <c r="A197" s="2" t="s">
        <v>349</v>
      </c>
      <c r="B197" s="2" t="s">
        <v>19</v>
      </c>
      <c r="C197" s="2" t="s">
        <v>20</v>
      </c>
      <c r="D197" s="2" t="s">
        <v>21</v>
      </c>
      <c r="E197" s="2" t="s">
        <v>350</v>
      </c>
      <c r="F197" s="2">
        <v>6</v>
      </c>
      <c r="G197" s="2">
        <v>209</v>
      </c>
      <c r="H197" s="2">
        <v>4</v>
      </c>
      <c r="I197" s="2">
        <v>5</v>
      </c>
      <c r="J197" s="2">
        <v>3</v>
      </c>
      <c r="K197" s="2" t="s">
        <v>61</v>
      </c>
      <c r="L197" s="6" t="s">
        <v>113</v>
      </c>
      <c r="M197" s="5">
        <v>1650000000</v>
      </c>
      <c r="N197" s="2">
        <v>0</v>
      </c>
      <c r="O197" s="2">
        <v>4.7278233219999999</v>
      </c>
      <c r="P197" s="2">
        <v>-74.0753603</v>
      </c>
      <c r="Q197" s="2" t="s">
        <v>351</v>
      </c>
      <c r="R197" s="2">
        <v>7894736.8420000002</v>
      </c>
      <c r="S197" s="2">
        <v>0</v>
      </c>
      <c r="T197" s="2" t="s">
        <v>68</v>
      </c>
      <c r="U197" s="2" t="s">
        <v>69</v>
      </c>
      <c r="V197" s="2" t="s">
        <v>28</v>
      </c>
      <c r="W197" s="2" t="s">
        <v>70</v>
      </c>
      <c r="X197" s="2" t="s">
        <v>71</v>
      </c>
      <c r="Y197" s="2">
        <v>1.2308301860436199</v>
      </c>
      <c r="Z197" s="2">
        <v>4.73719444444444</v>
      </c>
      <c r="AA197" s="2">
        <v>-74.069472222222203</v>
      </c>
      <c r="AB197" s="2">
        <v>2555</v>
      </c>
      <c r="AC197" s="2" t="s">
        <v>31</v>
      </c>
      <c r="AD197" s="2" t="s">
        <v>58</v>
      </c>
      <c r="AE197" s="2" t="s">
        <v>33</v>
      </c>
      <c r="AF197" s="2" t="s">
        <v>34</v>
      </c>
      <c r="AG197" s="2" t="s">
        <v>72</v>
      </c>
      <c r="AH197" s="2">
        <v>8.1466678313060398E-2</v>
      </c>
      <c r="AI197" s="2">
        <v>5.4970324494469898</v>
      </c>
      <c r="AJ197" s="2">
        <v>1.2889326081877699</v>
      </c>
      <c r="AK197" s="2">
        <v>0.80820397872623295</v>
      </c>
      <c r="AL197" s="2">
        <v>3.0405752849900099E-2</v>
      </c>
      <c r="AM197" s="2">
        <v>15.3</v>
      </c>
      <c r="AN197" s="2">
        <v>9.8000000000000007</v>
      </c>
      <c r="AO197" s="2">
        <v>29.7</v>
      </c>
      <c r="AP197" s="2">
        <v>564</v>
      </c>
      <c r="AQ197" s="2">
        <v>68</v>
      </c>
      <c r="AR197" s="2">
        <v>1.8</v>
      </c>
      <c r="AS197" s="2">
        <v>43</v>
      </c>
      <c r="AT197" s="2">
        <v>25.4</v>
      </c>
      <c r="AU197" s="2">
        <v>162</v>
      </c>
      <c r="AV197" s="2">
        <v>9.1</v>
      </c>
      <c r="AW197" s="2">
        <v>9.1999999999999993</v>
      </c>
      <c r="AX197" s="2">
        <v>18.3</v>
      </c>
      <c r="AY197" s="2">
        <v>0.34</v>
      </c>
      <c r="AZ197" s="2">
        <v>7.3</v>
      </c>
      <c r="BA197" s="2">
        <v>0.9</v>
      </c>
      <c r="BB197" s="2">
        <v>7.5</v>
      </c>
      <c r="BC197" s="2">
        <v>2.9</v>
      </c>
      <c r="BD197" s="2">
        <f>+AN197*EXP(-0.0495*Y197)</f>
        <v>9.2207491913844795</v>
      </c>
      <c r="BE197" s="2">
        <f>+AO197*EXP(-0.024*Y197)</f>
        <v>28.835495801217583</v>
      </c>
    </row>
    <row r="198" spans="1:57" x14ac:dyDescent="0.2">
      <c r="A198" s="2" t="s">
        <v>215</v>
      </c>
      <c r="B198" s="2" t="s">
        <v>19</v>
      </c>
      <c r="C198" s="2" t="s">
        <v>20</v>
      </c>
      <c r="D198" s="2" t="s">
        <v>21</v>
      </c>
      <c r="E198" s="2" t="s">
        <v>125</v>
      </c>
      <c r="F198" s="2">
        <v>5</v>
      </c>
      <c r="G198" s="2">
        <v>207</v>
      </c>
      <c r="H198" s="2">
        <v>3</v>
      </c>
      <c r="I198" s="2">
        <v>4</v>
      </c>
      <c r="J198" s="2">
        <v>2</v>
      </c>
      <c r="K198" s="2" t="s">
        <v>61</v>
      </c>
      <c r="L198" s="6" t="s">
        <v>75</v>
      </c>
      <c r="M198" s="5">
        <v>1750000000</v>
      </c>
      <c r="N198" s="2">
        <v>0</v>
      </c>
      <c r="O198" s="2">
        <v>4.737545967</v>
      </c>
      <c r="P198" s="2">
        <v>-74.064079280000001</v>
      </c>
      <c r="Q198" s="2" t="s">
        <v>216</v>
      </c>
      <c r="R198" s="2">
        <v>8454106.2799999993</v>
      </c>
      <c r="S198" s="2">
        <v>0</v>
      </c>
      <c r="T198" s="2" t="s">
        <v>68</v>
      </c>
      <c r="U198" s="2" t="s">
        <v>69</v>
      </c>
      <c r="V198" s="2" t="s">
        <v>28</v>
      </c>
      <c r="W198" s="2" t="s">
        <v>70</v>
      </c>
      <c r="X198" s="2" t="s">
        <v>71</v>
      </c>
      <c r="Y198" s="2">
        <v>0.59956699500809896</v>
      </c>
      <c r="Z198" s="2">
        <v>4.73719444444444</v>
      </c>
      <c r="AA198" s="2">
        <v>-74.069472222222203</v>
      </c>
      <c r="AB198" s="2">
        <v>2555</v>
      </c>
      <c r="AC198" s="2" t="s">
        <v>31</v>
      </c>
      <c r="AD198" s="2" t="s">
        <v>58</v>
      </c>
      <c r="AE198" s="2" t="s">
        <v>33</v>
      </c>
      <c r="AF198" s="2" t="s">
        <v>34</v>
      </c>
      <c r="AG198" s="2" t="s">
        <v>72</v>
      </c>
      <c r="AH198" s="2">
        <v>1.6236212890003301</v>
      </c>
      <c r="AI198" s="2">
        <v>4.6967542683878998</v>
      </c>
      <c r="AJ198" s="2">
        <v>2.1062512866069798</v>
      </c>
      <c r="AK198" s="2">
        <v>0.12585907834273399</v>
      </c>
      <c r="AL198" s="2">
        <v>0.27490351955809</v>
      </c>
      <c r="AM198" s="2">
        <v>15.3</v>
      </c>
      <c r="AN198" s="2">
        <v>9.8000000000000007</v>
      </c>
      <c r="AO198" s="2">
        <v>29.7</v>
      </c>
      <c r="AP198" s="2">
        <v>564</v>
      </c>
      <c r="AQ198" s="2">
        <v>68</v>
      </c>
      <c r="AR198" s="2">
        <v>1.8</v>
      </c>
      <c r="AS198" s="2">
        <v>43</v>
      </c>
      <c r="AT198" s="2">
        <v>25.4</v>
      </c>
      <c r="AU198" s="2">
        <v>162</v>
      </c>
      <c r="AV198" s="2">
        <v>9.1</v>
      </c>
      <c r="AW198" s="2">
        <v>9.1999999999999993</v>
      </c>
      <c r="AX198" s="2">
        <v>18.3</v>
      </c>
      <c r="AY198" s="2">
        <v>0.34</v>
      </c>
      <c r="AZ198" s="2">
        <v>7.3</v>
      </c>
      <c r="BA198" s="2">
        <v>0.9</v>
      </c>
      <c r="BB198" s="2">
        <v>7.5</v>
      </c>
      <c r="BC198" s="2">
        <v>2.9</v>
      </c>
      <c r="BD198" s="2">
        <f>+AN198*EXP(-0.0495*Y198)</f>
        <v>9.5134236727850983</v>
      </c>
      <c r="BE198" s="2">
        <f>+AO198*EXP(-0.024*Y198)</f>
        <v>29.275688803321167</v>
      </c>
    </row>
    <row r="199" spans="1:57" x14ac:dyDescent="0.2">
      <c r="A199" s="2" t="s">
        <v>2790</v>
      </c>
      <c r="B199" s="2" t="s">
        <v>19</v>
      </c>
      <c r="C199" s="2" t="s">
        <v>1907</v>
      </c>
      <c r="D199" s="2" t="s">
        <v>21</v>
      </c>
      <c r="E199" s="2" t="s">
        <v>132</v>
      </c>
      <c r="F199" s="2">
        <v>5</v>
      </c>
      <c r="G199" s="2">
        <v>206</v>
      </c>
      <c r="H199" s="2">
        <v>4</v>
      </c>
      <c r="I199" s="2">
        <v>5</v>
      </c>
      <c r="J199" s="2">
        <v>2</v>
      </c>
      <c r="K199" s="2" t="s">
        <v>61</v>
      </c>
      <c r="L199" s="6" t="s">
        <v>75</v>
      </c>
      <c r="M199" s="5">
        <v>1100000000</v>
      </c>
      <c r="N199" s="2">
        <v>0</v>
      </c>
      <c r="O199" s="2">
        <v>4.7311048509999996</v>
      </c>
      <c r="P199" s="2">
        <v>-74.073310849999999</v>
      </c>
      <c r="Q199" s="2" t="s">
        <v>2791</v>
      </c>
      <c r="R199" s="2">
        <v>5339805.8250000002</v>
      </c>
      <c r="S199" s="2">
        <v>0</v>
      </c>
      <c r="T199" s="2" t="s">
        <v>68</v>
      </c>
      <c r="U199" s="2" t="s">
        <v>69</v>
      </c>
      <c r="V199" s="2" t="s">
        <v>28</v>
      </c>
      <c r="W199" s="2" t="s">
        <v>70</v>
      </c>
      <c r="X199" s="2" t="s">
        <v>71</v>
      </c>
      <c r="Y199" s="2">
        <v>0.80055543131421902</v>
      </c>
      <c r="Z199" s="2">
        <v>4.73719444444444</v>
      </c>
      <c r="AA199" s="2">
        <v>-74.069472222222203</v>
      </c>
      <c r="AB199" s="2">
        <v>2555</v>
      </c>
      <c r="AC199" s="2" t="s">
        <v>31</v>
      </c>
      <c r="AD199" s="2" t="s">
        <v>58</v>
      </c>
      <c r="AE199" s="2" t="s">
        <v>33</v>
      </c>
      <c r="AF199" s="2" t="s">
        <v>34</v>
      </c>
      <c r="AG199" s="2" t="s">
        <v>72</v>
      </c>
      <c r="AH199" s="2">
        <v>0.43260427147476999</v>
      </c>
      <c r="AI199" s="2">
        <v>5.6112480702311904</v>
      </c>
      <c r="AJ199" s="2">
        <v>1.5890900381967401</v>
      </c>
      <c r="AK199" s="2">
        <v>0.59430048321168605</v>
      </c>
      <c r="AL199" s="2">
        <v>0.22004090795355799</v>
      </c>
      <c r="AM199" s="2">
        <v>15.3</v>
      </c>
      <c r="AN199" s="2">
        <v>9.8000000000000007</v>
      </c>
      <c r="AO199" s="2">
        <v>29.7</v>
      </c>
      <c r="AP199" s="2">
        <v>564</v>
      </c>
      <c r="AQ199" s="2">
        <v>68</v>
      </c>
      <c r="AR199" s="2">
        <v>1.8</v>
      </c>
      <c r="AS199" s="2">
        <v>43</v>
      </c>
      <c r="AT199" s="2">
        <v>25.4</v>
      </c>
      <c r="AU199" s="2">
        <v>162</v>
      </c>
      <c r="AV199" s="2">
        <v>9.1</v>
      </c>
      <c r="AW199" s="2">
        <v>9.1999999999999993</v>
      </c>
      <c r="AX199" s="2">
        <v>18.3</v>
      </c>
      <c r="AY199" s="2">
        <v>0.34</v>
      </c>
      <c r="AZ199" s="2">
        <v>7.3</v>
      </c>
      <c r="BA199" s="2">
        <v>0.9</v>
      </c>
      <c r="BB199" s="2">
        <v>7.5</v>
      </c>
      <c r="BC199" s="2">
        <v>2.9</v>
      </c>
      <c r="BD199" s="2">
        <f>+AN199*EXP(-0.0495*Y199)</f>
        <v>9.4192445767955029</v>
      </c>
      <c r="BE199" s="2">
        <f>+AO199*EXP(-0.024*Y199)</f>
        <v>29.134811056119222</v>
      </c>
    </row>
    <row r="200" spans="1:57" x14ac:dyDescent="0.2">
      <c r="A200" s="2" t="s">
        <v>124</v>
      </c>
      <c r="B200" s="2" t="s">
        <v>19</v>
      </c>
      <c r="C200" s="2" t="s">
        <v>20</v>
      </c>
      <c r="D200" s="2" t="s">
        <v>21</v>
      </c>
      <c r="E200" s="2" t="s">
        <v>125</v>
      </c>
      <c r="F200" s="2">
        <v>5</v>
      </c>
      <c r="G200" s="2">
        <v>205</v>
      </c>
      <c r="H200" s="2">
        <v>3</v>
      </c>
      <c r="I200" s="2">
        <v>3</v>
      </c>
      <c r="J200" s="2">
        <v>2</v>
      </c>
      <c r="K200" s="2" t="s">
        <v>61</v>
      </c>
      <c r="L200" s="6" t="s">
        <v>75</v>
      </c>
      <c r="M200" s="5">
        <v>1190000000</v>
      </c>
      <c r="N200" s="2">
        <v>0</v>
      </c>
      <c r="O200" s="2">
        <v>4.7365665440000004</v>
      </c>
      <c r="P200" s="2">
        <v>-74.062843319999999</v>
      </c>
      <c r="Q200" s="2" t="s">
        <v>126</v>
      </c>
      <c r="R200" s="2">
        <v>5804878.0489999996</v>
      </c>
      <c r="S200" s="2">
        <v>0</v>
      </c>
      <c r="T200" s="2" t="s">
        <v>68</v>
      </c>
      <c r="U200" s="2" t="s">
        <v>69</v>
      </c>
      <c r="V200" s="2" t="s">
        <v>28</v>
      </c>
      <c r="W200" s="2" t="s">
        <v>70</v>
      </c>
      <c r="X200" s="2" t="s">
        <v>71</v>
      </c>
      <c r="Y200" s="2">
        <v>0.73871987033032005</v>
      </c>
      <c r="Z200" s="2">
        <v>4.73719444444444</v>
      </c>
      <c r="AA200" s="2">
        <v>-74.069472222222203</v>
      </c>
      <c r="AB200" s="2">
        <v>2555</v>
      </c>
      <c r="AC200" s="2" t="s">
        <v>31</v>
      </c>
      <c r="AD200" s="2" t="s">
        <v>58</v>
      </c>
      <c r="AE200" s="2" t="s">
        <v>33</v>
      </c>
      <c r="AF200" s="2" t="s">
        <v>34</v>
      </c>
      <c r="AG200" s="2" t="s">
        <v>72</v>
      </c>
      <c r="AH200" s="2">
        <v>1.5254969747688201</v>
      </c>
      <c r="AI200" s="2">
        <v>4.5491541076794499</v>
      </c>
      <c r="AJ200" s="2">
        <v>2.12699353416243</v>
      </c>
      <c r="AK200" s="2">
        <v>0.29955509365930499</v>
      </c>
      <c r="AL200" s="2">
        <v>0.106693527058798</v>
      </c>
      <c r="AM200" s="2">
        <v>15.3</v>
      </c>
      <c r="AN200" s="2">
        <v>9.8000000000000007</v>
      </c>
      <c r="AO200" s="2">
        <v>29.7</v>
      </c>
      <c r="AP200" s="2">
        <v>564</v>
      </c>
      <c r="AQ200" s="2">
        <v>68</v>
      </c>
      <c r="AR200" s="2">
        <v>1.8</v>
      </c>
      <c r="AS200" s="2">
        <v>43</v>
      </c>
      <c r="AT200" s="2">
        <v>25.4</v>
      </c>
      <c r="AU200" s="2">
        <v>162</v>
      </c>
      <c r="AV200" s="2">
        <v>9.1</v>
      </c>
      <c r="AW200" s="2">
        <v>9.1999999999999993</v>
      </c>
      <c r="AX200" s="2">
        <v>18.3</v>
      </c>
      <c r="AY200" s="2">
        <v>0.34</v>
      </c>
      <c r="AZ200" s="2">
        <v>7.3</v>
      </c>
      <c r="BA200" s="2">
        <v>0.9</v>
      </c>
      <c r="BB200" s="2">
        <v>7.5</v>
      </c>
      <c r="BC200" s="2">
        <v>2.9</v>
      </c>
      <c r="BD200" s="2">
        <f>+AN200*EXP(-0.0495*Y200)</f>
        <v>9.4481197371534034</v>
      </c>
      <c r="BE200" s="2">
        <f>+AO200*EXP(-0.024*Y200)</f>
        <v>29.178080772723693</v>
      </c>
    </row>
    <row r="201" spans="1:57" x14ac:dyDescent="0.2">
      <c r="A201" s="2" t="s">
        <v>2382</v>
      </c>
      <c r="B201" s="2" t="s">
        <v>19</v>
      </c>
      <c r="C201" s="2" t="s">
        <v>1907</v>
      </c>
      <c r="D201" s="2" t="s">
        <v>21</v>
      </c>
      <c r="E201" s="2" t="s">
        <v>65</v>
      </c>
      <c r="F201" s="2">
        <v>5</v>
      </c>
      <c r="G201" s="2">
        <v>204</v>
      </c>
      <c r="H201" s="2">
        <v>3</v>
      </c>
      <c r="I201" s="2">
        <v>4</v>
      </c>
      <c r="J201" s="2">
        <v>2</v>
      </c>
      <c r="K201" s="2" t="s">
        <v>61</v>
      </c>
      <c r="L201" s="6" t="s">
        <v>113</v>
      </c>
      <c r="M201" s="5">
        <v>1450000000</v>
      </c>
      <c r="N201" s="2">
        <v>0</v>
      </c>
      <c r="O201" s="2">
        <v>4.7114429470000001</v>
      </c>
      <c r="P201" s="2">
        <v>-74.074134830000006</v>
      </c>
      <c r="Q201" s="2" t="s">
        <v>2383</v>
      </c>
      <c r="R201" s="2">
        <v>7107843.1370000001</v>
      </c>
      <c r="S201" s="2">
        <v>0</v>
      </c>
      <c r="T201" s="2" t="s">
        <v>68</v>
      </c>
      <c r="U201" s="2" t="s">
        <v>69</v>
      </c>
      <c r="V201" s="2" t="s">
        <v>28</v>
      </c>
      <c r="W201" s="2" t="s">
        <v>70</v>
      </c>
      <c r="X201" s="2" t="s">
        <v>71</v>
      </c>
      <c r="Y201" s="2">
        <v>2.91294002225801</v>
      </c>
      <c r="Z201" s="2">
        <v>4.73719444444444</v>
      </c>
      <c r="AA201" s="2">
        <v>-74.069472222222203</v>
      </c>
      <c r="AB201" s="2">
        <v>2555</v>
      </c>
      <c r="AC201" s="2" t="s">
        <v>31</v>
      </c>
      <c r="AD201" s="2" t="s">
        <v>58</v>
      </c>
      <c r="AE201" s="2" t="s">
        <v>33</v>
      </c>
      <c r="AF201" s="2" t="s">
        <v>34</v>
      </c>
      <c r="AG201" s="2" t="s">
        <v>72</v>
      </c>
      <c r="AH201" s="2">
        <v>0.21182572629299401</v>
      </c>
      <c r="AI201" s="2">
        <v>5.4452551654910097</v>
      </c>
      <c r="AJ201" s="2">
        <v>0.66942125960587895</v>
      </c>
      <c r="AK201" s="2">
        <v>9.9701425176246194E-2</v>
      </c>
      <c r="AL201" s="2">
        <v>0.33225275627419198</v>
      </c>
      <c r="AM201" s="2">
        <v>15.3</v>
      </c>
      <c r="AN201" s="2">
        <v>9.8000000000000007</v>
      </c>
      <c r="AO201" s="2">
        <v>29.7</v>
      </c>
      <c r="AP201" s="2">
        <v>564</v>
      </c>
      <c r="AQ201" s="2">
        <v>68</v>
      </c>
      <c r="AR201" s="2">
        <v>1.8</v>
      </c>
      <c r="AS201" s="2">
        <v>43</v>
      </c>
      <c r="AT201" s="2">
        <v>25.4</v>
      </c>
      <c r="AU201" s="2">
        <v>162</v>
      </c>
      <c r="AV201" s="2">
        <v>9.1</v>
      </c>
      <c r="AW201" s="2">
        <v>9.1999999999999993</v>
      </c>
      <c r="AX201" s="2">
        <v>18.3</v>
      </c>
      <c r="AY201" s="2">
        <v>0.34</v>
      </c>
      <c r="AZ201" s="2">
        <v>7.3</v>
      </c>
      <c r="BA201" s="2">
        <v>0.9</v>
      </c>
      <c r="BB201" s="2">
        <v>7.5</v>
      </c>
      <c r="BC201" s="2">
        <v>2.9</v>
      </c>
      <c r="BD201" s="2">
        <f>+AN201*EXP(-0.0495*Y201)</f>
        <v>8.4840832952376442</v>
      </c>
      <c r="BE201" s="2">
        <f>+AO201*EXP(-0.024*Y201)</f>
        <v>27.694573328283987</v>
      </c>
    </row>
    <row r="202" spans="1:57" x14ac:dyDescent="0.2">
      <c r="A202" s="2" t="s">
        <v>2135</v>
      </c>
      <c r="B202" s="2" t="s">
        <v>19</v>
      </c>
      <c r="C202" s="2" t="s">
        <v>1907</v>
      </c>
      <c r="D202" s="2" t="s">
        <v>21</v>
      </c>
      <c r="E202" s="2" t="s">
        <v>2136</v>
      </c>
      <c r="F202" s="2">
        <v>6</v>
      </c>
      <c r="G202" s="2">
        <v>204</v>
      </c>
      <c r="H202" s="2">
        <v>3</v>
      </c>
      <c r="I202" s="2">
        <v>4</v>
      </c>
      <c r="J202" s="2">
        <v>2</v>
      </c>
      <c r="K202" s="2" t="s">
        <v>61</v>
      </c>
      <c r="L202" s="6" t="s">
        <v>113</v>
      </c>
      <c r="M202" s="5">
        <v>1450000000</v>
      </c>
      <c r="N202" s="2">
        <v>0</v>
      </c>
      <c r="O202" s="2">
        <v>4.7198429109999998</v>
      </c>
      <c r="P202" s="2">
        <v>-74.076591489999998</v>
      </c>
      <c r="Q202" s="2" t="s">
        <v>2137</v>
      </c>
      <c r="R202" s="2">
        <v>7107843.1370000001</v>
      </c>
      <c r="S202" s="2">
        <v>0</v>
      </c>
      <c r="T202" s="2" t="s">
        <v>68</v>
      </c>
      <c r="U202" s="2" t="s">
        <v>69</v>
      </c>
      <c r="V202" s="2" t="s">
        <v>28</v>
      </c>
      <c r="W202" s="2" t="s">
        <v>70</v>
      </c>
      <c r="X202" s="2" t="s">
        <v>71</v>
      </c>
      <c r="Y202" s="2">
        <v>2.0868033376202302</v>
      </c>
      <c r="Z202" s="2">
        <v>4.73719444444444</v>
      </c>
      <c r="AA202" s="2">
        <v>-74.069472222222203</v>
      </c>
      <c r="AB202" s="2">
        <v>2555</v>
      </c>
      <c r="AC202" s="2" t="s">
        <v>31</v>
      </c>
      <c r="AD202" s="2" t="s">
        <v>58</v>
      </c>
      <c r="AE202" s="2" t="s">
        <v>33</v>
      </c>
      <c r="AF202" s="2" t="s">
        <v>34</v>
      </c>
      <c r="AG202" s="2" t="s">
        <v>72</v>
      </c>
      <c r="AH202" s="2">
        <v>0.26118345901206902</v>
      </c>
      <c r="AI202" s="2">
        <v>5.4571240694195504</v>
      </c>
      <c r="AJ202" s="2">
        <v>0.66217715711851399</v>
      </c>
      <c r="AK202" s="2">
        <v>0.396459443100738</v>
      </c>
      <c r="AL202" s="2">
        <v>3.7920996817070699E-3</v>
      </c>
      <c r="AM202" s="2">
        <v>15.3</v>
      </c>
      <c r="AN202" s="2">
        <v>9.8000000000000007</v>
      </c>
      <c r="AO202" s="2">
        <v>29.7</v>
      </c>
      <c r="AP202" s="2">
        <v>564</v>
      </c>
      <c r="AQ202" s="2">
        <v>68</v>
      </c>
      <c r="AR202" s="2">
        <v>1.8</v>
      </c>
      <c r="AS202" s="2">
        <v>43</v>
      </c>
      <c r="AT202" s="2">
        <v>25.4</v>
      </c>
      <c r="AU202" s="2">
        <v>162</v>
      </c>
      <c r="AV202" s="2">
        <v>9.1</v>
      </c>
      <c r="AW202" s="2">
        <v>9.1999999999999993</v>
      </c>
      <c r="AX202" s="2">
        <v>18.3</v>
      </c>
      <c r="AY202" s="2">
        <v>0.34</v>
      </c>
      <c r="AZ202" s="2">
        <v>7.3</v>
      </c>
      <c r="BA202" s="2">
        <v>0.9</v>
      </c>
      <c r="BB202" s="2">
        <v>7.5</v>
      </c>
      <c r="BC202" s="2">
        <v>2.9</v>
      </c>
      <c r="BD202" s="2">
        <f>+AN202*EXP(-0.0495*Y202)</f>
        <v>8.8382210743384935</v>
      </c>
      <c r="BE202" s="2">
        <f>+AO202*EXP(-0.024*Y202)</f>
        <v>28.249161216653839</v>
      </c>
    </row>
    <row r="203" spans="1:57" x14ac:dyDescent="0.2">
      <c r="A203" s="2" t="s">
        <v>2232</v>
      </c>
      <c r="B203" s="2" t="s">
        <v>19</v>
      </c>
      <c r="C203" s="2" t="s">
        <v>1907</v>
      </c>
      <c r="D203" s="2" t="s">
        <v>21</v>
      </c>
      <c r="E203" s="2" t="s">
        <v>499</v>
      </c>
      <c r="F203" s="2">
        <v>6</v>
      </c>
      <c r="G203" s="2">
        <v>204</v>
      </c>
      <c r="H203" s="2">
        <v>3</v>
      </c>
      <c r="I203" s="2">
        <v>5</v>
      </c>
      <c r="J203" s="2">
        <v>2</v>
      </c>
      <c r="K203" s="2" t="s">
        <v>61</v>
      </c>
      <c r="L203" s="6" t="s">
        <v>113</v>
      </c>
      <c r="M203" s="5">
        <v>1450000000</v>
      </c>
      <c r="N203" s="2">
        <v>0</v>
      </c>
      <c r="O203" s="2">
        <v>4.7201604000000001</v>
      </c>
      <c r="P203" s="2">
        <v>-74.076539600000004</v>
      </c>
      <c r="Q203" s="2" t="s">
        <v>2233</v>
      </c>
      <c r="R203" s="2">
        <v>7107843.1370000001</v>
      </c>
      <c r="S203" s="2">
        <v>0</v>
      </c>
      <c r="T203" s="2" t="s">
        <v>68</v>
      </c>
      <c r="U203" s="2" t="s">
        <v>69</v>
      </c>
      <c r="V203" s="2" t="s">
        <v>28</v>
      </c>
      <c r="W203" s="2" t="s">
        <v>70</v>
      </c>
      <c r="X203" s="2" t="s">
        <v>71</v>
      </c>
      <c r="Y203" s="2">
        <v>2.0519267134988999</v>
      </c>
      <c r="Z203" s="2">
        <v>4.73719444444444</v>
      </c>
      <c r="AA203" s="2">
        <v>-74.069472222222203</v>
      </c>
      <c r="AB203" s="2">
        <v>2555</v>
      </c>
      <c r="AC203" s="2" t="s">
        <v>31</v>
      </c>
      <c r="AD203" s="2" t="s">
        <v>58</v>
      </c>
      <c r="AE203" s="2" t="s">
        <v>33</v>
      </c>
      <c r="AF203" s="2" t="s">
        <v>34</v>
      </c>
      <c r="AG203" s="2" t="s">
        <v>72</v>
      </c>
      <c r="AH203" s="2">
        <v>0.23672249740742499</v>
      </c>
      <c r="AI203" s="2">
        <v>5.4562476551924304</v>
      </c>
      <c r="AJ203" s="2">
        <v>0.67552730086685198</v>
      </c>
      <c r="AK203" s="2">
        <v>0.43119560871638701</v>
      </c>
      <c r="AL203" s="2">
        <v>2.99520643874082E-2</v>
      </c>
      <c r="AM203" s="2">
        <v>15.3</v>
      </c>
      <c r="AN203" s="2">
        <v>9.8000000000000007</v>
      </c>
      <c r="AO203" s="2">
        <v>29.7</v>
      </c>
      <c r="AP203" s="2">
        <v>564</v>
      </c>
      <c r="AQ203" s="2">
        <v>68</v>
      </c>
      <c r="AR203" s="2">
        <v>1.8</v>
      </c>
      <c r="AS203" s="2">
        <v>43</v>
      </c>
      <c r="AT203" s="2">
        <v>25.4</v>
      </c>
      <c r="AU203" s="2">
        <v>162</v>
      </c>
      <c r="AV203" s="2">
        <v>9.1</v>
      </c>
      <c r="AW203" s="2">
        <v>9.1999999999999993</v>
      </c>
      <c r="AX203" s="2">
        <v>18.3</v>
      </c>
      <c r="AY203" s="2">
        <v>0.34</v>
      </c>
      <c r="AZ203" s="2">
        <v>7.3</v>
      </c>
      <c r="BA203" s="2">
        <v>0.9</v>
      </c>
      <c r="BB203" s="2">
        <v>7.5</v>
      </c>
      <c r="BC203" s="2">
        <v>2.9</v>
      </c>
      <c r="BD203" s="2">
        <f>+AN203*EXP(-0.0495*Y203)</f>
        <v>8.8534924948398483</v>
      </c>
      <c r="BE203" s="2">
        <f>+AO203*EXP(-0.024*Y203)</f>
        <v>28.272816764640453</v>
      </c>
    </row>
    <row r="204" spans="1:57" x14ac:dyDescent="0.2">
      <c r="A204" s="2" t="s">
        <v>3052</v>
      </c>
      <c r="B204" s="2" t="s">
        <v>19</v>
      </c>
      <c r="C204" s="2" t="s">
        <v>1907</v>
      </c>
      <c r="D204" s="2" t="s">
        <v>21</v>
      </c>
      <c r="E204" s="2" t="s">
        <v>156</v>
      </c>
      <c r="F204" s="2">
        <v>4</v>
      </c>
      <c r="G204" s="2">
        <v>204</v>
      </c>
      <c r="H204" s="2">
        <v>5</v>
      </c>
      <c r="I204" s="2">
        <v>4</v>
      </c>
      <c r="J204" s="2">
        <v>3</v>
      </c>
      <c r="K204" s="2" t="s">
        <v>61</v>
      </c>
      <c r="L204" s="6" t="s">
        <v>113</v>
      </c>
      <c r="M204" s="5">
        <v>1100000000</v>
      </c>
      <c r="N204" s="2">
        <v>0</v>
      </c>
      <c r="O204" s="2">
        <v>4.7319899999999997</v>
      </c>
      <c r="P204" s="2">
        <v>-74.045642999999998</v>
      </c>
      <c r="Q204" s="2" t="s">
        <v>3053</v>
      </c>
      <c r="R204" s="2">
        <v>5392156.8629999999</v>
      </c>
      <c r="S204" s="2">
        <v>0</v>
      </c>
      <c r="T204" s="2" t="s">
        <v>68</v>
      </c>
      <c r="U204" s="2" t="s">
        <v>69</v>
      </c>
      <c r="V204" s="2" t="s">
        <v>28</v>
      </c>
      <c r="W204" s="2" t="s">
        <v>70</v>
      </c>
      <c r="X204" s="2" t="s">
        <v>71</v>
      </c>
      <c r="Y204" s="2">
        <v>2.7063448699246999</v>
      </c>
      <c r="Z204" s="2">
        <v>4.73719444444444</v>
      </c>
      <c r="AA204" s="2">
        <v>-74.069472222222203</v>
      </c>
      <c r="AB204" s="2">
        <v>2555</v>
      </c>
      <c r="AC204" s="2" t="s">
        <v>31</v>
      </c>
      <c r="AD204" s="2" t="s">
        <v>58</v>
      </c>
      <c r="AE204" s="2" t="s">
        <v>33</v>
      </c>
      <c r="AF204" s="2" t="s">
        <v>34</v>
      </c>
      <c r="AG204" s="2" t="s">
        <v>59</v>
      </c>
      <c r="AH204" s="2">
        <v>0.47783255963800297</v>
      </c>
      <c r="AI204" s="2">
        <v>2.6228815530453602</v>
      </c>
      <c r="AJ204" s="2">
        <v>0.63642706644236502</v>
      </c>
      <c r="AK204" s="2">
        <v>0.152328529741696</v>
      </c>
      <c r="AL204" s="2">
        <v>0.15492318654029599</v>
      </c>
      <c r="AM204" s="2">
        <v>15.3</v>
      </c>
      <c r="AN204" s="2">
        <v>9.8000000000000007</v>
      </c>
      <c r="AO204" s="2">
        <v>29.7</v>
      </c>
      <c r="AP204" s="2">
        <v>564</v>
      </c>
      <c r="AQ204" s="2">
        <v>68</v>
      </c>
      <c r="AR204" s="2">
        <v>1.8</v>
      </c>
      <c r="AS204" s="2">
        <v>43</v>
      </c>
      <c r="AT204" s="2">
        <v>25.4</v>
      </c>
      <c r="AU204" s="2">
        <v>162</v>
      </c>
      <c r="AV204" s="2">
        <v>9.1</v>
      </c>
      <c r="AW204" s="2">
        <v>9.1999999999999993</v>
      </c>
      <c r="AX204" s="2">
        <v>18.3</v>
      </c>
      <c r="AY204" s="2">
        <v>0.34</v>
      </c>
      <c r="AZ204" s="2">
        <v>7.3</v>
      </c>
      <c r="BA204" s="2">
        <v>0.9</v>
      </c>
      <c r="BB204" s="2">
        <v>7.5</v>
      </c>
      <c r="BC204" s="2">
        <v>2.9</v>
      </c>
      <c r="BD204" s="2">
        <f>+AN204*EXP(-0.0495*Y204)</f>
        <v>8.5712905849546903</v>
      </c>
      <c r="BE204" s="2">
        <f>+AO204*EXP(-0.024*Y204)</f>
        <v>27.832231871607259</v>
      </c>
    </row>
    <row r="205" spans="1:57" x14ac:dyDescent="0.2">
      <c r="A205" s="2" t="s">
        <v>3014</v>
      </c>
      <c r="B205" s="2" t="s">
        <v>19</v>
      </c>
      <c r="C205" s="2" t="s">
        <v>1907</v>
      </c>
      <c r="D205" s="2" t="s">
        <v>21</v>
      </c>
      <c r="E205" s="2" t="s">
        <v>1111</v>
      </c>
      <c r="F205" s="2">
        <v>5</v>
      </c>
      <c r="G205" s="2">
        <v>204</v>
      </c>
      <c r="H205" s="2">
        <v>5</v>
      </c>
      <c r="I205" s="2">
        <v>5</v>
      </c>
      <c r="J205" s="2">
        <v>2</v>
      </c>
      <c r="K205" s="2" t="s">
        <v>61</v>
      </c>
      <c r="L205" s="6" t="s">
        <v>113</v>
      </c>
      <c r="M205" s="5">
        <v>950000000</v>
      </c>
      <c r="N205" s="2">
        <v>0</v>
      </c>
      <c r="O205" s="2">
        <v>4.7298917769999997</v>
      </c>
      <c r="P205" s="2">
        <v>-74.064018250000004</v>
      </c>
      <c r="Q205" s="2" t="s">
        <v>3015</v>
      </c>
      <c r="R205" s="2">
        <v>4656862.7450000001</v>
      </c>
      <c r="S205" s="2">
        <v>0</v>
      </c>
      <c r="T205" s="2" t="s">
        <v>68</v>
      </c>
      <c r="U205" s="2" t="s">
        <v>69</v>
      </c>
      <c r="V205" s="2" t="s">
        <v>28</v>
      </c>
      <c r="W205" s="2" t="s">
        <v>70</v>
      </c>
      <c r="X205" s="2" t="s">
        <v>71</v>
      </c>
      <c r="Y205" s="2">
        <v>1.0133877353497101</v>
      </c>
      <c r="Z205" s="2">
        <v>4.73719444444444</v>
      </c>
      <c r="AA205" s="2">
        <v>-74.069472222222203</v>
      </c>
      <c r="AB205" s="2">
        <v>2555</v>
      </c>
      <c r="AC205" s="2" t="s">
        <v>31</v>
      </c>
      <c r="AD205" s="2" t="s">
        <v>58</v>
      </c>
      <c r="AE205" s="2" t="s">
        <v>33</v>
      </c>
      <c r="AF205" s="2" t="s">
        <v>34</v>
      </c>
      <c r="AG205" s="2" t="s">
        <v>72</v>
      </c>
      <c r="AH205" s="2">
        <v>1.2170581633333499</v>
      </c>
      <c r="AI205" s="2">
        <v>4.6248078640620403</v>
      </c>
      <c r="AJ205" s="2">
        <v>1.6581953685472799</v>
      </c>
      <c r="AK205" s="2">
        <v>0.24770503154913101</v>
      </c>
      <c r="AL205" s="2">
        <v>9.9277565395132703E-2</v>
      </c>
      <c r="AM205" s="2">
        <v>15.3</v>
      </c>
      <c r="AN205" s="2">
        <v>9.8000000000000007</v>
      </c>
      <c r="AO205" s="2">
        <v>29.7</v>
      </c>
      <c r="AP205" s="2">
        <v>564</v>
      </c>
      <c r="AQ205" s="2">
        <v>68</v>
      </c>
      <c r="AR205" s="2">
        <v>1.8</v>
      </c>
      <c r="AS205" s="2">
        <v>43</v>
      </c>
      <c r="AT205" s="2">
        <v>25.4</v>
      </c>
      <c r="AU205" s="2">
        <v>162</v>
      </c>
      <c r="AV205" s="2">
        <v>9.1</v>
      </c>
      <c r="AW205" s="2">
        <v>9.1999999999999993</v>
      </c>
      <c r="AX205" s="2">
        <v>18.3</v>
      </c>
      <c r="AY205" s="2">
        <v>0.34</v>
      </c>
      <c r="AZ205" s="2">
        <v>7.3</v>
      </c>
      <c r="BA205" s="2">
        <v>0.9</v>
      </c>
      <c r="BB205" s="2">
        <v>7.5</v>
      </c>
      <c r="BC205" s="2">
        <v>2.9</v>
      </c>
      <c r="BD205" s="2">
        <f>+AN205*EXP(-0.0495*Y205)</f>
        <v>9.3205318523929819</v>
      </c>
      <c r="BE205" s="2">
        <f>+AO205*EXP(-0.024*Y205)</f>
        <v>28.986370598812226</v>
      </c>
    </row>
    <row r="206" spans="1:57" x14ac:dyDescent="0.2">
      <c r="A206" s="2" t="s">
        <v>2195</v>
      </c>
      <c r="B206" s="2" t="s">
        <v>19</v>
      </c>
      <c r="C206" s="2" t="s">
        <v>1907</v>
      </c>
      <c r="D206" s="2" t="s">
        <v>21</v>
      </c>
      <c r="E206" s="2" t="s">
        <v>2196</v>
      </c>
      <c r="F206" s="2">
        <v>6</v>
      </c>
      <c r="G206" s="2">
        <v>200.99</v>
      </c>
      <c r="H206" s="2">
        <v>3</v>
      </c>
      <c r="I206" s="2">
        <v>3</v>
      </c>
      <c r="J206" s="2">
        <v>2</v>
      </c>
      <c r="K206" s="2" t="s">
        <v>61</v>
      </c>
      <c r="L206" s="6" t="s">
        <v>113</v>
      </c>
      <c r="M206" s="5">
        <v>1060000000</v>
      </c>
      <c r="N206" s="2">
        <v>0</v>
      </c>
      <c r="O206" s="2">
        <v>4.7121969999999997</v>
      </c>
      <c r="P206" s="2">
        <v>-74.078989000000007</v>
      </c>
      <c r="Q206" s="2" t="s">
        <v>2197</v>
      </c>
      <c r="R206" s="2">
        <v>5273894.2240000004</v>
      </c>
      <c r="S206" s="2">
        <v>0</v>
      </c>
      <c r="T206" s="2" t="s">
        <v>68</v>
      </c>
      <c r="U206" s="2" t="s">
        <v>69</v>
      </c>
      <c r="V206" s="2" t="s">
        <v>28</v>
      </c>
      <c r="W206" s="2" t="s">
        <v>70</v>
      </c>
      <c r="X206" s="2" t="s">
        <v>71</v>
      </c>
      <c r="Y206" s="2">
        <v>2.9762652293579799</v>
      </c>
      <c r="Z206" s="2">
        <v>4.73719444444444</v>
      </c>
      <c r="AA206" s="2">
        <v>-74.069472222222203</v>
      </c>
      <c r="AB206" s="2">
        <v>2555</v>
      </c>
      <c r="AC206" s="2" t="s">
        <v>31</v>
      </c>
      <c r="AD206" s="2" t="s">
        <v>58</v>
      </c>
      <c r="AE206" s="2" t="s">
        <v>33</v>
      </c>
      <c r="AF206" s="2" t="s">
        <v>34</v>
      </c>
      <c r="AG206" s="2" t="s">
        <v>72</v>
      </c>
      <c r="AH206" s="2">
        <v>0.74117082834181303</v>
      </c>
      <c r="AI206" s="2">
        <v>5.3829532574764798</v>
      </c>
      <c r="AJ206" s="2">
        <v>0.98464995195092497</v>
      </c>
      <c r="AK206" s="2">
        <v>0.21288670579619701</v>
      </c>
      <c r="AL206" s="2">
        <v>0.31370710982990502</v>
      </c>
      <c r="AM206" s="2">
        <v>15.3</v>
      </c>
      <c r="AN206" s="2">
        <v>9.8000000000000007</v>
      </c>
      <c r="AO206" s="2">
        <v>29.7</v>
      </c>
      <c r="AP206" s="2">
        <v>564</v>
      </c>
      <c r="AQ206" s="2">
        <v>68</v>
      </c>
      <c r="AR206" s="2">
        <v>1.8</v>
      </c>
      <c r="AS206" s="2">
        <v>43</v>
      </c>
      <c r="AT206" s="2">
        <v>25.4</v>
      </c>
      <c r="AU206" s="2">
        <v>162</v>
      </c>
      <c r="AV206" s="2">
        <v>9.1</v>
      </c>
      <c r="AW206" s="2">
        <v>9.1999999999999993</v>
      </c>
      <c r="AX206" s="2">
        <v>18.3</v>
      </c>
      <c r="AY206" s="2">
        <v>0.34</v>
      </c>
      <c r="AZ206" s="2">
        <v>7.3</v>
      </c>
      <c r="BA206" s="2">
        <v>0.9</v>
      </c>
      <c r="BB206" s="2">
        <v>7.5</v>
      </c>
      <c r="BC206" s="2">
        <v>2.9</v>
      </c>
      <c r="BD206" s="2">
        <f>+AN206*EXP(-0.0495*Y206)</f>
        <v>8.4575307443419092</v>
      </c>
      <c r="BE206" s="2">
        <f>+AO206*EXP(-0.024*Y206)</f>
        <v>27.652514946451014</v>
      </c>
    </row>
    <row r="207" spans="1:57" x14ac:dyDescent="0.2">
      <c r="A207" s="2" t="s">
        <v>629</v>
      </c>
      <c r="B207" s="2" t="s">
        <v>19</v>
      </c>
      <c r="C207" s="2" t="s">
        <v>20</v>
      </c>
      <c r="D207" s="2" t="s">
        <v>21</v>
      </c>
      <c r="E207" s="2" t="s">
        <v>630</v>
      </c>
      <c r="F207" s="2">
        <v>6</v>
      </c>
      <c r="G207" s="2">
        <v>200</v>
      </c>
      <c r="H207" s="2">
        <v>3</v>
      </c>
      <c r="I207" s="2">
        <v>4</v>
      </c>
      <c r="J207" s="2">
        <v>2</v>
      </c>
      <c r="K207" s="2" t="s">
        <v>61</v>
      </c>
      <c r="L207" s="6" t="s">
        <v>113</v>
      </c>
      <c r="M207" s="5">
        <v>1650000000</v>
      </c>
      <c r="N207" s="2">
        <v>0</v>
      </c>
      <c r="O207" s="2">
        <v>4.7073330000000002</v>
      </c>
      <c r="P207" s="2">
        <v>-74.083690000000004</v>
      </c>
      <c r="Q207" s="2" t="s">
        <v>631</v>
      </c>
      <c r="R207" s="2">
        <v>8250000</v>
      </c>
      <c r="S207" s="2">
        <v>0</v>
      </c>
      <c r="T207" s="2" t="s">
        <v>68</v>
      </c>
      <c r="U207" s="2" t="s">
        <v>69</v>
      </c>
      <c r="V207" s="2" t="s">
        <v>28</v>
      </c>
      <c r="W207" s="2" t="s">
        <v>70</v>
      </c>
      <c r="X207" s="2" t="s">
        <v>71</v>
      </c>
      <c r="Y207" s="2">
        <v>3.6794098033956799</v>
      </c>
      <c r="Z207" s="2">
        <v>4.73719444444444</v>
      </c>
      <c r="AA207" s="2">
        <v>-74.069472222222203</v>
      </c>
      <c r="AB207" s="2">
        <v>2555</v>
      </c>
      <c r="AC207" s="2" t="s">
        <v>31</v>
      </c>
      <c r="AD207" s="2" t="s">
        <v>58</v>
      </c>
      <c r="AE207" s="2" t="s">
        <v>33</v>
      </c>
      <c r="AF207" s="2" t="s">
        <v>34</v>
      </c>
      <c r="AG207" s="2" t="s">
        <v>72</v>
      </c>
      <c r="AH207" s="2">
        <v>1.3634609622389799</v>
      </c>
      <c r="AI207" s="2">
        <v>5.0729582812854002</v>
      </c>
      <c r="AJ207" s="2">
        <v>0.93299811208404104</v>
      </c>
      <c r="AK207" s="2">
        <v>0.63567111805139298</v>
      </c>
      <c r="AL207" s="2">
        <v>0.55089730512298896</v>
      </c>
      <c r="AM207" s="2">
        <v>15.3</v>
      </c>
      <c r="AN207" s="2">
        <v>9.8000000000000007</v>
      </c>
      <c r="AO207" s="2">
        <v>29.7</v>
      </c>
      <c r="AP207" s="2">
        <v>564</v>
      </c>
      <c r="AQ207" s="2">
        <v>68</v>
      </c>
      <c r="AR207" s="2">
        <v>1.8</v>
      </c>
      <c r="AS207" s="2">
        <v>43</v>
      </c>
      <c r="AT207" s="2">
        <v>25.4</v>
      </c>
      <c r="AU207" s="2">
        <v>162</v>
      </c>
      <c r="AV207" s="2">
        <v>9.1</v>
      </c>
      <c r="AW207" s="2">
        <v>9.1999999999999993</v>
      </c>
      <c r="AX207" s="2">
        <v>18.3</v>
      </c>
      <c r="AY207" s="2">
        <v>0.34</v>
      </c>
      <c r="AZ207" s="2">
        <v>7.3</v>
      </c>
      <c r="BA207" s="2">
        <v>0.9</v>
      </c>
      <c r="BB207" s="2">
        <v>7.5</v>
      </c>
      <c r="BC207" s="2">
        <v>2.9</v>
      </c>
      <c r="BD207" s="2">
        <f>+AN207*EXP(-0.0495*Y207)</f>
        <v>8.1682247827452912</v>
      </c>
      <c r="BE207" s="2">
        <f>+AO207*EXP(-0.024*Y207)</f>
        <v>27.189781172573316</v>
      </c>
    </row>
    <row r="208" spans="1:57" x14ac:dyDescent="0.2">
      <c r="A208" s="2" t="s">
        <v>3140</v>
      </c>
      <c r="B208" s="2" t="s">
        <v>19</v>
      </c>
      <c r="C208" s="2" t="s">
        <v>1907</v>
      </c>
      <c r="D208" s="2" t="s">
        <v>21</v>
      </c>
      <c r="E208" s="2" t="s">
        <v>329</v>
      </c>
      <c r="F208" s="2">
        <v>5</v>
      </c>
      <c r="G208" s="2">
        <v>200</v>
      </c>
      <c r="H208" s="2">
        <v>4</v>
      </c>
      <c r="I208" s="2">
        <v>4</v>
      </c>
      <c r="J208" s="2">
        <v>2</v>
      </c>
      <c r="K208" s="2" t="s">
        <v>61</v>
      </c>
      <c r="L208" s="6" t="s">
        <v>113</v>
      </c>
      <c r="M208" s="5">
        <v>1300000000</v>
      </c>
      <c r="N208" s="2">
        <v>0</v>
      </c>
      <c r="O208" s="2">
        <v>4.7201849999999999</v>
      </c>
      <c r="P208" s="2">
        <v>-74.065119999999993</v>
      </c>
      <c r="Q208" s="2" t="s">
        <v>3141</v>
      </c>
      <c r="R208" s="2">
        <v>6500000</v>
      </c>
      <c r="S208" s="2">
        <v>0</v>
      </c>
      <c r="T208" s="2" t="s">
        <v>68</v>
      </c>
      <c r="U208" s="2" t="s">
        <v>69</v>
      </c>
      <c r="V208" s="2" t="s">
        <v>28</v>
      </c>
      <c r="W208" s="2" t="s">
        <v>70</v>
      </c>
      <c r="X208" s="2" t="s">
        <v>71</v>
      </c>
      <c r="Y208" s="2">
        <v>1.95407505566972</v>
      </c>
      <c r="Z208" s="2">
        <v>4.73719444444444</v>
      </c>
      <c r="AA208" s="2">
        <v>-74.069472222222203</v>
      </c>
      <c r="AB208" s="2">
        <v>2555</v>
      </c>
      <c r="AC208" s="2" t="s">
        <v>31</v>
      </c>
      <c r="AD208" s="2" t="s">
        <v>58</v>
      </c>
      <c r="AE208" s="2" t="s">
        <v>33</v>
      </c>
      <c r="AF208" s="2" t="s">
        <v>34</v>
      </c>
      <c r="AG208" s="2" t="s">
        <v>72</v>
      </c>
      <c r="AH208" s="2">
        <v>1.0701751153474</v>
      </c>
      <c r="AI208" s="2">
        <v>4.56086541769014</v>
      </c>
      <c r="AJ208" s="2">
        <v>0.78936316152889996</v>
      </c>
      <c r="AK208" s="2">
        <v>0.26888738008843199</v>
      </c>
      <c r="AL208" s="2">
        <v>0.36213883434961702</v>
      </c>
      <c r="AM208" s="2">
        <v>15.3</v>
      </c>
      <c r="AN208" s="2">
        <v>9.8000000000000007</v>
      </c>
      <c r="AO208" s="2">
        <v>29.7</v>
      </c>
      <c r="AP208" s="2">
        <v>564</v>
      </c>
      <c r="AQ208" s="2">
        <v>68</v>
      </c>
      <c r="AR208" s="2">
        <v>1.8</v>
      </c>
      <c r="AS208" s="2">
        <v>43</v>
      </c>
      <c r="AT208" s="2">
        <v>25.4</v>
      </c>
      <c r="AU208" s="2">
        <v>162</v>
      </c>
      <c r="AV208" s="2">
        <v>9.1</v>
      </c>
      <c r="AW208" s="2">
        <v>9.1999999999999993</v>
      </c>
      <c r="AX208" s="2">
        <v>18.3</v>
      </c>
      <c r="AY208" s="2">
        <v>0.34</v>
      </c>
      <c r="AZ208" s="2">
        <v>7.3</v>
      </c>
      <c r="BA208" s="2">
        <v>0.9</v>
      </c>
      <c r="BB208" s="2">
        <v>7.5</v>
      </c>
      <c r="BC208" s="2">
        <v>2.9</v>
      </c>
      <c r="BD208" s="2">
        <f>+AN208*EXP(-0.0495*Y208)</f>
        <v>8.8964798001293151</v>
      </c>
      <c r="BE208" s="2">
        <f>+AO208*EXP(-0.024*Y208)</f>
        <v>28.339291798201657</v>
      </c>
    </row>
    <row r="209" spans="1:57" x14ac:dyDescent="0.2">
      <c r="A209" s="2" t="s">
        <v>2488</v>
      </c>
      <c r="B209" s="2" t="s">
        <v>19</v>
      </c>
      <c r="C209" s="2" t="s">
        <v>1907</v>
      </c>
      <c r="D209" s="2" t="s">
        <v>21</v>
      </c>
      <c r="E209" s="2" t="s">
        <v>2489</v>
      </c>
      <c r="F209" s="2">
        <v>6</v>
      </c>
      <c r="G209" s="2">
        <v>200</v>
      </c>
      <c r="H209" s="2">
        <v>4</v>
      </c>
      <c r="I209" s="2">
        <v>4</v>
      </c>
      <c r="J209" s="2">
        <v>3</v>
      </c>
      <c r="K209" s="2" t="s">
        <v>61</v>
      </c>
      <c r="L209" s="6" t="s">
        <v>113</v>
      </c>
      <c r="M209" s="5">
        <v>1100000000</v>
      </c>
      <c r="N209" s="2">
        <v>0</v>
      </c>
      <c r="O209" s="2">
        <v>4.7312599999999998</v>
      </c>
      <c r="P209" s="2">
        <v>-74.075950000000006</v>
      </c>
      <c r="Q209" s="2" t="s">
        <v>2490</v>
      </c>
      <c r="R209" s="2">
        <v>5500000</v>
      </c>
      <c r="S209" s="2">
        <v>0</v>
      </c>
      <c r="T209" s="2" t="s">
        <v>68</v>
      </c>
      <c r="U209" s="2" t="s">
        <v>69</v>
      </c>
      <c r="V209" s="2" t="s">
        <v>28</v>
      </c>
      <c r="W209" s="2" t="s">
        <v>70</v>
      </c>
      <c r="X209" s="2" t="s">
        <v>71</v>
      </c>
      <c r="Y209" s="2">
        <v>0.97614816812136496</v>
      </c>
      <c r="Z209" s="2">
        <v>4.73719444444444</v>
      </c>
      <c r="AA209" s="2">
        <v>-74.069472222222203</v>
      </c>
      <c r="AB209" s="2">
        <v>2555</v>
      </c>
      <c r="AC209" s="2" t="s">
        <v>31</v>
      </c>
      <c r="AD209" s="2" t="s">
        <v>58</v>
      </c>
      <c r="AE209" s="2" t="s">
        <v>33</v>
      </c>
      <c r="AF209" s="2" t="s">
        <v>34</v>
      </c>
      <c r="AG209" s="2" t="s">
        <v>72</v>
      </c>
      <c r="AH209" s="2">
        <v>0.44186019819866401</v>
      </c>
      <c r="AI209" s="2">
        <v>5.3701182044267801</v>
      </c>
      <c r="AJ209" s="2">
        <v>1.6697460770894399</v>
      </c>
      <c r="AK209" s="2">
        <v>0.88478109811060202</v>
      </c>
      <c r="AL209" s="2">
        <v>3.7351015274343E-3</v>
      </c>
      <c r="AM209" s="2">
        <v>15.3</v>
      </c>
      <c r="AN209" s="2">
        <v>9.8000000000000007</v>
      </c>
      <c r="AO209" s="2">
        <v>29.7</v>
      </c>
      <c r="AP209" s="2">
        <v>564</v>
      </c>
      <c r="AQ209" s="2">
        <v>68</v>
      </c>
      <c r="AR209" s="2">
        <v>1.8</v>
      </c>
      <c r="AS209" s="2">
        <v>43</v>
      </c>
      <c r="AT209" s="2">
        <v>25.4</v>
      </c>
      <c r="AU209" s="2">
        <v>162</v>
      </c>
      <c r="AV209" s="2">
        <v>9.1</v>
      </c>
      <c r="AW209" s="2">
        <v>9.1999999999999993</v>
      </c>
      <c r="AX209" s="2">
        <v>18.3</v>
      </c>
      <c r="AY209" s="2">
        <v>0.34</v>
      </c>
      <c r="AZ209" s="2">
        <v>7.3</v>
      </c>
      <c r="BA209" s="2">
        <v>0.9</v>
      </c>
      <c r="BB209" s="2">
        <v>7.5</v>
      </c>
      <c r="BC209" s="2">
        <v>2.9</v>
      </c>
      <c r="BD209" s="2">
        <f>+AN209*EXP(-0.0495*Y209)</f>
        <v>9.3377287799151514</v>
      </c>
      <c r="BE209" s="2">
        <f>+AO209*EXP(-0.024*Y209)</f>
        <v>29.012288736768745</v>
      </c>
    </row>
    <row r="210" spans="1:57" x14ac:dyDescent="0.2">
      <c r="A210" s="2" t="s">
        <v>559</v>
      </c>
      <c r="B210" s="2" t="s">
        <v>19</v>
      </c>
      <c r="C210" s="2" t="s">
        <v>20</v>
      </c>
      <c r="D210" s="2" t="s">
        <v>21</v>
      </c>
      <c r="E210" s="2" t="s">
        <v>125</v>
      </c>
      <c r="F210" s="2">
        <v>5</v>
      </c>
      <c r="G210" s="2">
        <v>199</v>
      </c>
      <c r="H210" s="2">
        <v>3</v>
      </c>
      <c r="I210" s="2">
        <v>5</v>
      </c>
      <c r="J210" s="2">
        <v>3</v>
      </c>
      <c r="K210" s="2" t="s">
        <v>61</v>
      </c>
      <c r="L210" s="6" t="s">
        <v>62</v>
      </c>
      <c r="M210" s="5">
        <v>1900000000</v>
      </c>
      <c r="N210" s="2">
        <v>0</v>
      </c>
      <c r="O210" s="2">
        <v>4.7355365750000002</v>
      </c>
      <c r="P210" s="2">
        <v>-74.065040589999995</v>
      </c>
      <c r="Q210" s="2" t="s">
        <v>560</v>
      </c>
      <c r="R210" s="2">
        <v>9547738.693</v>
      </c>
      <c r="S210" s="2">
        <v>0</v>
      </c>
      <c r="T210" s="2" t="s">
        <v>68</v>
      </c>
      <c r="U210" s="2" t="s">
        <v>69</v>
      </c>
      <c r="V210" s="2" t="s">
        <v>28</v>
      </c>
      <c r="W210" s="2" t="s">
        <v>70</v>
      </c>
      <c r="X210" s="2" t="s">
        <v>71</v>
      </c>
      <c r="Y210" s="2">
        <v>0.52514011988010501</v>
      </c>
      <c r="Z210" s="2">
        <v>4.73719444444444</v>
      </c>
      <c r="AA210" s="2">
        <v>-74.069472222222203</v>
      </c>
      <c r="AB210" s="2">
        <v>2555</v>
      </c>
      <c r="AC210" s="2" t="s">
        <v>31</v>
      </c>
      <c r="AD210" s="2" t="s">
        <v>58</v>
      </c>
      <c r="AE210" s="2" t="s">
        <v>33</v>
      </c>
      <c r="AF210" s="2" t="s">
        <v>34</v>
      </c>
      <c r="AG210" s="2" t="s">
        <v>72</v>
      </c>
      <c r="AH210" s="2">
        <v>1.39642988508406</v>
      </c>
      <c r="AI210" s="2">
        <v>4.7828752741512499</v>
      </c>
      <c r="AJ210" s="2">
        <v>2.18256968454445</v>
      </c>
      <c r="AK210" s="2">
        <v>0.28342969160300302</v>
      </c>
      <c r="AL210" s="2">
        <v>0.33092933285746501</v>
      </c>
      <c r="AM210" s="2">
        <v>15.3</v>
      </c>
      <c r="AN210" s="2">
        <v>9.8000000000000007</v>
      </c>
      <c r="AO210" s="2">
        <v>29.7</v>
      </c>
      <c r="AP210" s="2">
        <v>564</v>
      </c>
      <c r="AQ210" s="2">
        <v>68</v>
      </c>
      <c r="AR210" s="2">
        <v>1.8</v>
      </c>
      <c r="AS210" s="2">
        <v>43</v>
      </c>
      <c r="AT210" s="2">
        <v>25.4</v>
      </c>
      <c r="AU210" s="2">
        <v>162</v>
      </c>
      <c r="AV210" s="2">
        <v>9.1</v>
      </c>
      <c r="AW210" s="2">
        <v>9.1999999999999993</v>
      </c>
      <c r="AX210" s="2">
        <v>18.3</v>
      </c>
      <c r="AY210" s="2">
        <v>0.34</v>
      </c>
      <c r="AZ210" s="2">
        <v>7.3</v>
      </c>
      <c r="BA210" s="2">
        <v>0.9</v>
      </c>
      <c r="BB210" s="2">
        <v>7.5</v>
      </c>
      <c r="BC210" s="2">
        <v>2.9</v>
      </c>
      <c r="BD210" s="2">
        <f>+AN210*EXP(-0.0495*Y210)</f>
        <v>9.5485370067074253</v>
      </c>
      <c r="BE210" s="2">
        <f>+AO210*EXP(-0.024*Y210)</f>
        <v>29.32802908852732</v>
      </c>
    </row>
    <row r="211" spans="1:57" x14ac:dyDescent="0.2">
      <c r="A211" s="2" t="s">
        <v>709</v>
      </c>
      <c r="B211" s="2" t="s">
        <v>19</v>
      </c>
      <c r="C211" s="2" t="s">
        <v>20</v>
      </c>
      <c r="D211" s="2" t="s">
        <v>21</v>
      </c>
      <c r="E211" s="2" t="s">
        <v>125</v>
      </c>
      <c r="F211" s="2">
        <v>5</v>
      </c>
      <c r="G211" s="2">
        <v>199</v>
      </c>
      <c r="H211" s="2">
        <v>3</v>
      </c>
      <c r="I211" s="2">
        <v>5</v>
      </c>
      <c r="J211" s="2">
        <v>3</v>
      </c>
      <c r="K211" s="2" t="s">
        <v>61</v>
      </c>
      <c r="L211" s="6" t="s">
        <v>62</v>
      </c>
      <c r="M211" s="5">
        <v>1900000000</v>
      </c>
      <c r="N211" s="2">
        <v>0</v>
      </c>
      <c r="O211" s="2">
        <v>4.7355365750000002</v>
      </c>
      <c r="P211" s="2">
        <v>-74.065040589999995</v>
      </c>
      <c r="Q211" s="2" t="s">
        <v>710</v>
      </c>
      <c r="R211" s="2">
        <v>9547738.693</v>
      </c>
      <c r="S211" s="2">
        <v>0</v>
      </c>
      <c r="T211" s="2" t="s">
        <v>68</v>
      </c>
      <c r="U211" s="2" t="s">
        <v>69</v>
      </c>
      <c r="V211" s="2" t="s">
        <v>28</v>
      </c>
      <c r="W211" s="2" t="s">
        <v>70</v>
      </c>
      <c r="X211" s="2" t="s">
        <v>71</v>
      </c>
      <c r="Y211" s="2">
        <v>0.52514011988010501</v>
      </c>
      <c r="Z211" s="2">
        <v>4.73719444444444</v>
      </c>
      <c r="AA211" s="2">
        <v>-74.069472222222203</v>
      </c>
      <c r="AB211" s="2">
        <v>2555</v>
      </c>
      <c r="AC211" s="2" t="s">
        <v>31</v>
      </c>
      <c r="AD211" s="2" t="s">
        <v>58</v>
      </c>
      <c r="AE211" s="2" t="s">
        <v>33</v>
      </c>
      <c r="AF211" s="2" t="s">
        <v>34</v>
      </c>
      <c r="AG211" s="2" t="s">
        <v>72</v>
      </c>
      <c r="AH211" s="2">
        <v>1.39642988508406</v>
      </c>
      <c r="AI211" s="2">
        <v>4.7828752741512499</v>
      </c>
      <c r="AJ211" s="2">
        <v>2.18256968454445</v>
      </c>
      <c r="AK211" s="2">
        <v>0.28342969160300302</v>
      </c>
      <c r="AL211" s="2">
        <v>0.33092933285746501</v>
      </c>
      <c r="AM211" s="2">
        <v>15.3</v>
      </c>
      <c r="AN211" s="2">
        <v>9.8000000000000007</v>
      </c>
      <c r="AO211" s="2">
        <v>29.7</v>
      </c>
      <c r="AP211" s="2">
        <v>564</v>
      </c>
      <c r="AQ211" s="2">
        <v>68</v>
      </c>
      <c r="AR211" s="2">
        <v>1.8</v>
      </c>
      <c r="AS211" s="2">
        <v>43</v>
      </c>
      <c r="AT211" s="2">
        <v>25.4</v>
      </c>
      <c r="AU211" s="2">
        <v>162</v>
      </c>
      <c r="AV211" s="2">
        <v>9.1</v>
      </c>
      <c r="AW211" s="2">
        <v>9.1999999999999993</v>
      </c>
      <c r="AX211" s="2">
        <v>18.3</v>
      </c>
      <c r="AY211" s="2">
        <v>0.34</v>
      </c>
      <c r="AZ211" s="2">
        <v>7.3</v>
      </c>
      <c r="BA211" s="2">
        <v>0.9</v>
      </c>
      <c r="BB211" s="2">
        <v>7.5</v>
      </c>
      <c r="BC211" s="2">
        <v>2.9</v>
      </c>
      <c r="BD211" s="2">
        <f>+AN211*EXP(-0.0495*Y211)</f>
        <v>9.5485370067074253</v>
      </c>
      <c r="BE211" s="2">
        <f>+AO211*EXP(-0.024*Y211)</f>
        <v>29.32802908852732</v>
      </c>
    </row>
    <row r="212" spans="1:57" x14ac:dyDescent="0.2">
      <c r="A212" s="2" t="s">
        <v>711</v>
      </c>
      <c r="B212" s="2" t="s">
        <v>19</v>
      </c>
      <c r="C212" s="2" t="s">
        <v>20</v>
      </c>
      <c r="D212" s="2" t="s">
        <v>21</v>
      </c>
      <c r="E212" s="2" t="s">
        <v>125</v>
      </c>
      <c r="F212" s="2">
        <v>5</v>
      </c>
      <c r="G212" s="2">
        <v>199</v>
      </c>
      <c r="H212" s="2">
        <v>3</v>
      </c>
      <c r="I212" s="2">
        <v>5</v>
      </c>
      <c r="J212" s="2">
        <v>4</v>
      </c>
      <c r="K212" s="2" t="s">
        <v>61</v>
      </c>
      <c r="L212" s="6" t="s">
        <v>62</v>
      </c>
      <c r="M212" s="5">
        <v>1900000000</v>
      </c>
      <c r="N212" s="2">
        <v>0</v>
      </c>
      <c r="O212" s="2">
        <v>4.7355365750000002</v>
      </c>
      <c r="P212" s="2">
        <v>-74.065040589999995</v>
      </c>
      <c r="Q212" s="2" t="s">
        <v>712</v>
      </c>
      <c r="R212" s="2">
        <v>9547738.693</v>
      </c>
      <c r="S212" s="2">
        <v>0</v>
      </c>
      <c r="T212" s="2" t="s">
        <v>68</v>
      </c>
      <c r="U212" s="2" t="s">
        <v>69</v>
      </c>
      <c r="V212" s="2" t="s">
        <v>28</v>
      </c>
      <c r="W212" s="2" t="s">
        <v>70</v>
      </c>
      <c r="X212" s="2" t="s">
        <v>71</v>
      </c>
      <c r="Y212" s="2">
        <v>0.52514011988010501</v>
      </c>
      <c r="Z212" s="2">
        <v>4.73719444444444</v>
      </c>
      <c r="AA212" s="2">
        <v>-74.069472222222203</v>
      </c>
      <c r="AB212" s="2">
        <v>2555</v>
      </c>
      <c r="AC212" s="2" t="s">
        <v>31</v>
      </c>
      <c r="AD212" s="2" t="s">
        <v>58</v>
      </c>
      <c r="AE212" s="2" t="s">
        <v>33</v>
      </c>
      <c r="AF212" s="2" t="s">
        <v>34</v>
      </c>
      <c r="AG212" s="2" t="s">
        <v>72</v>
      </c>
      <c r="AH212" s="2">
        <v>1.39642988508406</v>
      </c>
      <c r="AI212" s="2">
        <v>4.7828752741512499</v>
      </c>
      <c r="AJ212" s="2">
        <v>2.18256968454445</v>
      </c>
      <c r="AK212" s="2">
        <v>0.28342969160300302</v>
      </c>
      <c r="AL212" s="2">
        <v>0.33092933285746501</v>
      </c>
      <c r="AM212" s="2">
        <v>15.3</v>
      </c>
      <c r="AN212" s="2">
        <v>9.8000000000000007</v>
      </c>
      <c r="AO212" s="2">
        <v>29.7</v>
      </c>
      <c r="AP212" s="2">
        <v>564</v>
      </c>
      <c r="AQ212" s="2">
        <v>68</v>
      </c>
      <c r="AR212" s="2">
        <v>1.8</v>
      </c>
      <c r="AS212" s="2">
        <v>43</v>
      </c>
      <c r="AT212" s="2">
        <v>25.4</v>
      </c>
      <c r="AU212" s="2">
        <v>162</v>
      </c>
      <c r="AV212" s="2">
        <v>9.1</v>
      </c>
      <c r="AW212" s="2">
        <v>9.1999999999999993</v>
      </c>
      <c r="AX212" s="2">
        <v>18.3</v>
      </c>
      <c r="AY212" s="2">
        <v>0.34</v>
      </c>
      <c r="AZ212" s="2">
        <v>7.3</v>
      </c>
      <c r="BA212" s="2">
        <v>0.9</v>
      </c>
      <c r="BB212" s="2">
        <v>7.5</v>
      </c>
      <c r="BC212" s="2">
        <v>2.9</v>
      </c>
      <c r="BD212" s="2">
        <f>+AN212*EXP(-0.0495*Y212)</f>
        <v>9.5485370067074253</v>
      </c>
      <c r="BE212" s="2">
        <f>+AO212*EXP(-0.024*Y212)</f>
        <v>29.32802908852732</v>
      </c>
    </row>
    <row r="213" spans="1:57" x14ac:dyDescent="0.2">
      <c r="A213" s="2" t="s">
        <v>3018</v>
      </c>
      <c r="B213" s="2" t="s">
        <v>19</v>
      </c>
      <c r="C213" s="2" t="s">
        <v>1907</v>
      </c>
      <c r="D213" s="2" t="s">
        <v>21</v>
      </c>
      <c r="E213" s="2" t="s">
        <v>952</v>
      </c>
      <c r="F213" s="2">
        <v>5</v>
      </c>
      <c r="G213" s="2">
        <v>199</v>
      </c>
      <c r="H213" s="2">
        <v>3</v>
      </c>
      <c r="I213" s="2">
        <v>4</v>
      </c>
      <c r="J213" s="2">
        <v>3</v>
      </c>
      <c r="K213" s="2" t="s">
        <v>61</v>
      </c>
      <c r="L213" s="6" t="s">
        <v>113</v>
      </c>
      <c r="M213" s="5">
        <v>930000000</v>
      </c>
      <c r="N213" s="2">
        <v>0</v>
      </c>
      <c r="O213" s="2">
        <v>4.6987743379999998</v>
      </c>
      <c r="P213" s="2">
        <v>-74.068168639999996</v>
      </c>
      <c r="Q213" s="2" t="s">
        <v>3019</v>
      </c>
      <c r="R213" s="2">
        <v>4673366.8339999998</v>
      </c>
      <c r="S213" s="2">
        <v>0</v>
      </c>
      <c r="T213" s="2" t="s">
        <v>68</v>
      </c>
      <c r="U213" s="2" t="s">
        <v>69</v>
      </c>
      <c r="V213" s="2" t="s">
        <v>28</v>
      </c>
      <c r="W213" s="2" t="s">
        <v>70</v>
      </c>
      <c r="X213" s="2" t="s">
        <v>71</v>
      </c>
      <c r="Y213" s="2">
        <v>4.2793511701372404</v>
      </c>
      <c r="Z213" s="2">
        <v>4.73719444444444</v>
      </c>
      <c r="AA213" s="2">
        <v>-74.069472222222203</v>
      </c>
      <c r="AB213" s="2">
        <v>2555</v>
      </c>
      <c r="AC213" s="2" t="s">
        <v>31</v>
      </c>
      <c r="AD213" s="2" t="s">
        <v>58</v>
      </c>
      <c r="AE213" s="2" t="s">
        <v>33</v>
      </c>
      <c r="AF213" s="2" t="s">
        <v>34</v>
      </c>
      <c r="AG213" s="2" t="s">
        <v>72</v>
      </c>
      <c r="AH213" s="2">
        <v>0.19278411784591701</v>
      </c>
      <c r="AI213" s="2">
        <v>4.1759659586635296</v>
      </c>
      <c r="AJ213" s="2">
        <v>0.191275364752785</v>
      </c>
      <c r="AK213" s="2">
        <v>0.122691635850873</v>
      </c>
      <c r="AL213" s="2">
        <v>0.24099719075572201</v>
      </c>
      <c r="AM213" s="2">
        <v>15.3</v>
      </c>
      <c r="AN213" s="2">
        <v>9.8000000000000007</v>
      </c>
      <c r="AO213" s="2">
        <v>29.7</v>
      </c>
      <c r="AP213" s="2">
        <v>564</v>
      </c>
      <c r="AQ213" s="2">
        <v>68</v>
      </c>
      <c r="AR213" s="2">
        <v>1.8</v>
      </c>
      <c r="AS213" s="2">
        <v>43</v>
      </c>
      <c r="AT213" s="2">
        <v>25.4</v>
      </c>
      <c r="AU213" s="2">
        <v>162</v>
      </c>
      <c r="AV213" s="2">
        <v>9.1</v>
      </c>
      <c r="AW213" s="2">
        <v>9.1999999999999993</v>
      </c>
      <c r="AX213" s="2">
        <v>18.3</v>
      </c>
      <c r="AY213" s="2">
        <v>0.34</v>
      </c>
      <c r="AZ213" s="2">
        <v>7.3</v>
      </c>
      <c r="BA213" s="2">
        <v>0.9</v>
      </c>
      <c r="BB213" s="2">
        <v>7.5</v>
      </c>
      <c r="BC213" s="2">
        <v>2.9</v>
      </c>
      <c r="BD213" s="2">
        <f>+AN213*EXP(-0.0495*Y213)</f>
        <v>7.9292186726601059</v>
      </c>
      <c r="BE213" s="2">
        <f>+AO213*EXP(-0.024*Y213)</f>
        <v>26.801091591819347</v>
      </c>
    </row>
    <row r="214" spans="1:57" x14ac:dyDescent="0.2">
      <c r="A214" s="2" t="s">
        <v>649</v>
      </c>
      <c r="B214" s="2" t="s">
        <v>19</v>
      </c>
      <c r="C214" s="2" t="s">
        <v>20</v>
      </c>
      <c r="D214" s="2" t="s">
        <v>21</v>
      </c>
      <c r="E214" s="2" t="s">
        <v>350</v>
      </c>
      <c r="F214" s="2">
        <v>6</v>
      </c>
      <c r="G214" s="2">
        <v>198.84</v>
      </c>
      <c r="H214" s="2">
        <v>3</v>
      </c>
      <c r="I214" s="2">
        <v>4</v>
      </c>
      <c r="J214" s="2">
        <v>3</v>
      </c>
      <c r="K214" s="2" t="s">
        <v>61</v>
      </c>
      <c r="L214" s="6" t="s">
        <v>84</v>
      </c>
      <c r="M214" s="5">
        <v>2100000000</v>
      </c>
      <c r="N214" s="2">
        <v>0</v>
      </c>
      <c r="O214" s="2">
        <v>4.7286599999999996</v>
      </c>
      <c r="P214" s="2">
        <v>-74.084109999999995</v>
      </c>
      <c r="Q214" s="2" t="s">
        <v>650</v>
      </c>
      <c r="R214" s="2">
        <v>10561255.279999999</v>
      </c>
      <c r="S214" s="2">
        <v>0</v>
      </c>
      <c r="T214" s="2" t="s">
        <v>68</v>
      </c>
      <c r="U214" s="2" t="s">
        <v>69</v>
      </c>
      <c r="V214" s="2" t="s">
        <v>28</v>
      </c>
      <c r="W214" s="2" t="s">
        <v>70</v>
      </c>
      <c r="X214" s="2" t="s">
        <v>71</v>
      </c>
      <c r="Y214" s="2">
        <v>1.88140657434013</v>
      </c>
      <c r="Z214" s="2">
        <v>4.73719444444444</v>
      </c>
      <c r="AA214" s="2">
        <v>-74.069472222222203</v>
      </c>
      <c r="AB214" s="2">
        <v>2555</v>
      </c>
      <c r="AC214" s="2" t="s">
        <v>31</v>
      </c>
      <c r="AD214" s="2" t="s">
        <v>58</v>
      </c>
      <c r="AE214" s="2" t="s">
        <v>33</v>
      </c>
      <c r="AF214" s="2" t="s">
        <v>34</v>
      </c>
      <c r="AG214" s="2" t="s">
        <v>72</v>
      </c>
      <c r="AH214" s="2">
        <v>0.83227801958914005</v>
      </c>
      <c r="AI214" s="2">
        <v>4.5249961485637202</v>
      </c>
      <c r="AJ214" s="2">
        <v>1.91928203813802</v>
      </c>
      <c r="AK214" s="2">
        <v>0.47067251468260302</v>
      </c>
      <c r="AL214" s="2">
        <v>3.5209248114829502E-3</v>
      </c>
      <c r="AM214" s="2">
        <v>15.3</v>
      </c>
      <c r="AN214" s="2">
        <v>9.8000000000000007</v>
      </c>
      <c r="AO214" s="2">
        <v>29.7</v>
      </c>
      <c r="AP214" s="2">
        <v>564</v>
      </c>
      <c r="AQ214" s="2">
        <v>68</v>
      </c>
      <c r="AR214" s="2">
        <v>1.8</v>
      </c>
      <c r="AS214" s="2">
        <v>43</v>
      </c>
      <c r="AT214" s="2">
        <v>25.4</v>
      </c>
      <c r="AU214" s="2">
        <v>162</v>
      </c>
      <c r="AV214" s="2">
        <v>9.1</v>
      </c>
      <c r="AW214" s="2">
        <v>9.1999999999999993</v>
      </c>
      <c r="AX214" s="2">
        <v>18.3</v>
      </c>
      <c r="AY214" s="2">
        <v>0.34</v>
      </c>
      <c r="AZ214" s="2">
        <v>7.3</v>
      </c>
      <c r="BA214" s="2">
        <v>0.9</v>
      </c>
      <c r="BB214" s="2">
        <v>7.5</v>
      </c>
      <c r="BC214" s="2">
        <v>2.9</v>
      </c>
      <c r="BD214" s="2">
        <f>+AN214*EXP(-0.0495*Y214)</f>
        <v>8.9285388621990993</v>
      </c>
      <c r="BE214" s="2">
        <f>+AO214*EXP(-0.024*Y214)</f>
        <v>28.388759882035455</v>
      </c>
    </row>
    <row r="215" spans="1:57" x14ac:dyDescent="0.2">
      <c r="A215" s="2" t="s">
        <v>2609</v>
      </c>
      <c r="B215" s="2" t="s">
        <v>19</v>
      </c>
      <c r="C215" s="2" t="s">
        <v>1907</v>
      </c>
      <c r="D215" s="2" t="s">
        <v>21</v>
      </c>
      <c r="E215" s="2" t="s">
        <v>1718</v>
      </c>
      <c r="F215" s="2">
        <v>5</v>
      </c>
      <c r="G215" s="2">
        <v>195</v>
      </c>
      <c r="H215" s="2">
        <v>5</v>
      </c>
      <c r="I215" s="2">
        <v>5</v>
      </c>
      <c r="J215" s="2">
        <v>2</v>
      </c>
      <c r="K215" s="2" t="s">
        <v>61</v>
      </c>
      <c r="L215" s="6" t="s">
        <v>113</v>
      </c>
      <c r="M215" s="5">
        <v>1150000000</v>
      </c>
      <c r="N215" s="2">
        <v>0</v>
      </c>
      <c r="O215" s="2">
        <v>4.7296800000000001</v>
      </c>
      <c r="P215" s="2">
        <v>-74.071200000000005</v>
      </c>
      <c r="Q215" s="2" t="s">
        <v>2610</v>
      </c>
      <c r="R215" s="2">
        <v>5897435.8969999999</v>
      </c>
      <c r="S215" s="2">
        <v>0</v>
      </c>
      <c r="T215" s="2" t="s">
        <v>68</v>
      </c>
      <c r="U215" s="2" t="s">
        <v>69</v>
      </c>
      <c r="V215" s="2" t="s">
        <v>28</v>
      </c>
      <c r="W215" s="2" t="s">
        <v>70</v>
      </c>
      <c r="X215" s="2" t="s">
        <v>71</v>
      </c>
      <c r="Y215" s="2">
        <v>0.85818420885366498</v>
      </c>
      <c r="Z215" s="2">
        <v>4.73719444444444</v>
      </c>
      <c r="AA215" s="2">
        <v>-74.069472222222203</v>
      </c>
      <c r="AB215" s="2">
        <v>2555</v>
      </c>
      <c r="AC215" s="2" t="s">
        <v>31</v>
      </c>
      <c r="AD215" s="2" t="s">
        <v>58</v>
      </c>
      <c r="AE215" s="2" t="s">
        <v>33</v>
      </c>
      <c r="AF215" s="2" t="s">
        <v>34</v>
      </c>
      <c r="AG215" s="2" t="s">
        <v>72</v>
      </c>
      <c r="AH215" s="2">
        <v>0.461541860331323</v>
      </c>
      <c r="AI215" s="2">
        <v>5.3959126564592399</v>
      </c>
      <c r="AJ215" s="2">
        <v>1.41788905915746</v>
      </c>
      <c r="AK215" s="2">
        <v>0.33571535827840199</v>
      </c>
      <c r="AL215" s="2">
        <v>0.45229591066800001</v>
      </c>
      <c r="AM215" s="2">
        <v>15.3</v>
      </c>
      <c r="AN215" s="2">
        <v>9.8000000000000007</v>
      </c>
      <c r="AO215" s="2">
        <v>29.7</v>
      </c>
      <c r="AP215" s="2">
        <v>564</v>
      </c>
      <c r="AQ215" s="2">
        <v>68</v>
      </c>
      <c r="AR215" s="2">
        <v>1.8</v>
      </c>
      <c r="AS215" s="2">
        <v>43</v>
      </c>
      <c r="AT215" s="2">
        <v>25.4</v>
      </c>
      <c r="AU215" s="2">
        <v>162</v>
      </c>
      <c r="AV215" s="2">
        <v>9.1</v>
      </c>
      <c r="AW215" s="2">
        <v>9.1999999999999993</v>
      </c>
      <c r="AX215" s="2">
        <v>18.3</v>
      </c>
      <c r="AY215" s="2">
        <v>0.34</v>
      </c>
      <c r="AZ215" s="2">
        <v>7.3</v>
      </c>
      <c r="BA215" s="2">
        <v>0.9</v>
      </c>
      <c r="BB215" s="2">
        <v>7.5</v>
      </c>
      <c r="BC215" s="2">
        <v>2.9</v>
      </c>
      <c r="BD215" s="2">
        <f>+AN215*EXP(-0.0495*Y215)</f>
        <v>9.3924132970331016</v>
      </c>
      <c r="BE215" s="2">
        <f>+AO215*EXP(-0.024*Y215)</f>
        <v>29.094542824765643</v>
      </c>
    </row>
    <row r="216" spans="1:57" x14ac:dyDescent="0.2">
      <c r="A216" s="2" t="s">
        <v>863</v>
      </c>
      <c r="B216" s="2" t="s">
        <v>19</v>
      </c>
      <c r="C216" s="2" t="s">
        <v>20</v>
      </c>
      <c r="D216" s="2" t="s">
        <v>21</v>
      </c>
      <c r="E216" s="2" t="s">
        <v>864</v>
      </c>
      <c r="F216" s="2">
        <v>6</v>
      </c>
      <c r="G216" s="2">
        <v>193</v>
      </c>
      <c r="H216" s="2">
        <v>3</v>
      </c>
      <c r="I216" s="2">
        <v>4</v>
      </c>
      <c r="J216" s="2">
        <v>2</v>
      </c>
      <c r="K216" s="2" t="s">
        <v>61</v>
      </c>
      <c r="L216" s="6" t="s">
        <v>75</v>
      </c>
      <c r="M216" s="5">
        <v>1750000000</v>
      </c>
      <c r="N216" s="2">
        <v>0</v>
      </c>
      <c r="O216" s="2">
        <v>4.7171306609999997</v>
      </c>
      <c r="P216" s="2">
        <v>-74.081291199999995</v>
      </c>
      <c r="Q216" s="2" t="s">
        <v>865</v>
      </c>
      <c r="R216" s="2">
        <v>9067357.5130000003</v>
      </c>
      <c r="S216" s="2">
        <v>0</v>
      </c>
      <c r="T216" s="2" t="s">
        <v>68</v>
      </c>
      <c r="U216" s="2" t="s">
        <v>69</v>
      </c>
      <c r="V216" s="2" t="s">
        <v>28</v>
      </c>
      <c r="W216" s="2" t="s">
        <v>70</v>
      </c>
      <c r="X216" s="2" t="s">
        <v>71</v>
      </c>
      <c r="Y216" s="2">
        <v>2.5899310000931899</v>
      </c>
      <c r="Z216" s="2">
        <v>4.73719444444444</v>
      </c>
      <c r="AA216" s="2">
        <v>-74.069472222222203</v>
      </c>
      <c r="AB216" s="2">
        <v>2555</v>
      </c>
      <c r="AC216" s="2" t="s">
        <v>31</v>
      </c>
      <c r="AD216" s="2" t="s">
        <v>58</v>
      </c>
      <c r="AE216" s="2" t="s">
        <v>33</v>
      </c>
      <c r="AF216" s="2" t="s">
        <v>34</v>
      </c>
      <c r="AG216" s="2" t="s">
        <v>72</v>
      </c>
      <c r="AH216" s="2">
        <v>0.86090773597029202</v>
      </c>
      <c r="AI216" s="2">
        <v>5.0080914366006599</v>
      </c>
      <c r="AJ216" s="2">
        <v>1.09528471959044</v>
      </c>
      <c r="AK216" s="2">
        <v>0.377540660900539</v>
      </c>
      <c r="AL216" s="2">
        <v>0.34457940082569199</v>
      </c>
      <c r="AM216" s="2">
        <v>15.3</v>
      </c>
      <c r="AN216" s="2">
        <v>9.8000000000000007</v>
      </c>
      <c r="AO216" s="2">
        <v>29.7</v>
      </c>
      <c r="AP216" s="2">
        <v>564</v>
      </c>
      <c r="AQ216" s="2">
        <v>68</v>
      </c>
      <c r="AR216" s="2">
        <v>1.8</v>
      </c>
      <c r="AS216" s="2">
        <v>43</v>
      </c>
      <c r="AT216" s="2">
        <v>25.4</v>
      </c>
      <c r="AU216" s="2">
        <v>162</v>
      </c>
      <c r="AV216" s="2">
        <v>9.1</v>
      </c>
      <c r="AW216" s="2">
        <v>9.1999999999999993</v>
      </c>
      <c r="AX216" s="2">
        <v>18.3</v>
      </c>
      <c r="AY216" s="2">
        <v>0.34</v>
      </c>
      <c r="AZ216" s="2">
        <v>7.3</v>
      </c>
      <c r="BA216" s="2">
        <v>0.9</v>
      </c>
      <c r="BB216" s="2">
        <v>7.5</v>
      </c>
      <c r="BC216" s="2">
        <v>2.9</v>
      </c>
      <c r="BD216" s="2">
        <f>+AN216*EXP(-0.0495*Y216)</f>
        <v>8.6208251156861682</v>
      </c>
      <c r="BE216" s="2">
        <f>+AO216*EXP(-0.024*Y216)</f>
        <v>27.910101990532336</v>
      </c>
    </row>
    <row r="217" spans="1:57" x14ac:dyDescent="0.2">
      <c r="A217" s="2" t="s">
        <v>1915</v>
      </c>
      <c r="B217" s="2" t="s">
        <v>19</v>
      </c>
      <c r="C217" s="2" t="s">
        <v>1907</v>
      </c>
      <c r="D217" s="2" t="s">
        <v>21</v>
      </c>
      <c r="E217" s="2" t="s">
        <v>864</v>
      </c>
      <c r="F217" s="2">
        <v>6</v>
      </c>
      <c r="G217" s="2">
        <v>192.5</v>
      </c>
      <c r="H217" s="2">
        <v>3</v>
      </c>
      <c r="I217" s="2">
        <v>4</v>
      </c>
      <c r="J217" s="2">
        <v>2</v>
      </c>
      <c r="K217" s="2" t="s">
        <v>61</v>
      </c>
      <c r="L217" s="6" t="s">
        <v>113</v>
      </c>
      <c r="M217" s="5">
        <v>1400000000</v>
      </c>
      <c r="N217" s="2">
        <v>0</v>
      </c>
      <c r="O217" s="2">
        <v>4.7142663000000002</v>
      </c>
      <c r="P217" s="2">
        <v>-74.08211</v>
      </c>
      <c r="Q217" s="2" t="s">
        <v>1916</v>
      </c>
      <c r="R217" s="2">
        <v>7272727.273</v>
      </c>
      <c r="S217" s="2">
        <v>0</v>
      </c>
      <c r="T217" s="2" t="s">
        <v>68</v>
      </c>
      <c r="U217" s="2" t="s">
        <v>69</v>
      </c>
      <c r="V217" s="2" t="s">
        <v>28</v>
      </c>
      <c r="W217" s="2" t="s">
        <v>70</v>
      </c>
      <c r="X217" s="2" t="s">
        <v>71</v>
      </c>
      <c r="Y217" s="2">
        <v>2.9120829499840699</v>
      </c>
      <c r="Z217" s="2">
        <v>4.73719444444444</v>
      </c>
      <c r="AA217" s="2">
        <v>-74.069472222222203</v>
      </c>
      <c r="AB217" s="2">
        <v>2555</v>
      </c>
      <c r="AC217" s="2" t="s">
        <v>31</v>
      </c>
      <c r="AD217" s="2" t="s">
        <v>58</v>
      </c>
      <c r="AE217" s="2" t="s">
        <v>33</v>
      </c>
      <c r="AF217" s="2" t="s">
        <v>34</v>
      </c>
      <c r="AG217" s="2" t="s">
        <v>72</v>
      </c>
      <c r="AH217" s="2">
        <v>1.11535213008523</v>
      </c>
      <c r="AI217" s="2">
        <v>4.9888854066022796</v>
      </c>
      <c r="AJ217" s="2">
        <v>1.2195805934269299</v>
      </c>
      <c r="AK217" s="2">
        <v>0.52512435456172502</v>
      </c>
      <c r="AL217" s="2">
        <v>0.49767557830792902</v>
      </c>
      <c r="AM217" s="2">
        <v>15.3</v>
      </c>
      <c r="AN217" s="2">
        <v>9.8000000000000007</v>
      </c>
      <c r="AO217" s="2">
        <v>29.7</v>
      </c>
      <c r="AP217" s="2">
        <v>564</v>
      </c>
      <c r="AQ217" s="2">
        <v>68</v>
      </c>
      <c r="AR217" s="2">
        <v>1.8</v>
      </c>
      <c r="AS217" s="2">
        <v>43</v>
      </c>
      <c r="AT217" s="2">
        <v>25.4</v>
      </c>
      <c r="AU217" s="2">
        <v>162</v>
      </c>
      <c r="AV217" s="2">
        <v>9.1</v>
      </c>
      <c r="AW217" s="2">
        <v>9.1999999999999993</v>
      </c>
      <c r="AX217" s="2">
        <v>18.3</v>
      </c>
      <c r="AY217" s="2">
        <v>0.34</v>
      </c>
      <c r="AZ217" s="2">
        <v>7.3</v>
      </c>
      <c r="BA217" s="2">
        <v>0.9</v>
      </c>
      <c r="BB217" s="2">
        <v>7.5</v>
      </c>
      <c r="BC217" s="2">
        <v>2.9</v>
      </c>
      <c r="BD217" s="2">
        <f>+AN217*EXP(-0.0495*Y217)</f>
        <v>8.4844432407647741</v>
      </c>
      <c r="BE217" s="2">
        <f>+AO217*EXP(-0.024*Y217)</f>
        <v>27.695143004165526</v>
      </c>
    </row>
    <row r="218" spans="1:57" x14ac:dyDescent="0.2">
      <c r="A218" s="2" t="s">
        <v>1966</v>
      </c>
      <c r="B218" s="2" t="s">
        <v>19</v>
      </c>
      <c r="C218" s="2" t="s">
        <v>1907</v>
      </c>
      <c r="D218" s="2" t="s">
        <v>21</v>
      </c>
      <c r="E218" s="2" t="s">
        <v>1539</v>
      </c>
      <c r="F218" s="2">
        <v>6</v>
      </c>
      <c r="G218" s="2">
        <v>192</v>
      </c>
      <c r="H218" s="2">
        <v>4</v>
      </c>
      <c r="I218" s="2">
        <v>5</v>
      </c>
      <c r="J218" s="2">
        <v>2</v>
      </c>
      <c r="K218" s="2" t="s">
        <v>61</v>
      </c>
      <c r="L218" s="6" t="s">
        <v>84</v>
      </c>
      <c r="M218" s="5">
        <v>1400000000</v>
      </c>
      <c r="N218" s="2">
        <v>0</v>
      </c>
      <c r="O218" s="2">
        <v>4.8014950750000001</v>
      </c>
      <c r="P218" s="2">
        <v>-74.07378387</v>
      </c>
      <c r="Q218" s="2" t="s">
        <v>1967</v>
      </c>
      <c r="R218" s="2">
        <v>7291666.6670000004</v>
      </c>
      <c r="S218" s="2">
        <v>0</v>
      </c>
      <c r="T218" s="2" t="s">
        <v>102</v>
      </c>
      <c r="U218" s="2" t="s">
        <v>103</v>
      </c>
      <c r="V218" s="2" t="s">
        <v>28</v>
      </c>
      <c r="W218" s="2" t="s">
        <v>70</v>
      </c>
      <c r="X218" s="2" t="s">
        <v>104</v>
      </c>
      <c r="Y218" s="2">
        <v>3.8362090835094702</v>
      </c>
      <c r="Z218" s="2">
        <v>4.7837500000000004</v>
      </c>
      <c r="AA218" s="2">
        <v>-74.044138888888895</v>
      </c>
      <c r="AB218" s="2">
        <v>2580</v>
      </c>
      <c r="AC218" s="2" t="s">
        <v>105</v>
      </c>
      <c r="AD218" s="2" t="s">
        <v>58</v>
      </c>
      <c r="AE218" s="2" t="s">
        <v>33</v>
      </c>
      <c r="AF218" s="2" t="s">
        <v>34</v>
      </c>
      <c r="AG218" s="2" t="s">
        <v>72</v>
      </c>
      <c r="AH218" s="2">
        <v>4.9252912979291299</v>
      </c>
      <c r="AI218" s="2">
        <v>0.70887886520211596</v>
      </c>
      <c r="AJ218" s="2">
        <v>2.9671136308021699</v>
      </c>
      <c r="AK218" s="2">
        <v>1.1855966393237101</v>
      </c>
      <c r="AL218" s="2">
        <v>2.3450867237648301</v>
      </c>
      <c r="AM218" s="2">
        <v>15.3</v>
      </c>
      <c r="AN218" s="2">
        <v>9.8000000000000007</v>
      </c>
      <c r="AO218" s="2">
        <v>29.7</v>
      </c>
      <c r="AP218" s="2">
        <v>564</v>
      </c>
      <c r="AQ218" s="2">
        <v>68</v>
      </c>
      <c r="AR218" s="2">
        <v>1.8</v>
      </c>
      <c r="AS218" s="2">
        <v>43</v>
      </c>
      <c r="AT218" s="2">
        <v>25.4</v>
      </c>
      <c r="AU218" s="2">
        <v>162</v>
      </c>
      <c r="AV218" s="2">
        <v>9.1</v>
      </c>
      <c r="AW218" s="2">
        <v>9.1999999999999993</v>
      </c>
      <c r="AX218" s="2">
        <v>18.3</v>
      </c>
      <c r="AY218" s="2">
        <v>0.34</v>
      </c>
      <c r="AZ218" s="2">
        <v>7.3</v>
      </c>
      <c r="BA218" s="2">
        <v>0.9</v>
      </c>
      <c r="BB218" s="2">
        <v>7.5</v>
      </c>
      <c r="BC218" s="2">
        <v>2.9</v>
      </c>
      <c r="BD218" s="2">
        <f>+AN218*EXP(-0.0495*Y218)</f>
        <v>8.1050719796507575</v>
      </c>
      <c r="BE218" s="2">
        <f>+AO218*EXP(-0.024*Y218)</f>
        <v>27.087653341199076</v>
      </c>
    </row>
    <row r="219" spans="1:57" x14ac:dyDescent="0.2">
      <c r="A219" s="2" t="s">
        <v>2718</v>
      </c>
      <c r="B219" s="2" t="s">
        <v>19</v>
      </c>
      <c r="C219" s="2" t="s">
        <v>1907</v>
      </c>
      <c r="D219" s="2" t="s">
        <v>21</v>
      </c>
      <c r="E219" s="2" t="s">
        <v>976</v>
      </c>
      <c r="F219" s="2">
        <v>4</v>
      </c>
      <c r="G219" s="2">
        <v>192</v>
      </c>
      <c r="H219" s="2">
        <v>4</v>
      </c>
      <c r="I219" s="2">
        <v>3</v>
      </c>
      <c r="J219" s="2">
        <v>2</v>
      </c>
      <c r="K219" s="2" t="s">
        <v>61</v>
      </c>
      <c r="L219" s="6" t="s">
        <v>113</v>
      </c>
      <c r="M219" s="5">
        <v>650000000</v>
      </c>
      <c r="N219" s="2">
        <v>0</v>
      </c>
      <c r="O219" s="2">
        <v>4.7288497679999999</v>
      </c>
      <c r="P219" s="2">
        <v>-74.053242800000007</v>
      </c>
      <c r="Q219" s="2" t="s">
        <v>2719</v>
      </c>
      <c r="R219" s="2">
        <v>3385416.6669999999</v>
      </c>
      <c r="S219" s="2">
        <v>0</v>
      </c>
      <c r="T219" s="2" t="s">
        <v>68</v>
      </c>
      <c r="U219" s="2" t="s">
        <v>69</v>
      </c>
      <c r="V219" s="2" t="s">
        <v>28</v>
      </c>
      <c r="W219" s="2" t="s">
        <v>70</v>
      </c>
      <c r="X219" s="2" t="s">
        <v>71</v>
      </c>
      <c r="Y219" s="2">
        <v>2.0259978601268198</v>
      </c>
      <c r="Z219" s="2">
        <v>4.73719444444444</v>
      </c>
      <c r="AA219" s="2">
        <v>-74.069472222222203</v>
      </c>
      <c r="AB219" s="2">
        <v>2555</v>
      </c>
      <c r="AC219" s="2" t="s">
        <v>31</v>
      </c>
      <c r="AD219" s="2" t="s">
        <v>58</v>
      </c>
      <c r="AE219" s="2" t="s">
        <v>33</v>
      </c>
      <c r="AF219" s="2" t="s">
        <v>34</v>
      </c>
      <c r="AG219" s="2" t="s">
        <v>72</v>
      </c>
      <c r="AH219" s="2">
        <v>0.37561938092660302</v>
      </c>
      <c r="AI219" s="2">
        <v>3.4424876949698402</v>
      </c>
      <c r="AJ219" s="2">
        <v>1.5373866823219799</v>
      </c>
      <c r="AK219" s="2">
        <v>0.135284361325922</v>
      </c>
      <c r="AL219" s="2">
        <v>7.5012588893367399E-2</v>
      </c>
      <c r="AM219" s="2">
        <v>15.3</v>
      </c>
      <c r="AN219" s="2">
        <v>9.8000000000000007</v>
      </c>
      <c r="AO219" s="2">
        <v>29.7</v>
      </c>
      <c r="AP219" s="2">
        <v>564</v>
      </c>
      <c r="AQ219" s="2">
        <v>68</v>
      </c>
      <c r="AR219" s="2">
        <v>1.8</v>
      </c>
      <c r="AS219" s="2">
        <v>43</v>
      </c>
      <c r="AT219" s="2">
        <v>25.4</v>
      </c>
      <c r="AU219" s="2">
        <v>162</v>
      </c>
      <c r="AV219" s="2">
        <v>9.1</v>
      </c>
      <c r="AW219" s="2">
        <v>9.1999999999999993</v>
      </c>
      <c r="AX219" s="2">
        <v>18.3</v>
      </c>
      <c r="AY219" s="2">
        <v>0.34</v>
      </c>
      <c r="AZ219" s="2">
        <v>7.3</v>
      </c>
      <c r="BA219" s="2">
        <v>0.9</v>
      </c>
      <c r="BB219" s="2">
        <v>7.5</v>
      </c>
      <c r="BC219" s="2">
        <v>2.9</v>
      </c>
      <c r="BD219" s="2">
        <f>+AN219*EXP(-0.0495*Y219)</f>
        <v>8.8648630551944567</v>
      </c>
      <c r="BE219" s="2">
        <f>+AO219*EXP(-0.024*Y219)</f>
        <v>28.290416201358422</v>
      </c>
    </row>
    <row r="220" spans="1:57" x14ac:dyDescent="0.2">
      <c r="A220" s="2" t="s">
        <v>642</v>
      </c>
      <c r="B220" s="2" t="s">
        <v>19</v>
      </c>
      <c r="C220" s="2" t="s">
        <v>20</v>
      </c>
      <c r="D220" s="2" t="s">
        <v>21</v>
      </c>
      <c r="E220" s="2" t="s">
        <v>508</v>
      </c>
      <c r="F220" s="2">
        <v>5</v>
      </c>
      <c r="G220" s="2">
        <v>190.17</v>
      </c>
      <c r="H220" s="2">
        <v>4</v>
      </c>
      <c r="I220" s="2">
        <v>5</v>
      </c>
      <c r="J220" s="2">
        <v>2</v>
      </c>
      <c r="K220" s="2" t="s">
        <v>61</v>
      </c>
      <c r="L220" s="6" t="s">
        <v>113</v>
      </c>
      <c r="M220" s="5">
        <v>1300000000</v>
      </c>
      <c r="N220" s="2">
        <v>0</v>
      </c>
      <c r="O220" s="2">
        <v>4.7038510000000002</v>
      </c>
      <c r="P220" s="2">
        <v>-74.069959999999995</v>
      </c>
      <c r="Q220" s="2" t="s">
        <v>643</v>
      </c>
      <c r="R220" s="2">
        <v>6835988.852</v>
      </c>
      <c r="S220" s="2">
        <v>0</v>
      </c>
      <c r="T220" s="2" t="s">
        <v>68</v>
      </c>
      <c r="U220" s="2" t="s">
        <v>69</v>
      </c>
      <c r="V220" s="2" t="s">
        <v>28</v>
      </c>
      <c r="W220" s="2" t="s">
        <v>70</v>
      </c>
      <c r="X220" s="2" t="s">
        <v>71</v>
      </c>
      <c r="Y220" s="2">
        <v>3.7121697145165702</v>
      </c>
      <c r="Z220" s="2">
        <v>4.73719444444444</v>
      </c>
      <c r="AA220" s="2">
        <v>-74.069472222222203</v>
      </c>
      <c r="AB220" s="2">
        <v>2555</v>
      </c>
      <c r="AC220" s="2" t="s">
        <v>31</v>
      </c>
      <c r="AD220" s="2" t="s">
        <v>58</v>
      </c>
      <c r="AE220" s="2" t="s">
        <v>33</v>
      </c>
      <c r="AF220" s="2" t="s">
        <v>34</v>
      </c>
      <c r="AG220" s="2" t="s">
        <v>72</v>
      </c>
      <c r="AH220" s="2">
        <v>0.34139455197177898</v>
      </c>
      <c r="AI220" s="2">
        <v>4.6619638387271101</v>
      </c>
      <c r="AJ220" s="2">
        <v>0.66712385387451101</v>
      </c>
      <c r="AK220" s="2">
        <v>0.26777174852784102</v>
      </c>
      <c r="AL220" s="2">
        <v>0.27387222909891601</v>
      </c>
      <c r="AM220" s="2">
        <v>15.3</v>
      </c>
      <c r="AN220" s="2">
        <v>9.8000000000000007</v>
      </c>
      <c r="AO220" s="2">
        <v>29.7</v>
      </c>
      <c r="AP220" s="2">
        <v>564</v>
      </c>
      <c r="AQ220" s="2">
        <v>68</v>
      </c>
      <c r="AR220" s="2">
        <v>1.8</v>
      </c>
      <c r="AS220" s="2">
        <v>43</v>
      </c>
      <c r="AT220" s="2">
        <v>25.4</v>
      </c>
      <c r="AU220" s="2">
        <v>162</v>
      </c>
      <c r="AV220" s="2">
        <v>9.1</v>
      </c>
      <c r="AW220" s="2">
        <v>9.1999999999999993</v>
      </c>
      <c r="AX220" s="2">
        <v>18.3</v>
      </c>
      <c r="AY220" s="2">
        <v>0.34</v>
      </c>
      <c r="AZ220" s="2">
        <v>7.3</v>
      </c>
      <c r="BA220" s="2">
        <v>0.9</v>
      </c>
      <c r="BB220" s="2">
        <v>7.5</v>
      </c>
      <c r="BC220" s="2">
        <v>2.9</v>
      </c>
      <c r="BD220" s="2">
        <f>+AN220*EXP(-0.0495*Y220)</f>
        <v>8.1549897959401374</v>
      </c>
      <c r="BE220" s="2">
        <f>+AO220*EXP(-0.024*Y220)</f>
        <v>27.168411938773897</v>
      </c>
    </row>
    <row r="221" spans="1:57" x14ac:dyDescent="0.2">
      <c r="A221" s="2" t="s">
        <v>2460</v>
      </c>
      <c r="B221" s="2" t="s">
        <v>19</v>
      </c>
      <c r="C221" s="2" t="s">
        <v>1907</v>
      </c>
      <c r="D221" s="2" t="s">
        <v>21</v>
      </c>
      <c r="E221" s="2" t="s">
        <v>1675</v>
      </c>
      <c r="F221" s="2">
        <v>6</v>
      </c>
      <c r="G221" s="2">
        <v>190</v>
      </c>
      <c r="H221" s="2">
        <v>5</v>
      </c>
      <c r="I221" s="2">
        <v>5</v>
      </c>
      <c r="J221" s="2">
        <v>2</v>
      </c>
      <c r="K221" s="2" t="s">
        <v>61</v>
      </c>
      <c r="L221" s="6" t="s">
        <v>113</v>
      </c>
      <c r="M221" s="5">
        <v>1260000000</v>
      </c>
      <c r="N221" s="2">
        <v>0</v>
      </c>
      <c r="O221" s="2">
        <v>4.7637252810000001</v>
      </c>
      <c r="P221" s="2">
        <v>-74.062408450000007</v>
      </c>
      <c r="Q221" s="2" t="s">
        <v>2461</v>
      </c>
      <c r="R221" s="2">
        <v>6631578.9469999997</v>
      </c>
      <c r="S221" s="2">
        <v>0</v>
      </c>
      <c r="T221" s="2" t="s">
        <v>102</v>
      </c>
      <c r="U221" s="2" t="s">
        <v>103</v>
      </c>
      <c r="V221" s="2" t="s">
        <v>28</v>
      </c>
      <c r="W221" s="2" t="s">
        <v>70</v>
      </c>
      <c r="X221" s="2" t="s">
        <v>104</v>
      </c>
      <c r="Y221" s="2">
        <v>3.0127393472225399</v>
      </c>
      <c r="Z221" s="2">
        <v>4.7837500000000004</v>
      </c>
      <c r="AA221" s="2">
        <v>-74.044138888888895</v>
      </c>
      <c r="AB221" s="2">
        <v>2580</v>
      </c>
      <c r="AC221" s="2" t="s">
        <v>105</v>
      </c>
      <c r="AD221" s="2" t="s">
        <v>58</v>
      </c>
      <c r="AE221" s="2" t="s">
        <v>33</v>
      </c>
      <c r="AF221" s="2" t="s">
        <v>34</v>
      </c>
      <c r="AG221" s="2" t="s">
        <v>72</v>
      </c>
      <c r="AH221" s="2">
        <v>1.99217033229164</v>
      </c>
      <c r="AI221" s="2">
        <v>4.1553341229734899</v>
      </c>
      <c r="AJ221" s="2">
        <v>1.5109710873370701</v>
      </c>
      <c r="AK221" s="2">
        <v>0.50121330975045797</v>
      </c>
      <c r="AL221" s="2">
        <v>1.1287310531034401E-2</v>
      </c>
      <c r="AM221" s="2">
        <v>15.3</v>
      </c>
      <c r="AN221" s="2">
        <v>9.8000000000000007</v>
      </c>
      <c r="AO221" s="2">
        <v>29.7</v>
      </c>
      <c r="AP221" s="2">
        <v>564</v>
      </c>
      <c r="AQ221" s="2">
        <v>68</v>
      </c>
      <c r="AR221" s="2">
        <v>1.8</v>
      </c>
      <c r="AS221" s="2">
        <v>43</v>
      </c>
      <c r="AT221" s="2">
        <v>25.4</v>
      </c>
      <c r="AU221" s="2">
        <v>162</v>
      </c>
      <c r="AV221" s="2">
        <v>9.1</v>
      </c>
      <c r="AW221" s="2">
        <v>9.1999999999999993</v>
      </c>
      <c r="AX221" s="2">
        <v>18.3</v>
      </c>
      <c r="AY221" s="2">
        <v>0.34</v>
      </c>
      <c r="AZ221" s="2">
        <v>7.3</v>
      </c>
      <c r="BA221" s="2">
        <v>0.9</v>
      </c>
      <c r="BB221" s="2">
        <v>7.5</v>
      </c>
      <c r="BC221" s="2">
        <v>2.9</v>
      </c>
      <c r="BD221" s="2">
        <f>+AN221*EXP(-0.0495*Y221)</f>
        <v>8.4422747124571487</v>
      </c>
      <c r="BE221" s="2">
        <f>+AO221*EXP(-0.024*Y221)</f>
        <v>27.628319112110855</v>
      </c>
    </row>
    <row r="222" spans="1:57" x14ac:dyDescent="0.2">
      <c r="A222" s="2" t="s">
        <v>2347</v>
      </c>
      <c r="B222" s="2" t="s">
        <v>19</v>
      </c>
      <c r="C222" s="2" t="s">
        <v>1907</v>
      </c>
      <c r="D222" s="2" t="s">
        <v>21</v>
      </c>
      <c r="E222" s="2" t="s">
        <v>218</v>
      </c>
      <c r="F222" s="2">
        <v>5</v>
      </c>
      <c r="G222" s="2">
        <v>190</v>
      </c>
      <c r="H222" s="2">
        <v>4</v>
      </c>
      <c r="I222" s="2">
        <v>5</v>
      </c>
      <c r="J222" s="2">
        <v>3</v>
      </c>
      <c r="K222" s="2" t="s">
        <v>61</v>
      </c>
      <c r="L222" s="6" t="s">
        <v>75</v>
      </c>
      <c r="M222" s="5">
        <v>1220000000</v>
      </c>
      <c r="N222" s="2">
        <v>0</v>
      </c>
      <c r="O222" s="2">
        <v>4.7896046639999996</v>
      </c>
      <c r="P222" s="2">
        <v>-74.059707639999999</v>
      </c>
      <c r="Q222" s="2" t="s">
        <v>2348</v>
      </c>
      <c r="R222" s="2">
        <v>6421052.6320000002</v>
      </c>
      <c r="S222" s="2">
        <v>0</v>
      </c>
      <c r="T222" s="2" t="s">
        <v>102</v>
      </c>
      <c r="U222" s="2" t="s">
        <v>103</v>
      </c>
      <c r="V222" s="2" t="s">
        <v>28</v>
      </c>
      <c r="W222" s="2" t="s">
        <v>70</v>
      </c>
      <c r="X222" s="2" t="s">
        <v>104</v>
      </c>
      <c r="Y222" s="2">
        <v>1.8459420270606299</v>
      </c>
      <c r="Z222" s="2">
        <v>4.7837500000000004</v>
      </c>
      <c r="AA222" s="2">
        <v>-74.044138888888895</v>
      </c>
      <c r="AB222" s="2">
        <v>2580</v>
      </c>
      <c r="AC222" s="2" t="s">
        <v>105</v>
      </c>
      <c r="AD222" s="2" t="s">
        <v>58</v>
      </c>
      <c r="AE222" s="2" t="s">
        <v>33</v>
      </c>
      <c r="AF222" s="2" t="s">
        <v>34</v>
      </c>
      <c r="AG222" s="2" t="s">
        <v>72</v>
      </c>
      <c r="AH222" s="2">
        <v>2.9114436023930099</v>
      </c>
      <c r="AI222" s="2">
        <v>2.7469534235438799</v>
      </c>
      <c r="AJ222" s="2">
        <v>1.8165562989067601</v>
      </c>
      <c r="AK222" s="2">
        <v>2.1857132931166001</v>
      </c>
      <c r="AL222" s="2">
        <v>0.85609003953282703</v>
      </c>
      <c r="AM222" s="2">
        <v>15.3</v>
      </c>
      <c r="AN222" s="2">
        <v>9.8000000000000007</v>
      </c>
      <c r="AO222" s="2">
        <v>29.7</v>
      </c>
      <c r="AP222" s="2">
        <v>564</v>
      </c>
      <c r="AQ222" s="2">
        <v>68</v>
      </c>
      <c r="AR222" s="2">
        <v>1.8</v>
      </c>
      <c r="AS222" s="2">
        <v>43</v>
      </c>
      <c r="AT222" s="2">
        <v>25.4</v>
      </c>
      <c r="AU222" s="2">
        <v>162</v>
      </c>
      <c r="AV222" s="2">
        <v>9.1</v>
      </c>
      <c r="AW222" s="2">
        <v>9.1999999999999993</v>
      </c>
      <c r="AX222" s="2">
        <v>18.3</v>
      </c>
      <c r="AY222" s="2">
        <v>0.34</v>
      </c>
      <c r="AZ222" s="2">
        <v>7.3</v>
      </c>
      <c r="BA222" s="2">
        <v>0.9</v>
      </c>
      <c r="BB222" s="2">
        <v>7.5</v>
      </c>
      <c r="BC222" s="2">
        <v>2.9</v>
      </c>
      <c r="BD222" s="2">
        <f>+AN222*EXP(-0.0495*Y222)</f>
        <v>8.9442266342100982</v>
      </c>
      <c r="BE222" s="2">
        <f>+AO222*EXP(-0.024*Y222)</f>
        <v>28.412933236549996</v>
      </c>
    </row>
    <row r="223" spans="1:57" x14ac:dyDescent="0.2">
      <c r="A223" s="2" t="s">
        <v>2981</v>
      </c>
      <c r="B223" s="2" t="s">
        <v>19</v>
      </c>
      <c r="C223" s="2" t="s">
        <v>1907</v>
      </c>
      <c r="D223" s="2" t="s">
        <v>21</v>
      </c>
      <c r="E223" s="2" t="s">
        <v>218</v>
      </c>
      <c r="F223" s="2">
        <v>5</v>
      </c>
      <c r="G223" s="2">
        <v>190</v>
      </c>
      <c r="H223" s="2">
        <v>3</v>
      </c>
      <c r="I223" s="2">
        <v>3</v>
      </c>
      <c r="J223" s="2">
        <v>2</v>
      </c>
      <c r="K223" s="2" t="s">
        <v>61</v>
      </c>
      <c r="L223" s="6" t="s">
        <v>113</v>
      </c>
      <c r="M223" s="5">
        <v>890000000</v>
      </c>
      <c r="N223" s="2">
        <v>0</v>
      </c>
      <c r="O223" s="2">
        <v>4.7561200000000001</v>
      </c>
      <c r="P223" s="2">
        <v>-74.070040000000006</v>
      </c>
      <c r="Q223" s="2" t="s">
        <v>2982</v>
      </c>
      <c r="R223" s="2">
        <v>4684210.5259999996</v>
      </c>
      <c r="S223" s="2">
        <v>0</v>
      </c>
      <c r="T223" s="2" t="s">
        <v>68</v>
      </c>
      <c r="U223" s="2" t="s">
        <v>69</v>
      </c>
      <c r="V223" s="2" t="s">
        <v>28</v>
      </c>
      <c r="W223" s="2" t="s">
        <v>70</v>
      </c>
      <c r="X223" s="2" t="s">
        <v>71</v>
      </c>
      <c r="Y223" s="2">
        <v>2.1077245945301302</v>
      </c>
      <c r="Z223" s="2">
        <v>4.73719444444444</v>
      </c>
      <c r="AA223" s="2">
        <v>-74.069472222222203</v>
      </c>
      <c r="AB223" s="2">
        <v>2555</v>
      </c>
      <c r="AC223" s="2" t="s">
        <v>31</v>
      </c>
      <c r="AD223" s="2" t="s">
        <v>58</v>
      </c>
      <c r="AE223" s="2" t="s">
        <v>33</v>
      </c>
      <c r="AF223" s="2" t="s">
        <v>34</v>
      </c>
      <c r="AG223" s="2" t="s">
        <v>72</v>
      </c>
      <c r="AH223" s="2">
        <v>2.5810246551867202</v>
      </c>
      <c r="AI223" s="2">
        <v>4.3009854849078701</v>
      </c>
      <c r="AJ223" s="2">
        <v>1.8585215137100299</v>
      </c>
      <c r="AK223" s="2">
        <v>0.585010149575375</v>
      </c>
      <c r="AL223" s="2">
        <v>7.6888103817429497E-3</v>
      </c>
      <c r="AM223" s="2">
        <v>15.3</v>
      </c>
      <c r="AN223" s="2">
        <v>9.8000000000000007</v>
      </c>
      <c r="AO223" s="2">
        <v>29.7</v>
      </c>
      <c r="AP223" s="2">
        <v>564</v>
      </c>
      <c r="AQ223" s="2">
        <v>68</v>
      </c>
      <c r="AR223" s="2">
        <v>1.8</v>
      </c>
      <c r="AS223" s="2">
        <v>43</v>
      </c>
      <c r="AT223" s="2">
        <v>25.4</v>
      </c>
      <c r="AU223" s="2">
        <v>162</v>
      </c>
      <c r="AV223" s="2">
        <v>9.1</v>
      </c>
      <c r="AW223" s="2">
        <v>9.1999999999999993</v>
      </c>
      <c r="AX223" s="2">
        <v>18.3</v>
      </c>
      <c r="AY223" s="2">
        <v>0.34</v>
      </c>
      <c r="AZ223" s="2">
        <v>7.3</v>
      </c>
      <c r="BA223" s="2">
        <v>0.9</v>
      </c>
      <c r="BB223" s="2">
        <v>7.5</v>
      </c>
      <c r="BC223" s="2">
        <v>2.9</v>
      </c>
      <c r="BD223" s="2">
        <f>+AN223*EXP(-0.0495*Y223)</f>
        <v>8.8290729307357108</v>
      </c>
      <c r="BE223" s="2">
        <f>+AO223*EXP(-0.024*Y223)</f>
        <v>28.23498058604789</v>
      </c>
    </row>
    <row r="224" spans="1:57" x14ac:dyDescent="0.2">
      <c r="A224" s="2" t="s">
        <v>1958</v>
      </c>
      <c r="B224" s="2" t="s">
        <v>19</v>
      </c>
      <c r="C224" s="2" t="s">
        <v>1907</v>
      </c>
      <c r="D224" s="2" t="s">
        <v>21</v>
      </c>
      <c r="E224" s="2" t="s">
        <v>1539</v>
      </c>
      <c r="F224" s="2">
        <v>6</v>
      </c>
      <c r="G224" s="2">
        <v>189</v>
      </c>
      <c r="H224" s="2">
        <v>3</v>
      </c>
      <c r="I224" s="2">
        <v>5</v>
      </c>
      <c r="J224" s="2">
        <v>2</v>
      </c>
      <c r="K224" s="2" t="s">
        <v>61</v>
      </c>
      <c r="L224" s="6" t="s">
        <v>75</v>
      </c>
      <c r="M224" s="5">
        <v>1250000000</v>
      </c>
      <c r="N224" s="2">
        <v>0</v>
      </c>
      <c r="O224" s="2">
        <v>4.7993497850000004</v>
      </c>
      <c r="P224" s="2">
        <v>-74.073463439999998</v>
      </c>
      <c r="Q224" s="2" t="s">
        <v>1959</v>
      </c>
      <c r="R224" s="2">
        <v>6613756.6140000001</v>
      </c>
      <c r="S224" s="2">
        <v>0</v>
      </c>
      <c r="T224" s="2" t="s">
        <v>102</v>
      </c>
      <c r="U224" s="2" t="s">
        <v>103</v>
      </c>
      <c r="V224" s="2" t="s">
        <v>28</v>
      </c>
      <c r="W224" s="2" t="s">
        <v>70</v>
      </c>
      <c r="X224" s="2" t="s">
        <v>104</v>
      </c>
      <c r="Y224" s="2">
        <v>3.68748649960598</v>
      </c>
      <c r="Z224" s="2">
        <v>4.7837500000000004</v>
      </c>
      <c r="AA224" s="2">
        <v>-74.044138888888895</v>
      </c>
      <c r="AB224" s="2">
        <v>2580</v>
      </c>
      <c r="AC224" s="2" t="s">
        <v>105</v>
      </c>
      <c r="AD224" s="2" t="s">
        <v>58</v>
      </c>
      <c r="AE224" s="2" t="s">
        <v>33</v>
      </c>
      <c r="AF224" s="2" t="s">
        <v>34</v>
      </c>
      <c r="AG224" s="2" t="s">
        <v>72</v>
      </c>
      <c r="AH224" s="2">
        <v>4.7292455351642797</v>
      </c>
      <c r="AI224" s="2">
        <v>0.91214576968735905</v>
      </c>
      <c r="AJ224" s="2">
        <v>2.92834642743804</v>
      </c>
      <c r="AK224" s="2">
        <v>1.01129049368951</v>
      </c>
      <c r="AL224" s="2">
        <v>2.2443034556205599</v>
      </c>
      <c r="AM224" s="2">
        <v>15.3</v>
      </c>
      <c r="AN224" s="2">
        <v>9.8000000000000007</v>
      </c>
      <c r="AO224" s="2">
        <v>29.7</v>
      </c>
      <c r="AP224" s="2">
        <v>564</v>
      </c>
      <c r="AQ224" s="2">
        <v>68</v>
      </c>
      <c r="AR224" s="2">
        <v>1.8</v>
      </c>
      <c r="AS224" s="2">
        <v>43</v>
      </c>
      <c r="AT224" s="2">
        <v>25.4</v>
      </c>
      <c r="AU224" s="2">
        <v>162</v>
      </c>
      <c r="AV224" s="2">
        <v>9.1</v>
      </c>
      <c r="AW224" s="2">
        <v>9.1999999999999993</v>
      </c>
      <c r="AX224" s="2">
        <v>18.3</v>
      </c>
      <c r="AY224" s="2">
        <v>0.34</v>
      </c>
      <c r="AZ224" s="2">
        <v>7.3</v>
      </c>
      <c r="BA224" s="2">
        <v>0.9</v>
      </c>
      <c r="BB224" s="2">
        <v>7.5</v>
      </c>
      <c r="BC224" s="2">
        <v>2.9</v>
      </c>
      <c r="BD224" s="2">
        <f>+AN224*EXP(-0.0495*Y224)</f>
        <v>8.1649598080791304</v>
      </c>
      <c r="BE224" s="2">
        <f>+AO224*EXP(-0.024*Y224)</f>
        <v>27.184511196896398</v>
      </c>
    </row>
    <row r="225" spans="1:57" x14ac:dyDescent="0.2">
      <c r="A225" s="2" t="s">
        <v>1952</v>
      </c>
      <c r="B225" s="2" t="s">
        <v>19</v>
      </c>
      <c r="C225" s="2" t="s">
        <v>1907</v>
      </c>
      <c r="D225" s="2" t="s">
        <v>21</v>
      </c>
      <c r="E225" s="2" t="s">
        <v>1539</v>
      </c>
      <c r="F225" s="2">
        <v>6</v>
      </c>
      <c r="G225" s="2">
        <v>189</v>
      </c>
      <c r="H225" s="2">
        <v>4</v>
      </c>
      <c r="I225" s="2">
        <v>4</v>
      </c>
      <c r="J225" s="2">
        <v>2</v>
      </c>
      <c r="K225" s="2" t="s">
        <v>61</v>
      </c>
      <c r="L225" s="6" t="s">
        <v>75</v>
      </c>
      <c r="M225" s="5">
        <v>1250000000</v>
      </c>
      <c r="N225" s="2">
        <v>0</v>
      </c>
      <c r="O225" s="2">
        <v>4.8008189200000002</v>
      </c>
      <c r="P225" s="2">
        <v>-74.070663449999998</v>
      </c>
      <c r="Q225" s="2" t="s">
        <v>1953</v>
      </c>
      <c r="R225" s="2">
        <v>6613756.6140000001</v>
      </c>
      <c r="S225" s="2">
        <v>0</v>
      </c>
      <c r="T225" s="2" t="s">
        <v>102</v>
      </c>
      <c r="U225" s="2" t="s">
        <v>103</v>
      </c>
      <c r="V225" s="2" t="s">
        <v>28</v>
      </c>
      <c r="W225" s="2" t="s">
        <v>70</v>
      </c>
      <c r="X225" s="2" t="s">
        <v>104</v>
      </c>
      <c r="Y225" s="2">
        <v>3.5025681294718498</v>
      </c>
      <c r="Z225" s="2">
        <v>4.7837500000000004</v>
      </c>
      <c r="AA225" s="2">
        <v>-74.044138888888895</v>
      </c>
      <c r="AB225" s="2">
        <v>2580</v>
      </c>
      <c r="AC225" s="2" t="s">
        <v>105</v>
      </c>
      <c r="AD225" s="2" t="s">
        <v>58</v>
      </c>
      <c r="AE225" s="2" t="s">
        <v>33</v>
      </c>
      <c r="AF225" s="2" t="s">
        <v>34</v>
      </c>
      <c r="AG225" s="2" t="s">
        <v>72</v>
      </c>
      <c r="AH225" s="2">
        <v>4.6396870211077799</v>
      </c>
      <c r="AI225" s="2">
        <v>1.01807335943719</v>
      </c>
      <c r="AJ225" s="2">
        <v>2.6182647166667099</v>
      </c>
      <c r="AK225" s="2">
        <v>1.3406266469619601</v>
      </c>
      <c r="AL225" s="2">
        <v>1.9941339011497801</v>
      </c>
      <c r="AM225" s="2">
        <v>15.3</v>
      </c>
      <c r="AN225" s="2">
        <v>9.8000000000000007</v>
      </c>
      <c r="AO225" s="2">
        <v>29.7</v>
      </c>
      <c r="AP225" s="2">
        <v>564</v>
      </c>
      <c r="AQ225" s="2">
        <v>68</v>
      </c>
      <c r="AR225" s="2">
        <v>1.8</v>
      </c>
      <c r="AS225" s="2">
        <v>43</v>
      </c>
      <c r="AT225" s="2">
        <v>25.4</v>
      </c>
      <c r="AU225" s="2">
        <v>162</v>
      </c>
      <c r="AV225" s="2">
        <v>9.1</v>
      </c>
      <c r="AW225" s="2">
        <v>9.1999999999999993</v>
      </c>
      <c r="AX225" s="2">
        <v>18.3</v>
      </c>
      <c r="AY225" s="2">
        <v>0.34</v>
      </c>
      <c r="AZ225" s="2">
        <v>7.3</v>
      </c>
      <c r="BA225" s="2">
        <v>0.9</v>
      </c>
      <c r="BB225" s="2">
        <v>7.5</v>
      </c>
      <c r="BC225" s="2">
        <v>2.9</v>
      </c>
      <c r="BD225" s="2">
        <f>+AN225*EXP(-0.0495*Y225)</f>
        <v>8.2400405355131277</v>
      </c>
      <c r="BE225" s="2">
        <f>+AO225*EXP(-0.024*Y225)</f>
        <v>27.305425281341279</v>
      </c>
    </row>
    <row r="226" spans="1:57" x14ac:dyDescent="0.2">
      <c r="A226" s="2" t="s">
        <v>1972</v>
      </c>
      <c r="B226" s="2" t="s">
        <v>19</v>
      </c>
      <c r="C226" s="2" t="s">
        <v>1907</v>
      </c>
      <c r="D226" s="2" t="s">
        <v>21</v>
      </c>
      <c r="E226" s="2" t="s">
        <v>1539</v>
      </c>
      <c r="F226" s="2">
        <v>6</v>
      </c>
      <c r="G226" s="2">
        <v>189</v>
      </c>
      <c r="H226" s="2">
        <v>4</v>
      </c>
      <c r="I226" s="2">
        <v>4</v>
      </c>
      <c r="J226" s="2">
        <v>2</v>
      </c>
      <c r="K226" s="2" t="s">
        <v>61</v>
      </c>
      <c r="L226" s="6" t="s">
        <v>75</v>
      </c>
      <c r="M226" s="5">
        <v>1000000000</v>
      </c>
      <c r="N226" s="2">
        <v>0</v>
      </c>
      <c r="O226" s="2">
        <v>4.80037117</v>
      </c>
      <c r="P226" s="2">
        <v>-74.073196409999994</v>
      </c>
      <c r="Q226" s="2" t="s">
        <v>1973</v>
      </c>
      <c r="R226" s="2">
        <v>5291005.2910000002</v>
      </c>
      <c r="S226" s="2">
        <v>0</v>
      </c>
      <c r="T226" s="2" t="s">
        <v>102</v>
      </c>
      <c r="U226" s="2" t="s">
        <v>103</v>
      </c>
      <c r="V226" s="2" t="s">
        <v>28</v>
      </c>
      <c r="W226" s="2" t="s">
        <v>70</v>
      </c>
      <c r="X226" s="2" t="s">
        <v>104</v>
      </c>
      <c r="Y226" s="2">
        <v>3.71665467420747</v>
      </c>
      <c r="Z226" s="2">
        <v>4.7837500000000004</v>
      </c>
      <c r="AA226" s="2">
        <v>-74.044138888888895</v>
      </c>
      <c r="AB226" s="2">
        <v>2580</v>
      </c>
      <c r="AC226" s="2" t="s">
        <v>105</v>
      </c>
      <c r="AD226" s="2" t="s">
        <v>58</v>
      </c>
      <c r="AE226" s="2" t="s">
        <v>33</v>
      </c>
      <c r="AF226" s="2" t="s">
        <v>34</v>
      </c>
      <c r="AG226" s="2" t="s">
        <v>72</v>
      </c>
      <c r="AH226" s="2">
        <v>4.7900787504893296</v>
      </c>
      <c r="AI226" s="2">
        <v>0.84384938832921597</v>
      </c>
      <c r="AJ226" s="2">
        <v>2.8979209628964102</v>
      </c>
      <c r="AK226" s="2">
        <v>1.11843236761011</v>
      </c>
      <c r="AL226" s="2">
        <v>2.2450882786661999</v>
      </c>
      <c r="AM226" s="2">
        <v>15.3</v>
      </c>
      <c r="AN226" s="2">
        <v>9.8000000000000007</v>
      </c>
      <c r="AO226" s="2">
        <v>29.7</v>
      </c>
      <c r="AP226" s="2">
        <v>564</v>
      </c>
      <c r="AQ226" s="2">
        <v>68</v>
      </c>
      <c r="AR226" s="2">
        <v>1.8</v>
      </c>
      <c r="AS226" s="2">
        <v>43</v>
      </c>
      <c r="AT226" s="2">
        <v>25.4</v>
      </c>
      <c r="AU226" s="2">
        <v>162</v>
      </c>
      <c r="AV226" s="2">
        <v>9.1</v>
      </c>
      <c r="AW226" s="2">
        <v>9.1999999999999993</v>
      </c>
      <c r="AX226" s="2">
        <v>18.3</v>
      </c>
      <c r="AY226" s="2">
        <v>0.34</v>
      </c>
      <c r="AZ226" s="2">
        <v>7.3</v>
      </c>
      <c r="BA226" s="2">
        <v>0.9</v>
      </c>
      <c r="BB226" s="2">
        <v>7.5</v>
      </c>
      <c r="BC226" s="2">
        <v>2.9</v>
      </c>
      <c r="BD226" s="2">
        <f>+AN226*EXP(-0.0495*Y226)</f>
        <v>8.1531795442650239</v>
      </c>
      <c r="BE226" s="2">
        <f>+AO226*EXP(-0.024*Y226)</f>
        <v>27.165487714579182</v>
      </c>
    </row>
    <row r="227" spans="1:57" x14ac:dyDescent="0.2">
      <c r="A227" s="2" t="s">
        <v>3209</v>
      </c>
      <c r="B227" s="2" t="s">
        <v>19</v>
      </c>
      <c r="C227" s="2" t="s">
        <v>1907</v>
      </c>
      <c r="D227" s="2" t="s">
        <v>21</v>
      </c>
      <c r="E227" s="2" t="s">
        <v>1539</v>
      </c>
      <c r="F227" s="2">
        <v>5</v>
      </c>
      <c r="G227" s="2">
        <v>188</v>
      </c>
      <c r="H227" s="2">
        <v>4</v>
      </c>
      <c r="I227" s="2">
        <v>4</v>
      </c>
      <c r="J227" s="2">
        <v>2</v>
      </c>
      <c r="K227" s="2" t="s">
        <v>61</v>
      </c>
      <c r="L227" s="6" t="s">
        <v>75</v>
      </c>
      <c r="M227" s="5">
        <v>1000000000</v>
      </c>
      <c r="N227" s="2">
        <v>0</v>
      </c>
      <c r="O227" s="2">
        <v>4.8003678320000001</v>
      </c>
      <c r="P227" s="2">
        <v>-74.073195499999997</v>
      </c>
      <c r="Q227" s="2" t="s">
        <v>3210</v>
      </c>
      <c r="R227" s="2">
        <v>5319148.9359999998</v>
      </c>
      <c r="S227" s="2">
        <v>0</v>
      </c>
      <c r="T227" s="2" t="s">
        <v>102</v>
      </c>
      <c r="U227" s="2" t="s">
        <v>103</v>
      </c>
      <c r="V227" s="2" t="s">
        <v>28</v>
      </c>
      <c r="W227" s="2" t="s">
        <v>70</v>
      </c>
      <c r="X227" s="2" t="s">
        <v>104</v>
      </c>
      <c r="Y227" s="2">
        <v>3.7163821568160902</v>
      </c>
      <c r="Z227" s="2">
        <v>4.7837500000000004</v>
      </c>
      <c r="AA227" s="2">
        <v>-74.044138888888895</v>
      </c>
      <c r="AB227" s="2">
        <v>2580</v>
      </c>
      <c r="AC227" s="2" t="s">
        <v>105</v>
      </c>
      <c r="AD227" s="2" t="s">
        <v>58</v>
      </c>
      <c r="AE227" s="2" t="s">
        <v>33</v>
      </c>
      <c r="AF227" s="2" t="s">
        <v>34</v>
      </c>
      <c r="AG227" s="2" t="s">
        <v>72</v>
      </c>
      <c r="AH227" s="2">
        <v>4.7897410542473997</v>
      </c>
      <c r="AI227" s="2">
        <v>0.84419079927652396</v>
      </c>
      <c r="AJ227" s="2">
        <v>2.89781564545682</v>
      </c>
      <c r="AK227" s="2">
        <v>1.11819758850741</v>
      </c>
      <c r="AL227" s="2">
        <v>2.2448864016089098</v>
      </c>
      <c r="AM227" s="2">
        <v>15.3</v>
      </c>
      <c r="AN227" s="2">
        <v>9.8000000000000007</v>
      </c>
      <c r="AO227" s="2">
        <v>29.7</v>
      </c>
      <c r="AP227" s="2">
        <v>564</v>
      </c>
      <c r="AQ227" s="2">
        <v>68</v>
      </c>
      <c r="AR227" s="2">
        <v>1.8</v>
      </c>
      <c r="AS227" s="2">
        <v>43</v>
      </c>
      <c r="AT227" s="2">
        <v>25.4</v>
      </c>
      <c r="AU227" s="2">
        <v>162</v>
      </c>
      <c r="AV227" s="2">
        <v>9.1</v>
      </c>
      <c r="AW227" s="2">
        <v>9.1999999999999993</v>
      </c>
      <c r="AX227" s="2">
        <v>18.3</v>
      </c>
      <c r="AY227" s="2">
        <v>0.34</v>
      </c>
      <c r="AZ227" s="2">
        <v>7.3</v>
      </c>
      <c r="BA227" s="2">
        <v>0.9</v>
      </c>
      <c r="BB227" s="2">
        <v>7.5</v>
      </c>
      <c r="BC227" s="2">
        <v>2.9</v>
      </c>
      <c r="BD227" s="2">
        <f>+AN227*EXP(-0.0495*Y227)</f>
        <v>8.1532895282262743</v>
      </c>
      <c r="BE227" s="2">
        <f>+AO227*EXP(-0.024*Y227)</f>
        <v>27.165665388788554</v>
      </c>
    </row>
    <row r="228" spans="1:57" x14ac:dyDescent="0.2">
      <c r="A228" s="2" t="s">
        <v>827</v>
      </c>
      <c r="B228" s="2" t="s">
        <v>19</v>
      </c>
      <c r="C228" s="2" t="s">
        <v>20</v>
      </c>
      <c r="D228" s="2" t="s">
        <v>21</v>
      </c>
      <c r="E228" s="2" t="s">
        <v>300</v>
      </c>
      <c r="F228" s="2">
        <v>6</v>
      </c>
      <c r="G228" s="2">
        <v>180.73</v>
      </c>
      <c r="H228" s="2">
        <v>3</v>
      </c>
      <c r="I228" s="2">
        <v>4</v>
      </c>
      <c r="J228" s="2">
        <v>2</v>
      </c>
      <c r="K228" s="2" t="s">
        <v>61</v>
      </c>
      <c r="L228" s="6" t="s">
        <v>113</v>
      </c>
      <c r="M228" s="5">
        <v>1000000000</v>
      </c>
      <c r="N228" s="2">
        <v>0</v>
      </c>
      <c r="O228" s="2">
        <v>4.7330959999999997</v>
      </c>
      <c r="P228" s="2">
        <v>-74.075622999999993</v>
      </c>
      <c r="Q228" s="2" t="s">
        <v>828</v>
      </c>
      <c r="R228" s="2">
        <v>5533115.6969999997</v>
      </c>
      <c r="S228" s="2">
        <v>0</v>
      </c>
      <c r="T228" s="2" t="s">
        <v>68</v>
      </c>
      <c r="U228" s="2" t="s">
        <v>69</v>
      </c>
      <c r="V228" s="2" t="s">
        <v>28</v>
      </c>
      <c r="W228" s="2" t="s">
        <v>70</v>
      </c>
      <c r="X228" s="2" t="s">
        <v>71</v>
      </c>
      <c r="Y228" s="2">
        <v>0.82083695779694499</v>
      </c>
      <c r="Z228" s="2">
        <v>4.73719444444444</v>
      </c>
      <c r="AA228" s="2">
        <v>-74.069472222222203</v>
      </c>
      <c r="AB228" s="2">
        <v>2555</v>
      </c>
      <c r="AC228" s="2" t="s">
        <v>31</v>
      </c>
      <c r="AD228" s="2" t="s">
        <v>58</v>
      </c>
      <c r="AE228" s="2" t="s">
        <v>33</v>
      </c>
      <c r="AF228" s="2" t="s">
        <v>34</v>
      </c>
      <c r="AG228" s="2" t="s">
        <v>72</v>
      </c>
      <c r="AH228" s="2">
        <v>0.63124085023128396</v>
      </c>
      <c r="AI228" s="2">
        <v>5.2740734828074904</v>
      </c>
      <c r="AJ228" s="2">
        <v>1.85479003696849</v>
      </c>
      <c r="AK228" s="2">
        <v>0.82567854276744901</v>
      </c>
      <c r="AL228" s="2">
        <v>0.116237467374137</v>
      </c>
      <c r="AM228" s="2">
        <v>15.3</v>
      </c>
      <c r="AN228" s="2">
        <v>9.8000000000000007</v>
      </c>
      <c r="AO228" s="2">
        <v>29.7</v>
      </c>
      <c r="AP228" s="2">
        <v>564</v>
      </c>
      <c r="AQ228" s="2">
        <v>68</v>
      </c>
      <c r="AR228" s="2">
        <v>1.8</v>
      </c>
      <c r="AS228" s="2">
        <v>43</v>
      </c>
      <c r="AT228" s="2">
        <v>25.4</v>
      </c>
      <c r="AU228" s="2">
        <v>162</v>
      </c>
      <c r="AV228" s="2">
        <v>9.1</v>
      </c>
      <c r="AW228" s="2">
        <v>9.1999999999999993</v>
      </c>
      <c r="AX228" s="2">
        <v>18.3</v>
      </c>
      <c r="AY228" s="2">
        <v>0.34</v>
      </c>
      <c r="AZ228" s="2">
        <v>7.3</v>
      </c>
      <c r="BA228" s="2">
        <v>0.9</v>
      </c>
      <c r="BB228" s="2">
        <v>7.5</v>
      </c>
      <c r="BC228" s="2">
        <v>2.9</v>
      </c>
      <c r="BD228" s="2">
        <f>+AN228*EXP(-0.0495*Y228)</f>
        <v>9.4097930073852538</v>
      </c>
      <c r="BE228" s="2">
        <f>+AO228*EXP(-0.024*Y228)</f>
        <v>29.120632944436039</v>
      </c>
    </row>
    <row r="229" spans="1:57" x14ac:dyDescent="0.2">
      <c r="A229" s="2" t="s">
        <v>1894</v>
      </c>
      <c r="B229" s="2" t="s">
        <v>19</v>
      </c>
      <c r="C229" s="2" t="s">
        <v>20</v>
      </c>
      <c r="D229" s="2" t="s">
        <v>21</v>
      </c>
      <c r="E229" s="2" t="s">
        <v>1718</v>
      </c>
      <c r="F229" s="2">
        <v>4</v>
      </c>
      <c r="G229" s="2">
        <v>179.87</v>
      </c>
      <c r="H229" s="2">
        <v>2</v>
      </c>
      <c r="I229" s="2">
        <v>3</v>
      </c>
      <c r="J229" s="2">
        <v>2</v>
      </c>
      <c r="K229" s="2" t="s">
        <v>61</v>
      </c>
      <c r="L229" s="6" t="s">
        <v>75</v>
      </c>
      <c r="M229" s="5">
        <v>1150000000</v>
      </c>
      <c r="N229" s="2">
        <v>0</v>
      </c>
      <c r="O229" s="2">
        <v>4.7249100000000004</v>
      </c>
      <c r="P229" s="2">
        <v>-74.059700000000007</v>
      </c>
      <c r="Q229" s="2" t="s">
        <v>1895</v>
      </c>
      <c r="R229" s="2">
        <v>6393506.4210000001</v>
      </c>
      <c r="S229" s="2">
        <v>0</v>
      </c>
      <c r="T229" s="2" t="s">
        <v>68</v>
      </c>
      <c r="U229" s="2" t="s">
        <v>69</v>
      </c>
      <c r="V229" s="2" t="s">
        <v>28</v>
      </c>
      <c r="W229" s="2" t="s">
        <v>70</v>
      </c>
      <c r="X229" s="2" t="s">
        <v>71</v>
      </c>
      <c r="Y229" s="2">
        <v>1.7451057298349899</v>
      </c>
      <c r="Z229" s="2">
        <v>4.73719444444444</v>
      </c>
      <c r="AA229" s="2">
        <v>-74.069472222222203</v>
      </c>
      <c r="AB229" s="2">
        <v>2555</v>
      </c>
      <c r="AC229" s="2" t="s">
        <v>31</v>
      </c>
      <c r="AD229" s="2" t="s">
        <v>58</v>
      </c>
      <c r="AE229" s="2" t="s">
        <v>33</v>
      </c>
      <c r="AF229" s="2" t="s">
        <v>34</v>
      </c>
      <c r="AG229" s="2" t="s">
        <v>72</v>
      </c>
      <c r="AH229" s="2">
        <v>1.0033683699559801</v>
      </c>
      <c r="AI229" s="2">
        <v>4.0483556940102696</v>
      </c>
      <c r="AJ229" s="2">
        <v>1.5750121752447399</v>
      </c>
      <c r="AK229" s="2">
        <v>0.36520564830233998</v>
      </c>
      <c r="AL229" s="2">
        <v>0.18785593072627901</v>
      </c>
      <c r="AM229" s="2">
        <v>15.3</v>
      </c>
      <c r="AN229" s="2">
        <v>9.8000000000000007</v>
      </c>
      <c r="AO229" s="2">
        <v>29.7</v>
      </c>
      <c r="AP229" s="2">
        <v>564</v>
      </c>
      <c r="AQ229" s="2">
        <v>68</v>
      </c>
      <c r="AR229" s="2">
        <v>1.8</v>
      </c>
      <c r="AS229" s="2">
        <v>43</v>
      </c>
      <c r="AT229" s="2">
        <v>25.4</v>
      </c>
      <c r="AU229" s="2">
        <v>162</v>
      </c>
      <c r="AV229" s="2">
        <v>9.1</v>
      </c>
      <c r="AW229" s="2">
        <v>9.1999999999999993</v>
      </c>
      <c r="AX229" s="2">
        <v>18.3</v>
      </c>
      <c r="AY229" s="2">
        <v>0.34</v>
      </c>
      <c r="AZ229" s="2">
        <v>7.3</v>
      </c>
      <c r="BA229" s="2">
        <v>0.9</v>
      </c>
      <c r="BB229" s="2">
        <v>7.5</v>
      </c>
      <c r="BC229" s="2">
        <v>2.9</v>
      </c>
      <c r="BD229" s="2">
        <f>+AN229*EXP(-0.0495*Y229)</f>
        <v>8.9889824216540344</v>
      </c>
      <c r="BE229" s="2">
        <f>+AO229*EXP(-0.024*Y229)</f>
        <v>28.481777826893893</v>
      </c>
    </row>
    <row r="230" spans="1:57" x14ac:dyDescent="0.2">
      <c r="A230" s="2" t="s">
        <v>2101</v>
      </c>
      <c r="B230" s="2" t="s">
        <v>19</v>
      </c>
      <c r="C230" s="2" t="s">
        <v>1907</v>
      </c>
      <c r="D230" s="2" t="s">
        <v>21</v>
      </c>
      <c r="E230" s="2" t="s">
        <v>218</v>
      </c>
      <c r="F230" s="2">
        <v>6</v>
      </c>
      <c r="G230" s="2">
        <v>176</v>
      </c>
      <c r="H230" s="2">
        <v>3</v>
      </c>
      <c r="I230" s="2">
        <v>4</v>
      </c>
      <c r="J230" s="2">
        <v>3</v>
      </c>
      <c r="K230" s="2" t="s">
        <v>61</v>
      </c>
      <c r="L230" s="6" t="s">
        <v>84</v>
      </c>
      <c r="M230" s="5">
        <v>1297000000</v>
      </c>
      <c r="N230" s="2">
        <v>0</v>
      </c>
      <c r="O230" s="2">
        <v>4.7952165600000001</v>
      </c>
      <c r="P230" s="2">
        <v>-74.059173580000007</v>
      </c>
      <c r="Q230" s="2" t="s">
        <v>2102</v>
      </c>
      <c r="R230" s="2">
        <v>7369318.182</v>
      </c>
      <c r="S230" s="2">
        <v>0</v>
      </c>
      <c r="T230" s="2" t="s">
        <v>102</v>
      </c>
      <c r="U230" s="2" t="s">
        <v>103</v>
      </c>
      <c r="V230" s="2" t="s">
        <v>28</v>
      </c>
      <c r="W230" s="2" t="s">
        <v>70</v>
      </c>
      <c r="X230" s="2" t="s">
        <v>104</v>
      </c>
      <c r="Y230" s="2">
        <v>2.1002188565624702</v>
      </c>
      <c r="Z230" s="2">
        <v>4.7837500000000004</v>
      </c>
      <c r="AA230" s="2">
        <v>-74.044138888888895</v>
      </c>
      <c r="AB230" s="2">
        <v>2580</v>
      </c>
      <c r="AC230" s="2" t="s">
        <v>105</v>
      </c>
      <c r="AD230" s="2" t="s">
        <v>58</v>
      </c>
      <c r="AE230" s="2" t="s">
        <v>33</v>
      </c>
      <c r="AF230" s="2" t="s">
        <v>34</v>
      </c>
      <c r="AG230" s="2" t="s">
        <v>72</v>
      </c>
      <c r="AH230" s="2">
        <v>3.3914627939464101</v>
      </c>
      <c r="AI230" s="2">
        <v>2.41531329087905</v>
      </c>
      <c r="AJ230" s="2">
        <v>1.4455702223675</v>
      </c>
      <c r="AK230" s="2">
        <v>2.2486728413527199</v>
      </c>
      <c r="AL230" s="2">
        <v>0.60140228220639602</v>
      </c>
      <c r="AM230" s="2">
        <v>15.3</v>
      </c>
      <c r="AN230" s="2">
        <v>9.8000000000000007</v>
      </c>
      <c r="AO230" s="2">
        <v>29.7</v>
      </c>
      <c r="AP230" s="2">
        <v>564</v>
      </c>
      <c r="AQ230" s="2">
        <v>68</v>
      </c>
      <c r="AR230" s="2">
        <v>1.8</v>
      </c>
      <c r="AS230" s="2">
        <v>43</v>
      </c>
      <c r="AT230" s="2">
        <v>25.4</v>
      </c>
      <c r="AU230" s="2">
        <v>162</v>
      </c>
      <c r="AV230" s="2">
        <v>9.1</v>
      </c>
      <c r="AW230" s="2">
        <v>9.1999999999999993</v>
      </c>
      <c r="AX230" s="2">
        <v>18.3</v>
      </c>
      <c r="AY230" s="2">
        <v>0.34</v>
      </c>
      <c r="AZ230" s="2">
        <v>7.3</v>
      </c>
      <c r="BA230" s="2">
        <v>0.9</v>
      </c>
      <c r="BB230" s="2">
        <v>7.5</v>
      </c>
      <c r="BC230" s="2">
        <v>2.9</v>
      </c>
      <c r="BD230" s="2">
        <f>+AN230*EXP(-0.0495*Y230)</f>
        <v>8.832353841224732</v>
      </c>
      <c r="BE230" s="2">
        <f>+AO230*EXP(-0.024*Y230)</f>
        <v>28.240067228961465</v>
      </c>
    </row>
    <row r="231" spans="1:57" x14ac:dyDescent="0.2">
      <c r="A231" s="2" t="s">
        <v>916</v>
      </c>
      <c r="B231" s="2" t="s">
        <v>19</v>
      </c>
      <c r="C231" s="2" t="s">
        <v>20</v>
      </c>
      <c r="D231" s="2" t="s">
        <v>21</v>
      </c>
      <c r="E231" s="2" t="s">
        <v>864</v>
      </c>
      <c r="F231" s="2">
        <v>6</v>
      </c>
      <c r="G231" s="2">
        <v>176</v>
      </c>
      <c r="H231" s="2">
        <v>3</v>
      </c>
      <c r="I231" s="2">
        <v>4</v>
      </c>
      <c r="J231" s="2">
        <v>2</v>
      </c>
      <c r="K231" s="2" t="s">
        <v>61</v>
      </c>
      <c r="L231" s="6" t="s">
        <v>113</v>
      </c>
      <c r="M231" s="5">
        <v>1295000000</v>
      </c>
      <c r="N231" s="2">
        <v>0</v>
      </c>
      <c r="O231" s="2">
        <v>4.7162179950000001</v>
      </c>
      <c r="P231" s="2">
        <v>-74.08265686</v>
      </c>
      <c r="Q231" s="2" t="s">
        <v>917</v>
      </c>
      <c r="R231" s="2">
        <v>7357954.5449999999</v>
      </c>
      <c r="S231" s="2">
        <v>0</v>
      </c>
      <c r="T231" s="2" t="s">
        <v>68</v>
      </c>
      <c r="U231" s="2" t="s">
        <v>69</v>
      </c>
      <c r="V231" s="2" t="s">
        <v>28</v>
      </c>
      <c r="W231" s="2" t="s">
        <v>70</v>
      </c>
      <c r="X231" s="2" t="s">
        <v>71</v>
      </c>
      <c r="Y231" s="2">
        <v>2.7553895160222401</v>
      </c>
      <c r="Z231" s="2">
        <v>4.73719444444444</v>
      </c>
      <c r="AA231" s="2">
        <v>-74.069472222222203</v>
      </c>
      <c r="AB231" s="2">
        <v>2555</v>
      </c>
      <c r="AC231" s="2" t="s">
        <v>31</v>
      </c>
      <c r="AD231" s="2" t="s">
        <v>58</v>
      </c>
      <c r="AE231" s="2" t="s">
        <v>33</v>
      </c>
      <c r="AF231" s="2" t="s">
        <v>34</v>
      </c>
      <c r="AG231" s="2" t="s">
        <v>72</v>
      </c>
      <c r="AH231" s="2">
        <v>1.04278561932869</v>
      </c>
      <c r="AI231" s="2">
        <v>4.8798650049623502</v>
      </c>
      <c r="AJ231" s="2">
        <v>1.2482369393287001</v>
      </c>
      <c r="AK231" s="2">
        <v>0.52396241500997898</v>
      </c>
      <c r="AL231" s="2">
        <v>0.32870577670410001</v>
      </c>
      <c r="AM231" s="2">
        <v>15.3</v>
      </c>
      <c r="AN231" s="2">
        <v>9.8000000000000007</v>
      </c>
      <c r="AO231" s="2">
        <v>29.7</v>
      </c>
      <c r="AP231" s="2">
        <v>564</v>
      </c>
      <c r="AQ231" s="2">
        <v>68</v>
      </c>
      <c r="AR231" s="2">
        <v>1.8</v>
      </c>
      <c r="AS231" s="2">
        <v>43</v>
      </c>
      <c r="AT231" s="2">
        <v>25.4</v>
      </c>
      <c r="AU231" s="2">
        <v>162</v>
      </c>
      <c r="AV231" s="2">
        <v>9.1</v>
      </c>
      <c r="AW231" s="2">
        <v>9.1999999999999993</v>
      </c>
      <c r="AX231" s="2">
        <v>18.3</v>
      </c>
      <c r="AY231" s="2">
        <v>0.34</v>
      </c>
      <c r="AZ231" s="2">
        <v>7.3</v>
      </c>
      <c r="BA231" s="2">
        <v>0.9</v>
      </c>
      <c r="BB231" s="2">
        <v>7.5</v>
      </c>
      <c r="BC231" s="2">
        <v>2.9</v>
      </c>
      <c r="BD231" s="2">
        <f>+AN231*EXP(-0.0495*Y231)</f>
        <v>8.5505072154489561</v>
      </c>
      <c r="BE231" s="2">
        <f>+AO231*EXP(-0.024*Y231)</f>
        <v>27.79949061769209</v>
      </c>
    </row>
    <row r="232" spans="1:57" x14ac:dyDescent="0.2">
      <c r="A232" s="2" t="s">
        <v>673</v>
      </c>
      <c r="B232" s="2" t="s">
        <v>19</v>
      </c>
      <c r="C232" s="2" t="s">
        <v>20</v>
      </c>
      <c r="D232" s="2" t="s">
        <v>21</v>
      </c>
      <c r="E232" s="2" t="s">
        <v>483</v>
      </c>
      <c r="F232" s="2">
        <v>6</v>
      </c>
      <c r="G232" s="2">
        <v>175.57</v>
      </c>
      <c r="H232" s="2">
        <v>3</v>
      </c>
      <c r="I232" s="2">
        <v>4</v>
      </c>
      <c r="J232" s="2">
        <v>2</v>
      </c>
      <c r="K232" s="2" t="s">
        <v>61</v>
      </c>
      <c r="L232" s="6" t="s">
        <v>113</v>
      </c>
      <c r="M232" s="5">
        <v>1580000000</v>
      </c>
      <c r="N232" s="2">
        <v>0</v>
      </c>
      <c r="O232" s="2">
        <v>4.7173210000000001</v>
      </c>
      <c r="P232" s="2">
        <v>-74.079070000000002</v>
      </c>
      <c r="Q232" s="2" t="s">
        <v>674</v>
      </c>
      <c r="R232" s="2">
        <v>8999259.5549999997</v>
      </c>
      <c r="S232" s="2">
        <v>0</v>
      </c>
      <c r="T232" s="2" t="s">
        <v>68</v>
      </c>
      <c r="U232" s="2" t="s">
        <v>69</v>
      </c>
      <c r="V232" s="2" t="s">
        <v>28</v>
      </c>
      <c r="W232" s="2" t="s">
        <v>70</v>
      </c>
      <c r="X232" s="2" t="s">
        <v>71</v>
      </c>
      <c r="Y232" s="2">
        <v>2.4552080505038698</v>
      </c>
      <c r="Z232" s="2">
        <v>4.73719444444444</v>
      </c>
      <c r="AA232" s="2">
        <v>-74.069472222222203</v>
      </c>
      <c r="AB232" s="2">
        <v>2555</v>
      </c>
      <c r="AC232" s="2" t="s">
        <v>31</v>
      </c>
      <c r="AD232" s="2" t="s">
        <v>58</v>
      </c>
      <c r="AE232" s="2" t="s">
        <v>33</v>
      </c>
      <c r="AF232" s="2" t="s">
        <v>34</v>
      </c>
      <c r="AG232" s="2" t="s">
        <v>72</v>
      </c>
      <c r="AH232" s="2">
        <v>0.65092317192593996</v>
      </c>
      <c r="AI232" s="2">
        <v>5.2465165171586099</v>
      </c>
      <c r="AJ232" s="2">
        <v>0.85015638776680202</v>
      </c>
      <c r="AK232" s="2">
        <v>0.15328535901126999</v>
      </c>
      <c r="AL232" s="2">
        <v>0.28399613184809103</v>
      </c>
      <c r="AM232" s="2">
        <v>15.3</v>
      </c>
      <c r="AN232" s="2">
        <v>9.8000000000000007</v>
      </c>
      <c r="AO232" s="2">
        <v>29.7</v>
      </c>
      <c r="AP232" s="2">
        <v>564</v>
      </c>
      <c r="AQ232" s="2">
        <v>68</v>
      </c>
      <c r="AR232" s="2">
        <v>1.8</v>
      </c>
      <c r="AS232" s="2">
        <v>43</v>
      </c>
      <c r="AT232" s="2">
        <v>25.4</v>
      </c>
      <c r="AU232" s="2">
        <v>162</v>
      </c>
      <c r="AV232" s="2">
        <v>9.1</v>
      </c>
      <c r="AW232" s="2">
        <v>9.1999999999999993</v>
      </c>
      <c r="AX232" s="2">
        <v>18.3</v>
      </c>
      <c r="AY232" s="2">
        <v>0.34</v>
      </c>
      <c r="AZ232" s="2">
        <v>7.3</v>
      </c>
      <c r="BA232" s="2">
        <v>0.9</v>
      </c>
      <c r="BB232" s="2">
        <v>7.5</v>
      </c>
      <c r="BC232" s="2">
        <v>2.9</v>
      </c>
      <c r="BD232" s="2">
        <f>+AN232*EXP(-0.0495*Y232)</f>
        <v>8.6785076761174267</v>
      </c>
      <c r="BE232" s="2">
        <f>+AO232*EXP(-0.024*Y232)</f>
        <v>28.000491192106338</v>
      </c>
    </row>
    <row r="233" spans="1:57" x14ac:dyDescent="0.2">
      <c r="A233" s="2" t="s">
        <v>1330</v>
      </c>
      <c r="B233" s="2" t="s">
        <v>19</v>
      </c>
      <c r="C233" s="2" t="s">
        <v>20</v>
      </c>
      <c r="D233" s="2" t="s">
        <v>21</v>
      </c>
      <c r="E233" s="2" t="s">
        <v>1331</v>
      </c>
      <c r="F233" s="2">
        <v>5</v>
      </c>
      <c r="G233" s="2">
        <v>175</v>
      </c>
      <c r="H233" s="2">
        <v>3</v>
      </c>
      <c r="I233" s="2">
        <v>3</v>
      </c>
      <c r="J233" s="2">
        <v>2</v>
      </c>
      <c r="K233" s="2" t="s">
        <v>61</v>
      </c>
      <c r="L233" s="6" t="s">
        <v>75</v>
      </c>
      <c r="M233" s="5">
        <v>1250000000</v>
      </c>
      <c r="N233" s="2">
        <v>0</v>
      </c>
      <c r="O233" s="2">
        <v>4.7450515610000004</v>
      </c>
      <c r="P233" s="2">
        <v>-74.068158409999995</v>
      </c>
      <c r="Q233" s="2" t="s">
        <v>1332</v>
      </c>
      <c r="R233" s="2">
        <v>7142857.1430000002</v>
      </c>
      <c r="S233" s="2">
        <v>0</v>
      </c>
      <c r="T233" s="2" t="s">
        <v>68</v>
      </c>
      <c r="U233" s="2" t="s">
        <v>69</v>
      </c>
      <c r="V233" s="2" t="s">
        <v>28</v>
      </c>
      <c r="W233" s="2" t="s">
        <v>70</v>
      </c>
      <c r="X233" s="2" t="s">
        <v>71</v>
      </c>
      <c r="Y233" s="2">
        <v>0.88671121650524398</v>
      </c>
      <c r="Z233" s="2">
        <v>4.73719444444444</v>
      </c>
      <c r="AA233" s="2">
        <v>-74.069472222222203</v>
      </c>
      <c r="AB233" s="2">
        <v>2555</v>
      </c>
      <c r="AC233" s="2" t="s">
        <v>31</v>
      </c>
      <c r="AD233" s="2" t="s">
        <v>58</v>
      </c>
      <c r="AE233" s="2" t="s">
        <v>33</v>
      </c>
      <c r="AF233" s="2" t="s">
        <v>34</v>
      </c>
      <c r="AG233" s="2" t="s">
        <v>72</v>
      </c>
      <c r="AH233" s="2">
        <v>1.7706531786814099</v>
      </c>
      <c r="AI233" s="2">
        <v>5.2869131366024096</v>
      </c>
      <c r="AJ233" s="2">
        <v>1.8674251934483199</v>
      </c>
      <c r="AK233" s="2">
        <v>0.62318105288456205</v>
      </c>
      <c r="AL233" s="2">
        <v>0.11236527521020299</v>
      </c>
      <c r="AM233" s="2">
        <v>15.3</v>
      </c>
      <c r="AN233" s="2">
        <v>9.8000000000000007</v>
      </c>
      <c r="AO233" s="2">
        <v>29.7</v>
      </c>
      <c r="AP233" s="2">
        <v>564</v>
      </c>
      <c r="AQ233" s="2">
        <v>68</v>
      </c>
      <c r="AR233" s="2">
        <v>1.8</v>
      </c>
      <c r="AS233" s="2">
        <v>43</v>
      </c>
      <c r="AT233" s="2">
        <v>25.4</v>
      </c>
      <c r="AU233" s="2">
        <v>162</v>
      </c>
      <c r="AV233" s="2">
        <v>9.1</v>
      </c>
      <c r="AW233" s="2">
        <v>9.1999999999999993</v>
      </c>
      <c r="AX233" s="2">
        <v>18.3</v>
      </c>
      <c r="AY233" s="2">
        <v>0.34</v>
      </c>
      <c r="AZ233" s="2">
        <v>7.3</v>
      </c>
      <c r="BA233" s="2">
        <v>0.9</v>
      </c>
      <c r="BB233" s="2">
        <v>7.5</v>
      </c>
      <c r="BC233" s="2">
        <v>2.9</v>
      </c>
      <c r="BD233" s="2">
        <f>+AN233*EXP(-0.0495*Y233)</f>
        <v>9.3791597532364666</v>
      </c>
      <c r="BE233" s="2">
        <f>+AO233*EXP(-0.024*Y233)</f>
        <v>29.074630116244581</v>
      </c>
    </row>
    <row r="234" spans="1:57" x14ac:dyDescent="0.2">
      <c r="A234" s="2" t="s">
        <v>2142</v>
      </c>
      <c r="B234" s="2" t="s">
        <v>19</v>
      </c>
      <c r="C234" s="2" t="s">
        <v>1907</v>
      </c>
      <c r="D234" s="2" t="s">
        <v>21</v>
      </c>
      <c r="E234" s="2" t="s">
        <v>1554</v>
      </c>
      <c r="F234" s="2">
        <v>4</v>
      </c>
      <c r="G234" s="2">
        <v>175</v>
      </c>
      <c r="H234" s="2">
        <v>4</v>
      </c>
      <c r="I234" s="2">
        <v>4</v>
      </c>
      <c r="J234" s="2">
        <v>2</v>
      </c>
      <c r="K234" s="2" t="s">
        <v>61</v>
      </c>
      <c r="L234" s="6" t="s">
        <v>75</v>
      </c>
      <c r="M234" s="5">
        <v>850000000</v>
      </c>
      <c r="N234" s="2">
        <v>0</v>
      </c>
      <c r="O234" s="2">
        <v>4.7340006829999997</v>
      </c>
      <c r="P234" s="2">
        <v>-74.046058650000006</v>
      </c>
      <c r="Q234" s="2" t="s">
        <v>2143</v>
      </c>
      <c r="R234" s="2">
        <v>4857142.8569999998</v>
      </c>
      <c r="S234" s="2">
        <v>0</v>
      </c>
      <c r="T234" s="2" t="s">
        <v>68</v>
      </c>
      <c r="U234" s="2" t="s">
        <v>69</v>
      </c>
      <c r="V234" s="2" t="s">
        <v>28</v>
      </c>
      <c r="W234" s="2" t="s">
        <v>70</v>
      </c>
      <c r="X234" s="2" t="s">
        <v>71</v>
      </c>
      <c r="Y234" s="2">
        <v>2.6217077789157202</v>
      </c>
      <c r="Z234" s="2">
        <v>4.73719444444444</v>
      </c>
      <c r="AA234" s="2">
        <v>-74.069472222222203</v>
      </c>
      <c r="AB234" s="2">
        <v>2555</v>
      </c>
      <c r="AC234" s="2" t="s">
        <v>31</v>
      </c>
      <c r="AD234" s="2" t="s">
        <v>58</v>
      </c>
      <c r="AE234" s="2" t="s">
        <v>33</v>
      </c>
      <c r="AF234" s="2" t="s">
        <v>34</v>
      </c>
      <c r="AG234" s="2" t="s">
        <v>59</v>
      </c>
      <c r="AH234" s="2">
        <v>0.35715506484840298</v>
      </c>
      <c r="AI234" s="2">
        <v>2.6718636531469402</v>
      </c>
      <c r="AJ234" s="2">
        <v>0.68598438563990904</v>
      </c>
      <c r="AK234" s="2">
        <v>0.37492290694245101</v>
      </c>
      <c r="AL234" s="2">
        <v>0.20734208890536299</v>
      </c>
      <c r="AM234" s="2">
        <v>15.3</v>
      </c>
      <c r="AN234" s="2">
        <v>9.8000000000000007</v>
      </c>
      <c r="AO234" s="2">
        <v>29.7</v>
      </c>
      <c r="AP234" s="2">
        <v>564</v>
      </c>
      <c r="AQ234" s="2">
        <v>68</v>
      </c>
      <c r="AR234" s="2">
        <v>1.8</v>
      </c>
      <c r="AS234" s="2">
        <v>43</v>
      </c>
      <c r="AT234" s="2">
        <v>25.4</v>
      </c>
      <c r="AU234" s="2">
        <v>162</v>
      </c>
      <c r="AV234" s="2">
        <v>9.1</v>
      </c>
      <c r="AW234" s="2">
        <v>9.1999999999999993</v>
      </c>
      <c r="AX234" s="2">
        <v>18.3</v>
      </c>
      <c r="AY234" s="2">
        <v>0.34</v>
      </c>
      <c r="AZ234" s="2">
        <v>7.3</v>
      </c>
      <c r="BA234" s="2">
        <v>0.9</v>
      </c>
      <c r="BB234" s="2">
        <v>7.5</v>
      </c>
      <c r="BC234" s="2">
        <v>2.9</v>
      </c>
      <c r="BD234" s="2">
        <f>+AN234*EXP(-0.0495*Y234)</f>
        <v>8.6072756431829784</v>
      </c>
      <c r="BE234" s="2">
        <f>+AO234*EXP(-0.024*Y234)</f>
        <v>27.888824669751397</v>
      </c>
    </row>
    <row r="235" spans="1:57" x14ac:dyDescent="0.2">
      <c r="A235" s="2" t="s">
        <v>2552</v>
      </c>
      <c r="B235" s="2" t="s">
        <v>19</v>
      </c>
      <c r="C235" s="2" t="s">
        <v>1907</v>
      </c>
      <c r="D235" s="2" t="s">
        <v>21</v>
      </c>
      <c r="E235" s="2" t="s">
        <v>1675</v>
      </c>
      <c r="F235" s="2">
        <v>4</v>
      </c>
      <c r="G235" s="2">
        <v>175</v>
      </c>
      <c r="H235" s="2">
        <v>4</v>
      </c>
      <c r="I235" s="2">
        <v>3</v>
      </c>
      <c r="J235" s="2">
        <v>2</v>
      </c>
      <c r="K235" s="2" t="s">
        <v>61</v>
      </c>
      <c r="L235" s="6" t="s">
        <v>113</v>
      </c>
      <c r="M235" s="5">
        <v>720000000</v>
      </c>
      <c r="N235" s="2">
        <v>0</v>
      </c>
      <c r="O235" s="2">
        <v>4.7647280690000002</v>
      </c>
      <c r="P235" s="2">
        <v>-74.057182310000002</v>
      </c>
      <c r="Q235" s="2" t="s">
        <v>2553</v>
      </c>
      <c r="R235" s="2">
        <v>4114285.7140000002</v>
      </c>
      <c r="S235" s="2">
        <v>0</v>
      </c>
      <c r="T235" s="2" t="s">
        <v>102</v>
      </c>
      <c r="U235" s="2" t="s">
        <v>103</v>
      </c>
      <c r="V235" s="2" t="s">
        <v>28</v>
      </c>
      <c r="W235" s="2" t="s">
        <v>70</v>
      </c>
      <c r="X235" s="2" t="s">
        <v>104</v>
      </c>
      <c r="Y235" s="2">
        <v>2.5646671366623299</v>
      </c>
      <c r="Z235" s="2">
        <v>4.7837500000000004</v>
      </c>
      <c r="AA235" s="2">
        <v>-74.044138888888895</v>
      </c>
      <c r="AB235" s="2">
        <v>2580</v>
      </c>
      <c r="AC235" s="2" t="s">
        <v>105</v>
      </c>
      <c r="AD235" s="2" t="s">
        <v>58</v>
      </c>
      <c r="AE235" s="2" t="s">
        <v>33</v>
      </c>
      <c r="AF235" s="2" t="s">
        <v>34</v>
      </c>
      <c r="AG235" s="2" t="s">
        <v>72</v>
      </c>
      <c r="AH235" s="2">
        <v>1.42064324087703</v>
      </c>
      <c r="AI235" s="2">
        <v>3.80703277783386</v>
      </c>
      <c r="AJ235" s="2">
        <v>1.3191402447552401</v>
      </c>
      <c r="AK235" s="2">
        <v>0.71181592608669897</v>
      </c>
      <c r="AL235" s="2">
        <v>0.41348430210299802</v>
      </c>
      <c r="AM235" s="2">
        <v>15.3</v>
      </c>
      <c r="AN235" s="2">
        <v>9.8000000000000007</v>
      </c>
      <c r="AO235" s="2">
        <v>29.7</v>
      </c>
      <c r="AP235" s="2">
        <v>564</v>
      </c>
      <c r="AQ235" s="2">
        <v>68</v>
      </c>
      <c r="AR235" s="2">
        <v>1.8</v>
      </c>
      <c r="AS235" s="2">
        <v>43</v>
      </c>
      <c r="AT235" s="2">
        <v>25.4</v>
      </c>
      <c r="AU235" s="2">
        <v>162</v>
      </c>
      <c r="AV235" s="2">
        <v>9.1</v>
      </c>
      <c r="AW235" s="2">
        <v>9.1999999999999993</v>
      </c>
      <c r="AX235" s="2">
        <v>18.3</v>
      </c>
      <c r="AY235" s="2">
        <v>0.34</v>
      </c>
      <c r="AZ235" s="2">
        <v>7.3</v>
      </c>
      <c r="BA235" s="2">
        <v>0.9</v>
      </c>
      <c r="BB235" s="2">
        <v>7.5</v>
      </c>
      <c r="BC235" s="2">
        <v>2.9</v>
      </c>
      <c r="BD235" s="2">
        <f>+AN235*EXP(-0.0495*Y235)</f>
        <v>8.6316127293110139</v>
      </c>
      <c r="BE235" s="2">
        <f>+AO235*EXP(-0.024*Y235)</f>
        <v>27.927029930116291</v>
      </c>
    </row>
    <row r="236" spans="1:57" x14ac:dyDescent="0.2">
      <c r="A236" s="2" t="s">
        <v>507</v>
      </c>
      <c r="B236" s="2" t="s">
        <v>19</v>
      </c>
      <c r="C236" s="2" t="s">
        <v>20</v>
      </c>
      <c r="D236" s="2" t="s">
        <v>21</v>
      </c>
      <c r="E236" s="2" t="s">
        <v>508</v>
      </c>
      <c r="F236" s="2">
        <v>5</v>
      </c>
      <c r="G236" s="2">
        <v>172.94</v>
      </c>
      <c r="H236" s="2">
        <v>3</v>
      </c>
      <c r="I236" s="2">
        <v>5</v>
      </c>
      <c r="J236" s="2">
        <v>2</v>
      </c>
      <c r="K236" s="2" t="s">
        <v>61</v>
      </c>
      <c r="L236" s="6" t="s">
        <v>75</v>
      </c>
      <c r="M236" s="5">
        <v>1655000000</v>
      </c>
      <c r="N236" s="2">
        <v>0</v>
      </c>
      <c r="O236" s="2">
        <v>4.7053409999999998</v>
      </c>
      <c r="P236" s="2">
        <v>-74.067781999999994</v>
      </c>
      <c r="Q236" s="2" t="s">
        <v>509</v>
      </c>
      <c r="R236" s="2">
        <v>9569792.9920000006</v>
      </c>
      <c r="S236" s="2">
        <v>0</v>
      </c>
      <c r="T236" s="2" t="s">
        <v>68</v>
      </c>
      <c r="U236" s="2" t="s">
        <v>69</v>
      </c>
      <c r="V236" s="2" t="s">
        <v>28</v>
      </c>
      <c r="W236" s="2" t="s">
        <v>70</v>
      </c>
      <c r="X236" s="2" t="s">
        <v>71</v>
      </c>
      <c r="Y236" s="2">
        <v>3.5508639101164401</v>
      </c>
      <c r="Z236" s="2">
        <v>4.73719444444444</v>
      </c>
      <c r="AA236" s="2">
        <v>-74.069472222222203</v>
      </c>
      <c r="AB236" s="2">
        <v>2555</v>
      </c>
      <c r="AC236" s="2" t="s">
        <v>31</v>
      </c>
      <c r="AD236" s="2" t="s">
        <v>58</v>
      </c>
      <c r="AE236" s="2" t="s">
        <v>33</v>
      </c>
      <c r="AF236" s="2" t="s">
        <v>34</v>
      </c>
      <c r="AG236" s="2" t="s">
        <v>72</v>
      </c>
      <c r="AH236" s="2">
        <v>0.40458568473006901</v>
      </c>
      <c r="AI236" s="2">
        <v>4.5786424531908398</v>
      </c>
      <c r="AJ236" s="2">
        <v>0.85505354699962499</v>
      </c>
      <c r="AK236" s="2">
        <v>0.42356517592765403</v>
      </c>
      <c r="AL236" s="2">
        <v>0.30794811539463501</v>
      </c>
      <c r="AM236" s="2">
        <v>15.3</v>
      </c>
      <c r="AN236" s="2">
        <v>9.8000000000000007</v>
      </c>
      <c r="AO236" s="2">
        <v>29.7</v>
      </c>
      <c r="AP236" s="2">
        <v>564</v>
      </c>
      <c r="AQ236" s="2">
        <v>68</v>
      </c>
      <c r="AR236" s="2">
        <v>1.8</v>
      </c>
      <c r="AS236" s="2">
        <v>43</v>
      </c>
      <c r="AT236" s="2">
        <v>25.4</v>
      </c>
      <c r="AU236" s="2">
        <v>162</v>
      </c>
      <c r="AV236" s="2">
        <v>9.1</v>
      </c>
      <c r="AW236" s="2">
        <v>9.1999999999999993</v>
      </c>
      <c r="AX236" s="2">
        <v>18.3</v>
      </c>
      <c r="AY236" s="2">
        <v>0.34</v>
      </c>
      <c r="AZ236" s="2">
        <v>7.3</v>
      </c>
      <c r="BA236" s="2">
        <v>0.9</v>
      </c>
      <c r="BB236" s="2">
        <v>7.5</v>
      </c>
      <c r="BC236" s="2">
        <v>2.9</v>
      </c>
      <c r="BD236" s="2">
        <f>+AN236*EXP(-0.0495*Y236)</f>
        <v>8.2203650834412567</v>
      </c>
      <c r="BE236" s="2">
        <f>+AO236*EXP(-0.024*Y236)</f>
        <v>27.273793932895611</v>
      </c>
    </row>
    <row r="237" spans="1:57" x14ac:dyDescent="0.2">
      <c r="A237" s="2" t="s">
        <v>2089</v>
      </c>
      <c r="B237" s="2" t="s">
        <v>19</v>
      </c>
      <c r="C237" s="2" t="s">
        <v>1907</v>
      </c>
      <c r="D237" s="2" t="s">
        <v>21</v>
      </c>
      <c r="E237" s="2" t="s">
        <v>228</v>
      </c>
      <c r="F237" s="2">
        <v>5</v>
      </c>
      <c r="G237" s="2">
        <v>170</v>
      </c>
      <c r="H237" s="2">
        <v>3</v>
      </c>
      <c r="I237" s="2">
        <v>4</v>
      </c>
      <c r="J237" s="2">
        <v>2</v>
      </c>
      <c r="K237" s="2" t="s">
        <v>61</v>
      </c>
      <c r="L237" s="6" t="s">
        <v>113</v>
      </c>
      <c r="M237" s="5">
        <v>1450000000</v>
      </c>
      <c r="N237" s="2">
        <v>0</v>
      </c>
      <c r="O237" s="2">
        <v>4.7265377040000001</v>
      </c>
      <c r="P237" s="2">
        <v>-74.064186100000001</v>
      </c>
      <c r="Q237" s="2" t="s">
        <v>2090</v>
      </c>
      <c r="R237" s="2">
        <v>8529411.7650000006</v>
      </c>
      <c r="S237" s="2">
        <v>0</v>
      </c>
      <c r="T237" s="2" t="s">
        <v>68</v>
      </c>
      <c r="U237" s="2" t="s">
        <v>69</v>
      </c>
      <c r="V237" s="2" t="s">
        <v>28</v>
      </c>
      <c r="W237" s="2" t="s">
        <v>70</v>
      </c>
      <c r="X237" s="2" t="s">
        <v>71</v>
      </c>
      <c r="Y237" s="2">
        <v>1.3233403858947399</v>
      </c>
      <c r="Z237" s="2">
        <v>4.73719444444444</v>
      </c>
      <c r="AA237" s="2">
        <v>-74.069472222222203</v>
      </c>
      <c r="AB237" s="2">
        <v>2555</v>
      </c>
      <c r="AC237" s="2" t="s">
        <v>31</v>
      </c>
      <c r="AD237" s="2" t="s">
        <v>58</v>
      </c>
      <c r="AE237" s="2" t="s">
        <v>33</v>
      </c>
      <c r="AF237" s="2" t="s">
        <v>34</v>
      </c>
      <c r="AG237" s="2" t="s">
        <v>72</v>
      </c>
      <c r="AH237" s="2">
        <v>1.1727028974729601</v>
      </c>
      <c r="AI237" s="2">
        <v>4.5674415484530302</v>
      </c>
      <c r="AJ237" s="2">
        <v>1.3373466137016801</v>
      </c>
      <c r="AK237" s="2">
        <v>6.2098983490890602E-2</v>
      </c>
      <c r="AL237" s="2">
        <v>0.46566499048681298</v>
      </c>
      <c r="AM237" s="2">
        <v>15.3</v>
      </c>
      <c r="AN237" s="2">
        <v>9.8000000000000007</v>
      </c>
      <c r="AO237" s="2">
        <v>29.7</v>
      </c>
      <c r="AP237" s="2">
        <v>564</v>
      </c>
      <c r="AQ237" s="2">
        <v>68</v>
      </c>
      <c r="AR237" s="2">
        <v>1.8</v>
      </c>
      <c r="AS237" s="2">
        <v>43</v>
      </c>
      <c r="AT237" s="2">
        <v>25.4</v>
      </c>
      <c r="AU237" s="2">
        <v>162</v>
      </c>
      <c r="AV237" s="2">
        <v>9.1</v>
      </c>
      <c r="AW237" s="2">
        <v>9.1999999999999993</v>
      </c>
      <c r="AX237" s="2">
        <v>18.3</v>
      </c>
      <c r="AY237" s="2">
        <v>0.34</v>
      </c>
      <c r="AZ237" s="2">
        <v>7.3</v>
      </c>
      <c r="BA237" s="2">
        <v>0.9</v>
      </c>
      <c r="BB237" s="2">
        <v>7.5</v>
      </c>
      <c r="BC237" s="2">
        <v>2.9</v>
      </c>
      <c r="BD237" s="2">
        <f>+AN237*EXP(-0.0495*Y237)</f>
        <v>9.1786215607320223</v>
      </c>
      <c r="BE237" s="2">
        <f>+AO237*EXP(-0.024*Y237)</f>
        <v>28.771544961242778</v>
      </c>
    </row>
    <row r="238" spans="1:57" x14ac:dyDescent="0.2">
      <c r="A238" s="2" t="s">
        <v>2958</v>
      </c>
      <c r="B238" s="2" t="s">
        <v>19</v>
      </c>
      <c r="C238" s="2" t="s">
        <v>1907</v>
      </c>
      <c r="D238" s="2" t="s">
        <v>21</v>
      </c>
      <c r="E238" s="2" t="s">
        <v>218</v>
      </c>
      <c r="F238" s="2">
        <v>5</v>
      </c>
      <c r="G238" s="2">
        <v>170</v>
      </c>
      <c r="H238" s="2">
        <v>3</v>
      </c>
      <c r="I238" s="2">
        <v>3</v>
      </c>
      <c r="J238" s="2">
        <v>2</v>
      </c>
      <c r="K238" s="2" t="s">
        <v>61</v>
      </c>
      <c r="L238" s="6" t="s">
        <v>113</v>
      </c>
      <c r="M238" s="5">
        <v>820000000</v>
      </c>
      <c r="N238" s="2">
        <v>0</v>
      </c>
      <c r="O238" s="2">
        <v>4.7561200000000001</v>
      </c>
      <c r="P238" s="2">
        <v>-74.070040000000006</v>
      </c>
      <c r="Q238" s="2" t="s">
        <v>2959</v>
      </c>
      <c r="R238" s="2">
        <v>4823529.4119999995</v>
      </c>
      <c r="S238" s="2">
        <v>0</v>
      </c>
      <c r="T238" s="2" t="s">
        <v>68</v>
      </c>
      <c r="U238" s="2" t="s">
        <v>69</v>
      </c>
      <c r="V238" s="2" t="s">
        <v>28</v>
      </c>
      <c r="W238" s="2" t="s">
        <v>70</v>
      </c>
      <c r="X238" s="2" t="s">
        <v>71</v>
      </c>
      <c r="Y238" s="2">
        <v>2.1077245945301302</v>
      </c>
      <c r="Z238" s="2">
        <v>4.73719444444444</v>
      </c>
      <c r="AA238" s="2">
        <v>-74.069472222222203</v>
      </c>
      <c r="AB238" s="2">
        <v>2555</v>
      </c>
      <c r="AC238" s="2" t="s">
        <v>31</v>
      </c>
      <c r="AD238" s="2" t="s">
        <v>58</v>
      </c>
      <c r="AE238" s="2" t="s">
        <v>33</v>
      </c>
      <c r="AF238" s="2" t="s">
        <v>34</v>
      </c>
      <c r="AG238" s="2" t="s">
        <v>72</v>
      </c>
      <c r="AH238" s="2">
        <v>2.5810246551867202</v>
      </c>
      <c r="AI238" s="2">
        <v>4.3009854849078701</v>
      </c>
      <c r="AJ238" s="2">
        <v>1.8585215137100299</v>
      </c>
      <c r="AK238" s="2">
        <v>0.585010149575375</v>
      </c>
      <c r="AL238" s="2">
        <v>7.6888103817429497E-3</v>
      </c>
      <c r="AM238" s="2">
        <v>15.3</v>
      </c>
      <c r="AN238" s="2">
        <v>9.8000000000000007</v>
      </c>
      <c r="AO238" s="2">
        <v>29.7</v>
      </c>
      <c r="AP238" s="2">
        <v>564</v>
      </c>
      <c r="AQ238" s="2">
        <v>68</v>
      </c>
      <c r="AR238" s="2">
        <v>1.8</v>
      </c>
      <c r="AS238" s="2">
        <v>43</v>
      </c>
      <c r="AT238" s="2">
        <v>25.4</v>
      </c>
      <c r="AU238" s="2">
        <v>162</v>
      </c>
      <c r="AV238" s="2">
        <v>9.1</v>
      </c>
      <c r="AW238" s="2">
        <v>9.1999999999999993</v>
      </c>
      <c r="AX238" s="2">
        <v>18.3</v>
      </c>
      <c r="AY238" s="2">
        <v>0.34</v>
      </c>
      <c r="AZ238" s="2">
        <v>7.3</v>
      </c>
      <c r="BA238" s="2">
        <v>0.9</v>
      </c>
      <c r="BB238" s="2">
        <v>7.5</v>
      </c>
      <c r="BC238" s="2">
        <v>2.9</v>
      </c>
      <c r="BD238" s="2">
        <f>+AN238*EXP(-0.0495*Y238)</f>
        <v>8.8290729307357108</v>
      </c>
      <c r="BE238" s="2">
        <f>+AO238*EXP(-0.024*Y238)</f>
        <v>28.23498058604789</v>
      </c>
    </row>
    <row r="239" spans="1:57" x14ac:dyDescent="0.2">
      <c r="A239" s="2" t="s">
        <v>1181</v>
      </c>
      <c r="B239" s="2" t="s">
        <v>19</v>
      </c>
      <c r="C239" s="2" t="s">
        <v>20</v>
      </c>
      <c r="D239" s="2" t="s">
        <v>21</v>
      </c>
      <c r="E239" s="2" t="s">
        <v>1182</v>
      </c>
      <c r="F239" s="2">
        <v>6</v>
      </c>
      <c r="G239" s="2">
        <v>169.69</v>
      </c>
      <c r="H239" s="2">
        <v>4</v>
      </c>
      <c r="I239" s="2">
        <v>4</v>
      </c>
      <c r="J239" s="2">
        <v>2</v>
      </c>
      <c r="K239" s="2" t="s">
        <v>61</v>
      </c>
      <c r="L239" s="6" t="s">
        <v>75</v>
      </c>
      <c r="M239" s="5">
        <v>1290000000</v>
      </c>
      <c r="N239" s="2">
        <v>0</v>
      </c>
      <c r="O239" s="2">
        <v>4.7585455000000003</v>
      </c>
      <c r="P239" s="2">
        <v>-74.067805399999997</v>
      </c>
      <c r="Q239" s="2" t="s">
        <v>1183</v>
      </c>
      <c r="R239" s="2">
        <v>7602097.943</v>
      </c>
      <c r="S239" s="2">
        <v>0</v>
      </c>
      <c r="T239" s="2" t="s">
        <v>68</v>
      </c>
      <c r="U239" s="2" t="s">
        <v>69</v>
      </c>
      <c r="V239" s="2" t="s">
        <v>28</v>
      </c>
      <c r="W239" s="2" t="s">
        <v>70</v>
      </c>
      <c r="X239" s="2" t="s">
        <v>71</v>
      </c>
      <c r="Y239" s="2">
        <v>2.3839708592265301</v>
      </c>
      <c r="Z239" s="2">
        <v>4.73719444444444</v>
      </c>
      <c r="AA239" s="2">
        <v>-74.069472222222203</v>
      </c>
      <c r="AB239" s="2">
        <v>2555</v>
      </c>
      <c r="AC239" s="2" t="s">
        <v>31</v>
      </c>
      <c r="AD239" s="2" t="s">
        <v>58</v>
      </c>
      <c r="AE239" s="2" t="s">
        <v>33</v>
      </c>
      <c r="AF239" s="2" t="s">
        <v>34</v>
      </c>
      <c r="AG239" s="2" t="s">
        <v>72</v>
      </c>
      <c r="AH239" s="2">
        <v>2.4512243585660798</v>
      </c>
      <c r="AI239" s="2">
        <v>4.22571320860831</v>
      </c>
      <c r="AJ239" s="2">
        <v>1.68560538655613</v>
      </c>
      <c r="AK239" s="2">
        <v>0.51926949564155001</v>
      </c>
      <c r="AL239" s="2">
        <v>0.28309183136351201</v>
      </c>
      <c r="AM239" s="2">
        <v>15.3</v>
      </c>
      <c r="AN239" s="2">
        <v>9.8000000000000007</v>
      </c>
      <c r="AO239" s="2">
        <v>29.7</v>
      </c>
      <c r="AP239" s="2">
        <v>564</v>
      </c>
      <c r="AQ239" s="2">
        <v>68</v>
      </c>
      <c r="AR239" s="2">
        <v>1.8</v>
      </c>
      <c r="AS239" s="2">
        <v>43</v>
      </c>
      <c r="AT239" s="2">
        <v>25.4</v>
      </c>
      <c r="AU239" s="2">
        <v>162</v>
      </c>
      <c r="AV239" s="2">
        <v>9.1</v>
      </c>
      <c r="AW239" s="2">
        <v>9.1999999999999993</v>
      </c>
      <c r="AX239" s="2">
        <v>18.3</v>
      </c>
      <c r="AY239" s="2">
        <v>0.34</v>
      </c>
      <c r="AZ239" s="2">
        <v>7.3</v>
      </c>
      <c r="BA239" s="2">
        <v>0.9</v>
      </c>
      <c r="BB239" s="2">
        <v>7.5</v>
      </c>
      <c r="BC239" s="2">
        <v>2.9</v>
      </c>
      <c r="BD239" s="2">
        <f>+AN239*EXP(-0.0495*Y239)</f>
        <v>8.7091642048155293</v>
      </c>
      <c r="BE239" s="2">
        <f>+AO239*EXP(-0.024*Y239)</f>
        <v>28.048404371164782</v>
      </c>
    </row>
    <row r="240" spans="1:57" x14ac:dyDescent="0.2">
      <c r="A240" s="2" t="s">
        <v>2953</v>
      </c>
      <c r="B240" s="2" t="s">
        <v>19</v>
      </c>
      <c r="C240" s="2" t="s">
        <v>1907</v>
      </c>
      <c r="D240" s="2" t="s">
        <v>21</v>
      </c>
      <c r="E240" s="2" t="s">
        <v>218</v>
      </c>
      <c r="F240" s="2">
        <v>5</v>
      </c>
      <c r="G240" s="2">
        <v>169</v>
      </c>
      <c r="H240" s="2">
        <v>3</v>
      </c>
      <c r="I240" s="2">
        <v>3</v>
      </c>
      <c r="J240" s="2">
        <v>2</v>
      </c>
      <c r="K240" s="2" t="s">
        <v>61</v>
      </c>
      <c r="L240" s="6" t="s">
        <v>113</v>
      </c>
      <c r="M240" s="5">
        <v>890000000</v>
      </c>
      <c r="N240" s="2">
        <v>0</v>
      </c>
      <c r="O240" s="2">
        <v>4.7561200000000001</v>
      </c>
      <c r="P240" s="2">
        <v>-74.070040000000006</v>
      </c>
      <c r="Q240" s="2" t="s">
        <v>2954</v>
      </c>
      <c r="R240" s="2">
        <v>5266272.1890000002</v>
      </c>
      <c r="S240" s="2">
        <v>0</v>
      </c>
      <c r="T240" s="2" t="s">
        <v>68</v>
      </c>
      <c r="U240" s="2" t="s">
        <v>69</v>
      </c>
      <c r="V240" s="2" t="s">
        <v>28</v>
      </c>
      <c r="W240" s="2" t="s">
        <v>70</v>
      </c>
      <c r="X240" s="2" t="s">
        <v>71</v>
      </c>
      <c r="Y240" s="2">
        <v>2.1077245945301302</v>
      </c>
      <c r="Z240" s="2">
        <v>4.73719444444444</v>
      </c>
      <c r="AA240" s="2">
        <v>-74.069472222222203</v>
      </c>
      <c r="AB240" s="2">
        <v>2555</v>
      </c>
      <c r="AC240" s="2" t="s">
        <v>31</v>
      </c>
      <c r="AD240" s="2" t="s">
        <v>58</v>
      </c>
      <c r="AE240" s="2" t="s">
        <v>33</v>
      </c>
      <c r="AF240" s="2" t="s">
        <v>34</v>
      </c>
      <c r="AG240" s="2" t="s">
        <v>72</v>
      </c>
      <c r="AH240" s="2">
        <v>2.5810246551867202</v>
      </c>
      <c r="AI240" s="2">
        <v>4.3009854849078701</v>
      </c>
      <c r="AJ240" s="2">
        <v>1.8585215137100299</v>
      </c>
      <c r="AK240" s="2">
        <v>0.585010149575375</v>
      </c>
      <c r="AL240" s="2">
        <v>7.6888103817429497E-3</v>
      </c>
      <c r="AM240" s="2">
        <v>15.3</v>
      </c>
      <c r="AN240" s="2">
        <v>9.8000000000000007</v>
      </c>
      <c r="AO240" s="2">
        <v>29.7</v>
      </c>
      <c r="AP240" s="2">
        <v>564</v>
      </c>
      <c r="AQ240" s="2">
        <v>68</v>
      </c>
      <c r="AR240" s="2">
        <v>1.8</v>
      </c>
      <c r="AS240" s="2">
        <v>43</v>
      </c>
      <c r="AT240" s="2">
        <v>25.4</v>
      </c>
      <c r="AU240" s="2">
        <v>162</v>
      </c>
      <c r="AV240" s="2">
        <v>9.1</v>
      </c>
      <c r="AW240" s="2">
        <v>9.1999999999999993</v>
      </c>
      <c r="AX240" s="2">
        <v>18.3</v>
      </c>
      <c r="AY240" s="2">
        <v>0.34</v>
      </c>
      <c r="AZ240" s="2">
        <v>7.3</v>
      </c>
      <c r="BA240" s="2">
        <v>0.9</v>
      </c>
      <c r="BB240" s="2">
        <v>7.5</v>
      </c>
      <c r="BC240" s="2">
        <v>2.9</v>
      </c>
      <c r="BD240" s="2">
        <f>+AN240*EXP(-0.0495*Y240)</f>
        <v>8.8290729307357108</v>
      </c>
      <c r="BE240" s="2">
        <f>+AO240*EXP(-0.024*Y240)</f>
        <v>28.23498058604789</v>
      </c>
    </row>
    <row r="241" spans="1:57" x14ac:dyDescent="0.2">
      <c r="A241" s="2" t="s">
        <v>2989</v>
      </c>
      <c r="B241" s="2" t="s">
        <v>19</v>
      </c>
      <c r="C241" s="2" t="s">
        <v>1907</v>
      </c>
      <c r="D241" s="2" t="s">
        <v>21</v>
      </c>
      <c r="E241" s="2" t="s">
        <v>218</v>
      </c>
      <c r="F241" s="2">
        <v>5</v>
      </c>
      <c r="G241" s="2">
        <v>169</v>
      </c>
      <c r="H241" s="2">
        <v>3</v>
      </c>
      <c r="I241" s="2">
        <v>3</v>
      </c>
      <c r="J241" s="2">
        <v>2</v>
      </c>
      <c r="K241" s="2" t="s">
        <v>61</v>
      </c>
      <c r="L241" s="6" t="s">
        <v>113</v>
      </c>
      <c r="M241" s="5">
        <v>820000000</v>
      </c>
      <c r="N241" s="2">
        <v>0</v>
      </c>
      <c r="O241" s="2">
        <v>4.7561200000000001</v>
      </c>
      <c r="P241" s="2">
        <v>-74.070040000000006</v>
      </c>
      <c r="Q241" s="2" t="s">
        <v>2990</v>
      </c>
      <c r="R241" s="2">
        <v>4852071.0060000001</v>
      </c>
      <c r="S241" s="2">
        <v>0</v>
      </c>
      <c r="T241" s="2" t="s">
        <v>68</v>
      </c>
      <c r="U241" s="2" t="s">
        <v>69</v>
      </c>
      <c r="V241" s="2" t="s">
        <v>28</v>
      </c>
      <c r="W241" s="2" t="s">
        <v>70</v>
      </c>
      <c r="X241" s="2" t="s">
        <v>71</v>
      </c>
      <c r="Y241" s="2">
        <v>2.1077245945301302</v>
      </c>
      <c r="Z241" s="2">
        <v>4.73719444444444</v>
      </c>
      <c r="AA241" s="2">
        <v>-74.069472222222203</v>
      </c>
      <c r="AB241" s="2">
        <v>2555</v>
      </c>
      <c r="AC241" s="2" t="s">
        <v>31</v>
      </c>
      <c r="AD241" s="2" t="s">
        <v>58</v>
      </c>
      <c r="AE241" s="2" t="s">
        <v>33</v>
      </c>
      <c r="AF241" s="2" t="s">
        <v>34</v>
      </c>
      <c r="AG241" s="2" t="s">
        <v>72</v>
      </c>
      <c r="AH241" s="2">
        <v>2.5810246551867202</v>
      </c>
      <c r="AI241" s="2">
        <v>4.3009854849078701</v>
      </c>
      <c r="AJ241" s="2">
        <v>1.8585215137100299</v>
      </c>
      <c r="AK241" s="2">
        <v>0.585010149575375</v>
      </c>
      <c r="AL241" s="2">
        <v>7.6888103817429497E-3</v>
      </c>
      <c r="AM241" s="2">
        <v>15.3</v>
      </c>
      <c r="AN241" s="2">
        <v>9.8000000000000007</v>
      </c>
      <c r="AO241" s="2">
        <v>29.7</v>
      </c>
      <c r="AP241" s="2">
        <v>564</v>
      </c>
      <c r="AQ241" s="2">
        <v>68</v>
      </c>
      <c r="AR241" s="2">
        <v>1.8</v>
      </c>
      <c r="AS241" s="2">
        <v>43</v>
      </c>
      <c r="AT241" s="2">
        <v>25.4</v>
      </c>
      <c r="AU241" s="2">
        <v>162</v>
      </c>
      <c r="AV241" s="2">
        <v>9.1</v>
      </c>
      <c r="AW241" s="2">
        <v>9.1999999999999993</v>
      </c>
      <c r="AX241" s="2">
        <v>18.3</v>
      </c>
      <c r="AY241" s="2">
        <v>0.34</v>
      </c>
      <c r="AZ241" s="2">
        <v>7.3</v>
      </c>
      <c r="BA241" s="2">
        <v>0.9</v>
      </c>
      <c r="BB241" s="2">
        <v>7.5</v>
      </c>
      <c r="BC241" s="2">
        <v>2.9</v>
      </c>
      <c r="BD241" s="2">
        <f>+AN241*EXP(-0.0495*Y241)</f>
        <v>8.8290729307357108</v>
      </c>
      <c r="BE241" s="2">
        <f>+AO241*EXP(-0.024*Y241)</f>
        <v>28.23498058604789</v>
      </c>
    </row>
    <row r="242" spans="1:57" x14ac:dyDescent="0.2">
      <c r="A242" s="2" t="s">
        <v>3190</v>
      </c>
      <c r="B242" s="2" t="s">
        <v>19</v>
      </c>
      <c r="C242" s="2" t="s">
        <v>1907</v>
      </c>
      <c r="D242" s="2" t="s">
        <v>21</v>
      </c>
      <c r="E242" s="2" t="s">
        <v>879</v>
      </c>
      <c r="F242" s="2">
        <v>4</v>
      </c>
      <c r="G242" s="2">
        <v>168</v>
      </c>
      <c r="H242" s="2">
        <v>3</v>
      </c>
      <c r="I242" s="2">
        <v>3</v>
      </c>
      <c r="J242" s="2">
        <v>2</v>
      </c>
      <c r="K242" s="2" t="s">
        <v>61</v>
      </c>
      <c r="L242" s="6" t="s">
        <v>66</v>
      </c>
      <c r="M242" s="5">
        <v>839000000</v>
      </c>
      <c r="N242" s="2">
        <v>0</v>
      </c>
      <c r="O242" s="2">
        <v>4.7338647839999997</v>
      </c>
      <c r="P242" s="2">
        <v>-74.058540339999993</v>
      </c>
      <c r="Q242" s="2" t="s">
        <v>3191</v>
      </c>
      <c r="R242" s="2">
        <v>4994047.6189999999</v>
      </c>
      <c r="S242" s="2">
        <v>0</v>
      </c>
      <c r="T242" s="2" t="s">
        <v>68</v>
      </c>
      <c r="U242" s="2" t="s">
        <v>69</v>
      </c>
      <c r="V242" s="2" t="s">
        <v>28</v>
      </c>
      <c r="W242" s="2" t="s">
        <v>70</v>
      </c>
      <c r="X242" s="2" t="s">
        <v>71</v>
      </c>
      <c r="Y242" s="2">
        <v>1.2681541832494601</v>
      </c>
      <c r="Z242" s="2">
        <v>4.73719444444444</v>
      </c>
      <c r="AA242" s="2">
        <v>-74.069472222222203</v>
      </c>
      <c r="AB242" s="2">
        <v>2555</v>
      </c>
      <c r="AC242" s="2" t="s">
        <v>31</v>
      </c>
      <c r="AD242" s="2" t="s">
        <v>58</v>
      </c>
      <c r="AE242" s="2" t="s">
        <v>33</v>
      </c>
      <c r="AF242" s="2" t="s">
        <v>34</v>
      </c>
      <c r="AG242" s="2" t="s">
        <v>72</v>
      </c>
      <c r="AH242" s="2">
        <v>1.0220919415715199</v>
      </c>
      <c r="AI242" s="2">
        <v>4.0538579073310101</v>
      </c>
      <c r="AJ242" s="2">
        <v>2.0615187590574902</v>
      </c>
      <c r="AK242" s="2">
        <v>0.26151367839393003</v>
      </c>
      <c r="AL242" s="2">
        <v>4.94961792254906E-2</v>
      </c>
      <c r="AM242" s="2">
        <v>15.3</v>
      </c>
      <c r="AN242" s="2">
        <v>9.8000000000000007</v>
      </c>
      <c r="AO242" s="2">
        <v>29.7</v>
      </c>
      <c r="AP242" s="2">
        <v>564</v>
      </c>
      <c r="AQ242" s="2">
        <v>68</v>
      </c>
      <c r="AR242" s="2">
        <v>1.8</v>
      </c>
      <c r="AS242" s="2">
        <v>43</v>
      </c>
      <c r="AT242" s="2">
        <v>25.4</v>
      </c>
      <c r="AU242" s="2">
        <v>162</v>
      </c>
      <c r="AV242" s="2">
        <v>9.1</v>
      </c>
      <c r="AW242" s="2">
        <v>9.1999999999999993</v>
      </c>
      <c r="AX242" s="2">
        <v>18.3</v>
      </c>
      <c r="AY242" s="2">
        <v>0.34</v>
      </c>
      <c r="AZ242" s="2">
        <v>7.3</v>
      </c>
      <c r="BA242" s="2">
        <v>0.9</v>
      </c>
      <c r="BB242" s="2">
        <v>7.5</v>
      </c>
      <c r="BC242" s="2">
        <v>2.9</v>
      </c>
      <c r="BD242" s="2">
        <f>+AN242*EXP(-0.0495*Y242)</f>
        <v>9.2037292354880407</v>
      </c>
      <c r="BE242" s="2">
        <f>+AO242*EXP(-0.024*Y242)</f>
        <v>28.809677223621105</v>
      </c>
    </row>
    <row r="243" spans="1:57" x14ac:dyDescent="0.2">
      <c r="A243" s="2" t="s">
        <v>2021</v>
      </c>
      <c r="B243" s="2" t="s">
        <v>19</v>
      </c>
      <c r="C243" s="2" t="s">
        <v>1907</v>
      </c>
      <c r="D243" s="2" t="s">
        <v>21</v>
      </c>
      <c r="E243" s="2" t="s">
        <v>1539</v>
      </c>
      <c r="F243" s="2">
        <v>6</v>
      </c>
      <c r="G243" s="2">
        <v>167.17</v>
      </c>
      <c r="H243" s="2">
        <v>4</v>
      </c>
      <c r="I243" s="2">
        <v>5</v>
      </c>
      <c r="J243" s="2">
        <v>2</v>
      </c>
      <c r="K243" s="2" t="s">
        <v>61</v>
      </c>
      <c r="L243" s="6" t="s">
        <v>75</v>
      </c>
      <c r="M243" s="5">
        <v>1100000000</v>
      </c>
      <c r="N243" s="2">
        <v>0</v>
      </c>
      <c r="O243" s="2">
        <v>4.80037117</v>
      </c>
      <c r="P243" s="2">
        <v>-74.073196409999994</v>
      </c>
      <c r="Q243" s="2" t="s">
        <v>2022</v>
      </c>
      <c r="R243" s="2">
        <v>6580128.0130000003</v>
      </c>
      <c r="S243" s="2">
        <v>0</v>
      </c>
      <c r="T243" s="2" t="s">
        <v>102</v>
      </c>
      <c r="U243" s="2" t="s">
        <v>103</v>
      </c>
      <c r="V243" s="2" t="s">
        <v>28</v>
      </c>
      <c r="W243" s="2" t="s">
        <v>70</v>
      </c>
      <c r="X243" s="2" t="s">
        <v>104</v>
      </c>
      <c r="Y243" s="2">
        <v>3.71665467420747</v>
      </c>
      <c r="Z243" s="2">
        <v>4.7837500000000004</v>
      </c>
      <c r="AA243" s="2">
        <v>-74.044138888888895</v>
      </c>
      <c r="AB243" s="2">
        <v>2580</v>
      </c>
      <c r="AC243" s="2" t="s">
        <v>105</v>
      </c>
      <c r="AD243" s="2" t="s">
        <v>58</v>
      </c>
      <c r="AE243" s="2" t="s">
        <v>33</v>
      </c>
      <c r="AF243" s="2" t="s">
        <v>34</v>
      </c>
      <c r="AG243" s="2" t="s">
        <v>72</v>
      </c>
      <c r="AH243" s="2">
        <v>4.7900787504893296</v>
      </c>
      <c r="AI243" s="2">
        <v>0.84384938832921597</v>
      </c>
      <c r="AJ243" s="2">
        <v>2.8979209628964102</v>
      </c>
      <c r="AK243" s="2">
        <v>1.11843236761011</v>
      </c>
      <c r="AL243" s="2">
        <v>2.2450882786661999</v>
      </c>
      <c r="AM243" s="2">
        <v>15.3</v>
      </c>
      <c r="AN243" s="2">
        <v>9.8000000000000007</v>
      </c>
      <c r="AO243" s="2">
        <v>29.7</v>
      </c>
      <c r="AP243" s="2">
        <v>564</v>
      </c>
      <c r="AQ243" s="2">
        <v>68</v>
      </c>
      <c r="AR243" s="2">
        <v>1.8</v>
      </c>
      <c r="AS243" s="2">
        <v>43</v>
      </c>
      <c r="AT243" s="2">
        <v>25.4</v>
      </c>
      <c r="AU243" s="2">
        <v>162</v>
      </c>
      <c r="AV243" s="2">
        <v>9.1</v>
      </c>
      <c r="AW243" s="2">
        <v>9.1999999999999993</v>
      </c>
      <c r="AX243" s="2">
        <v>18.3</v>
      </c>
      <c r="AY243" s="2">
        <v>0.34</v>
      </c>
      <c r="AZ243" s="2">
        <v>7.3</v>
      </c>
      <c r="BA243" s="2">
        <v>0.9</v>
      </c>
      <c r="BB243" s="2">
        <v>7.5</v>
      </c>
      <c r="BC243" s="2">
        <v>2.9</v>
      </c>
      <c r="BD243" s="2">
        <f>+AN243*EXP(-0.0495*Y243)</f>
        <v>8.1531795442650239</v>
      </c>
      <c r="BE243" s="2">
        <f>+AO243*EXP(-0.024*Y243)</f>
        <v>27.165487714579182</v>
      </c>
    </row>
    <row r="244" spans="1:57" x14ac:dyDescent="0.2">
      <c r="A244" s="2" t="s">
        <v>2507</v>
      </c>
      <c r="B244" s="2" t="s">
        <v>19</v>
      </c>
      <c r="C244" s="2" t="s">
        <v>1907</v>
      </c>
      <c r="D244" s="2" t="s">
        <v>21</v>
      </c>
      <c r="E244" s="2" t="s">
        <v>2212</v>
      </c>
      <c r="F244" s="2">
        <v>6</v>
      </c>
      <c r="G244" s="2">
        <v>167</v>
      </c>
      <c r="H244" s="2">
        <v>4</v>
      </c>
      <c r="I244" s="2">
        <v>5</v>
      </c>
      <c r="J244" s="2">
        <v>2</v>
      </c>
      <c r="K244" s="2" t="s">
        <v>61</v>
      </c>
      <c r="L244" s="6" t="s">
        <v>75</v>
      </c>
      <c r="M244" s="5">
        <v>1100000000</v>
      </c>
      <c r="N244" s="2">
        <v>0</v>
      </c>
      <c r="O244" s="2">
        <v>4.80105</v>
      </c>
      <c r="P244" s="2">
        <v>-74.068799999999996</v>
      </c>
      <c r="Q244" s="2" t="s">
        <v>2508</v>
      </c>
      <c r="R244" s="2">
        <v>6586826.3470000001</v>
      </c>
      <c r="S244" s="2">
        <v>0</v>
      </c>
      <c r="T244" s="2" t="s">
        <v>102</v>
      </c>
      <c r="U244" s="2" t="s">
        <v>103</v>
      </c>
      <c r="V244" s="2" t="s">
        <v>28</v>
      </c>
      <c r="W244" s="2" t="s">
        <v>70</v>
      </c>
      <c r="X244" s="2" t="s">
        <v>104</v>
      </c>
      <c r="Y244" s="2">
        <v>3.3455450932348199</v>
      </c>
      <c r="Z244" s="2">
        <v>4.7837500000000004</v>
      </c>
      <c r="AA244" s="2">
        <v>-74.044138888888895</v>
      </c>
      <c r="AB244" s="2">
        <v>2580</v>
      </c>
      <c r="AC244" s="2" t="s">
        <v>105</v>
      </c>
      <c r="AD244" s="2" t="s">
        <v>58</v>
      </c>
      <c r="AE244" s="2" t="s">
        <v>33</v>
      </c>
      <c r="AF244" s="2" t="s">
        <v>34</v>
      </c>
      <c r="AG244" s="2" t="s">
        <v>72</v>
      </c>
      <c r="AH244" s="2">
        <v>4.5287617179422099</v>
      </c>
      <c r="AI244" s="2">
        <v>1.17051234638972</v>
      </c>
      <c r="AJ244" s="2">
        <v>2.41282607146616</v>
      </c>
      <c r="AK244" s="2">
        <v>1.5105826192232199</v>
      </c>
      <c r="AL244" s="2">
        <v>1.81164841559351</v>
      </c>
      <c r="AM244" s="2">
        <v>15.3</v>
      </c>
      <c r="AN244" s="2">
        <v>9.8000000000000007</v>
      </c>
      <c r="AO244" s="2">
        <v>29.7</v>
      </c>
      <c r="AP244" s="2">
        <v>564</v>
      </c>
      <c r="AQ244" s="2">
        <v>68</v>
      </c>
      <c r="AR244" s="2">
        <v>1.8</v>
      </c>
      <c r="AS244" s="2">
        <v>43</v>
      </c>
      <c r="AT244" s="2">
        <v>25.4</v>
      </c>
      <c r="AU244" s="2">
        <v>162</v>
      </c>
      <c r="AV244" s="2">
        <v>9.1</v>
      </c>
      <c r="AW244" s="2">
        <v>9.1999999999999993</v>
      </c>
      <c r="AX244" s="2">
        <v>18.3</v>
      </c>
      <c r="AY244" s="2">
        <v>0.34</v>
      </c>
      <c r="AZ244" s="2">
        <v>7.3</v>
      </c>
      <c r="BA244" s="2">
        <v>0.9</v>
      </c>
      <c r="BB244" s="2">
        <v>7.5</v>
      </c>
      <c r="BC244" s="2">
        <v>2.9</v>
      </c>
      <c r="BD244" s="2">
        <f>+AN244*EXP(-0.0495*Y244)</f>
        <v>8.3043369593892482</v>
      </c>
      <c r="BE244" s="2">
        <f>+AO244*EXP(-0.024*Y244)</f>
        <v>27.408521359640108</v>
      </c>
    </row>
    <row r="245" spans="1:57" x14ac:dyDescent="0.2">
      <c r="A245" s="2" t="s">
        <v>659</v>
      </c>
      <c r="B245" s="2" t="s">
        <v>19</v>
      </c>
      <c r="C245" s="2" t="s">
        <v>20</v>
      </c>
      <c r="D245" s="2" t="s">
        <v>21</v>
      </c>
      <c r="E245" s="2" t="s">
        <v>660</v>
      </c>
      <c r="F245" s="2">
        <v>5</v>
      </c>
      <c r="G245" s="2">
        <v>166.15</v>
      </c>
      <c r="H245" s="2">
        <v>3</v>
      </c>
      <c r="I245" s="2">
        <v>3</v>
      </c>
      <c r="J245" s="2">
        <v>2</v>
      </c>
      <c r="K245" s="2" t="s">
        <v>61</v>
      </c>
      <c r="L245" s="6" t="s">
        <v>113</v>
      </c>
      <c r="M245" s="5">
        <v>895000000</v>
      </c>
      <c r="N245" s="2">
        <v>0</v>
      </c>
      <c r="O245" s="2">
        <v>4.7248650000000003</v>
      </c>
      <c r="P245" s="2">
        <v>-74.062875000000005</v>
      </c>
      <c r="Q245" s="2" t="s">
        <v>661</v>
      </c>
      <c r="R245" s="2">
        <v>5386698.7659999998</v>
      </c>
      <c r="S245" s="2">
        <v>0</v>
      </c>
      <c r="T245" s="2" t="s">
        <v>68</v>
      </c>
      <c r="U245" s="2" t="s">
        <v>69</v>
      </c>
      <c r="V245" s="2" t="s">
        <v>28</v>
      </c>
      <c r="W245" s="2" t="s">
        <v>70</v>
      </c>
      <c r="X245" s="2" t="s">
        <v>71</v>
      </c>
      <c r="Y245" s="2">
        <v>1.55545823302299</v>
      </c>
      <c r="Z245" s="2">
        <v>4.73719444444444</v>
      </c>
      <c r="AA245" s="2">
        <v>-74.069472222222203</v>
      </c>
      <c r="AB245" s="2">
        <v>2555</v>
      </c>
      <c r="AC245" s="2" t="s">
        <v>31</v>
      </c>
      <c r="AD245" s="2" t="s">
        <v>58</v>
      </c>
      <c r="AE245" s="2" t="s">
        <v>33</v>
      </c>
      <c r="AF245" s="2" t="s">
        <v>34</v>
      </c>
      <c r="AG245" s="2" t="s">
        <v>72</v>
      </c>
      <c r="AH245" s="2">
        <v>1.33036082958143</v>
      </c>
      <c r="AI245" s="2">
        <v>4.3964880648169702</v>
      </c>
      <c r="AJ245" s="2">
        <v>1.29658530989743</v>
      </c>
      <c r="AK245" s="2">
        <v>0.175784622374271</v>
      </c>
      <c r="AL245" s="2">
        <v>0.49430757729277403</v>
      </c>
      <c r="AM245" s="2">
        <v>15.3</v>
      </c>
      <c r="AN245" s="2">
        <v>9.8000000000000007</v>
      </c>
      <c r="AO245" s="2">
        <v>29.7</v>
      </c>
      <c r="AP245" s="2">
        <v>564</v>
      </c>
      <c r="AQ245" s="2">
        <v>68</v>
      </c>
      <c r="AR245" s="2">
        <v>1.8</v>
      </c>
      <c r="AS245" s="2">
        <v>43</v>
      </c>
      <c r="AT245" s="2">
        <v>25.4</v>
      </c>
      <c r="AU245" s="2">
        <v>162</v>
      </c>
      <c r="AV245" s="2">
        <v>9.1</v>
      </c>
      <c r="AW245" s="2">
        <v>9.1999999999999993</v>
      </c>
      <c r="AX245" s="2">
        <v>18.3</v>
      </c>
      <c r="AY245" s="2">
        <v>0.34</v>
      </c>
      <c r="AZ245" s="2">
        <v>7.3</v>
      </c>
      <c r="BA245" s="2">
        <v>0.9</v>
      </c>
      <c r="BB245" s="2">
        <v>7.5</v>
      </c>
      <c r="BC245" s="2">
        <v>2.9</v>
      </c>
      <c r="BD245" s="2">
        <f>+AN245*EXP(-0.0495*Y245)</f>
        <v>9.0737642777834751</v>
      </c>
      <c r="BE245" s="2">
        <f>+AO245*EXP(-0.024*Y245)</f>
        <v>28.611709245473961</v>
      </c>
    </row>
    <row r="246" spans="1:57" x14ac:dyDescent="0.2">
      <c r="A246" s="2" t="s">
        <v>1365</v>
      </c>
      <c r="B246" s="2" t="s">
        <v>19</v>
      </c>
      <c r="C246" s="2" t="s">
        <v>20</v>
      </c>
      <c r="D246" s="2" t="s">
        <v>21</v>
      </c>
      <c r="E246" s="2" t="s">
        <v>406</v>
      </c>
      <c r="F246" s="2">
        <v>6</v>
      </c>
      <c r="G246" s="2">
        <v>166</v>
      </c>
      <c r="H246" s="2">
        <v>3</v>
      </c>
      <c r="I246" s="2">
        <v>5</v>
      </c>
      <c r="J246" s="2">
        <v>4</v>
      </c>
      <c r="K246" s="2" t="s">
        <v>61</v>
      </c>
      <c r="L246" s="6" t="s">
        <v>62</v>
      </c>
      <c r="M246" s="5">
        <v>1330000000</v>
      </c>
      <c r="N246" s="2">
        <v>0</v>
      </c>
      <c r="O246" s="2">
        <v>4.741711617</v>
      </c>
      <c r="P246" s="2">
        <v>-74.074104309999996</v>
      </c>
      <c r="Q246" s="2" t="s">
        <v>1366</v>
      </c>
      <c r="R246" s="2">
        <v>8012048.193</v>
      </c>
      <c r="S246" s="2">
        <v>0</v>
      </c>
      <c r="T246" s="2" t="s">
        <v>68</v>
      </c>
      <c r="U246" s="2" t="s">
        <v>69</v>
      </c>
      <c r="V246" s="2" t="s">
        <v>28</v>
      </c>
      <c r="W246" s="2" t="s">
        <v>70</v>
      </c>
      <c r="X246" s="2" t="s">
        <v>71</v>
      </c>
      <c r="Y246" s="2">
        <v>0.71897747891943098</v>
      </c>
      <c r="Z246" s="2">
        <v>4.73719444444444</v>
      </c>
      <c r="AA246" s="2">
        <v>-74.069472222222203</v>
      </c>
      <c r="AB246" s="2">
        <v>2555</v>
      </c>
      <c r="AC246" s="2" t="s">
        <v>31</v>
      </c>
      <c r="AD246" s="2" t="s">
        <v>58</v>
      </c>
      <c r="AE246" s="2" t="s">
        <v>33</v>
      </c>
      <c r="AF246" s="2" t="s">
        <v>34</v>
      </c>
      <c r="AG246" s="2" t="s">
        <v>72</v>
      </c>
      <c r="AH246" s="2">
        <v>1.0257894740594</v>
      </c>
      <c r="AI246" s="2">
        <v>4.9130331474529001</v>
      </c>
      <c r="AJ246" s="2">
        <v>2.6229479001849199</v>
      </c>
      <c r="AK246" s="2">
        <v>0.94499465881549605</v>
      </c>
      <c r="AL246" s="2">
        <v>8.8845211294589194E-2</v>
      </c>
      <c r="AM246" s="2">
        <v>15.3</v>
      </c>
      <c r="AN246" s="2">
        <v>9.8000000000000007</v>
      </c>
      <c r="AO246" s="2">
        <v>29.7</v>
      </c>
      <c r="AP246" s="2">
        <v>564</v>
      </c>
      <c r="AQ246" s="2">
        <v>68</v>
      </c>
      <c r="AR246" s="2">
        <v>1.8</v>
      </c>
      <c r="AS246" s="2">
        <v>43</v>
      </c>
      <c r="AT246" s="2">
        <v>25.4</v>
      </c>
      <c r="AU246" s="2">
        <v>162</v>
      </c>
      <c r="AV246" s="2">
        <v>9.1</v>
      </c>
      <c r="AW246" s="2">
        <v>9.1999999999999993</v>
      </c>
      <c r="AX246" s="2">
        <v>18.3</v>
      </c>
      <c r="AY246" s="2">
        <v>0.34</v>
      </c>
      <c r="AZ246" s="2">
        <v>7.3</v>
      </c>
      <c r="BA246" s="2">
        <v>0.9</v>
      </c>
      <c r="BB246" s="2">
        <v>7.5</v>
      </c>
      <c r="BC246" s="2">
        <v>2.9</v>
      </c>
      <c r="BD246" s="2">
        <f>+AN246*EXP(-0.0495*Y246)</f>
        <v>9.4573574098269493</v>
      </c>
      <c r="BE246" s="2">
        <f>+AO246*EXP(-0.024*Y246)</f>
        <v>29.191909130712865</v>
      </c>
    </row>
    <row r="247" spans="1:57" x14ac:dyDescent="0.2">
      <c r="A247" s="2" t="s">
        <v>3182</v>
      </c>
      <c r="B247" s="2" t="s">
        <v>19</v>
      </c>
      <c r="C247" s="2" t="s">
        <v>1907</v>
      </c>
      <c r="D247" s="2" t="s">
        <v>21</v>
      </c>
      <c r="E247" s="2" t="s">
        <v>3168</v>
      </c>
      <c r="F247" s="2">
        <v>6</v>
      </c>
      <c r="G247" s="2">
        <v>165.85</v>
      </c>
      <c r="H247" s="2">
        <v>4</v>
      </c>
      <c r="I247" s="2">
        <v>4</v>
      </c>
      <c r="J247" s="2">
        <v>2</v>
      </c>
      <c r="K247" s="2" t="s">
        <v>61</v>
      </c>
      <c r="L247" s="6" t="s">
        <v>75</v>
      </c>
      <c r="M247" s="5">
        <v>1200000000</v>
      </c>
      <c r="N247" s="2">
        <v>0</v>
      </c>
      <c r="O247" s="2">
        <v>4.7993499999999996</v>
      </c>
      <c r="P247" s="2">
        <v>-74.073459999999997</v>
      </c>
      <c r="Q247" s="2" t="s">
        <v>3183</v>
      </c>
      <c r="R247" s="2">
        <v>7235453.7230000002</v>
      </c>
      <c r="S247" s="2">
        <v>0</v>
      </c>
      <c r="T247" s="2" t="s">
        <v>102</v>
      </c>
      <c r="U247" s="2" t="s">
        <v>103</v>
      </c>
      <c r="V247" s="2" t="s">
        <v>28</v>
      </c>
      <c r="W247" s="2" t="s">
        <v>70</v>
      </c>
      <c r="X247" s="2" t="s">
        <v>104</v>
      </c>
      <c r="Y247" s="2">
        <v>3.6871611395105699</v>
      </c>
      <c r="Z247" s="2">
        <v>4.7837500000000004</v>
      </c>
      <c r="AA247" s="2">
        <v>-74.044138888888895</v>
      </c>
      <c r="AB247" s="2">
        <v>2580</v>
      </c>
      <c r="AC247" s="2" t="s">
        <v>105</v>
      </c>
      <c r="AD247" s="2" t="s">
        <v>58</v>
      </c>
      <c r="AE247" s="2" t="s">
        <v>33</v>
      </c>
      <c r="AF247" s="2" t="s">
        <v>34</v>
      </c>
      <c r="AG247" s="2" t="s">
        <v>72</v>
      </c>
      <c r="AH247" s="2">
        <v>4.7289952597657896</v>
      </c>
      <c r="AI247" s="2">
        <v>0.91236428975934503</v>
      </c>
      <c r="AJ247" s="2">
        <v>2.9279645638132799</v>
      </c>
      <c r="AK247" s="2">
        <v>1.0115505489813901</v>
      </c>
      <c r="AL247" s="2">
        <v>2.2439383550145502</v>
      </c>
      <c r="AM247" s="2">
        <v>15.3</v>
      </c>
      <c r="AN247" s="2">
        <v>9.8000000000000007</v>
      </c>
      <c r="AO247" s="2">
        <v>29.7</v>
      </c>
      <c r="AP247" s="2">
        <v>564</v>
      </c>
      <c r="AQ247" s="2">
        <v>68</v>
      </c>
      <c r="AR247" s="2">
        <v>1.8</v>
      </c>
      <c r="AS247" s="2">
        <v>43</v>
      </c>
      <c r="AT247" s="2">
        <v>25.4</v>
      </c>
      <c r="AU247" s="2">
        <v>162</v>
      </c>
      <c r="AV247" s="2">
        <v>9.1</v>
      </c>
      <c r="AW247" s="2">
        <v>9.1999999999999993</v>
      </c>
      <c r="AX247" s="2">
        <v>18.3</v>
      </c>
      <c r="AY247" s="2">
        <v>0.34</v>
      </c>
      <c r="AZ247" s="2">
        <v>7.3</v>
      </c>
      <c r="BA247" s="2">
        <v>0.9</v>
      </c>
      <c r="BB247" s="2">
        <v>7.5</v>
      </c>
      <c r="BC247" s="2">
        <v>2.9</v>
      </c>
      <c r="BD247" s="2">
        <f>+AN247*EXP(-0.0495*Y247)</f>
        <v>8.1650913084671153</v>
      </c>
      <c r="BE247" s="2">
        <f>+AO247*EXP(-0.024*Y247)</f>
        <v>27.184723471848947</v>
      </c>
    </row>
    <row r="248" spans="1:57" x14ac:dyDescent="0.2">
      <c r="A248" s="2" t="s">
        <v>299</v>
      </c>
      <c r="B248" s="2" t="s">
        <v>19</v>
      </c>
      <c r="C248" s="2" t="s">
        <v>20</v>
      </c>
      <c r="D248" s="2" t="s">
        <v>21</v>
      </c>
      <c r="E248" s="2" t="s">
        <v>300</v>
      </c>
      <c r="F248" s="2">
        <v>6</v>
      </c>
      <c r="G248" s="2">
        <v>165.4</v>
      </c>
      <c r="H248" s="2">
        <v>3</v>
      </c>
      <c r="I248" s="2">
        <v>3</v>
      </c>
      <c r="J248" s="2">
        <v>3</v>
      </c>
      <c r="K248" s="2" t="s">
        <v>61</v>
      </c>
      <c r="L248" s="6" t="s">
        <v>62</v>
      </c>
      <c r="M248" s="5">
        <v>1650000000</v>
      </c>
      <c r="N248" s="2">
        <v>0</v>
      </c>
      <c r="O248" s="2">
        <v>4.7428929999999996</v>
      </c>
      <c r="P248" s="2">
        <v>-74.075484000000003</v>
      </c>
      <c r="Q248" s="2" t="s">
        <v>301</v>
      </c>
      <c r="R248" s="2">
        <v>9975816.2029999997</v>
      </c>
      <c r="S248" s="2">
        <v>0</v>
      </c>
      <c r="T248" s="2" t="s">
        <v>68</v>
      </c>
      <c r="U248" s="2" t="s">
        <v>69</v>
      </c>
      <c r="V248" s="2" t="s">
        <v>28</v>
      </c>
      <c r="W248" s="2" t="s">
        <v>70</v>
      </c>
      <c r="X248" s="2" t="s">
        <v>71</v>
      </c>
      <c r="Y248" s="2">
        <v>0.92044602673895504</v>
      </c>
      <c r="Z248" s="2">
        <v>4.73719444444444</v>
      </c>
      <c r="AA248" s="2">
        <v>-74.069472222222203</v>
      </c>
      <c r="AB248" s="2">
        <v>2555</v>
      </c>
      <c r="AC248" s="2" t="s">
        <v>31</v>
      </c>
      <c r="AD248" s="2" t="s">
        <v>58</v>
      </c>
      <c r="AE248" s="2" t="s">
        <v>33</v>
      </c>
      <c r="AF248" s="2" t="s">
        <v>34</v>
      </c>
      <c r="AG248" s="2" t="s">
        <v>72</v>
      </c>
      <c r="AH248" s="2">
        <v>1.0189483938498101</v>
      </c>
      <c r="AI248" s="2">
        <v>4.7178536404104996</v>
      </c>
      <c r="AJ248" s="2">
        <v>2.69861137464589</v>
      </c>
      <c r="AK248" s="2">
        <v>0.89391377712652798</v>
      </c>
      <c r="AL248" s="2">
        <v>2.4248676681473E-2</v>
      </c>
      <c r="AM248" s="2">
        <v>15.3</v>
      </c>
      <c r="AN248" s="2">
        <v>9.8000000000000007</v>
      </c>
      <c r="AO248" s="2">
        <v>29.7</v>
      </c>
      <c r="AP248" s="2">
        <v>564</v>
      </c>
      <c r="AQ248" s="2">
        <v>68</v>
      </c>
      <c r="AR248" s="2">
        <v>1.8</v>
      </c>
      <c r="AS248" s="2">
        <v>43</v>
      </c>
      <c r="AT248" s="2">
        <v>25.4</v>
      </c>
      <c r="AU248" s="2">
        <v>162</v>
      </c>
      <c r="AV248" s="2">
        <v>9.1</v>
      </c>
      <c r="AW248" s="2">
        <v>9.1999999999999993</v>
      </c>
      <c r="AX248" s="2">
        <v>18.3</v>
      </c>
      <c r="AY248" s="2">
        <v>0.34</v>
      </c>
      <c r="AZ248" s="2">
        <v>7.3</v>
      </c>
      <c r="BA248" s="2">
        <v>0.9</v>
      </c>
      <c r="BB248" s="2">
        <v>7.5</v>
      </c>
      <c r="BC248" s="2">
        <v>2.9</v>
      </c>
      <c r="BD248" s="2">
        <f>+AN248*EXP(-0.0495*Y248)</f>
        <v>9.3635108161083433</v>
      </c>
      <c r="BE248" s="2">
        <f>+AO248*EXP(-0.024*Y248)</f>
        <v>29.051099791912172</v>
      </c>
    </row>
    <row r="249" spans="1:57" x14ac:dyDescent="0.2">
      <c r="A249" s="2" t="s">
        <v>2695</v>
      </c>
      <c r="B249" s="2" t="s">
        <v>19</v>
      </c>
      <c r="C249" s="2" t="s">
        <v>1907</v>
      </c>
      <c r="D249" s="2" t="s">
        <v>21</v>
      </c>
      <c r="E249" s="2" t="s">
        <v>228</v>
      </c>
      <c r="F249" s="2">
        <v>5</v>
      </c>
      <c r="G249" s="2">
        <v>164</v>
      </c>
      <c r="H249" s="2">
        <v>3</v>
      </c>
      <c r="I249" s="2">
        <v>4</v>
      </c>
      <c r="J249" s="2">
        <v>2</v>
      </c>
      <c r="K249" s="2" t="s">
        <v>61</v>
      </c>
      <c r="L249" s="6" t="s">
        <v>75</v>
      </c>
      <c r="M249" s="5">
        <v>850000000</v>
      </c>
      <c r="N249" s="2">
        <v>0</v>
      </c>
      <c r="O249" s="2">
        <v>4.72471</v>
      </c>
      <c r="P249" s="2">
        <v>-74.063389999999998</v>
      </c>
      <c r="Q249" s="2" t="s">
        <v>2696</v>
      </c>
      <c r="R249" s="2">
        <v>5182926.8289999999</v>
      </c>
      <c r="S249" s="2">
        <v>0</v>
      </c>
      <c r="T249" s="2" t="s">
        <v>68</v>
      </c>
      <c r="U249" s="2" t="s">
        <v>69</v>
      </c>
      <c r="V249" s="2" t="s">
        <v>28</v>
      </c>
      <c r="W249" s="2" t="s">
        <v>70</v>
      </c>
      <c r="X249" s="2" t="s">
        <v>71</v>
      </c>
      <c r="Y249" s="2">
        <v>1.54490894069039</v>
      </c>
      <c r="Z249" s="2">
        <v>4.73719444444444</v>
      </c>
      <c r="AA249" s="2">
        <v>-74.069472222222203</v>
      </c>
      <c r="AB249" s="2">
        <v>2555</v>
      </c>
      <c r="AC249" s="2" t="s">
        <v>31</v>
      </c>
      <c r="AD249" s="2" t="s">
        <v>58</v>
      </c>
      <c r="AE249" s="2" t="s">
        <v>33</v>
      </c>
      <c r="AF249" s="2" t="s">
        <v>34</v>
      </c>
      <c r="AG249" s="2" t="s">
        <v>72</v>
      </c>
      <c r="AH249" s="2">
        <v>1.2926942352845701</v>
      </c>
      <c r="AI249" s="2">
        <v>4.45096957456723</v>
      </c>
      <c r="AJ249" s="2">
        <v>1.24346089733295</v>
      </c>
      <c r="AK249" s="2">
        <v>0.15832913502287899</v>
      </c>
      <c r="AL249" s="2">
        <v>0.53497594230655299</v>
      </c>
      <c r="AM249" s="2">
        <v>15.3</v>
      </c>
      <c r="AN249" s="2">
        <v>9.8000000000000007</v>
      </c>
      <c r="AO249" s="2">
        <v>29.7</v>
      </c>
      <c r="AP249" s="2">
        <v>564</v>
      </c>
      <c r="AQ249" s="2">
        <v>68</v>
      </c>
      <c r="AR249" s="2">
        <v>1.8</v>
      </c>
      <c r="AS249" s="2">
        <v>43</v>
      </c>
      <c r="AT249" s="2">
        <v>25.4</v>
      </c>
      <c r="AU249" s="2">
        <v>162</v>
      </c>
      <c r="AV249" s="2">
        <v>9.1</v>
      </c>
      <c r="AW249" s="2">
        <v>9.1999999999999993</v>
      </c>
      <c r="AX249" s="2">
        <v>18.3</v>
      </c>
      <c r="AY249" s="2">
        <v>0.34</v>
      </c>
      <c r="AZ249" s="2">
        <v>7.3</v>
      </c>
      <c r="BA249" s="2">
        <v>0.9</v>
      </c>
      <c r="BB249" s="2">
        <v>7.5</v>
      </c>
      <c r="BC249" s="2">
        <v>2.9</v>
      </c>
      <c r="BD249" s="2">
        <f>+AN249*EXP(-0.0495*Y249)</f>
        <v>9.0785037438268041</v>
      </c>
      <c r="BE249" s="2">
        <f>+AO249*EXP(-0.024*Y249)</f>
        <v>28.618954161419275</v>
      </c>
    </row>
    <row r="250" spans="1:57" x14ac:dyDescent="0.2">
      <c r="A250" s="2" t="s">
        <v>945</v>
      </c>
      <c r="B250" s="2" t="s">
        <v>19</v>
      </c>
      <c r="C250" s="2" t="s">
        <v>20</v>
      </c>
      <c r="D250" s="2" t="s">
        <v>21</v>
      </c>
      <c r="E250" s="2" t="s">
        <v>483</v>
      </c>
      <c r="F250" s="2">
        <v>6</v>
      </c>
      <c r="G250" s="2">
        <v>162.72</v>
      </c>
      <c r="H250" s="2">
        <v>3</v>
      </c>
      <c r="I250" s="2">
        <v>3</v>
      </c>
      <c r="J250" s="2">
        <v>3</v>
      </c>
      <c r="K250" s="2" t="s">
        <v>61</v>
      </c>
      <c r="L250" s="6" t="s">
        <v>113</v>
      </c>
      <c r="M250" s="5">
        <v>900000000</v>
      </c>
      <c r="N250" s="2">
        <v>0</v>
      </c>
      <c r="O250" s="2">
        <v>4.7201599999999999</v>
      </c>
      <c r="P250" s="2">
        <v>-74.077250000000006</v>
      </c>
      <c r="Q250" s="2" t="s">
        <v>946</v>
      </c>
      <c r="R250" s="2">
        <v>5530973.4510000004</v>
      </c>
      <c r="S250" s="2">
        <v>0</v>
      </c>
      <c r="T250" s="2" t="s">
        <v>68</v>
      </c>
      <c r="U250" s="2" t="s">
        <v>69</v>
      </c>
      <c r="V250" s="2" t="s">
        <v>28</v>
      </c>
      <c r="W250" s="2" t="s">
        <v>70</v>
      </c>
      <c r="X250" s="2" t="s">
        <v>71</v>
      </c>
      <c r="Y250" s="2">
        <v>2.0833555373073702</v>
      </c>
      <c r="Z250" s="2">
        <v>4.73719444444444</v>
      </c>
      <c r="AA250" s="2">
        <v>-74.069472222222203</v>
      </c>
      <c r="AB250" s="2">
        <v>2555</v>
      </c>
      <c r="AC250" s="2" t="s">
        <v>31</v>
      </c>
      <c r="AD250" s="2" t="s">
        <v>58</v>
      </c>
      <c r="AE250" s="2" t="s">
        <v>33</v>
      </c>
      <c r="AF250" s="2" t="s">
        <v>34</v>
      </c>
      <c r="AG250" s="2" t="s">
        <v>72</v>
      </c>
      <c r="AH250" s="2">
        <v>0.30688802155078099</v>
      </c>
      <c r="AI250" s="2">
        <v>5.3788378161252703</v>
      </c>
      <c r="AJ250" s="2">
        <v>0.74295959556851199</v>
      </c>
      <c r="AK250" s="2">
        <v>0.40941849343175202</v>
      </c>
      <c r="AL250" s="2">
        <v>5.9876856593420397E-3</v>
      </c>
      <c r="AM250" s="2">
        <v>15.3</v>
      </c>
      <c r="AN250" s="2">
        <v>9.8000000000000007</v>
      </c>
      <c r="AO250" s="2">
        <v>29.7</v>
      </c>
      <c r="AP250" s="2">
        <v>564</v>
      </c>
      <c r="AQ250" s="2">
        <v>68</v>
      </c>
      <c r="AR250" s="2">
        <v>1.8</v>
      </c>
      <c r="AS250" s="2">
        <v>43</v>
      </c>
      <c r="AT250" s="2">
        <v>25.4</v>
      </c>
      <c r="AU250" s="2">
        <v>162</v>
      </c>
      <c r="AV250" s="2">
        <v>9.1</v>
      </c>
      <c r="AW250" s="2">
        <v>9.1999999999999993</v>
      </c>
      <c r="AX250" s="2">
        <v>18.3</v>
      </c>
      <c r="AY250" s="2">
        <v>0.34</v>
      </c>
      <c r="AZ250" s="2">
        <v>7.3</v>
      </c>
      <c r="BA250" s="2">
        <v>0.9</v>
      </c>
      <c r="BB250" s="2">
        <v>7.5</v>
      </c>
      <c r="BC250" s="2">
        <v>2.9</v>
      </c>
      <c r="BD250" s="2">
        <f>+AN250*EXP(-0.0495*Y250)</f>
        <v>8.8397295879194768</v>
      </c>
      <c r="BE250" s="2">
        <f>+AO250*EXP(-0.024*Y250)</f>
        <v>28.251498852574066</v>
      </c>
    </row>
    <row r="251" spans="1:57" x14ac:dyDescent="0.2">
      <c r="A251" s="2" t="s">
        <v>1717</v>
      </c>
      <c r="B251" s="2" t="s">
        <v>19</v>
      </c>
      <c r="C251" s="2" t="s">
        <v>20</v>
      </c>
      <c r="D251" s="2" t="s">
        <v>21</v>
      </c>
      <c r="E251" s="2" t="s">
        <v>1718</v>
      </c>
      <c r="F251" s="2">
        <v>5</v>
      </c>
      <c r="G251" s="2">
        <v>161.69999999999999</v>
      </c>
      <c r="H251" s="2">
        <v>3</v>
      </c>
      <c r="I251" s="2">
        <v>4</v>
      </c>
      <c r="J251" s="2">
        <v>2</v>
      </c>
      <c r="K251" s="2" t="s">
        <v>61</v>
      </c>
      <c r="L251" s="6" t="s">
        <v>75</v>
      </c>
      <c r="M251" s="5">
        <v>1160000000</v>
      </c>
      <c r="N251" s="2">
        <v>0</v>
      </c>
      <c r="O251" s="2">
        <v>4.7328200000000002</v>
      </c>
      <c r="P251" s="2">
        <v>-74.064099999999996</v>
      </c>
      <c r="Q251" s="2" t="s">
        <v>1719</v>
      </c>
      <c r="R251" s="2">
        <v>7173778.602</v>
      </c>
      <c r="S251" s="2">
        <v>0</v>
      </c>
      <c r="T251" s="2" t="s">
        <v>68</v>
      </c>
      <c r="U251" s="2" t="s">
        <v>69</v>
      </c>
      <c r="V251" s="2" t="s">
        <v>28</v>
      </c>
      <c r="W251" s="2" t="s">
        <v>70</v>
      </c>
      <c r="X251" s="2" t="s">
        <v>71</v>
      </c>
      <c r="Y251" s="2">
        <v>0.769634623659051</v>
      </c>
      <c r="Z251" s="2">
        <v>4.73719444444444</v>
      </c>
      <c r="AA251" s="2">
        <v>-74.069472222222203</v>
      </c>
      <c r="AB251" s="2">
        <v>2555</v>
      </c>
      <c r="AC251" s="2" t="s">
        <v>31</v>
      </c>
      <c r="AD251" s="2" t="s">
        <v>58</v>
      </c>
      <c r="AE251" s="2" t="s">
        <v>33</v>
      </c>
      <c r="AF251" s="2" t="s">
        <v>34</v>
      </c>
      <c r="AG251" s="2" t="s">
        <v>72</v>
      </c>
      <c r="AH251" s="2">
        <v>1.31861353244683</v>
      </c>
      <c r="AI251" s="2">
        <v>4.6681788807356597</v>
      </c>
      <c r="AJ251" s="2">
        <v>1.9422227693517999</v>
      </c>
      <c r="AK251" s="2">
        <v>0.24328687459515899</v>
      </c>
      <c r="AL251" s="2">
        <v>0.21554385001892001</v>
      </c>
      <c r="AM251" s="2">
        <v>15.3</v>
      </c>
      <c r="AN251" s="2">
        <v>9.8000000000000007</v>
      </c>
      <c r="AO251" s="2">
        <v>29.7</v>
      </c>
      <c r="AP251" s="2">
        <v>564</v>
      </c>
      <c r="AQ251" s="2">
        <v>68</v>
      </c>
      <c r="AR251" s="2">
        <v>1.8</v>
      </c>
      <c r="AS251" s="2">
        <v>43</v>
      </c>
      <c r="AT251" s="2">
        <v>25.4</v>
      </c>
      <c r="AU251" s="2">
        <v>162</v>
      </c>
      <c r="AV251" s="2">
        <v>9.1</v>
      </c>
      <c r="AW251" s="2">
        <v>9.1999999999999993</v>
      </c>
      <c r="AX251" s="2">
        <v>18.3</v>
      </c>
      <c r="AY251" s="2">
        <v>0.34</v>
      </c>
      <c r="AZ251" s="2">
        <v>7.3</v>
      </c>
      <c r="BA251" s="2">
        <v>0.9</v>
      </c>
      <c r="BB251" s="2">
        <v>7.5</v>
      </c>
      <c r="BC251" s="2">
        <v>2.9</v>
      </c>
      <c r="BD251" s="2">
        <f>+AN251*EXP(-0.0495*Y251)</f>
        <v>9.4336725227073082</v>
      </c>
      <c r="BE251" s="2">
        <f>+AO251*EXP(-0.024*Y251)</f>
        <v>29.156440005871417</v>
      </c>
    </row>
    <row r="252" spans="1:57" x14ac:dyDescent="0.2">
      <c r="A252" s="2" t="s">
        <v>2734</v>
      </c>
      <c r="B252" s="2" t="s">
        <v>19</v>
      </c>
      <c r="C252" s="2" t="s">
        <v>1907</v>
      </c>
      <c r="D252" s="2" t="s">
        <v>21</v>
      </c>
      <c r="E252" s="2" t="s">
        <v>1675</v>
      </c>
      <c r="F252" s="2">
        <v>6</v>
      </c>
      <c r="G252" s="2">
        <v>160.47999999999999</v>
      </c>
      <c r="H252" s="2">
        <v>3</v>
      </c>
      <c r="I252" s="2">
        <v>5</v>
      </c>
      <c r="J252" s="2">
        <v>4</v>
      </c>
      <c r="K252" s="2" t="s">
        <v>61</v>
      </c>
      <c r="L252" s="6" t="s">
        <v>113</v>
      </c>
      <c r="M252" s="5">
        <v>2000000000</v>
      </c>
      <c r="N252" s="2">
        <v>0</v>
      </c>
      <c r="O252" s="2">
        <v>4.7646253449999998</v>
      </c>
      <c r="P252" s="2">
        <v>-74.063086510000005</v>
      </c>
      <c r="Q252" s="2" t="s">
        <v>2735</v>
      </c>
      <c r="R252" s="2">
        <v>12462612.16</v>
      </c>
      <c r="S252" s="2">
        <v>0</v>
      </c>
      <c r="T252" s="2" t="s">
        <v>102</v>
      </c>
      <c r="U252" s="2" t="s">
        <v>103</v>
      </c>
      <c r="V252" s="2" t="s">
        <v>28</v>
      </c>
      <c r="W252" s="2" t="s">
        <v>70</v>
      </c>
      <c r="X252" s="2" t="s">
        <v>104</v>
      </c>
      <c r="Y252" s="2">
        <v>2.9917366845339899</v>
      </c>
      <c r="Z252" s="2">
        <v>4.7837500000000004</v>
      </c>
      <c r="AA252" s="2">
        <v>-74.044138888888895</v>
      </c>
      <c r="AB252" s="2">
        <v>2580</v>
      </c>
      <c r="AC252" s="2" t="s">
        <v>105</v>
      </c>
      <c r="AD252" s="2" t="s">
        <v>58</v>
      </c>
      <c r="AE252" s="2" t="s">
        <v>33</v>
      </c>
      <c r="AF252" s="2" t="s">
        <v>34</v>
      </c>
      <c r="AG252" s="2" t="s">
        <v>72</v>
      </c>
      <c r="AH252" s="2">
        <v>2.0717822973484399</v>
      </c>
      <c r="AI252" s="2">
        <v>4.0313462919187204</v>
      </c>
      <c r="AJ252" s="2">
        <v>1.63540745234769</v>
      </c>
      <c r="AK252" s="2">
        <v>0.59349534814627702</v>
      </c>
      <c r="AL252" s="2">
        <v>1.6349897306229301E-2</v>
      </c>
      <c r="AM252" s="2">
        <v>15.3</v>
      </c>
      <c r="AN252" s="2">
        <v>9.8000000000000007</v>
      </c>
      <c r="AO252" s="2">
        <v>29.7</v>
      </c>
      <c r="AP252" s="2">
        <v>564</v>
      </c>
      <c r="AQ252" s="2">
        <v>68</v>
      </c>
      <c r="AR252" s="2">
        <v>1.8</v>
      </c>
      <c r="AS252" s="2">
        <v>43</v>
      </c>
      <c r="AT252" s="2">
        <v>25.4</v>
      </c>
      <c r="AU252" s="2">
        <v>162</v>
      </c>
      <c r="AV252" s="2">
        <v>9.1</v>
      </c>
      <c r="AW252" s="2">
        <v>9.1999999999999993</v>
      </c>
      <c r="AX252" s="2">
        <v>18.3</v>
      </c>
      <c r="AY252" s="2">
        <v>0.34</v>
      </c>
      <c r="AZ252" s="2">
        <v>7.3</v>
      </c>
      <c r="BA252" s="2">
        <v>0.9</v>
      </c>
      <c r="BB252" s="2">
        <v>7.5</v>
      </c>
      <c r="BC252" s="2">
        <v>2.9</v>
      </c>
      <c r="BD252" s="2">
        <f>+AN252*EXP(-0.0495*Y252)</f>
        <v>8.4510561336700309</v>
      </c>
      <c r="BE252" s="2">
        <f>+AO252*EXP(-0.024*Y252)</f>
        <v>27.642249061015246</v>
      </c>
    </row>
    <row r="253" spans="1:57" x14ac:dyDescent="0.2">
      <c r="A253" s="2" t="s">
        <v>3062</v>
      </c>
      <c r="B253" s="2" t="s">
        <v>19</v>
      </c>
      <c r="C253" s="2" t="s">
        <v>1907</v>
      </c>
      <c r="D253" s="2" t="s">
        <v>21</v>
      </c>
      <c r="E253" s="2" t="s">
        <v>1539</v>
      </c>
      <c r="F253" s="2">
        <v>6</v>
      </c>
      <c r="G253" s="2">
        <v>160</v>
      </c>
      <c r="H253" s="2">
        <v>3</v>
      </c>
      <c r="I253" s="2">
        <v>5</v>
      </c>
      <c r="J253" s="2">
        <v>2</v>
      </c>
      <c r="K253" s="2" t="s">
        <v>61</v>
      </c>
      <c r="L253" s="6" t="s">
        <v>62</v>
      </c>
      <c r="M253" s="5">
        <v>1100000000</v>
      </c>
      <c r="N253" s="2">
        <v>0</v>
      </c>
      <c r="O253" s="2">
        <v>4.80037117</v>
      </c>
      <c r="P253" s="2">
        <v>-74.073196409999994</v>
      </c>
      <c r="Q253" s="2" t="s">
        <v>3063</v>
      </c>
      <c r="R253" s="2">
        <v>6875000</v>
      </c>
      <c r="S253" s="2">
        <v>0</v>
      </c>
      <c r="T253" s="2" t="s">
        <v>102</v>
      </c>
      <c r="U253" s="2" t="s">
        <v>103</v>
      </c>
      <c r="V253" s="2" t="s">
        <v>28</v>
      </c>
      <c r="W253" s="2" t="s">
        <v>70</v>
      </c>
      <c r="X253" s="2" t="s">
        <v>104</v>
      </c>
      <c r="Y253" s="2">
        <v>3.71665467420747</v>
      </c>
      <c r="Z253" s="2">
        <v>4.7837500000000004</v>
      </c>
      <c r="AA253" s="2">
        <v>-74.044138888888895</v>
      </c>
      <c r="AB253" s="2">
        <v>2580</v>
      </c>
      <c r="AC253" s="2" t="s">
        <v>105</v>
      </c>
      <c r="AD253" s="2" t="s">
        <v>58</v>
      </c>
      <c r="AE253" s="2" t="s">
        <v>33</v>
      </c>
      <c r="AF253" s="2" t="s">
        <v>34</v>
      </c>
      <c r="AG253" s="2" t="s">
        <v>72</v>
      </c>
      <c r="AH253" s="2">
        <v>4.7900787504893296</v>
      </c>
      <c r="AI253" s="2">
        <v>0.84384938832921597</v>
      </c>
      <c r="AJ253" s="2">
        <v>2.8979209628964102</v>
      </c>
      <c r="AK253" s="2">
        <v>1.11843236761011</v>
      </c>
      <c r="AL253" s="2">
        <v>2.2450882786661999</v>
      </c>
      <c r="AM253" s="2">
        <v>15.3</v>
      </c>
      <c r="AN253" s="2">
        <v>9.8000000000000007</v>
      </c>
      <c r="AO253" s="2">
        <v>29.7</v>
      </c>
      <c r="AP253" s="2">
        <v>564</v>
      </c>
      <c r="AQ253" s="2">
        <v>68</v>
      </c>
      <c r="AR253" s="2">
        <v>1.8</v>
      </c>
      <c r="AS253" s="2">
        <v>43</v>
      </c>
      <c r="AT253" s="2">
        <v>25.4</v>
      </c>
      <c r="AU253" s="2">
        <v>162</v>
      </c>
      <c r="AV253" s="2">
        <v>9.1</v>
      </c>
      <c r="AW253" s="2">
        <v>9.1999999999999993</v>
      </c>
      <c r="AX253" s="2">
        <v>18.3</v>
      </c>
      <c r="AY253" s="2">
        <v>0.34</v>
      </c>
      <c r="AZ253" s="2">
        <v>7.3</v>
      </c>
      <c r="BA253" s="2">
        <v>0.9</v>
      </c>
      <c r="BB253" s="2">
        <v>7.5</v>
      </c>
      <c r="BC253" s="2">
        <v>2.9</v>
      </c>
      <c r="BD253" s="2">
        <f>+AN253*EXP(-0.0495*Y253)</f>
        <v>8.1531795442650239</v>
      </c>
      <c r="BE253" s="2">
        <f>+AO253*EXP(-0.024*Y253)</f>
        <v>27.165487714579182</v>
      </c>
    </row>
    <row r="254" spans="1:57" x14ac:dyDescent="0.2">
      <c r="A254" s="2" t="s">
        <v>2072</v>
      </c>
      <c r="B254" s="2" t="s">
        <v>19</v>
      </c>
      <c r="C254" s="2" t="s">
        <v>1907</v>
      </c>
      <c r="D254" s="2" t="s">
        <v>21</v>
      </c>
      <c r="E254" s="2" t="s">
        <v>1938</v>
      </c>
      <c r="F254" s="2">
        <v>5</v>
      </c>
      <c r="G254" s="2">
        <v>160</v>
      </c>
      <c r="H254" s="2">
        <v>4</v>
      </c>
      <c r="I254" s="2">
        <v>3</v>
      </c>
      <c r="J254" s="2">
        <v>1</v>
      </c>
      <c r="K254" s="2" t="s">
        <v>61</v>
      </c>
      <c r="L254" s="6" t="s">
        <v>75</v>
      </c>
      <c r="M254" s="5">
        <v>750000000</v>
      </c>
      <c r="N254" s="2">
        <v>0</v>
      </c>
      <c r="O254" s="2">
        <v>4.7664051059999997</v>
      </c>
      <c r="P254" s="2">
        <v>-74.042663570000002</v>
      </c>
      <c r="Q254" s="2" t="s">
        <v>2073</v>
      </c>
      <c r="R254" s="2">
        <v>4687500</v>
      </c>
      <c r="S254" s="2">
        <v>0</v>
      </c>
      <c r="T254" s="2" t="s">
        <v>102</v>
      </c>
      <c r="U254" s="2" t="s">
        <v>103</v>
      </c>
      <c r="V254" s="2" t="s">
        <v>28</v>
      </c>
      <c r="W254" s="2" t="s">
        <v>70</v>
      </c>
      <c r="X254" s="2" t="s">
        <v>104</v>
      </c>
      <c r="Y254" s="2">
        <v>1.93774855045836</v>
      </c>
      <c r="Z254" s="2">
        <v>4.7837500000000004</v>
      </c>
      <c r="AA254" s="2">
        <v>-74.044138888888895</v>
      </c>
      <c r="AB254" s="2">
        <v>2580</v>
      </c>
      <c r="AC254" s="2" t="s">
        <v>105</v>
      </c>
      <c r="AD254" s="2" t="s">
        <v>58</v>
      </c>
      <c r="AE254" s="2" t="s">
        <v>33</v>
      </c>
      <c r="AF254" s="2" t="s">
        <v>34</v>
      </c>
      <c r="AG254" s="2" t="s">
        <v>59</v>
      </c>
      <c r="AH254" s="2">
        <v>0.285139719662238</v>
      </c>
      <c r="AI254" s="2">
        <v>2.1890943932211702</v>
      </c>
      <c r="AJ254" s="2">
        <v>1.8752661806711901</v>
      </c>
      <c r="AK254" s="2">
        <v>0.33453331455942398</v>
      </c>
      <c r="AL254" s="2">
        <v>0.26059286788941299</v>
      </c>
      <c r="AM254" s="2">
        <v>15.3</v>
      </c>
      <c r="AN254" s="2">
        <v>9.8000000000000007</v>
      </c>
      <c r="AO254" s="2">
        <v>29.7</v>
      </c>
      <c r="AP254" s="2">
        <v>564</v>
      </c>
      <c r="AQ254" s="2">
        <v>68</v>
      </c>
      <c r="AR254" s="2">
        <v>1.8</v>
      </c>
      <c r="AS254" s="2">
        <v>43</v>
      </c>
      <c r="AT254" s="2">
        <v>25.4</v>
      </c>
      <c r="AU254" s="2">
        <v>162</v>
      </c>
      <c r="AV254" s="2">
        <v>9.1</v>
      </c>
      <c r="AW254" s="2">
        <v>9.1999999999999993</v>
      </c>
      <c r="AX254" s="2">
        <v>18.3</v>
      </c>
      <c r="AY254" s="2">
        <v>0.34</v>
      </c>
      <c r="AZ254" s="2">
        <v>7.3</v>
      </c>
      <c r="BA254" s="2">
        <v>0.9</v>
      </c>
      <c r="BB254" s="2">
        <v>7.5</v>
      </c>
      <c r="BC254" s="2">
        <v>2.9</v>
      </c>
      <c r="BD254" s="2">
        <f>+AN254*EXP(-0.0495*Y254)</f>
        <v>8.9036725031515633</v>
      </c>
      <c r="BE254" s="2">
        <f>+AO254*EXP(-0.024*Y254)</f>
        <v>28.350398332315706</v>
      </c>
    </row>
    <row r="255" spans="1:57" x14ac:dyDescent="0.2">
      <c r="A255" s="2" t="s">
        <v>1075</v>
      </c>
      <c r="B255" s="2" t="s">
        <v>19</v>
      </c>
      <c r="C255" s="2" t="s">
        <v>20</v>
      </c>
      <c r="D255" s="2" t="s">
        <v>21</v>
      </c>
      <c r="E255" s="2" t="s">
        <v>91</v>
      </c>
      <c r="F255" s="2">
        <v>5</v>
      </c>
      <c r="G255" s="2">
        <v>157.26</v>
      </c>
      <c r="H255" s="2">
        <v>4</v>
      </c>
      <c r="I255" s="2">
        <v>4</v>
      </c>
      <c r="J255" s="2">
        <v>2</v>
      </c>
      <c r="K255" s="2" t="s">
        <v>61</v>
      </c>
      <c r="L255" s="6" t="s">
        <v>84</v>
      </c>
      <c r="M255" s="5">
        <v>1260000000</v>
      </c>
      <c r="N255" s="2">
        <v>0</v>
      </c>
      <c r="O255" s="2">
        <v>4.7426104999999996</v>
      </c>
      <c r="P255" s="2">
        <v>-74.054869999999994</v>
      </c>
      <c r="Q255" s="2" t="s">
        <v>1076</v>
      </c>
      <c r="R255" s="2">
        <v>8012209.0810000002</v>
      </c>
      <c r="S255" s="2">
        <v>0</v>
      </c>
      <c r="T255" s="2" t="s">
        <v>68</v>
      </c>
      <c r="U255" s="2" t="s">
        <v>69</v>
      </c>
      <c r="V255" s="2" t="s">
        <v>28</v>
      </c>
      <c r="W255" s="2" t="s">
        <v>70</v>
      </c>
      <c r="X255" s="2" t="s">
        <v>71</v>
      </c>
      <c r="Y255" s="2">
        <v>1.72851111775981</v>
      </c>
      <c r="Z255" s="2">
        <v>4.73719444444444</v>
      </c>
      <c r="AA255" s="2">
        <v>-74.069472222222203</v>
      </c>
      <c r="AB255" s="2">
        <v>2555</v>
      </c>
      <c r="AC255" s="2" t="s">
        <v>31</v>
      </c>
      <c r="AD255" s="2" t="s">
        <v>58</v>
      </c>
      <c r="AE255" s="2" t="s">
        <v>33</v>
      </c>
      <c r="AF255" s="2" t="s">
        <v>34</v>
      </c>
      <c r="AG255" s="2" t="s">
        <v>72</v>
      </c>
      <c r="AH255" s="2">
        <v>0.76550910836885699</v>
      </c>
      <c r="AI255" s="2">
        <v>3.8064793343015002</v>
      </c>
      <c r="AJ255" s="2">
        <v>1.1994747960183401</v>
      </c>
      <c r="AK255" s="2">
        <v>0.43335209129386598</v>
      </c>
      <c r="AL255" s="2">
        <v>8.35351075541447E-2</v>
      </c>
      <c r="AM255" s="2">
        <v>15.3</v>
      </c>
      <c r="AN255" s="2">
        <v>9.8000000000000007</v>
      </c>
      <c r="AO255" s="2">
        <v>29.7</v>
      </c>
      <c r="AP255" s="2">
        <v>564</v>
      </c>
      <c r="AQ255" s="2">
        <v>68</v>
      </c>
      <c r="AR255" s="2">
        <v>1.8</v>
      </c>
      <c r="AS255" s="2">
        <v>43</v>
      </c>
      <c r="AT255" s="2">
        <v>25.4</v>
      </c>
      <c r="AU255" s="2">
        <v>162</v>
      </c>
      <c r="AV255" s="2">
        <v>9.1</v>
      </c>
      <c r="AW255" s="2">
        <v>9.1999999999999993</v>
      </c>
      <c r="AX255" s="2">
        <v>18.3</v>
      </c>
      <c r="AY255" s="2">
        <v>0.34</v>
      </c>
      <c r="AZ255" s="2">
        <v>7.3</v>
      </c>
      <c r="BA255" s="2">
        <v>0.9</v>
      </c>
      <c r="BB255" s="2">
        <v>7.5</v>
      </c>
      <c r="BC255" s="2">
        <v>2.9</v>
      </c>
      <c r="BD255" s="2">
        <f>+AN255*EXP(-0.0495*Y255)</f>
        <v>8.9963693046282742</v>
      </c>
      <c r="BE255" s="2">
        <f>+AO255*EXP(-0.024*Y255)</f>
        <v>28.493123543379056</v>
      </c>
    </row>
    <row r="256" spans="1:57" x14ac:dyDescent="0.2">
      <c r="A256" s="2" t="s">
        <v>2893</v>
      </c>
      <c r="B256" s="2" t="s">
        <v>19</v>
      </c>
      <c r="C256" s="2" t="s">
        <v>1907</v>
      </c>
      <c r="D256" s="2" t="s">
        <v>21</v>
      </c>
      <c r="E256" s="2" t="s">
        <v>2894</v>
      </c>
      <c r="F256" s="2">
        <v>5</v>
      </c>
      <c r="G256" s="2">
        <v>157</v>
      </c>
      <c r="H256" s="2">
        <v>5</v>
      </c>
      <c r="I256" s="2">
        <v>5</v>
      </c>
      <c r="J256" s="2">
        <v>3</v>
      </c>
      <c r="K256" s="2" t="s">
        <v>61</v>
      </c>
      <c r="L256" s="6" t="s">
        <v>113</v>
      </c>
      <c r="M256" s="5">
        <v>1300000000</v>
      </c>
      <c r="N256" s="2">
        <v>0</v>
      </c>
      <c r="O256" s="2">
        <v>4.7094696000000003</v>
      </c>
      <c r="P256" s="2">
        <v>-74.0704116</v>
      </c>
      <c r="Q256" s="2" t="s">
        <v>2895</v>
      </c>
      <c r="R256" s="2">
        <v>8280254.7769999998</v>
      </c>
      <c r="S256" s="2">
        <v>0</v>
      </c>
      <c r="T256" s="2" t="s">
        <v>68</v>
      </c>
      <c r="U256" s="2" t="s">
        <v>69</v>
      </c>
      <c r="V256" s="2" t="s">
        <v>28</v>
      </c>
      <c r="W256" s="2" t="s">
        <v>70</v>
      </c>
      <c r="X256" s="2" t="s">
        <v>71</v>
      </c>
      <c r="Y256" s="2">
        <v>3.08807459935784</v>
      </c>
      <c r="Z256" s="2">
        <v>4.73719444444444</v>
      </c>
      <c r="AA256" s="2">
        <v>-74.069472222222203</v>
      </c>
      <c r="AB256" s="2">
        <v>2555</v>
      </c>
      <c r="AC256" s="2" t="s">
        <v>31</v>
      </c>
      <c r="AD256" s="2" t="s">
        <v>58</v>
      </c>
      <c r="AE256" s="2" t="s">
        <v>33</v>
      </c>
      <c r="AF256" s="2" t="s">
        <v>34</v>
      </c>
      <c r="AG256" s="2" t="s">
        <v>72</v>
      </c>
      <c r="AH256" s="2">
        <v>0.31862649046008201</v>
      </c>
      <c r="AI256" s="2">
        <v>5.0269872281975401</v>
      </c>
      <c r="AJ256" s="2">
        <v>0.82339424871885403</v>
      </c>
      <c r="AK256" s="2">
        <v>0.132382856409199</v>
      </c>
      <c r="AL256" s="2">
        <v>0.39095182842074599</v>
      </c>
      <c r="AM256" s="2">
        <v>15.3</v>
      </c>
      <c r="AN256" s="2">
        <v>9.8000000000000007</v>
      </c>
      <c r="AO256" s="2">
        <v>29.7</v>
      </c>
      <c r="AP256" s="2">
        <v>564</v>
      </c>
      <c r="AQ256" s="2">
        <v>68</v>
      </c>
      <c r="AR256" s="2">
        <v>1.8</v>
      </c>
      <c r="AS256" s="2">
        <v>43</v>
      </c>
      <c r="AT256" s="2">
        <v>25.4</v>
      </c>
      <c r="AU256" s="2">
        <v>162</v>
      </c>
      <c r="AV256" s="2">
        <v>9.1</v>
      </c>
      <c r="AW256" s="2">
        <v>9.1999999999999993</v>
      </c>
      <c r="AX256" s="2">
        <v>18.3</v>
      </c>
      <c r="AY256" s="2">
        <v>0.34</v>
      </c>
      <c r="AZ256" s="2">
        <v>7.3</v>
      </c>
      <c r="BA256" s="2">
        <v>0.9</v>
      </c>
      <c r="BB256" s="2">
        <v>7.5</v>
      </c>
      <c r="BC256" s="2">
        <v>2.9</v>
      </c>
      <c r="BD256" s="2">
        <f>+AN256*EXP(-0.0495*Y256)</f>
        <v>8.4108512950701702</v>
      </c>
      <c r="BE256" s="2">
        <f>+AO256*EXP(-0.024*Y256)</f>
        <v>27.578410970542688</v>
      </c>
    </row>
    <row r="257" spans="1:57" x14ac:dyDescent="0.2">
      <c r="A257" s="2" t="s">
        <v>3086</v>
      </c>
      <c r="B257" s="2" t="s">
        <v>19</v>
      </c>
      <c r="C257" s="2" t="s">
        <v>1907</v>
      </c>
      <c r="D257" s="2" t="s">
        <v>21</v>
      </c>
      <c r="E257" s="2" t="s">
        <v>1506</v>
      </c>
      <c r="F257" s="2">
        <v>4</v>
      </c>
      <c r="G257" s="2">
        <v>155</v>
      </c>
      <c r="H257" s="2">
        <v>3</v>
      </c>
      <c r="I257" s="2">
        <v>5</v>
      </c>
      <c r="J257" s="2">
        <v>2</v>
      </c>
      <c r="K257" s="2" t="s">
        <v>61</v>
      </c>
      <c r="L257" s="6" t="s">
        <v>113</v>
      </c>
      <c r="M257" s="5">
        <v>730000000</v>
      </c>
      <c r="N257" s="2">
        <v>0</v>
      </c>
      <c r="O257" s="2">
        <v>4.7385973999999997</v>
      </c>
      <c r="P257" s="2">
        <v>-74.047821299999995</v>
      </c>
      <c r="Q257" s="2" t="s">
        <v>3087</v>
      </c>
      <c r="R257" s="2">
        <v>4709677.4189999998</v>
      </c>
      <c r="S257" s="2">
        <v>0</v>
      </c>
      <c r="T257" s="2" t="s">
        <v>68</v>
      </c>
      <c r="U257" s="2" t="s">
        <v>69</v>
      </c>
      <c r="V257" s="2" t="s">
        <v>28</v>
      </c>
      <c r="W257" s="2" t="s">
        <v>70</v>
      </c>
      <c r="X257" s="2" t="s">
        <v>71</v>
      </c>
      <c r="Y257" s="2">
        <v>2.4070060436293099</v>
      </c>
      <c r="Z257" s="2">
        <v>4.73719444444444</v>
      </c>
      <c r="AA257" s="2">
        <v>-74.069472222222203</v>
      </c>
      <c r="AB257" s="2">
        <v>2555</v>
      </c>
      <c r="AC257" s="2" t="s">
        <v>31</v>
      </c>
      <c r="AD257" s="2" t="s">
        <v>58</v>
      </c>
      <c r="AE257" s="2" t="s">
        <v>33</v>
      </c>
      <c r="AF257" s="2" t="s">
        <v>34</v>
      </c>
      <c r="AG257" s="2" t="s">
        <v>59</v>
      </c>
      <c r="AH257" s="2">
        <v>0.36720423961888699</v>
      </c>
      <c r="AI257" s="2">
        <v>2.9370634051900599</v>
      </c>
      <c r="AJ257" s="2">
        <v>1.0751456326765301</v>
      </c>
      <c r="AK257" s="2">
        <v>0.14850711132347599</v>
      </c>
      <c r="AL257" s="2">
        <v>0.39302566189510701</v>
      </c>
      <c r="AM257" s="2">
        <v>15.3</v>
      </c>
      <c r="AN257" s="2">
        <v>9.8000000000000007</v>
      </c>
      <c r="AO257" s="2">
        <v>29.7</v>
      </c>
      <c r="AP257" s="2">
        <v>564</v>
      </c>
      <c r="AQ257" s="2">
        <v>68</v>
      </c>
      <c r="AR257" s="2">
        <v>1.8</v>
      </c>
      <c r="AS257" s="2">
        <v>43</v>
      </c>
      <c r="AT257" s="2">
        <v>25.4</v>
      </c>
      <c r="AU257" s="2">
        <v>162</v>
      </c>
      <c r="AV257" s="2">
        <v>9.1</v>
      </c>
      <c r="AW257" s="2">
        <v>9.1999999999999993</v>
      </c>
      <c r="AX257" s="2">
        <v>18.3</v>
      </c>
      <c r="AY257" s="2">
        <v>0.34</v>
      </c>
      <c r="AZ257" s="2">
        <v>7.3</v>
      </c>
      <c r="BA257" s="2">
        <v>0.9</v>
      </c>
      <c r="BB257" s="2">
        <v>7.5</v>
      </c>
      <c r="BC257" s="2">
        <v>2.9</v>
      </c>
      <c r="BD257" s="2">
        <f>+AN257*EXP(-0.0495*Y257)</f>
        <v>8.699239312707542</v>
      </c>
      <c r="BE257" s="2">
        <f>+AO257*EXP(-0.024*Y257)</f>
        <v>28.032902252684067</v>
      </c>
    </row>
    <row r="258" spans="1:57" x14ac:dyDescent="0.2">
      <c r="A258" s="2" t="s">
        <v>804</v>
      </c>
      <c r="B258" s="2" t="s">
        <v>19</v>
      </c>
      <c r="C258" s="2" t="s">
        <v>20</v>
      </c>
      <c r="D258" s="2" t="s">
        <v>21</v>
      </c>
      <c r="E258" s="2" t="s">
        <v>483</v>
      </c>
      <c r="F258" s="2">
        <v>6</v>
      </c>
      <c r="G258" s="2">
        <v>153.32</v>
      </c>
      <c r="H258" s="2">
        <v>3</v>
      </c>
      <c r="I258" s="2">
        <v>4</v>
      </c>
      <c r="J258" s="2">
        <v>2</v>
      </c>
      <c r="K258" s="2" t="s">
        <v>61</v>
      </c>
      <c r="L258" s="6" t="s">
        <v>75</v>
      </c>
      <c r="M258" s="5">
        <v>1200000000</v>
      </c>
      <c r="N258" s="2">
        <v>0</v>
      </c>
      <c r="O258" s="2">
        <v>4.7099609999999998</v>
      </c>
      <c r="P258" s="2">
        <v>-74.080689000000007</v>
      </c>
      <c r="Q258" s="2" t="s">
        <v>805</v>
      </c>
      <c r="R258" s="2">
        <v>7826767.5449999999</v>
      </c>
      <c r="S258" s="2">
        <v>0</v>
      </c>
      <c r="T258" s="2" t="s">
        <v>68</v>
      </c>
      <c r="U258" s="2" t="s">
        <v>69</v>
      </c>
      <c r="V258" s="2" t="s">
        <v>28</v>
      </c>
      <c r="W258" s="2" t="s">
        <v>70</v>
      </c>
      <c r="X258" s="2" t="s">
        <v>71</v>
      </c>
      <c r="Y258" s="2">
        <v>3.2770752734514899</v>
      </c>
      <c r="Z258" s="2">
        <v>4.73719444444444</v>
      </c>
      <c r="AA258" s="2">
        <v>-74.069472222222203</v>
      </c>
      <c r="AB258" s="2">
        <v>2555</v>
      </c>
      <c r="AC258" s="2" t="s">
        <v>31</v>
      </c>
      <c r="AD258" s="2" t="s">
        <v>58</v>
      </c>
      <c r="AE258" s="2" t="s">
        <v>33</v>
      </c>
      <c r="AF258" s="2" t="s">
        <v>34</v>
      </c>
      <c r="AG258" s="2" t="s">
        <v>72</v>
      </c>
      <c r="AH258" s="2">
        <v>0.95630696643320601</v>
      </c>
      <c r="AI258" s="2">
        <v>5.2777029231104198</v>
      </c>
      <c r="AJ258" s="2">
        <v>1.2794007730058801</v>
      </c>
      <c r="AK258" s="2">
        <v>0.215895476690354</v>
      </c>
      <c r="AL258" s="2">
        <v>0.21356666240786401</v>
      </c>
      <c r="AM258" s="2">
        <v>15.3</v>
      </c>
      <c r="AN258" s="2">
        <v>9.8000000000000007</v>
      </c>
      <c r="AO258" s="2">
        <v>29.7</v>
      </c>
      <c r="AP258" s="2">
        <v>564</v>
      </c>
      <c r="AQ258" s="2">
        <v>68</v>
      </c>
      <c r="AR258" s="2">
        <v>1.8</v>
      </c>
      <c r="AS258" s="2">
        <v>43</v>
      </c>
      <c r="AT258" s="2">
        <v>25.4</v>
      </c>
      <c r="AU258" s="2">
        <v>162</v>
      </c>
      <c r="AV258" s="2">
        <v>9.1</v>
      </c>
      <c r="AW258" s="2">
        <v>9.1999999999999993</v>
      </c>
      <c r="AX258" s="2">
        <v>18.3</v>
      </c>
      <c r="AY258" s="2">
        <v>0.34</v>
      </c>
      <c r="AZ258" s="2">
        <v>7.3</v>
      </c>
      <c r="BA258" s="2">
        <v>0.9</v>
      </c>
      <c r="BB258" s="2">
        <v>7.5</v>
      </c>
      <c r="BC258" s="2">
        <v>2.9</v>
      </c>
      <c r="BD258" s="2">
        <f>+AN258*EXP(-0.0495*Y258)</f>
        <v>8.3325302340388152</v>
      </c>
      <c r="BE258" s="2">
        <f>+AO258*EXP(-0.024*Y258)</f>
        <v>27.453598142719599</v>
      </c>
    </row>
    <row r="259" spans="1:57" x14ac:dyDescent="0.2">
      <c r="A259" s="2" t="s">
        <v>653</v>
      </c>
      <c r="B259" s="2" t="s">
        <v>19</v>
      </c>
      <c r="C259" s="2" t="s">
        <v>20</v>
      </c>
      <c r="D259" s="2" t="s">
        <v>21</v>
      </c>
      <c r="E259" s="2" t="s">
        <v>483</v>
      </c>
      <c r="F259" s="2">
        <v>6</v>
      </c>
      <c r="G259" s="2">
        <v>153.32</v>
      </c>
      <c r="H259" s="2">
        <v>3</v>
      </c>
      <c r="I259" s="2">
        <v>4</v>
      </c>
      <c r="J259" s="2">
        <v>2</v>
      </c>
      <c r="K259" s="2" t="s">
        <v>61</v>
      </c>
      <c r="L259" s="6" t="s">
        <v>75</v>
      </c>
      <c r="M259" s="5">
        <v>1150000000</v>
      </c>
      <c r="N259" s="2">
        <v>0</v>
      </c>
      <c r="O259" s="2">
        <v>4.7084989999999998</v>
      </c>
      <c r="P259" s="2">
        <v>-74.082565000000002</v>
      </c>
      <c r="Q259" s="2" t="s">
        <v>654</v>
      </c>
      <c r="R259" s="2">
        <v>7500652.2309999997</v>
      </c>
      <c r="S259" s="2">
        <v>0</v>
      </c>
      <c r="T259" s="2" t="s">
        <v>68</v>
      </c>
      <c r="U259" s="2" t="s">
        <v>69</v>
      </c>
      <c r="V259" s="2" t="s">
        <v>28</v>
      </c>
      <c r="W259" s="2" t="s">
        <v>70</v>
      </c>
      <c r="X259" s="2" t="s">
        <v>71</v>
      </c>
      <c r="Y259" s="2">
        <v>3.5091026479452498</v>
      </c>
      <c r="Z259" s="2">
        <v>4.73719444444444</v>
      </c>
      <c r="AA259" s="2">
        <v>-74.069472222222203</v>
      </c>
      <c r="AB259" s="2">
        <v>2555</v>
      </c>
      <c r="AC259" s="2" t="s">
        <v>31</v>
      </c>
      <c r="AD259" s="2" t="s">
        <v>58</v>
      </c>
      <c r="AE259" s="2" t="s">
        <v>33</v>
      </c>
      <c r="AF259" s="2" t="s">
        <v>34</v>
      </c>
      <c r="AG259" s="2" t="s">
        <v>72</v>
      </c>
      <c r="AH259" s="2">
        <v>1.2014046998496599</v>
      </c>
      <c r="AI259" s="2">
        <v>5.13884189955471</v>
      </c>
      <c r="AJ259" s="2">
        <v>1.1123368853828799</v>
      </c>
      <c r="AK259" s="2">
        <v>0.46484255601087299</v>
      </c>
      <c r="AL259" s="2">
        <v>0.41051593439182998</v>
      </c>
      <c r="AM259" s="2">
        <v>15.3</v>
      </c>
      <c r="AN259" s="2">
        <v>9.8000000000000007</v>
      </c>
      <c r="AO259" s="2">
        <v>29.7</v>
      </c>
      <c r="AP259" s="2">
        <v>564</v>
      </c>
      <c r="AQ259" s="2">
        <v>68</v>
      </c>
      <c r="AR259" s="2">
        <v>1.8</v>
      </c>
      <c r="AS259" s="2">
        <v>43</v>
      </c>
      <c r="AT259" s="2">
        <v>25.4</v>
      </c>
      <c r="AU259" s="2">
        <v>162</v>
      </c>
      <c r="AV259" s="2">
        <v>9.1</v>
      </c>
      <c r="AW259" s="2">
        <v>9.1999999999999993</v>
      </c>
      <c r="AX259" s="2">
        <v>18.3</v>
      </c>
      <c r="AY259" s="2">
        <v>0.34</v>
      </c>
      <c r="AZ259" s="2">
        <v>7.3</v>
      </c>
      <c r="BA259" s="2">
        <v>0.9</v>
      </c>
      <c r="BB259" s="2">
        <v>7.5</v>
      </c>
      <c r="BC259" s="2">
        <v>2.9</v>
      </c>
      <c r="BD259" s="2">
        <f>+AN259*EXP(-0.0495*Y259)</f>
        <v>8.2373756540193739</v>
      </c>
      <c r="BE259" s="2">
        <f>+AO259*EXP(-0.024*Y259)</f>
        <v>27.301143349772186</v>
      </c>
    </row>
    <row r="260" spans="1:57" x14ac:dyDescent="0.2">
      <c r="A260" s="2" t="s">
        <v>2869</v>
      </c>
      <c r="B260" s="2" t="s">
        <v>19</v>
      </c>
      <c r="C260" s="2" t="s">
        <v>1907</v>
      </c>
      <c r="D260" s="2" t="s">
        <v>21</v>
      </c>
      <c r="E260" s="2" t="s">
        <v>1263</v>
      </c>
      <c r="F260" s="2">
        <v>3</v>
      </c>
      <c r="G260" s="2">
        <v>153</v>
      </c>
      <c r="H260" s="2">
        <v>4</v>
      </c>
      <c r="I260" s="2">
        <v>2</v>
      </c>
      <c r="J260" s="2">
        <v>1</v>
      </c>
      <c r="K260" s="2" t="s">
        <v>61</v>
      </c>
      <c r="L260" s="6" t="s">
        <v>113</v>
      </c>
      <c r="M260" s="5">
        <v>810000000</v>
      </c>
      <c r="N260" s="2">
        <v>0</v>
      </c>
      <c r="O260" s="2">
        <v>4.7410300000000003</v>
      </c>
      <c r="P260" s="2">
        <v>-74.043760000000006</v>
      </c>
      <c r="Q260" s="2" t="s">
        <v>2870</v>
      </c>
      <c r="R260" s="2">
        <v>5294117.6469999999</v>
      </c>
      <c r="S260" s="2">
        <v>0</v>
      </c>
      <c r="T260" s="2" t="s">
        <v>68</v>
      </c>
      <c r="U260" s="2" t="s">
        <v>69</v>
      </c>
      <c r="V260" s="2" t="s">
        <v>28</v>
      </c>
      <c r="W260" s="2" t="s">
        <v>70</v>
      </c>
      <c r="X260" s="2" t="s">
        <v>71</v>
      </c>
      <c r="Y260" s="2">
        <v>2.8842644810651299</v>
      </c>
      <c r="Z260" s="2">
        <v>4.73719444444444</v>
      </c>
      <c r="AA260" s="2">
        <v>-74.069472222222203</v>
      </c>
      <c r="AB260" s="2">
        <v>2555</v>
      </c>
      <c r="AC260" s="2" t="s">
        <v>31</v>
      </c>
      <c r="AD260" s="2" t="s">
        <v>58</v>
      </c>
      <c r="AE260" s="2" t="s">
        <v>33</v>
      </c>
      <c r="AF260" s="2" t="s">
        <v>34</v>
      </c>
      <c r="AG260" s="2" t="s">
        <v>59</v>
      </c>
      <c r="AH260" s="2">
        <v>0.48020301670820098</v>
      </c>
      <c r="AI260" s="2">
        <v>2.5835063102910998</v>
      </c>
      <c r="AJ260" s="2">
        <v>0.99335087322245796</v>
      </c>
      <c r="AK260" s="2">
        <v>0.101576772913897</v>
      </c>
      <c r="AL260" s="2">
        <v>0.21489993321930201</v>
      </c>
      <c r="AM260" s="2">
        <v>15.3</v>
      </c>
      <c r="AN260" s="2">
        <v>9.8000000000000007</v>
      </c>
      <c r="AO260" s="2">
        <v>29.7</v>
      </c>
      <c r="AP260" s="2">
        <v>564</v>
      </c>
      <c r="AQ260" s="2">
        <v>68</v>
      </c>
      <c r="AR260" s="2">
        <v>1.8</v>
      </c>
      <c r="AS260" s="2">
        <v>43</v>
      </c>
      <c r="AT260" s="2">
        <v>25.4</v>
      </c>
      <c r="AU260" s="2">
        <v>162</v>
      </c>
      <c r="AV260" s="2">
        <v>9.1</v>
      </c>
      <c r="AW260" s="2">
        <v>9.1999999999999993</v>
      </c>
      <c r="AX260" s="2">
        <v>18.3</v>
      </c>
      <c r="AY260" s="2">
        <v>0.34</v>
      </c>
      <c r="AZ260" s="2">
        <v>7.3</v>
      </c>
      <c r="BA260" s="2">
        <v>0.9</v>
      </c>
      <c r="BB260" s="2">
        <v>7.5</v>
      </c>
      <c r="BC260" s="2">
        <v>2.9</v>
      </c>
      <c r="BD260" s="2">
        <f>+AN260*EXP(-0.0495*Y260)</f>
        <v>8.4961344873428288</v>
      </c>
      <c r="BE260" s="2">
        <f>+AO260*EXP(-0.024*Y260)</f>
        <v>27.713639653456823</v>
      </c>
    </row>
    <row r="261" spans="1:57" x14ac:dyDescent="0.2">
      <c r="A261" s="2" t="s">
        <v>2498</v>
      </c>
      <c r="B261" s="2" t="s">
        <v>19</v>
      </c>
      <c r="C261" s="2" t="s">
        <v>1907</v>
      </c>
      <c r="D261" s="2" t="s">
        <v>21</v>
      </c>
      <c r="E261" s="2" t="s">
        <v>218</v>
      </c>
      <c r="F261" s="2">
        <v>6</v>
      </c>
      <c r="G261" s="2">
        <v>151.87</v>
      </c>
      <c r="H261" s="2">
        <v>3</v>
      </c>
      <c r="I261" s="2">
        <v>4</v>
      </c>
      <c r="J261" s="2">
        <v>2</v>
      </c>
      <c r="K261" s="2" t="s">
        <v>61</v>
      </c>
      <c r="L261" s="6" t="s">
        <v>75</v>
      </c>
      <c r="M261" s="5">
        <v>990000000</v>
      </c>
      <c r="N261" s="2">
        <v>0</v>
      </c>
      <c r="O261" s="2">
        <v>4.7939686779999997</v>
      </c>
      <c r="P261" s="2">
        <v>-74.059997559999999</v>
      </c>
      <c r="Q261" s="2" t="s">
        <v>2499</v>
      </c>
      <c r="R261" s="2">
        <v>6518733.1270000003</v>
      </c>
      <c r="S261" s="2">
        <v>0</v>
      </c>
      <c r="T261" s="2" t="s">
        <v>102</v>
      </c>
      <c r="U261" s="2" t="s">
        <v>103</v>
      </c>
      <c r="V261" s="2" t="s">
        <v>28</v>
      </c>
      <c r="W261" s="2" t="s">
        <v>70</v>
      </c>
      <c r="X261" s="2" t="s">
        <v>104</v>
      </c>
      <c r="Y261" s="2">
        <v>2.0949547206089898</v>
      </c>
      <c r="Z261" s="2">
        <v>4.7837500000000004</v>
      </c>
      <c r="AA261" s="2">
        <v>-74.044138888888895</v>
      </c>
      <c r="AB261" s="2">
        <v>2580</v>
      </c>
      <c r="AC261" s="2" t="s">
        <v>105</v>
      </c>
      <c r="AD261" s="2" t="s">
        <v>58</v>
      </c>
      <c r="AE261" s="2" t="s">
        <v>33</v>
      </c>
      <c r="AF261" s="2" t="s">
        <v>34</v>
      </c>
      <c r="AG261" s="2" t="s">
        <v>72</v>
      </c>
      <c r="AH261" s="2">
        <v>3.32276533133376</v>
      </c>
      <c r="AI261" s="2">
        <v>2.4194734193849601</v>
      </c>
      <c r="AJ261" s="2">
        <v>1.5842510886873999</v>
      </c>
      <c r="AK261" s="2">
        <v>2.1418666492752299</v>
      </c>
      <c r="AL261" s="2">
        <v>0.69186044047607498</v>
      </c>
      <c r="AM261" s="2">
        <v>15.3</v>
      </c>
      <c r="AN261" s="2">
        <v>9.8000000000000007</v>
      </c>
      <c r="AO261" s="2">
        <v>29.7</v>
      </c>
      <c r="AP261" s="2">
        <v>564</v>
      </c>
      <c r="AQ261" s="2">
        <v>68</v>
      </c>
      <c r="AR261" s="2">
        <v>1.8</v>
      </c>
      <c r="AS261" s="2">
        <v>43</v>
      </c>
      <c r="AT261" s="2">
        <v>25.4</v>
      </c>
      <c r="AU261" s="2">
        <v>162</v>
      </c>
      <c r="AV261" s="2">
        <v>9.1</v>
      </c>
      <c r="AW261" s="2">
        <v>9.1999999999999993</v>
      </c>
      <c r="AX261" s="2">
        <v>18.3</v>
      </c>
      <c r="AY261" s="2">
        <v>0.34</v>
      </c>
      <c r="AZ261" s="2">
        <v>7.3</v>
      </c>
      <c r="BA261" s="2">
        <v>0.9</v>
      </c>
      <c r="BB261" s="2">
        <v>7.5</v>
      </c>
      <c r="BC261" s="2">
        <v>2.9</v>
      </c>
      <c r="BD261" s="2">
        <f>+AN261*EXP(-0.0495*Y261)</f>
        <v>8.8346556293203822</v>
      </c>
      <c r="BE261" s="2">
        <f>+AO261*EXP(-0.024*Y261)</f>
        <v>28.243635283626904</v>
      </c>
    </row>
    <row r="262" spans="1:57" x14ac:dyDescent="0.2">
      <c r="A262" s="2" t="s">
        <v>794</v>
      </c>
      <c r="B262" s="2" t="s">
        <v>19</v>
      </c>
      <c r="C262" s="2" t="s">
        <v>20</v>
      </c>
      <c r="D262" s="2" t="s">
        <v>21</v>
      </c>
      <c r="E262" s="2" t="s">
        <v>300</v>
      </c>
      <c r="F262" s="2">
        <v>6</v>
      </c>
      <c r="G262" s="2">
        <v>151.41999999999999</v>
      </c>
      <c r="H262" s="2">
        <v>3</v>
      </c>
      <c r="I262" s="2">
        <v>3</v>
      </c>
      <c r="J262" s="2">
        <v>2</v>
      </c>
      <c r="K262" s="2" t="s">
        <v>61</v>
      </c>
      <c r="L262" s="6" t="s">
        <v>113</v>
      </c>
      <c r="M262" s="5">
        <v>880000000</v>
      </c>
      <c r="N262" s="2">
        <v>0</v>
      </c>
      <c r="O262" s="2">
        <v>4.7327440000000003</v>
      </c>
      <c r="P262" s="2">
        <v>-74.074603999999994</v>
      </c>
      <c r="Q262" s="2" t="s">
        <v>795</v>
      </c>
      <c r="R262" s="2">
        <v>5811649.716</v>
      </c>
      <c r="S262" s="2">
        <v>0</v>
      </c>
      <c r="T262" s="2" t="s">
        <v>68</v>
      </c>
      <c r="U262" s="2" t="s">
        <v>69</v>
      </c>
      <c r="V262" s="2" t="s">
        <v>28</v>
      </c>
      <c r="W262" s="2" t="s">
        <v>70</v>
      </c>
      <c r="X262" s="2" t="s">
        <v>71</v>
      </c>
      <c r="Y262" s="2">
        <v>0.75469485389051105</v>
      </c>
      <c r="Z262" s="2">
        <v>4.73719444444444</v>
      </c>
      <c r="AA262" s="2">
        <v>-74.069472222222203</v>
      </c>
      <c r="AB262" s="2">
        <v>2555</v>
      </c>
      <c r="AC262" s="2" t="s">
        <v>31</v>
      </c>
      <c r="AD262" s="2" t="s">
        <v>58</v>
      </c>
      <c r="AE262" s="2" t="s">
        <v>33</v>
      </c>
      <c r="AF262" s="2" t="s">
        <v>34</v>
      </c>
      <c r="AG262" s="2" t="s">
        <v>72</v>
      </c>
      <c r="AH262" s="2">
        <v>0.58455903267585296</v>
      </c>
      <c r="AI262" s="2">
        <v>5.38789206188547</v>
      </c>
      <c r="AJ262" s="2">
        <v>1.7914996184340399</v>
      </c>
      <c r="AK262" s="2">
        <v>0.74390977011034398</v>
      </c>
      <c r="AL262" s="2">
        <v>2.8652480057635399E-4</v>
      </c>
      <c r="AM262" s="2">
        <v>15.3</v>
      </c>
      <c r="AN262" s="2">
        <v>9.8000000000000007</v>
      </c>
      <c r="AO262" s="2">
        <v>29.7</v>
      </c>
      <c r="AP262" s="2">
        <v>564</v>
      </c>
      <c r="AQ262" s="2">
        <v>68</v>
      </c>
      <c r="AR262" s="2">
        <v>1.8</v>
      </c>
      <c r="AS262" s="2">
        <v>43</v>
      </c>
      <c r="AT262" s="2">
        <v>25.4</v>
      </c>
      <c r="AU262" s="2">
        <v>162</v>
      </c>
      <c r="AV262" s="2">
        <v>9.1</v>
      </c>
      <c r="AW262" s="2">
        <v>9.1999999999999993</v>
      </c>
      <c r="AX262" s="2">
        <v>18.3</v>
      </c>
      <c r="AY262" s="2">
        <v>0.34</v>
      </c>
      <c r="AZ262" s="2">
        <v>7.3</v>
      </c>
      <c r="BA262" s="2">
        <v>0.9</v>
      </c>
      <c r="BB262" s="2">
        <v>7.5</v>
      </c>
      <c r="BC262" s="2">
        <v>2.9</v>
      </c>
      <c r="BD262" s="2">
        <f>+AN262*EXP(-0.0495*Y262)</f>
        <v>9.4406514792536207</v>
      </c>
      <c r="BE262" s="2">
        <f>+AO262*EXP(-0.024*Y262)</f>
        <v>29.166896052313508</v>
      </c>
    </row>
    <row r="263" spans="1:57" x14ac:dyDescent="0.2">
      <c r="A263" s="2" t="s">
        <v>4153</v>
      </c>
      <c r="B263" s="2" t="s">
        <v>19</v>
      </c>
      <c r="C263" s="2" t="s">
        <v>3245</v>
      </c>
      <c r="D263" s="2" t="s">
        <v>21</v>
      </c>
      <c r="E263" s="2" t="s">
        <v>2407</v>
      </c>
      <c r="F263" s="2">
        <v>5</v>
      </c>
      <c r="G263" s="2">
        <v>150</v>
      </c>
      <c r="H263" s="2">
        <v>3</v>
      </c>
      <c r="I263" s="2">
        <v>3</v>
      </c>
      <c r="J263" s="2">
        <v>2</v>
      </c>
      <c r="K263" s="2" t="s">
        <v>61</v>
      </c>
      <c r="L263" s="6" t="s">
        <v>113</v>
      </c>
      <c r="M263" s="5">
        <v>770000000</v>
      </c>
      <c r="N263" s="2">
        <v>0</v>
      </c>
      <c r="O263" s="2">
        <v>4.7207926000000002</v>
      </c>
      <c r="P263" s="2">
        <v>-74.074768000000006</v>
      </c>
      <c r="Q263" s="2" t="s">
        <v>4154</v>
      </c>
      <c r="R263" s="2">
        <v>5133333.3329999996</v>
      </c>
      <c r="S263" s="2">
        <v>0</v>
      </c>
      <c r="T263" s="2" t="s">
        <v>68</v>
      </c>
      <c r="U263" s="2" t="s">
        <v>69</v>
      </c>
      <c r="V263" s="2" t="s">
        <v>28</v>
      </c>
      <c r="W263" s="2" t="s">
        <v>70</v>
      </c>
      <c r="X263" s="2" t="s">
        <v>71</v>
      </c>
      <c r="Y263" s="2">
        <v>1.91804207748638</v>
      </c>
      <c r="Z263" s="2">
        <v>4.73719444444444</v>
      </c>
      <c r="AA263" s="2">
        <v>-74.069472222222203</v>
      </c>
      <c r="AB263" s="2">
        <v>2555</v>
      </c>
      <c r="AC263" s="2" t="s">
        <v>31</v>
      </c>
      <c r="AD263" s="2" t="s">
        <v>58</v>
      </c>
      <c r="AE263" s="2" t="s">
        <v>33</v>
      </c>
      <c r="AF263" s="2" t="s">
        <v>34</v>
      </c>
      <c r="AG263" s="2" t="s">
        <v>72</v>
      </c>
      <c r="AH263" s="2">
        <v>5.2815802702927503E-2</v>
      </c>
      <c r="AI263" s="2">
        <v>5.6262528370061196</v>
      </c>
      <c r="AJ263" s="2">
        <v>0.57249370046869297</v>
      </c>
      <c r="AK263" s="2">
        <v>0.28036028106592198</v>
      </c>
      <c r="AL263" s="2">
        <v>0.120358298935377</v>
      </c>
      <c r="AM263" s="2">
        <v>15.3</v>
      </c>
      <c r="AN263" s="2">
        <v>9.8000000000000007</v>
      </c>
      <c r="AO263" s="2">
        <v>29.7</v>
      </c>
      <c r="AP263" s="2">
        <v>564</v>
      </c>
      <c r="AQ263" s="2">
        <v>68</v>
      </c>
      <c r="AR263" s="2">
        <v>1.8</v>
      </c>
      <c r="AS263" s="2">
        <v>43</v>
      </c>
      <c r="AT263" s="2">
        <v>25.4</v>
      </c>
      <c r="AU263" s="2">
        <v>162</v>
      </c>
      <c r="AV263" s="2">
        <v>9.1</v>
      </c>
      <c r="AW263" s="2">
        <v>9.1999999999999993</v>
      </c>
      <c r="AX263" s="2">
        <v>18.3</v>
      </c>
      <c r="AY263" s="2">
        <v>0.34</v>
      </c>
      <c r="AZ263" s="2">
        <v>7.3</v>
      </c>
      <c r="BA263" s="2">
        <v>0.9</v>
      </c>
      <c r="BB263" s="2">
        <v>7.5</v>
      </c>
      <c r="BC263" s="2">
        <v>2.9</v>
      </c>
      <c r="BD263" s="2">
        <f>+AN263*EXP(-0.0495*Y263)</f>
        <v>8.9123620097267757</v>
      </c>
      <c r="BE263" s="2">
        <f>+AO263*EXP(-0.024*Y263)</f>
        <v>28.363809976223617</v>
      </c>
    </row>
    <row r="264" spans="1:57" x14ac:dyDescent="0.2">
      <c r="A264" s="2" t="s">
        <v>1445</v>
      </c>
      <c r="B264" s="2" t="s">
        <v>19</v>
      </c>
      <c r="C264" s="2" t="s">
        <v>20</v>
      </c>
      <c r="D264" s="2" t="s">
        <v>21</v>
      </c>
      <c r="E264" s="2" t="s">
        <v>1446</v>
      </c>
      <c r="F264" s="2">
        <v>5</v>
      </c>
      <c r="G264" s="2">
        <v>149.5</v>
      </c>
      <c r="H264" s="2">
        <v>3</v>
      </c>
      <c r="I264" s="2">
        <v>3</v>
      </c>
      <c r="J264" s="2">
        <v>2</v>
      </c>
      <c r="K264" s="2" t="s">
        <v>61</v>
      </c>
      <c r="L264" s="6" t="s">
        <v>84</v>
      </c>
      <c r="M264" s="5">
        <v>1300000000</v>
      </c>
      <c r="N264" s="2">
        <v>0</v>
      </c>
      <c r="O264" s="2">
        <v>4.7396690000000001</v>
      </c>
      <c r="P264" s="2">
        <v>-74.054878799999997</v>
      </c>
      <c r="Q264" s="2" t="s">
        <v>1447</v>
      </c>
      <c r="R264" s="2">
        <v>8695652.1740000006</v>
      </c>
      <c r="S264" s="2">
        <v>0</v>
      </c>
      <c r="T264" s="2" t="s">
        <v>68</v>
      </c>
      <c r="U264" s="2" t="s">
        <v>69</v>
      </c>
      <c r="V264" s="2" t="s">
        <v>28</v>
      </c>
      <c r="W264" s="2" t="s">
        <v>70</v>
      </c>
      <c r="X264" s="2" t="s">
        <v>71</v>
      </c>
      <c r="Y264" s="2">
        <v>1.64224782663776</v>
      </c>
      <c r="Z264" s="2">
        <v>4.73719444444444</v>
      </c>
      <c r="AA264" s="2">
        <v>-74.069472222222203</v>
      </c>
      <c r="AB264" s="2">
        <v>2555</v>
      </c>
      <c r="AC264" s="2" t="s">
        <v>31</v>
      </c>
      <c r="AD264" s="2" t="s">
        <v>58</v>
      </c>
      <c r="AE264" s="2" t="s">
        <v>33</v>
      </c>
      <c r="AF264" s="2" t="s">
        <v>34</v>
      </c>
      <c r="AG264" s="2" t="s">
        <v>72</v>
      </c>
      <c r="AH264" s="2">
        <v>0.80200740251793401</v>
      </c>
      <c r="AI264" s="2">
        <v>3.7267242534438099</v>
      </c>
      <c r="AJ264" s="2">
        <v>1.5225872966385301</v>
      </c>
      <c r="AK264" s="2">
        <v>0.110038874304085</v>
      </c>
      <c r="AL264" s="2">
        <v>4.7014017760218497E-2</v>
      </c>
      <c r="AM264" s="2">
        <v>15.3</v>
      </c>
      <c r="AN264" s="2">
        <v>9.8000000000000007</v>
      </c>
      <c r="AO264" s="2">
        <v>29.7</v>
      </c>
      <c r="AP264" s="2">
        <v>564</v>
      </c>
      <c r="AQ264" s="2">
        <v>68</v>
      </c>
      <c r="AR264" s="2">
        <v>1.8</v>
      </c>
      <c r="AS264" s="2">
        <v>43</v>
      </c>
      <c r="AT264" s="2">
        <v>25.4</v>
      </c>
      <c r="AU264" s="2">
        <v>162</v>
      </c>
      <c r="AV264" s="2">
        <v>9.1</v>
      </c>
      <c r="AW264" s="2">
        <v>9.1999999999999993</v>
      </c>
      <c r="AX264" s="2">
        <v>18.3</v>
      </c>
      <c r="AY264" s="2">
        <v>0.34</v>
      </c>
      <c r="AZ264" s="2">
        <v>7.3</v>
      </c>
      <c r="BA264" s="2">
        <v>0.9</v>
      </c>
      <c r="BB264" s="2">
        <v>7.5</v>
      </c>
      <c r="BC264" s="2">
        <v>2.9</v>
      </c>
      <c r="BD264" s="2">
        <f>+AN264*EXP(-0.0495*Y264)</f>
        <v>9.0348662307116516</v>
      </c>
      <c r="BE264" s="2">
        <f>+AO264*EXP(-0.024*Y264)</f>
        <v>28.552174504118323</v>
      </c>
    </row>
    <row r="265" spans="1:57" x14ac:dyDescent="0.2">
      <c r="A265" s="2" t="s">
        <v>1674</v>
      </c>
      <c r="B265" s="2" t="s">
        <v>19</v>
      </c>
      <c r="C265" s="2" t="s">
        <v>20</v>
      </c>
      <c r="D265" s="2" t="s">
        <v>21</v>
      </c>
      <c r="E265" s="2" t="s">
        <v>1675</v>
      </c>
      <c r="F265" s="2">
        <v>5</v>
      </c>
      <c r="G265" s="2">
        <v>148</v>
      </c>
      <c r="H265" s="2">
        <v>3</v>
      </c>
      <c r="I265" s="2">
        <v>3</v>
      </c>
      <c r="J265" s="2">
        <v>2</v>
      </c>
      <c r="K265" s="2" t="s">
        <v>61</v>
      </c>
      <c r="L265" s="6" t="s">
        <v>62</v>
      </c>
      <c r="M265" s="5">
        <v>1300000000</v>
      </c>
      <c r="N265" s="2">
        <v>0</v>
      </c>
      <c r="O265" s="2">
        <v>4.7586538999999997</v>
      </c>
      <c r="P265" s="2">
        <v>-74.064512399999998</v>
      </c>
      <c r="Q265" s="2" t="s">
        <v>1676</v>
      </c>
      <c r="R265" s="2">
        <v>8783783.784</v>
      </c>
      <c r="S265" s="2">
        <v>0</v>
      </c>
      <c r="T265" s="2" t="s">
        <v>68</v>
      </c>
      <c r="U265" s="2" t="s">
        <v>69</v>
      </c>
      <c r="V265" s="2" t="s">
        <v>28</v>
      </c>
      <c r="W265" s="2" t="s">
        <v>70</v>
      </c>
      <c r="X265" s="2" t="s">
        <v>71</v>
      </c>
      <c r="Y265" s="2">
        <v>2.4514046450849101</v>
      </c>
      <c r="Z265" s="2">
        <v>4.73719444444444</v>
      </c>
      <c r="AA265" s="2">
        <v>-74.069472222222203</v>
      </c>
      <c r="AB265" s="2">
        <v>2555</v>
      </c>
      <c r="AC265" s="2" t="s">
        <v>31</v>
      </c>
      <c r="AD265" s="2" t="s">
        <v>58</v>
      </c>
      <c r="AE265" s="2" t="s">
        <v>33</v>
      </c>
      <c r="AF265" s="2" t="s">
        <v>34</v>
      </c>
      <c r="AG265" s="2" t="s">
        <v>72</v>
      </c>
      <c r="AH265" s="2">
        <v>2.09539717692906</v>
      </c>
      <c r="AI265" s="2">
        <v>4.4394347433484898</v>
      </c>
      <c r="AJ265" s="2">
        <v>1.35292219480767</v>
      </c>
      <c r="AK265" s="2">
        <v>0.16245052189928799</v>
      </c>
      <c r="AL265" s="2">
        <v>0.36631502041505698</v>
      </c>
      <c r="AM265" s="2">
        <v>15.3</v>
      </c>
      <c r="AN265" s="2">
        <v>9.8000000000000007</v>
      </c>
      <c r="AO265" s="2">
        <v>29.7</v>
      </c>
      <c r="AP265" s="2">
        <v>564</v>
      </c>
      <c r="AQ265" s="2">
        <v>68</v>
      </c>
      <c r="AR265" s="2">
        <v>1.8</v>
      </c>
      <c r="AS265" s="2">
        <v>43</v>
      </c>
      <c r="AT265" s="2">
        <v>25.4</v>
      </c>
      <c r="AU265" s="2">
        <v>162</v>
      </c>
      <c r="AV265" s="2">
        <v>9.1</v>
      </c>
      <c r="AW265" s="2">
        <v>9.1999999999999993</v>
      </c>
      <c r="AX265" s="2">
        <v>18.3</v>
      </c>
      <c r="AY265" s="2">
        <v>0.34</v>
      </c>
      <c r="AZ265" s="2">
        <v>7.3</v>
      </c>
      <c r="BA265" s="2">
        <v>0.9</v>
      </c>
      <c r="BB265" s="2">
        <v>7.5</v>
      </c>
      <c r="BC265" s="2">
        <v>2.9</v>
      </c>
      <c r="BD265" s="2">
        <f>+AN265*EXP(-0.0495*Y265)</f>
        <v>8.6801417201467927</v>
      </c>
      <c r="BE265" s="2">
        <f>+AO265*EXP(-0.024*Y265)</f>
        <v>28.003047242043298</v>
      </c>
    </row>
    <row r="266" spans="1:57" x14ac:dyDescent="0.2">
      <c r="A266" s="2" t="s">
        <v>1948</v>
      </c>
      <c r="B266" s="2" t="s">
        <v>19</v>
      </c>
      <c r="C266" s="2" t="s">
        <v>1907</v>
      </c>
      <c r="D266" s="2" t="s">
        <v>21</v>
      </c>
      <c r="E266" s="2" t="s">
        <v>879</v>
      </c>
      <c r="F266" s="2">
        <v>4</v>
      </c>
      <c r="G266" s="2">
        <v>147</v>
      </c>
      <c r="H266" s="2">
        <v>4</v>
      </c>
      <c r="I266" s="2">
        <v>4</v>
      </c>
      <c r="J266" s="2">
        <v>2</v>
      </c>
      <c r="K266" s="2" t="s">
        <v>61</v>
      </c>
      <c r="L266" s="6" t="s">
        <v>75</v>
      </c>
      <c r="M266" s="5">
        <v>830000000</v>
      </c>
      <c r="N266" s="2">
        <v>0</v>
      </c>
      <c r="O266" s="2">
        <v>4.7338529999999999</v>
      </c>
      <c r="P266" s="2">
        <v>-74.060103999999995</v>
      </c>
      <c r="Q266" s="2" t="s">
        <v>1949</v>
      </c>
      <c r="R266" s="2">
        <v>5646258.5029999996</v>
      </c>
      <c r="S266" s="2">
        <v>0</v>
      </c>
      <c r="T266" s="2" t="s">
        <v>68</v>
      </c>
      <c r="U266" s="2" t="s">
        <v>69</v>
      </c>
      <c r="V266" s="2" t="s">
        <v>28</v>
      </c>
      <c r="W266" s="2" t="s">
        <v>70</v>
      </c>
      <c r="X266" s="2" t="s">
        <v>71</v>
      </c>
      <c r="Y266" s="2">
        <v>1.1038644148782299</v>
      </c>
      <c r="Z266" s="2">
        <v>4.73719444444444</v>
      </c>
      <c r="AA266" s="2">
        <v>-74.069472222222203</v>
      </c>
      <c r="AB266" s="2">
        <v>2555</v>
      </c>
      <c r="AC266" s="2" t="s">
        <v>31</v>
      </c>
      <c r="AD266" s="2" t="s">
        <v>58</v>
      </c>
      <c r="AE266" s="2" t="s">
        <v>33</v>
      </c>
      <c r="AF266" s="2" t="s">
        <v>34</v>
      </c>
      <c r="AG266" s="2" t="s">
        <v>72</v>
      </c>
      <c r="AH266" s="2">
        <v>1.18720261489707</v>
      </c>
      <c r="AI266" s="2">
        <v>4.2270976567040401</v>
      </c>
      <c r="AJ266" s="2">
        <v>2.2346018027672598</v>
      </c>
      <c r="AK266" s="2">
        <v>0.43168645754533203</v>
      </c>
      <c r="AL266" s="2">
        <v>0.22024111866233401</v>
      </c>
      <c r="AM266" s="2">
        <v>15.3</v>
      </c>
      <c r="AN266" s="2">
        <v>9.8000000000000007</v>
      </c>
      <c r="AO266" s="2">
        <v>29.7</v>
      </c>
      <c r="AP266" s="2">
        <v>564</v>
      </c>
      <c r="AQ266" s="2">
        <v>68</v>
      </c>
      <c r="AR266" s="2">
        <v>1.8</v>
      </c>
      <c r="AS266" s="2">
        <v>43</v>
      </c>
      <c r="AT266" s="2">
        <v>25.4</v>
      </c>
      <c r="AU266" s="2">
        <v>162</v>
      </c>
      <c r="AV266" s="2">
        <v>9.1</v>
      </c>
      <c r="AW266" s="2">
        <v>9.1999999999999993</v>
      </c>
      <c r="AX266" s="2">
        <v>18.3</v>
      </c>
      <c r="AY266" s="2">
        <v>0.34</v>
      </c>
      <c r="AZ266" s="2">
        <v>7.3</v>
      </c>
      <c r="BA266" s="2">
        <v>0.9</v>
      </c>
      <c r="BB266" s="2">
        <v>7.5</v>
      </c>
      <c r="BC266" s="2">
        <v>2.9</v>
      </c>
      <c r="BD266" s="2">
        <f>+AN266*EXP(-0.0495*Y266)</f>
        <v>9.2788822944882217</v>
      </c>
      <c r="BE266" s="2">
        <f>+AO266*EXP(-0.024*Y266)</f>
        <v>28.923496713441025</v>
      </c>
    </row>
    <row r="267" spans="1:57" x14ac:dyDescent="0.2">
      <c r="A267" s="2" t="s">
        <v>1760</v>
      </c>
      <c r="B267" s="2" t="s">
        <v>19</v>
      </c>
      <c r="C267" s="2" t="s">
        <v>20</v>
      </c>
      <c r="D267" s="2" t="s">
        <v>21</v>
      </c>
      <c r="E267" s="2" t="s">
        <v>125</v>
      </c>
      <c r="F267" s="2">
        <v>5</v>
      </c>
      <c r="G267" s="2">
        <v>146.72999999999999</v>
      </c>
      <c r="H267" s="2">
        <v>3</v>
      </c>
      <c r="I267" s="2">
        <v>4</v>
      </c>
      <c r="J267" s="2">
        <v>2</v>
      </c>
      <c r="K267" s="2" t="s">
        <v>61</v>
      </c>
      <c r="L267" s="6" t="s">
        <v>75</v>
      </c>
      <c r="M267" s="5">
        <v>1300000000</v>
      </c>
      <c r="N267" s="2">
        <v>0</v>
      </c>
      <c r="O267" s="2">
        <v>4.7370896340000002</v>
      </c>
      <c r="P267" s="2">
        <v>-74.062744140000007</v>
      </c>
      <c r="Q267" s="2" t="s">
        <v>1761</v>
      </c>
      <c r="R267" s="2">
        <v>8859810.5360000003</v>
      </c>
      <c r="S267" s="2">
        <v>0</v>
      </c>
      <c r="T267" s="2" t="s">
        <v>68</v>
      </c>
      <c r="U267" s="2" t="s">
        <v>69</v>
      </c>
      <c r="V267" s="2" t="s">
        <v>28</v>
      </c>
      <c r="W267" s="2" t="s">
        <v>70</v>
      </c>
      <c r="X267" s="2" t="s">
        <v>71</v>
      </c>
      <c r="Y267" s="2">
        <v>0.74649944624008002</v>
      </c>
      <c r="Z267" s="2">
        <v>4.73719444444444</v>
      </c>
      <c r="AA267" s="2">
        <v>-74.069472222222203</v>
      </c>
      <c r="AB267" s="2">
        <v>2555</v>
      </c>
      <c r="AC267" s="2" t="s">
        <v>31</v>
      </c>
      <c r="AD267" s="2" t="s">
        <v>58</v>
      </c>
      <c r="AE267" s="2" t="s">
        <v>33</v>
      </c>
      <c r="AF267" s="2" t="s">
        <v>34</v>
      </c>
      <c r="AG267" s="2" t="s">
        <v>72</v>
      </c>
      <c r="AH267" s="2">
        <v>1.5240312148984201</v>
      </c>
      <c r="AI267" s="2">
        <v>4.5440441097689801</v>
      </c>
      <c r="AJ267" s="2">
        <v>2.0712308519875</v>
      </c>
      <c r="AK267" s="2">
        <v>0.28110436661889399</v>
      </c>
      <c r="AL267" s="2">
        <v>0.123856945521019</v>
      </c>
      <c r="AM267" s="2">
        <v>15.3</v>
      </c>
      <c r="AN267" s="2">
        <v>9.8000000000000007</v>
      </c>
      <c r="AO267" s="2">
        <v>29.7</v>
      </c>
      <c r="AP267" s="2">
        <v>564</v>
      </c>
      <c r="AQ267" s="2">
        <v>68</v>
      </c>
      <c r="AR267" s="2">
        <v>1.8</v>
      </c>
      <c r="AS267" s="2">
        <v>43</v>
      </c>
      <c r="AT267" s="2">
        <v>25.4</v>
      </c>
      <c r="AU267" s="2">
        <v>162</v>
      </c>
      <c r="AV267" s="2">
        <v>9.1</v>
      </c>
      <c r="AW267" s="2">
        <v>9.1999999999999993</v>
      </c>
      <c r="AX267" s="2">
        <v>18.3</v>
      </c>
      <c r="AY267" s="2">
        <v>0.34</v>
      </c>
      <c r="AZ267" s="2">
        <v>7.3</v>
      </c>
      <c r="BA267" s="2">
        <v>0.9</v>
      </c>
      <c r="BB267" s="2">
        <v>7.5</v>
      </c>
      <c r="BC267" s="2">
        <v>2.9</v>
      </c>
      <c r="BD267" s="2">
        <f>+AN267*EXP(-0.0495*Y267)</f>
        <v>9.4444820705584327</v>
      </c>
      <c r="BE267" s="2">
        <f>+AO267*EXP(-0.024*Y267)</f>
        <v>29.172633447011588</v>
      </c>
    </row>
    <row r="268" spans="1:57" x14ac:dyDescent="0.2">
      <c r="A268" s="2" t="s">
        <v>1297</v>
      </c>
      <c r="B268" s="2" t="s">
        <v>19</v>
      </c>
      <c r="C268" s="2" t="s">
        <v>20</v>
      </c>
      <c r="D268" s="2" t="s">
        <v>21</v>
      </c>
      <c r="E268" s="2" t="s">
        <v>660</v>
      </c>
      <c r="F268" s="2">
        <v>6</v>
      </c>
      <c r="G268" s="2">
        <v>146</v>
      </c>
      <c r="H268" s="2">
        <v>3</v>
      </c>
      <c r="I268" s="2">
        <v>4</v>
      </c>
      <c r="J268" s="2">
        <v>2</v>
      </c>
      <c r="K268" s="2" t="s">
        <v>61</v>
      </c>
      <c r="L268" s="6" t="s">
        <v>75</v>
      </c>
      <c r="M268" s="5">
        <v>1100000000</v>
      </c>
      <c r="N268" s="2">
        <v>0</v>
      </c>
      <c r="O268" s="2">
        <v>4.7585455000000003</v>
      </c>
      <c r="P268" s="2">
        <v>-74.067805399999997</v>
      </c>
      <c r="Q268" s="2" t="s">
        <v>1298</v>
      </c>
      <c r="R268" s="2">
        <v>7534246.5750000002</v>
      </c>
      <c r="S268" s="2">
        <v>0</v>
      </c>
      <c r="T268" s="2" t="s">
        <v>68</v>
      </c>
      <c r="U268" s="2" t="s">
        <v>69</v>
      </c>
      <c r="V268" s="2" t="s">
        <v>28</v>
      </c>
      <c r="W268" s="2" t="s">
        <v>70</v>
      </c>
      <c r="X268" s="2" t="s">
        <v>71</v>
      </c>
      <c r="Y268" s="2">
        <v>2.3839708592265301</v>
      </c>
      <c r="Z268" s="2">
        <v>4.73719444444444</v>
      </c>
      <c r="AA268" s="2">
        <v>-74.069472222222203</v>
      </c>
      <c r="AB268" s="2">
        <v>2555</v>
      </c>
      <c r="AC268" s="2" t="s">
        <v>31</v>
      </c>
      <c r="AD268" s="2" t="s">
        <v>58</v>
      </c>
      <c r="AE268" s="2" t="s">
        <v>33</v>
      </c>
      <c r="AF268" s="2" t="s">
        <v>34</v>
      </c>
      <c r="AG268" s="2" t="s">
        <v>72</v>
      </c>
      <c r="AH268" s="2">
        <v>2.4512243585660798</v>
      </c>
      <c r="AI268" s="2">
        <v>4.22571320860831</v>
      </c>
      <c r="AJ268" s="2">
        <v>1.68560538655613</v>
      </c>
      <c r="AK268" s="2">
        <v>0.51926949564155001</v>
      </c>
      <c r="AL268" s="2">
        <v>0.28309183136351201</v>
      </c>
      <c r="AM268" s="2">
        <v>15.3</v>
      </c>
      <c r="AN268" s="2">
        <v>9.8000000000000007</v>
      </c>
      <c r="AO268" s="2">
        <v>29.7</v>
      </c>
      <c r="AP268" s="2">
        <v>564</v>
      </c>
      <c r="AQ268" s="2">
        <v>68</v>
      </c>
      <c r="AR268" s="2">
        <v>1.8</v>
      </c>
      <c r="AS268" s="2">
        <v>43</v>
      </c>
      <c r="AT268" s="2">
        <v>25.4</v>
      </c>
      <c r="AU268" s="2">
        <v>162</v>
      </c>
      <c r="AV268" s="2">
        <v>9.1</v>
      </c>
      <c r="AW268" s="2">
        <v>9.1999999999999993</v>
      </c>
      <c r="AX268" s="2">
        <v>18.3</v>
      </c>
      <c r="AY268" s="2">
        <v>0.34</v>
      </c>
      <c r="AZ268" s="2">
        <v>7.3</v>
      </c>
      <c r="BA268" s="2">
        <v>0.9</v>
      </c>
      <c r="BB268" s="2">
        <v>7.5</v>
      </c>
      <c r="BC268" s="2">
        <v>2.9</v>
      </c>
      <c r="BD268" s="2">
        <f>+AN268*EXP(-0.0495*Y268)</f>
        <v>8.7091642048155293</v>
      </c>
      <c r="BE268" s="2">
        <f>+AO268*EXP(-0.024*Y268)</f>
        <v>28.048404371164782</v>
      </c>
    </row>
    <row r="269" spans="1:57" x14ac:dyDescent="0.2">
      <c r="A269" s="2" t="s">
        <v>2777</v>
      </c>
      <c r="B269" s="2" t="s">
        <v>19</v>
      </c>
      <c r="C269" s="2" t="s">
        <v>1907</v>
      </c>
      <c r="D269" s="2" t="s">
        <v>21</v>
      </c>
      <c r="E269" s="2" t="s">
        <v>2778</v>
      </c>
      <c r="F269" s="2">
        <v>5</v>
      </c>
      <c r="G269" s="2">
        <v>145</v>
      </c>
      <c r="H269" s="2">
        <v>3</v>
      </c>
      <c r="I269" s="2">
        <v>4</v>
      </c>
      <c r="J269" s="2">
        <v>2</v>
      </c>
      <c r="K269" s="2" t="s">
        <v>61</v>
      </c>
      <c r="L269" s="6" t="s">
        <v>75</v>
      </c>
      <c r="M269" s="5">
        <v>798000000</v>
      </c>
      <c r="N269" s="2">
        <v>0</v>
      </c>
      <c r="O269" s="2">
        <v>4.7561723999999996</v>
      </c>
      <c r="P269" s="2">
        <v>-74.069957200000005</v>
      </c>
      <c r="Q269" s="2" t="s">
        <v>2779</v>
      </c>
      <c r="R269" s="2">
        <v>5503448.2759999996</v>
      </c>
      <c r="S269" s="2">
        <v>0</v>
      </c>
      <c r="T269" s="2" t="s">
        <v>68</v>
      </c>
      <c r="U269" s="2" t="s">
        <v>69</v>
      </c>
      <c r="V269" s="2" t="s">
        <v>28</v>
      </c>
      <c r="W269" s="2" t="s">
        <v>70</v>
      </c>
      <c r="X269" s="2" t="s">
        <v>71</v>
      </c>
      <c r="Y269" s="2">
        <v>2.1133013335481898</v>
      </c>
      <c r="Z269" s="2">
        <v>4.73719444444444</v>
      </c>
      <c r="AA269" s="2">
        <v>-74.069472222222203</v>
      </c>
      <c r="AB269" s="2">
        <v>2555</v>
      </c>
      <c r="AC269" s="2" t="s">
        <v>31</v>
      </c>
      <c r="AD269" s="2" t="s">
        <v>58</v>
      </c>
      <c r="AE269" s="2" t="s">
        <v>33</v>
      </c>
      <c r="AF269" s="2" t="s">
        <v>34</v>
      </c>
      <c r="AG269" s="2" t="s">
        <v>72</v>
      </c>
      <c r="AH269" s="2">
        <v>2.5904576078643502</v>
      </c>
      <c r="AI269" s="2">
        <v>4.3012740610713198</v>
      </c>
      <c r="AJ269" s="2">
        <v>1.85042291884673</v>
      </c>
      <c r="AK269" s="2">
        <v>0.59546031515494402</v>
      </c>
      <c r="AL269" s="2">
        <v>8.6799975842776801E-4</v>
      </c>
      <c r="AM269" s="2">
        <v>15.3</v>
      </c>
      <c r="AN269" s="2">
        <v>9.8000000000000007</v>
      </c>
      <c r="AO269" s="2">
        <v>29.7</v>
      </c>
      <c r="AP269" s="2">
        <v>564</v>
      </c>
      <c r="AQ269" s="2">
        <v>68</v>
      </c>
      <c r="AR269" s="2">
        <v>1.8</v>
      </c>
      <c r="AS269" s="2">
        <v>43</v>
      </c>
      <c r="AT269" s="2">
        <v>25.4</v>
      </c>
      <c r="AU269" s="2">
        <v>162</v>
      </c>
      <c r="AV269" s="2">
        <v>9.1</v>
      </c>
      <c r="AW269" s="2">
        <v>9.1999999999999993</v>
      </c>
      <c r="AX269" s="2">
        <v>18.3</v>
      </c>
      <c r="AY269" s="2">
        <v>0.34</v>
      </c>
      <c r="AZ269" s="2">
        <v>7.3</v>
      </c>
      <c r="BA269" s="2">
        <v>0.9</v>
      </c>
      <c r="BB269" s="2">
        <v>7.5</v>
      </c>
      <c r="BC269" s="2">
        <v>2.9</v>
      </c>
      <c r="BD269" s="2">
        <f>+AN269*EXP(-0.0495*Y269)</f>
        <v>8.8266360140473292</v>
      </c>
      <c r="BE269" s="2">
        <f>+AO269*EXP(-0.024*Y269)</f>
        <v>28.231201820102029</v>
      </c>
    </row>
    <row r="270" spans="1:57" x14ac:dyDescent="0.2">
      <c r="A270" s="2" t="s">
        <v>1397</v>
      </c>
      <c r="B270" s="2" t="s">
        <v>19</v>
      </c>
      <c r="C270" s="2" t="s">
        <v>20</v>
      </c>
      <c r="D270" s="2" t="s">
        <v>21</v>
      </c>
      <c r="E270" s="2" t="s">
        <v>660</v>
      </c>
      <c r="F270" s="2">
        <v>4</v>
      </c>
      <c r="G270" s="2">
        <v>144</v>
      </c>
      <c r="H270" s="2">
        <v>3</v>
      </c>
      <c r="I270" s="2">
        <v>5</v>
      </c>
      <c r="J270" s="2">
        <v>2</v>
      </c>
      <c r="K270" s="2" t="s">
        <v>61</v>
      </c>
      <c r="L270" s="6" t="s">
        <v>75</v>
      </c>
      <c r="M270" s="5">
        <v>1150000000</v>
      </c>
      <c r="N270" s="2">
        <v>0</v>
      </c>
      <c r="O270" s="2">
        <v>4.7584882469999998</v>
      </c>
      <c r="P270" s="2">
        <v>-74.066648479999998</v>
      </c>
      <c r="Q270" s="2" t="s">
        <v>1398</v>
      </c>
      <c r="R270" s="2">
        <v>7986111.1109999996</v>
      </c>
      <c r="S270" s="2">
        <v>0</v>
      </c>
      <c r="T270" s="2" t="s">
        <v>68</v>
      </c>
      <c r="U270" s="2" t="s">
        <v>69</v>
      </c>
      <c r="V270" s="2" t="s">
        <v>28</v>
      </c>
      <c r="W270" s="2" t="s">
        <v>70</v>
      </c>
      <c r="X270" s="2" t="s">
        <v>71</v>
      </c>
      <c r="Y270" s="2">
        <v>2.3910248121942002</v>
      </c>
      <c r="Z270" s="2">
        <v>4.73719444444444</v>
      </c>
      <c r="AA270" s="2">
        <v>-74.069472222222203</v>
      </c>
      <c r="AB270" s="2">
        <v>2555</v>
      </c>
      <c r="AC270" s="2" t="s">
        <v>31</v>
      </c>
      <c r="AD270" s="2" t="s">
        <v>58</v>
      </c>
      <c r="AE270" s="2" t="s">
        <v>33</v>
      </c>
      <c r="AF270" s="2" t="s">
        <v>34</v>
      </c>
      <c r="AG270" s="2" t="s">
        <v>72</v>
      </c>
      <c r="AH270" s="2">
        <v>2.3239187963189698</v>
      </c>
      <c r="AI270" s="2">
        <v>4.3068789974692603</v>
      </c>
      <c r="AJ270" s="2">
        <v>1.56323312054651</v>
      </c>
      <c r="AK270" s="2">
        <v>0.39426782952837502</v>
      </c>
      <c r="AL270" s="2">
        <v>0.30735041224765403</v>
      </c>
      <c r="AM270" s="2">
        <v>15.3</v>
      </c>
      <c r="AN270" s="2">
        <v>9.8000000000000007</v>
      </c>
      <c r="AO270" s="2">
        <v>29.7</v>
      </c>
      <c r="AP270" s="2">
        <v>564</v>
      </c>
      <c r="AQ270" s="2">
        <v>68</v>
      </c>
      <c r="AR270" s="2">
        <v>1.8</v>
      </c>
      <c r="AS270" s="2">
        <v>43</v>
      </c>
      <c r="AT270" s="2">
        <v>25.4</v>
      </c>
      <c r="AU270" s="2">
        <v>162</v>
      </c>
      <c r="AV270" s="2">
        <v>9.1</v>
      </c>
      <c r="AW270" s="2">
        <v>9.1999999999999993</v>
      </c>
      <c r="AX270" s="2">
        <v>18.3</v>
      </c>
      <c r="AY270" s="2">
        <v>0.34</v>
      </c>
      <c r="AZ270" s="2">
        <v>7.3</v>
      </c>
      <c r="BA270" s="2">
        <v>0.9</v>
      </c>
      <c r="BB270" s="2">
        <v>7.5</v>
      </c>
      <c r="BC270" s="2">
        <v>2.9</v>
      </c>
      <c r="BD270" s="2">
        <f>+AN270*EXP(-0.0495*Y270)</f>
        <v>8.7061237509479987</v>
      </c>
      <c r="BE270" s="2">
        <f>+AO270*EXP(-0.024*Y270)</f>
        <v>28.043656322080246</v>
      </c>
    </row>
    <row r="271" spans="1:57" x14ac:dyDescent="0.2">
      <c r="A271" s="2" t="s">
        <v>1208</v>
      </c>
      <c r="B271" s="2" t="s">
        <v>19</v>
      </c>
      <c r="C271" s="2" t="s">
        <v>20</v>
      </c>
      <c r="D271" s="2" t="s">
        <v>21</v>
      </c>
      <c r="E271" s="2" t="s">
        <v>228</v>
      </c>
      <c r="F271" s="2">
        <v>5</v>
      </c>
      <c r="G271" s="2">
        <v>144</v>
      </c>
      <c r="H271" s="2">
        <v>3</v>
      </c>
      <c r="I271" s="2">
        <v>3</v>
      </c>
      <c r="J271" s="2">
        <v>2</v>
      </c>
      <c r="K271" s="2" t="s">
        <v>61</v>
      </c>
      <c r="L271" s="6" t="s">
        <v>75</v>
      </c>
      <c r="M271" s="5">
        <v>1100000000</v>
      </c>
      <c r="N271" s="2">
        <v>0</v>
      </c>
      <c r="O271" s="2">
        <v>4.7251563069999998</v>
      </c>
      <c r="P271" s="2">
        <v>-74.062553410000007</v>
      </c>
      <c r="Q271" s="2" t="s">
        <v>1209</v>
      </c>
      <c r="R271" s="2">
        <v>7638888.8890000004</v>
      </c>
      <c r="S271" s="2">
        <v>0</v>
      </c>
      <c r="T271" s="2" t="s">
        <v>68</v>
      </c>
      <c r="U271" s="2" t="s">
        <v>69</v>
      </c>
      <c r="V271" s="2" t="s">
        <v>28</v>
      </c>
      <c r="W271" s="2" t="s">
        <v>70</v>
      </c>
      <c r="X271" s="2" t="s">
        <v>71</v>
      </c>
      <c r="Y271" s="2">
        <v>1.54433900045606</v>
      </c>
      <c r="Z271" s="2">
        <v>4.73719444444444</v>
      </c>
      <c r="AA271" s="2">
        <v>-74.069472222222203</v>
      </c>
      <c r="AB271" s="2">
        <v>2555</v>
      </c>
      <c r="AC271" s="2" t="s">
        <v>31</v>
      </c>
      <c r="AD271" s="2" t="s">
        <v>58</v>
      </c>
      <c r="AE271" s="2" t="s">
        <v>33</v>
      </c>
      <c r="AF271" s="2" t="s">
        <v>34</v>
      </c>
      <c r="AG271" s="2" t="s">
        <v>72</v>
      </c>
      <c r="AH271" s="2">
        <v>1.3070123289381801</v>
      </c>
      <c r="AI271" s="2">
        <v>4.3654333669409802</v>
      </c>
      <c r="AJ271" s="2">
        <v>1.3446171878580599</v>
      </c>
      <c r="AK271" s="2">
        <v>0.18321882305879</v>
      </c>
      <c r="AL271" s="2">
        <v>0.46211703433124102</v>
      </c>
      <c r="AM271" s="2">
        <v>15.3</v>
      </c>
      <c r="AN271" s="2">
        <v>9.8000000000000007</v>
      </c>
      <c r="AO271" s="2">
        <v>29.7</v>
      </c>
      <c r="AP271" s="2">
        <v>564</v>
      </c>
      <c r="AQ271" s="2">
        <v>68</v>
      </c>
      <c r="AR271" s="2">
        <v>1.8</v>
      </c>
      <c r="AS271" s="2">
        <v>43</v>
      </c>
      <c r="AT271" s="2">
        <v>25.4</v>
      </c>
      <c r="AU271" s="2">
        <v>162</v>
      </c>
      <c r="AV271" s="2">
        <v>9.1</v>
      </c>
      <c r="AW271" s="2">
        <v>9.1999999999999993</v>
      </c>
      <c r="AX271" s="2">
        <v>18.3</v>
      </c>
      <c r="AY271" s="2">
        <v>0.34</v>
      </c>
      <c r="AZ271" s="2">
        <v>7.3</v>
      </c>
      <c r="BA271" s="2">
        <v>0.9</v>
      </c>
      <c r="BB271" s="2">
        <v>7.5</v>
      </c>
      <c r="BC271" s="2">
        <v>2.9</v>
      </c>
      <c r="BD271" s="2">
        <f>+AN271*EXP(-0.0495*Y271)</f>
        <v>9.0787598705649977</v>
      </c>
      <c r="BE271" s="2">
        <f>+AO271*EXP(-0.024*Y271)</f>
        <v>28.619345630339222</v>
      </c>
    </row>
    <row r="272" spans="1:57" x14ac:dyDescent="0.2">
      <c r="A272" s="2" t="s">
        <v>2985</v>
      </c>
      <c r="B272" s="2" t="s">
        <v>19</v>
      </c>
      <c r="C272" s="2" t="s">
        <v>1907</v>
      </c>
      <c r="D272" s="2" t="s">
        <v>21</v>
      </c>
      <c r="E272" s="2" t="s">
        <v>218</v>
      </c>
      <c r="F272" s="2">
        <v>5</v>
      </c>
      <c r="G272" s="2">
        <v>143.05000000000001</v>
      </c>
      <c r="H272" s="2">
        <v>3</v>
      </c>
      <c r="I272" s="2">
        <v>3</v>
      </c>
      <c r="J272" s="2">
        <v>2</v>
      </c>
      <c r="K272" s="2" t="s">
        <v>61</v>
      </c>
      <c r="L272" s="6" t="s">
        <v>113</v>
      </c>
      <c r="M272" s="5">
        <v>760000000</v>
      </c>
      <c r="N272" s="2">
        <v>0</v>
      </c>
      <c r="O272" s="2">
        <v>4.7561200000000001</v>
      </c>
      <c r="P272" s="2">
        <v>-74.070040000000006</v>
      </c>
      <c r="Q272" s="2" t="s">
        <v>2986</v>
      </c>
      <c r="R272" s="2">
        <v>5312827.6830000002</v>
      </c>
      <c r="S272" s="2">
        <v>0</v>
      </c>
      <c r="T272" s="2" t="s">
        <v>68</v>
      </c>
      <c r="U272" s="2" t="s">
        <v>69</v>
      </c>
      <c r="V272" s="2" t="s">
        <v>28</v>
      </c>
      <c r="W272" s="2" t="s">
        <v>70</v>
      </c>
      <c r="X272" s="2" t="s">
        <v>71</v>
      </c>
      <c r="Y272" s="2">
        <v>2.1077245945301302</v>
      </c>
      <c r="Z272" s="2">
        <v>4.73719444444444</v>
      </c>
      <c r="AA272" s="2">
        <v>-74.069472222222203</v>
      </c>
      <c r="AB272" s="2">
        <v>2555</v>
      </c>
      <c r="AC272" s="2" t="s">
        <v>31</v>
      </c>
      <c r="AD272" s="2" t="s">
        <v>58</v>
      </c>
      <c r="AE272" s="2" t="s">
        <v>33</v>
      </c>
      <c r="AF272" s="2" t="s">
        <v>34</v>
      </c>
      <c r="AG272" s="2" t="s">
        <v>72</v>
      </c>
      <c r="AH272" s="2">
        <v>2.5810246551867202</v>
      </c>
      <c r="AI272" s="2">
        <v>4.3009854849078701</v>
      </c>
      <c r="AJ272" s="2">
        <v>1.8585215137100299</v>
      </c>
      <c r="AK272" s="2">
        <v>0.585010149575375</v>
      </c>
      <c r="AL272" s="2">
        <v>7.6888103817429497E-3</v>
      </c>
      <c r="AM272" s="2">
        <v>15.3</v>
      </c>
      <c r="AN272" s="2">
        <v>9.8000000000000007</v>
      </c>
      <c r="AO272" s="2">
        <v>29.7</v>
      </c>
      <c r="AP272" s="2">
        <v>564</v>
      </c>
      <c r="AQ272" s="2">
        <v>68</v>
      </c>
      <c r="AR272" s="2">
        <v>1.8</v>
      </c>
      <c r="AS272" s="2">
        <v>43</v>
      </c>
      <c r="AT272" s="2">
        <v>25.4</v>
      </c>
      <c r="AU272" s="2">
        <v>162</v>
      </c>
      <c r="AV272" s="2">
        <v>9.1</v>
      </c>
      <c r="AW272" s="2">
        <v>9.1999999999999993</v>
      </c>
      <c r="AX272" s="2">
        <v>18.3</v>
      </c>
      <c r="AY272" s="2">
        <v>0.34</v>
      </c>
      <c r="AZ272" s="2">
        <v>7.3</v>
      </c>
      <c r="BA272" s="2">
        <v>0.9</v>
      </c>
      <c r="BB272" s="2">
        <v>7.5</v>
      </c>
      <c r="BC272" s="2">
        <v>2.9</v>
      </c>
      <c r="BD272" s="2">
        <f>+AN272*EXP(-0.0495*Y272)</f>
        <v>8.8290729307357108</v>
      </c>
      <c r="BE272" s="2">
        <f>+AO272*EXP(-0.024*Y272)</f>
        <v>28.23498058604789</v>
      </c>
    </row>
    <row r="273" spans="1:57" x14ac:dyDescent="0.2">
      <c r="A273" s="2" t="s">
        <v>3150</v>
      </c>
      <c r="B273" s="2" t="s">
        <v>19</v>
      </c>
      <c r="C273" s="2" t="s">
        <v>1907</v>
      </c>
      <c r="D273" s="2" t="s">
        <v>21</v>
      </c>
      <c r="E273" s="2" t="s">
        <v>1539</v>
      </c>
      <c r="F273" s="2">
        <v>6</v>
      </c>
      <c r="G273" s="2">
        <v>142</v>
      </c>
      <c r="H273" s="2">
        <v>4</v>
      </c>
      <c r="I273" s="2">
        <v>4</v>
      </c>
      <c r="J273" s="2">
        <v>2</v>
      </c>
      <c r="K273" s="2" t="s">
        <v>61</v>
      </c>
      <c r="L273" s="6" t="s">
        <v>84</v>
      </c>
      <c r="M273" s="5">
        <v>950000000</v>
      </c>
      <c r="N273" s="2">
        <v>0</v>
      </c>
      <c r="O273" s="2">
        <v>4.7987099999999998</v>
      </c>
      <c r="P273" s="2">
        <v>-74.071150000000003</v>
      </c>
      <c r="Q273" s="2" t="s">
        <v>3151</v>
      </c>
      <c r="R273" s="2">
        <v>6690140.8449999997</v>
      </c>
      <c r="S273" s="2">
        <v>0</v>
      </c>
      <c r="T273" s="2" t="s">
        <v>102</v>
      </c>
      <c r="U273" s="2" t="s">
        <v>103</v>
      </c>
      <c r="V273" s="2" t="s">
        <v>28</v>
      </c>
      <c r="W273" s="2" t="s">
        <v>70</v>
      </c>
      <c r="X273" s="2" t="s">
        <v>104</v>
      </c>
      <c r="Y273" s="2">
        <v>3.42804694651063</v>
      </c>
      <c r="Z273" s="2">
        <v>4.7837500000000004</v>
      </c>
      <c r="AA273" s="2">
        <v>-74.044138888888895</v>
      </c>
      <c r="AB273" s="2">
        <v>2580</v>
      </c>
      <c r="AC273" s="2" t="s">
        <v>105</v>
      </c>
      <c r="AD273" s="2" t="s">
        <v>58</v>
      </c>
      <c r="AE273" s="2" t="s">
        <v>33</v>
      </c>
      <c r="AF273" s="2" t="s">
        <v>34</v>
      </c>
      <c r="AG273" s="2" t="s">
        <v>72</v>
      </c>
      <c r="AH273" s="2">
        <v>4.50106253937596</v>
      </c>
      <c r="AI273" s="2">
        <v>1.13305608819558</v>
      </c>
      <c r="AJ273" s="2">
        <v>2.6749646413131498</v>
      </c>
      <c r="AK273" s="2">
        <v>1.14521720398764</v>
      </c>
      <c r="AL273" s="2">
        <v>1.9784146700130301</v>
      </c>
      <c r="AM273" s="2">
        <v>15.3</v>
      </c>
      <c r="AN273" s="2">
        <v>9.8000000000000007</v>
      </c>
      <c r="AO273" s="2">
        <v>29.7</v>
      </c>
      <c r="AP273" s="2">
        <v>564</v>
      </c>
      <c r="AQ273" s="2">
        <v>68</v>
      </c>
      <c r="AR273" s="2">
        <v>1.8</v>
      </c>
      <c r="AS273" s="2">
        <v>43</v>
      </c>
      <c r="AT273" s="2">
        <v>25.4</v>
      </c>
      <c r="AU273" s="2">
        <v>162</v>
      </c>
      <c r="AV273" s="2">
        <v>9.1</v>
      </c>
      <c r="AW273" s="2">
        <v>9.1999999999999993</v>
      </c>
      <c r="AX273" s="2">
        <v>18.3</v>
      </c>
      <c r="AY273" s="2">
        <v>0.34</v>
      </c>
      <c r="AZ273" s="2">
        <v>7.3</v>
      </c>
      <c r="BA273" s="2">
        <v>0.9</v>
      </c>
      <c r="BB273" s="2">
        <v>7.5</v>
      </c>
      <c r="BC273" s="2">
        <v>2.9</v>
      </c>
      <c r="BD273" s="2">
        <f>+AN273*EXP(-0.0495*Y273)</f>
        <v>8.2704925162273479</v>
      </c>
      <c r="BE273" s="2">
        <f>+AO273*EXP(-0.024*Y273)</f>
        <v>27.354304961408108</v>
      </c>
    </row>
    <row r="274" spans="1:57" x14ac:dyDescent="0.2">
      <c r="A274" s="2" t="s">
        <v>1832</v>
      </c>
      <c r="B274" s="2" t="s">
        <v>19</v>
      </c>
      <c r="C274" s="2" t="s">
        <v>20</v>
      </c>
      <c r="D274" s="2" t="s">
        <v>21</v>
      </c>
      <c r="E274" s="2" t="s">
        <v>1718</v>
      </c>
      <c r="F274" s="2">
        <v>5</v>
      </c>
      <c r="G274" s="2">
        <v>141</v>
      </c>
      <c r="H274" s="2">
        <v>3</v>
      </c>
      <c r="I274" s="2">
        <v>4</v>
      </c>
      <c r="J274" s="2">
        <v>3</v>
      </c>
      <c r="K274" s="2" t="s">
        <v>61</v>
      </c>
      <c r="L274" s="6" t="s">
        <v>62</v>
      </c>
      <c r="M274" s="5">
        <v>1790000000</v>
      </c>
      <c r="N274" s="2">
        <v>0</v>
      </c>
      <c r="O274" s="2">
        <v>4.7355499999999999</v>
      </c>
      <c r="P274" s="2">
        <v>-74.065100000000001</v>
      </c>
      <c r="Q274" s="2" t="s">
        <v>1833</v>
      </c>
      <c r="R274" s="2">
        <v>12695035.460000001</v>
      </c>
      <c r="S274" s="2">
        <v>0</v>
      </c>
      <c r="T274" s="2" t="s">
        <v>68</v>
      </c>
      <c r="U274" s="2" t="s">
        <v>69</v>
      </c>
      <c r="V274" s="2" t="s">
        <v>28</v>
      </c>
      <c r="W274" s="2" t="s">
        <v>70</v>
      </c>
      <c r="X274" s="2" t="s">
        <v>71</v>
      </c>
      <c r="Y274" s="2">
        <v>0.51844523258964204</v>
      </c>
      <c r="Z274" s="2">
        <v>4.73719444444444</v>
      </c>
      <c r="AA274" s="2">
        <v>-74.069472222222203</v>
      </c>
      <c r="AB274" s="2">
        <v>2555</v>
      </c>
      <c r="AC274" s="2" t="s">
        <v>31</v>
      </c>
      <c r="AD274" s="2" t="s">
        <v>58</v>
      </c>
      <c r="AE274" s="2" t="s">
        <v>33</v>
      </c>
      <c r="AF274" s="2" t="s">
        <v>34</v>
      </c>
      <c r="AG274" s="2" t="s">
        <v>72</v>
      </c>
      <c r="AH274" s="2">
        <v>1.3923249842808201</v>
      </c>
      <c r="AI274" s="2">
        <v>4.7895459021765401</v>
      </c>
      <c r="AJ274" s="2">
        <v>2.1818501339158201</v>
      </c>
      <c r="AK274" s="2">
        <v>0.281945709606855</v>
      </c>
      <c r="AL274" s="2">
        <v>0.324448942148583</v>
      </c>
      <c r="AM274" s="2">
        <v>15.3</v>
      </c>
      <c r="AN274" s="2">
        <v>9.8000000000000007</v>
      </c>
      <c r="AO274" s="2">
        <v>29.7</v>
      </c>
      <c r="AP274" s="2">
        <v>564</v>
      </c>
      <c r="AQ274" s="2">
        <v>68</v>
      </c>
      <c r="AR274" s="2">
        <v>1.8</v>
      </c>
      <c r="AS274" s="2">
        <v>43</v>
      </c>
      <c r="AT274" s="2">
        <v>25.4</v>
      </c>
      <c r="AU274" s="2">
        <v>162</v>
      </c>
      <c r="AV274" s="2">
        <v>9.1</v>
      </c>
      <c r="AW274" s="2">
        <v>9.1999999999999993</v>
      </c>
      <c r="AX274" s="2">
        <v>18.3</v>
      </c>
      <c r="AY274" s="2">
        <v>0.34</v>
      </c>
      <c r="AZ274" s="2">
        <v>7.3</v>
      </c>
      <c r="BA274" s="2">
        <v>0.9</v>
      </c>
      <c r="BB274" s="2">
        <v>7.5</v>
      </c>
      <c r="BC274" s="2">
        <v>2.9</v>
      </c>
      <c r="BD274" s="2">
        <f>+AN274*EXP(-0.0495*Y274)</f>
        <v>9.5517018868571402</v>
      </c>
      <c r="BE274" s="2">
        <f>+AO274*EXP(-0.024*Y274)</f>
        <v>29.332741815512072</v>
      </c>
    </row>
    <row r="275" spans="1:57" x14ac:dyDescent="0.2">
      <c r="A275" s="2" t="s">
        <v>3112</v>
      </c>
      <c r="B275" s="2" t="s">
        <v>19</v>
      </c>
      <c r="C275" s="2" t="s">
        <v>1907</v>
      </c>
      <c r="D275" s="2" t="s">
        <v>21</v>
      </c>
      <c r="E275" s="2" t="s">
        <v>241</v>
      </c>
      <c r="F275" s="2">
        <v>4</v>
      </c>
      <c r="G275" s="2">
        <v>141</v>
      </c>
      <c r="H275" s="2">
        <v>3</v>
      </c>
      <c r="I275" s="2">
        <v>3</v>
      </c>
      <c r="J275" s="2">
        <v>3</v>
      </c>
      <c r="K275" s="2" t="s">
        <v>61</v>
      </c>
      <c r="L275" s="6" t="s">
        <v>75</v>
      </c>
      <c r="M275" s="5">
        <v>700000000</v>
      </c>
      <c r="N275" s="2">
        <v>0</v>
      </c>
      <c r="O275" s="2">
        <v>4.7686859999999998</v>
      </c>
      <c r="P275" s="2">
        <v>-74.033511180000005</v>
      </c>
      <c r="Q275" s="2" t="s">
        <v>3113</v>
      </c>
      <c r="R275" s="2">
        <v>4964539.0070000002</v>
      </c>
      <c r="S275" s="2">
        <v>0</v>
      </c>
      <c r="T275" s="2" t="s">
        <v>102</v>
      </c>
      <c r="U275" s="2" t="s">
        <v>103</v>
      </c>
      <c r="V275" s="2" t="s">
        <v>28</v>
      </c>
      <c r="W275" s="2" t="s">
        <v>70</v>
      </c>
      <c r="X275" s="2" t="s">
        <v>104</v>
      </c>
      <c r="Y275" s="2">
        <v>2.0498789177742101</v>
      </c>
      <c r="Z275" s="2">
        <v>4.7837500000000004</v>
      </c>
      <c r="AA275" s="2">
        <v>-74.044138888888895</v>
      </c>
      <c r="AB275" s="2">
        <v>2580</v>
      </c>
      <c r="AC275" s="2" t="s">
        <v>105</v>
      </c>
      <c r="AD275" s="2" t="s">
        <v>58</v>
      </c>
      <c r="AE275" s="2" t="s">
        <v>33</v>
      </c>
      <c r="AF275" s="2" t="s">
        <v>34</v>
      </c>
      <c r="AG275" s="2" t="s">
        <v>59</v>
      </c>
      <c r="AH275" s="2">
        <v>1.1155618122778299</v>
      </c>
      <c r="AI275" s="2">
        <v>1.18273318790951</v>
      </c>
      <c r="AJ275" s="2">
        <v>1.9857589727863001</v>
      </c>
      <c r="AK275" s="2">
        <v>0.412729184214016</v>
      </c>
      <c r="AL275" s="2">
        <v>0.15727184695287399</v>
      </c>
      <c r="AM275" s="2">
        <v>15.3</v>
      </c>
      <c r="AN275" s="2">
        <v>9.8000000000000007</v>
      </c>
      <c r="AO275" s="2">
        <v>29.7</v>
      </c>
      <c r="AP275" s="2">
        <v>564</v>
      </c>
      <c r="AQ275" s="2">
        <v>68</v>
      </c>
      <c r="AR275" s="2">
        <v>1.8</v>
      </c>
      <c r="AS275" s="2">
        <v>43</v>
      </c>
      <c r="AT275" s="2">
        <v>25.4</v>
      </c>
      <c r="AU275" s="2">
        <v>162</v>
      </c>
      <c r="AV275" s="2">
        <v>9.1</v>
      </c>
      <c r="AW275" s="2">
        <v>9.1999999999999993</v>
      </c>
      <c r="AX275" s="2">
        <v>18.3</v>
      </c>
      <c r="AY275" s="2">
        <v>0.34</v>
      </c>
      <c r="AZ275" s="2">
        <v>7.3</v>
      </c>
      <c r="BA275" s="2">
        <v>0.9</v>
      </c>
      <c r="BB275" s="2">
        <v>7.5</v>
      </c>
      <c r="BC275" s="2">
        <v>2.9</v>
      </c>
      <c r="BD275" s="2">
        <f>+AN275*EXP(-0.0495*Y275)</f>
        <v>8.8543899824583292</v>
      </c>
      <c r="BE275" s="2">
        <f>+AO275*EXP(-0.024*Y275)</f>
        <v>28.274206325665713</v>
      </c>
    </row>
    <row r="276" spans="1:57" x14ac:dyDescent="0.2">
      <c r="A276" s="2" t="s">
        <v>2076</v>
      </c>
      <c r="B276" s="2" t="s">
        <v>19</v>
      </c>
      <c r="C276" s="2" t="s">
        <v>1907</v>
      </c>
      <c r="D276" s="2" t="s">
        <v>21</v>
      </c>
      <c r="E276" s="2" t="s">
        <v>132</v>
      </c>
      <c r="F276" s="2">
        <v>5</v>
      </c>
      <c r="G276" s="2">
        <v>140</v>
      </c>
      <c r="H276" s="2">
        <v>4</v>
      </c>
      <c r="I276" s="2">
        <v>4</v>
      </c>
      <c r="J276" s="2">
        <v>2</v>
      </c>
      <c r="K276" s="2" t="s">
        <v>61</v>
      </c>
      <c r="L276" s="6" t="s">
        <v>75</v>
      </c>
      <c r="M276" s="5">
        <v>780000000</v>
      </c>
      <c r="N276" s="2">
        <v>0</v>
      </c>
      <c r="O276" s="2">
        <v>4.7283368110000001</v>
      </c>
      <c r="P276" s="2">
        <v>-74.072082519999995</v>
      </c>
      <c r="Q276" s="2" t="s">
        <v>2077</v>
      </c>
      <c r="R276" s="2">
        <v>5571428.5710000005</v>
      </c>
      <c r="S276" s="2">
        <v>0</v>
      </c>
      <c r="T276" s="2" t="s">
        <v>68</v>
      </c>
      <c r="U276" s="2" t="s">
        <v>69</v>
      </c>
      <c r="V276" s="2" t="s">
        <v>28</v>
      </c>
      <c r="W276" s="2" t="s">
        <v>70</v>
      </c>
      <c r="X276" s="2" t="s">
        <v>71</v>
      </c>
      <c r="Y276" s="2">
        <v>1.02767209164381</v>
      </c>
      <c r="Z276" s="2">
        <v>4.73719444444444</v>
      </c>
      <c r="AA276" s="2">
        <v>-74.069472222222203</v>
      </c>
      <c r="AB276" s="2">
        <v>2555</v>
      </c>
      <c r="AC276" s="2" t="s">
        <v>31</v>
      </c>
      <c r="AD276" s="2" t="s">
        <v>58</v>
      </c>
      <c r="AE276" s="2" t="s">
        <v>33</v>
      </c>
      <c r="AF276" s="2" t="s">
        <v>34</v>
      </c>
      <c r="AG276" s="2" t="s">
        <v>72</v>
      </c>
      <c r="AH276" s="2">
        <v>0.308560042961396</v>
      </c>
      <c r="AI276" s="2">
        <v>5.4639790050438197</v>
      </c>
      <c r="AJ276" s="2">
        <v>1.2713918999431999</v>
      </c>
      <c r="AK276" s="2">
        <v>0.44086818170225001</v>
      </c>
      <c r="AL276" s="2">
        <v>0.38717633141487001</v>
      </c>
      <c r="AM276" s="2">
        <v>15.3</v>
      </c>
      <c r="AN276" s="2">
        <v>9.8000000000000007</v>
      </c>
      <c r="AO276" s="2">
        <v>29.7</v>
      </c>
      <c r="AP276" s="2">
        <v>564</v>
      </c>
      <c r="AQ276" s="2">
        <v>68</v>
      </c>
      <c r="AR276" s="2">
        <v>1.8</v>
      </c>
      <c r="AS276" s="2">
        <v>43</v>
      </c>
      <c r="AT276" s="2">
        <v>25.4</v>
      </c>
      <c r="AU276" s="2">
        <v>162</v>
      </c>
      <c r="AV276" s="2">
        <v>9.1</v>
      </c>
      <c r="AW276" s="2">
        <v>9.1999999999999993</v>
      </c>
      <c r="AX276" s="2">
        <v>18.3</v>
      </c>
      <c r="AY276" s="2">
        <v>0.34</v>
      </c>
      <c r="AZ276" s="2">
        <v>7.3</v>
      </c>
      <c r="BA276" s="2">
        <v>0.9</v>
      </c>
      <c r="BB276" s="2">
        <v>7.5</v>
      </c>
      <c r="BC276" s="2">
        <v>2.9</v>
      </c>
      <c r="BD276" s="2">
        <f>+AN276*EXP(-0.0495*Y276)</f>
        <v>9.3139438607790481</v>
      </c>
      <c r="BE276" s="2">
        <f>+AO276*EXP(-0.024*Y276)</f>
        <v>28.976435062495074</v>
      </c>
    </row>
    <row r="277" spans="1:57" x14ac:dyDescent="0.2">
      <c r="A277" s="2" t="s">
        <v>2836</v>
      </c>
      <c r="B277" s="2" t="s">
        <v>19</v>
      </c>
      <c r="C277" s="2" t="s">
        <v>1907</v>
      </c>
      <c r="D277" s="2" t="s">
        <v>21</v>
      </c>
      <c r="E277" s="2" t="s">
        <v>1938</v>
      </c>
      <c r="F277" s="2">
        <v>5</v>
      </c>
      <c r="G277" s="2">
        <v>140</v>
      </c>
      <c r="H277" s="2">
        <v>3</v>
      </c>
      <c r="I277" s="2">
        <v>3</v>
      </c>
      <c r="J277" s="2">
        <v>2</v>
      </c>
      <c r="K277" s="2" t="s">
        <v>61</v>
      </c>
      <c r="L277" s="6" t="s">
        <v>113</v>
      </c>
      <c r="M277" s="5">
        <v>685000000</v>
      </c>
      <c r="N277" s="2">
        <v>0</v>
      </c>
      <c r="O277" s="2">
        <v>4.7642350200000001</v>
      </c>
      <c r="P277" s="2">
        <v>-74.042564389999995</v>
      </c>
      <c r="Q277" s="2" t="s">
        <v>2837</v>
      </c>
      <c r="R277" s="2">
        <v>4892857.1430000002</v>
      </c>
      <c r="S277" s="2">
        <v>0</v>
      </c>
      <c r="T277" s="2" t="s">
        <v>102</v>
      </c>
      <c r="U277" s="2" t="s">
        <v>103</v>
      </c>
      <c r="V277" s="2" t="s">
        <v>28</v>
      </c>
      <c r="W277" s="2" t="s">
        <v>70</v>
      </c>
      <c r="X277" s="2" t="s">
        <v>104</v>
      </c>
      <c r="Y277" s="2">
        <v>2.1794079758685299</v>
      </c>
      <c r="Z277" s="2">
        <v>4.7837500000000004</v>
      </c>
      <c r="AA277" s="2">
        <v>-74.044138888888895</v>
      </c>
      <c r="AB277" s="2">
        <v>2580</v>
      </c>
      <c r="AC277" s="2" t="s">
        <v>105</v>
      </c>
      <c r="AD277" s="2" t="s">
        <v>58</v>
      </c>
      <c r="AE277" s="2" t="s">
        <v>33</v>
      </c>
      <c r="AF277" s="2" t="s">
        <v>34</v>
      </c>
      <c r="AG277" s="2" t="s">
        <v>59</v>
      </c>
      <c r="AH277" s="2">
        <v>0.23080352105268101</v>
      </c>
      <c r="AI277" s="2">
        <v>2.20169651844162</v>
      </c>
      <c r="AJ277" s="2">
        <v>1.70590807246772</v>
      </c>
      <c r="AK277" s="2">
        <v>0.37890493191338898</v>
      </c>
      <c r="AL277" s="2">
        <v>0.102811469089158</v>
      </c>
      <c r="AM277" s="2">
        <v>15.3</v>
      </c>
      <c r="AN277" s="2">
        <v>9.8000000000000007</v>
      </c>
      <c r="AO277" s="2">
        <v>29.7</v>
      </c>
      <c r="AP277" s="2">
        <v>564</v>
      </c>
      <c r="AQ277" s="2">
        <v>68</v>
      </c>
      <c r="AR277" s="2">
        <v>1.8</v>
      </c>
      <c r="AS277" s="2">
        <v>43</v>
      </c>
      <c r="AT277" s="2">
        <v>25.4</v>
      </c>
      <c r="AU277" s="2">
        <v>162</v>
      </c>
      <c r="AV277" s="2">
        <v>9.1</v>
      </c>
      <c r="AW277" s="2">
        <v>9.1999999999999993</v>
      </c>
      <c r="AX277" s="2">
        <v>18.3</v>
      </c>
      <c r="AY277" s="2">
        <v>0.34</v>
      </c>
      <c r="AZ277" s="2">
        <v>7.3</v>
      </c>
      <c r="BA277" s="2">
        <v>0.9</v>
      </c>
      <c r="BB277" s="2">
        <v>7.5</v>
      </c>
      <c r="BC277" s="2">
        <v>2.9</v>
      </c>
      <c r="BD277" s="2">
        <f>+AN277*EXP(-0.0495*Y277)</f>
        <v>8.7978000056489147</v>
      </c>
      <c r="BE277" s="2">
        <f>+AO277*EXP(-0.024*Y277)</f>
        <v>28.186446853632869</v>
      </c>
    </row>
    <row r="278" spans="1:57" x14ac:dyDescent="0.2">
      <c r="A278" s="2" t="s">
        <v>850</v>
      </c>
      <c r="B278" s="2" t="s">
        <v>19</v>
      </c>
      <c r="C278" s="2" t="s">
        <v>20</v>
      </c>
      <c r="D278" s="2" t="s">
        <v>21</v>
      </c>
      <c r="E278" s="2" t="s">
        <v>851</v>
      </c>
      <c r="F278" s="2">
        <v>5</v>
      </c>
      <c r="G278" s="2">
        <v>135</v>
      </c>
      <c r="H278" s="2">
        <v>3</v>
      </c>
      <c r="I278" s="2">
        <v>4</v>
      </c>
      <c r="J278" s="2">
        <v>2</v>
      </c>
      <c r="K278" s="2" t="s">
        <v>61</v>
      </c>
      <c r="L278" s="6" t="s">
        <v>62</v>
      </c>
      <c r="M278" s="5">
        <v>1200000000</v>
      </c>
      <c r="N278" s="2">
        <v>0</v>
      </c>
      <c r="O278" s="2">
        <v>4.7339639660000001</v>
      </c>
      <c r="P278" s="2">
        <v>-74.062614440000004</v>
      </c>
      <c r="Q278" s="2" t="s">
        <v>852</v>
      </c>
      <c r="R278" s="2">
        <v>8888888.8890000004</v>
      </c>
      <c r="S278" s="2">
        <v>0</v>
      </c>
      <c r="T278" s="2" t="s">
        <v>68</v>
      </c>
      <c r="U278" s="2" t="s">
        <v>69</v>
      </c>
      <c r="V278" s="2" t="s">
        <v>28</v>
      </c>
      <c r="W278" s="2" t="s">
        <v>70</v>
      </c>
      <c r="X278" s="2" t="s">
        <v>71</v>
      </c>
      <c r="Y278" s="2">
        <v>0.84150930879493202</v>
      </c>
      <c r="Z278" s="2">
        <v>4.73719444444444</v>
      </c>
      <c r="AA278" s="2">
        <v>-74.069472222222203</v>
      </c>
      <c r="AB278" s="2">
        <v>2555</v>
      </c>
      <c r="AC278" s="2" t="s">
        <v>31</v>
      </c>
      <c r="AD278" s="2" t="s">
        <v>58</v>
      </c>
      <c r="AE278" s="2" t="s">
        <v>33</v>
      </c>
      <c r="AF278" s="2" t="s">
        <v>34</v>
      </c>
      <c r="AG278" s="2" t="s">
        <v>72</v>
      </c>
      <c r="AH278" s="2">
        <v>1.4595805590267701</v>
      </c>
      <c r="AI278" s="2">
        <v>4.5056833247072898</v>
      </c>
      <c r="AJ278" s="2">
        <v>2.12808982884175</v>
      </c>
      <c r="AK278" s="2">
        <v>0.43222036739261099</v>
      </c>
      <c r="AL278" s="2">
        <v>0.26525448045657102</v>
      </c>
      <c r="AM278" s="2">
        <v>15.3</v>
      </c>
      <c r="AN278" s="2">
        <v>9.8000000000000007</v>
      </c>
      <c r="AO278" s="2">
        <v>29.7</v>
      </c>
      <c r="AP278" s="2">
        <v>564</v>
      </c>
      <c r="AQ278" s="2">
        <v>68</v>
      </c>
      <c r="AR278" s="2">
        <v>1.8</v>
      </c>
      <c r="AS278" s="2">
        <v>43</v>
      </c>
      <c r="AT278" s="2">
        <v>25.4</v>
      </c>
      <c r="AU278" s="2">
        <v>162</v>
      </c>
      <c r="AV278" s="2">
        <v>9.1</v>
      </c>
      <c r="AW278" s="2">
        <v>9.1999999999999993</v>
      </c>
      <c r="AX278" s="2">
        <v>18.3</v>
      </c>
      <c r="AY278" s="2">
        <v>0.34</v>
      </c>
      <c r="AZ278" s="2">
        <v>7.3</v>
      </c>
      <c r="BA278" s="2">
        <v>0.9</v>
      </c>
      <c r="BB278" s="2">
        <v>7.5</v>
      </c>
      <c r="BC278" s="2">
        <v>2.9</v>
      </c>
      <c r="BD278" s="2">
        <f>+AN278*EXP(-0.0495*Y278)</f>
        <v>9.4001690663034356</v>
      </c>
      <c r="BE278" s="2">
        <f>+AO278*EXP(-0.024*Y278)</f>
        <v>29.106188721192698</v>
      </c>
    </row>
    <row r="279" spans="1:57" x14ac:dyDescent="0.2">
      <c r="A279" s="2" t="s">
        <v>716</v>
      </c>
      <c r="B279" s="2" t="s">
        <v>19</v>
      </c>
      <c r="C279" s="2" t="s">
        <v>20</v>
      </c>
      <c r="D279" s="2" t="s">
        <v>21</v>
      </c>
      <c r="E279" s="2" t="s">
        <v>612</v>
      </c>
      <c r="F279" s="2">
        <v>5</v>
      </c>
      <c r="G279" s="2">
        <v>134</v>
      </c>
      <c r="H279" s="2">
        <v>3</v>
      </c>
      <c r="I279" s="2">
        <v>4</v>
      </c>
      <c r="J279" s="2">
        <v>2</v>
      </c>
      <c r="K279" s="2" t="s">
        <v>61</v>
      </c>
      <c r="L279" s="6" t="s">
        <v>75</v>
      </c>
      <c r="M279" s="5">
        <v>890000000</v>
      </c>
      <c r="N279" s="2">
        <v>0</v>
      </c>
      <c r="O279" s="2">
        <v>4.7442603109999997</v>
      </c>
      <c r="P279" s="2">
        <v>-74.065078740000004</v>
      </c>
      <c r="Q279" s="2" t="s">
        <v>717</v>
      </c>
      <c r="R279" s="2">
        <v>6641791.0449999999</v>
      </c>
      <c r="S279" s="2">
        <v>0</v>
      </c>
      <c r="T279" s="2" t="s">
        <v>68</v>
      </c>
      <c r="U279" s="2" t="s">
        <v>69</v>
      </c>
      <c r="V279" s="2" t="s">
        <v>28</v>
      </c>
      <c r="W279" s="2" t="s">
        <v>70</v>
      </c>
      <c r="X279" s="2" t="s">
        <v>71</v>
      </c>
      <c r="Y279" s="2">
        <v>0.92534094154875701</v>
      </c>
      <c r="Z279" s="2">
        <v>4.73719444444444</v>
      </c>
      <c r="AA279" s="2">
        <v>-74.069472222222203</v>
      </c>
      <c r="AB279" s="2">
        <v>2555</v>
      </c>
      <c r="AC279" s="2" t="s">
        <v>31</v>
      </c>
      <c r="AD279" s="2" t="s">
        <v>58</v>
      </c>
      <c r="AE279" s="2" t="s">
        <v>33</v>
      </c>
      <c r="AF279" s="2" t="s">
        <v>34</v>
      </c>
      <c r="AG279" s="2" t="s">
        <v>72</v>
      </c>
      <c r="AH279" s="2">
        <v>1.91114875974767</v>
      </c>
      <c r="AI279" s="2">
        <v>4.9451612229608202</v>
      </c>
      <c r="AJ279" s="2">
        <v>1.63177746733011</v>
      </c>
      <c r="AK279" s="2">
        <v>0.35500310388501599</v>
      </c>
      <c r="AL279" s="2">
        <v>3.2772866091432401E-2</v>
      </c>
      <c r="AM279" s="2">
        <v>15.3</v>
      </c>
      <c r="AN279" s="2">
        <v>9.8000000000000007</v>
      </c>
      <c r="AO279" s="2">
        <v>29.7</v>
      </c>
      <c r="AP279" s="2">
        <v>564</v>
      </c>
      <c r="AQ279" s="2">
        <v>68</v>
      </c>
      <c r="AR279" s="2">
        <v>1.8</v>
      </c>
      <c r="AS279" s="2">
        <v>43</v>
      </c>
      <c r="AT279" s="2">
        <v>25.4</v>
      </c>
      <c r="AU279" s="2">
        <v>162</v>
      </c>
      <c r="AV279" s="2">
        <v>9.1</v>
      </c>
      <c r="AW279" s="2">
        <v>9.1999999999999993</v>
      </c>
      <c r="AX279" s="2">
        <v>18.3</v>
      </c>
      <c r="AY279" s="2">
        <v>0.34</v>
      </c>
      <c r="AZ279" s="2">
        <v>7.3</v>
      </c>
      <c r="BA279" s="2">
        <v>0.9</v>
      </c>
      <c r="BB279" s="2">
        <v>7.5</v>
      </c>
      <c r="BC279" s="2">
        <v>2.9</v>
      </c>
      <c r="BD279" s="2">
        <f>+AN279*EXP(-0.0495*Y279)</f>
        <v>9.3612423283503929</v>
      </c>
      <c r="BE279" s="2">
        <f>+AO279*EXP(-0.024*Y279)</f>
        <v>29.047687128565752</v>
      </c>
    </row>
    <row r="280" spans="1:57" x14ac:dyDescent="0.2">
      <c r="A280" s="2" t="s">
        <v>1274</v>
      </c>
      <c r="B280" s="2" t="s">
        <v>19</v>
      </c>
      <c r="C280" s="2" t="s">
        <v>20</v>
      </c>
      <c r="D280" s="2" t="s">
        <v>21</v>
      </c>
      <c r="E280" s="2" t="s">
        <v>91</v>
      </c>
      <c r="F280" s="2">
        <v>4</v>
      </c>
      <c r="G280" s="2">
        <v>133</v>
      </c>
      <c r="H280" s="2">
        <v>4</v>
      </c>
      <c r="I280" s="2">
        <v>3</v>
      </c>
      <c r="J280" s="2">
        <v>2</v>
      </c>
      <c r="K280" s="2" t="s">
        <v>61</v>
      </c>
      <c r="L280" s="6" t="s">
        <v>75</v>
      </c>
      <c r="M280" s="5">
        <v>837000000</v>
      </c>
      <c r="N280" s="2">
        <v>0</v>
      </c>
      <c r="O280" s="2">
        <v>4.7432631000000001</v>
      </c>
      <c r="P280" s="2">
        <v>-74.054946799999996</v>
      </c>
      <c r="Q280" s="2" t="s">
        <v>1275</v>
      </c>
      <c r="R280" s="2">
        <v>6293233.0829999996</v>
      </c>
      <c r="S280" s="2">
        <v>0</v>
      </c>
      <c r="T280" s="2" t="s">
        <v>68</v>
      </c>
      <c r="U280" s="2" t="s">
        <v>69</v>
      </c>
      <c r="V280" s="2" t="s">
        <v>28</v>
      </c>
      <c r="W280" s="2" t="s">
        <v>70</v>
      </c>
      <c r="X280" s="2" t="s">
        <v>71</v>
      </c>
      <c r="Y280" s="2">
        <v>1.7473104486137501</v>
      </c>
      <c r="Z280" s="2">
        <v>4.73719444444444</v>
      </c>
      <c r="AA280" s="2">
        <v>-74.069472222222203</v>
      </c>
      <c r="AB280" s="2">
        <v>2555</v>
      </c>
      <c r="AC280" s="2" t="s">
        <v>31</v>
      </c>
      <c r="AD280" s="2" t="s">
        <v>58</v>
      </c>
      <c r="AE280" s="2" t="s">
        <v>33</v>
      </c>
      <c r="AF280" s="2" t="s">
        <v>34</v>
      </c>
      <c r="AG280" s="2" t="s">
        <v>72</v>
      </c>
      <c r="AH280" s="2">
        <v>0.784429592042858</v>
      </c>
      <c r="AI280" s="2">
        <v>3.8360065968572701</v>
      </c>
      <c r="AJ280" s="2">
        <v>1.1291480455371199</v>
      </c>
      <c r="AK280" s="2">
        <v>0.50504661569446496</v>
      </c>
      <c r="AL280" s="2">
        <v>9.6201208154341994E-2</v>
      </c>
      <c r="AM280" s="2">
        <v>15.3</v>
      </c>
      <c r="AN280" s="2">
        <v>9.8000000000000007</v>
      </c>
      <c r="AO280" s="2">
        <v>29.7</v>
      </c>
      <c r="AP280" s="2">
        <v>564</v>
      </c>
      <c r="AQ280" s="2">
        <v>68</v>
      </c>
      <c r="AR280" s="2">
        <v>1.8</v>
      </c>
      <c r="AS280" s="2">
        <v>43</v>
      </c>
      <c r="AT280" s="2">
        <v>25.4</v>
      </c>
      <c r="AU280" s="2">
        <v>162</v>
      </c>
      <c r="AV280" s="2">
        <v>9.1</v>
      </c>
      <c r="AW280" s="2">
        <v>9.1999999999999993</v>
      </c>
      <c r="AX280" s="2">
        <v>18.3</v>
      </c>
      <c r="AY280" s="2">
        <v>0.34</v>
      </c>
      <c r="AZ280" s="2">
        <v>7.3</v>
      </c>
      <c r="BA280" s="2">
        <v>0.9</v>
      </c>
      <c r="BB280" s="2">
        <v>7.5</v>
      </c>
      <c r="BC280" s="2">
        <v>2.9</v>
      </c>
      <c r="BD280" s="2">
        <f>+AN280*EXP(-0.0495*Y280)</f>
        <v>8.9880014753539221</v>
      </c>
      <c r="BE280" s="2">
        <f>+AO280*EXP(-0.024*Y280)</f>
        <v>28.480270803314745</v>
      </c>
    </row>
    <row r="281" spans="1:57" x14ac:dyDescent="0.2">
      <c r="A281" s="2" t="s">
        <v>2016</v>
      </c>
      <c r="B281" s="2" t="s">
        <v>19</v>
      </c>
      <c r="C281" s="2" t="s">
        <v>1907</v>
      </c>
      <c r="D281" s="2" t="s">
        <v>21</v>
      </c>
      <c r="E281" s="2" t="s">
        <v>1377</v>
      </c>
      <c r="F281" s="2">
        <v>4</v>
      </c>
      <c r="G281" s="2">
        <v>133</v>
      </c>
      <c r="H281" s="2">
        <v>3</v>
      </c>
      <c r="I281" s="2">
        <v>2</v>
      </c>
      <c r="J281" s="2">
        <v>0</v>
      </c>
      <c r="K281" s="2" t="s">
        <v>61</v>
      </c>
      <c r="L281" s="6" t="s">
        <v>75</v>
      </c>
      <c r="M281" s="5">
        <v>660000000</v>
      </c>
      <c r="N281" s="2">
        <v>0</v>
      </c>
      <c r="O281" s="2">
        <v>4.756042957</v>
      </c>
      <c r="P281" s="2">
        <v>-74.038986210000004</v>
      </c>
      <c r="Q281" s="2" t="s">
        <v>2017</v>
      </c>
      <c r="R281" s="2">
        <v>4962406.0149999997</v>
      </c>
      <c r="S281" s="2">
        <v>0</v>
      </c>
      <c r="T281" s="2" t="s">
        <v>102</v>
      </c>
      <c r="U281" s="2" t="s">
        <v>103</v>
      </c>
      <c r="V281" s="2" t="s">
        <v>28</v>
      </c>
      <c r="W281" s="2" t="s">
        <v>70</v>
      </c>
      <c r="X281" s="2" t="s">
        <v>104</v>
      </c>
      <c r="Y281" s="2">
        <v>3.1368535729729499</v>
      </c>
      <c r="Z281" s="2">
        <v>4.7837500000000004</v>
      </c>
      <c r="AA281" s="2">
        <v>-74.044138888888895</v>
      </c>
      <c r="AB281" s="2">
        <v>2580</v>
      </c>
      <c r="AC281" s="2" t="s">
        <v>105</v>
      </c>
      <c r="AD281" s="2" t="s">
        <v>58</v>
      </c>
      <c r="AE281" s="2" t="s">
        <v>33</v>
      </c>
      <c r="AF281" s="2" t="s">
        <v>34</v>
      </c>
      <c r="AG281" s="2" t="s">
        <v>59</v>
      </c>
      <c r="AH281" s="2">
        <v>0.79813955637591805</v>
      </c>
      <c r="AI281" s="2">
        <v>1.88652517885741</v>
      </c>
      <c r="AJ281" s="2">
        <v>1.0873696601035101</v>
      </c>
      <c r="AK281" s="2">
        <v>0.800029075783247</v>
      </c>
      <c r="AL281" s="2">
        <v>8.50193180752086E-2</v>
      </c>
      <c r="AM281" s="2">
        <v>15.3</v>
      </c>
      <c r="AN281" s="2">
        <v>9.8000000000000007</v>
      </c>
      <c r="AO281" s="2">
        <v>29.7</v>
      </c>
      <c r="AP281" s="2">
        <v>564</v>
      </c>
      <c r="AQ281" s="2">
        <v>68</v>
      </c>
      <c r="AR281" s="2">
        <v>1.8</v>
      </c>
      <c r="AS281" s="2">
        <v>43</v>
      </c>
      <c r="AT281" s="2">
        <v>25.4</v>
      </c>
      <c r="AU281" s="2">
        <v>162</v>
      </c>
      <c r="AV281" s="2">
        <v>9.1</v>
      </c>
      <c r="AW281" s="2">
        <v>9.1999999999999993</v>
      </c>
      <c r="AX281" s="2">
        <v>18.3</v>
      </c>
      <c r="AY281" s="2">
        <v>0.34</v>
      </c>
      <c r="AZ281" s="2">
        <v>7.3</v>
      </c>
      <c r="BA281" s="2">
        <v>0.9</v>
      </c>
      <c r="BB281" s="2">
        <v>7.5</v>
      </c>
      <c r="BC281" s="2">
        <v>2.9</v>
      </c>
      <c r="BD281" s="2">
        <f>+AN281*EXP(-0.0495*Y281)</f>
        <v>8.3905672950608903</v>
      </c>
      <c r="BE281" s="2">
        <f>+AO281*EXP(-0.024*Y281)</f>
        <v>27.546143943711439</v>
      </c>
    </row>
    <row r="282" spans="1:57" x14ac:dyDescent="0.2">
      <c r="A282" s="2" t="s">
        <v>3240</v>
      </c>
      <c r="B282" s="2" t="s">
        <v>19</v>
      </c>
      <c r="C282" s="2" t="s">
        <v>1907</v>
      </c>
      <c r="D282" s="2" t="s">
        <v>21</v>
      </c>
      <c r="E282" s="2" t="s">
        <v>125</v>
      </c>
      <c r="F282" s="2">
        <v>4</v>
      </c>
      <c r="G282" s="2">
        <v>132</v>
      </c>
      <c r="H282" s="2">
        <v>4</v>
      </c>
      <c r="I282" s="2">
        <v>3</v>
      </c>
      <c r="J282" s="2">
        <v>2</v>
      </c>
      <c r="K282" s="2" t="s">
        <v>61</v>
      </c>
      <c r="L282" s="6" t="s">
        <v>75</v>
      </c>
      <c r="M282" s="5">
        <v>750000000</v>
      </c>
      <c r="N282" s="2">
        <v>0</v>
      </c>
      <c r="O282" s="2">
        <v>4.7395477000000001</v>
      </c>
      <c r="P282" s="2">
        <v>-74.064999999999998</v>
      </c>
      <c r="Q282" s="2" t="s">
        <v>3241</v>
      </c>
      <c r="R282" s="2">
        <v>5681818.182</v>
      </c>
      <c r="S282" s="2">
        <v>0</v>
      </c>
      <c r="T282" s="2" t="s">
        <v>68</v>
      </c>
      <c r="U282" s="2" t="s">
        <v>69</v>
      </c>
      <c r="V282" s="2" t="s">
        <v>28</v>
      </c>
      <c r="W282" s="2" t="s">
        <v>70</v>
      </c>
      <c r="X282" s="2" t="s">
        <v>71</v>
      </c>
      <c r="Y282" s="2">
        <v>0.56105579093924096</v>
      </c>
      <c r="Z282" s="2">
        <v>4.73719444444444</v>
      </c>
      <c r="AA282" s="2">
        <v>-74.069472222222203</v>
      </c>
      <c r="AB282" s="2">
        <v>2555</v>
      </c>
      <c r="AC282" s="2" t="s">
        <v>31</v>
      </c>
      <c r="AD282" s="2" t="s">
        <v>58</v>
      </c>
      <c r="AE282" s="2" t="s">
        <v>33</v>
      </c>
      <c r="AF282" s="2" t="s">
        <v>34</v>
      </c>
      <c r="AG282" s="2" t="s">
        <v>72</v>
      </c>
      <c r="AH282" s="2">
        <v>1.7169474685414501</v>
      </c>
      <c r="AI282" s="2">
        <v>4.8279831014377104</v>
      </c>
      <c r="AJ282" s="2">
        <v>1.99023554336734</v>
      </c>
      <c r="AK282" s="2">
        <v>0.14625400497773</v>
      </c>
      <c r="AL282" s="2">
        <v>0.10631316227066</v>
      </c>
      <c r="AM282" s="2">
        <v>15.3</v>
      </c>
      <c r="AN282" s="2">
        <v>9.8000000000000007</v>
      </c>
      <c r="AO282" s="2">
        <v>29.7</v>
      </c>
      <c r="AP282" s="2">
        <v>564</v>
      </c>
      <c r="AQ282" s="2">
        <v>68</v>
      </c>
      <c r="AR282" s="2">
        <v>1.8</v>
      </c>
      <c r="AS282" s="2">
        <v>43</v>
      </c>
      <c r="AT282" s="2">
        <v>25.4</v>
      </c>
      <c r="AU282" s="2">
        <v>162</v>
      </c>
      <c r="AV282" s="2">
        <v>9.1</v>
      </c>
      <c r="AW282" s="2">
        <v>9.1999999999999993</v>
      </c>
      <c r="AX282" s="2">
        <v>18.3</v>
      </c>
      <c r="AY282" s="2">
        <v>0.34</v>
      </c>
      <c r="AZ282" s="2">
        <v>7.3</v>
      </c>
      <c r="BA282" s="2">
        <v>0.9</v>
      </c>
      <c r="BB282" s="2">
        <v>7.5</v>
      </c>
      <c r="BC282" s="2">
        <v>2.9</v>
      </c>
      <c r="BD282" s="2">
        <f>+AN282*EXP(-0.0495*Y282)</f>
        <v>9.5315764529746172</v>
      </c>
      <c r="BE282" s="2">
        <f>+AO282*EXP(-0.024*Y282)</f>
        <v>29.302759920508073</v>
      </c>
    </row>
    <row r="283" spans="1:57" x14ac:dyDescent="0.2">
      <c r="A283" s="2" t="s">
        <v>1538</v>
      </c>
      <c r="B283" s="2" t="s">
        <v>19</v>
      </c>
      <c r="C283" s="2" t="s">
        <v>20</v>
      </c>
      <c r="D283" s="2" t="s">
        <v>21</v>
      </c>
      <c r="E283" s="2" t="s">
        <v>1539</v>
      </c>
      <c r="F283" s="2">
        <v>6</v>
      </c>
      <c r="G283" s="2">
        <v>131.24</v>
      </c>
      <c r="H283" s="2">
        <v>3</v>
      </c>
      <c r="I283" s="2">
        <v>3</v>
      </c>
      <c r="J283" s="2">
        <v>2</v>
      </c>
      <c r="K283" s="2" t="s">
        <v>61</v>
      </c>
      <c r="L283" s="6" t="s">
        <v>75</v>
      </c>
      <c r="M283" s="5">
        <v>1100000000</v>
      </c>
      <c r="N283" s="2">
        <v>0</v>
      </c>
      <c r="O283" s="2">
        <v>4.7994880230000003</v>
      </c>
      <c r="P283" s="2">
        <v>-74.073547230000003</v>
      </c>
      <c r="Q283" s="2" t="s">
        <v>1540</v>
      </c>
      <c r="R283" s="2">
        <v>8381590.9780000001</v>
      </c>
      <c r="S283" s="2">
        <v>0</v>
      </c>
      <c r="T283" s="2" t="s">
        <v>102</v>
      </c>
      <c r="U283" s="2" t="s">
        <v>103</v>
      </c>
      <c r="V283" s="2" t="s">
        <v>28</v>
      </c>
      <c r="W283" s="2" t="s">
        <v>70</v>
      </c>
      <c r="X283" s="2" t="s">
        <v>104</v>
      </c>
      <c r="Y283" s="2">
        <v>3.7029442669270098</v>
      </c>
      <c r="Z283" s="2">
        <v>4.7837500000000004</v>
      </c>
      <c r="AA283" s="2">
        <v>-74.044138888888895</v>
      </c>
      <c r="AB283" s="2">
        <v>2580</v>
      </c>
      <c r="AC283" s="2" t="s">
        <v>105</v>
      </c>
      <c r="AD283" s="2" t="s">
        <v>58</v>
      </c>
      <c r="AE283" s="2" t="s">
        <v>33</v>
      </c>
      <c r="AF283" s="2" t="s">
        <v>34</v>
      </c>
      <c r="AG283" s="2" t="s">
        <v>72</v>
      </c>
      <c r="AH283" s="2">
        <v>4.7466555657863099</v>
      </c>
      <c r="AI283" s="2">
        <v>0.89440507422379301</v>
      </c>
      <c r="AJ283" s="2">
        <v>2.9372673609623501</v>
      </c>
      <c r="AK283" s="2">
        <v>1.0173639813109201</v>
      </c>
      <c r="AL283" s="2">
        <v>2.2569581198970901</v>
      </c>
      <c r="AM283" s="2">
        <v>15.3</v>
      </c>
      <c r="AN283" s="2">
        <v>9.8000000000000007</v>
      </c>
      <c r="AO283" s="2">
        <v>29.7</v>
      </c>
      <c r="AP283" s="2">
        <v>564</v>
      </c>
      <c r="AQ283" s="2">
        <v>68</v>
      </c>
      <c r="AR283" s="2">
        <v>1.8</v>
      </c>
      <c r="AS283" s="2">
        <v>43</v>
      </c>
      <c r="AT283" s="2">
        <v>25.4</v>
      </c>
      <c r="AU283" s="2">
        <v>162</v>
      </c>
      <c r="AV283" s="2">
        <v>9.1</v>
      </c>
      <c r="AW283" s="2">
        <v>9.1999999999999993</v>
      </c>
      <c r="AX283" s="2">
        <v>18.3</v>
      </c>
      <c r="AY283" s="2">
        <v>0.34</v>
      </c>
      <c r="AZ283" s="2">
        <v>7.3</v>
      </c>
      <c r="BA283" s="2">
        <v>0.9</v>
      </c>
      <c r="BB283" s="2">
        <v>7.5</v>
      </c>
      <c r="BC283" s="2">
        <v>2.9</v>
      </c>
      <c r="BD283" s="2">
        <f>+AN283*EXP(-0.0495*Y283)</f>
        <v>8.1587147012147003</v>
      </c>
      <c r="BE283" s="2">
        <f>+AO283*EXP(-0.024*Y283)</f>
        <v>27.174427983008115</v>
      </c>
    </row>
    <row r="284" spans="1:57" x14ac:dyDescent="0.2">
      <c r="A284" s="2" t="s">
        <v>2324</v>
      </c>
      <c r="B284" s="2" t="s">
        <v>19</v>
      </c>
      <c r="C284" s="2" t="s">
        <v>1907</v>
      </c>
      <c r="D284" s="2" t="s">
        <v>21</v>
      </c>
      <c r="E284" s="2" t="s">
        <v>660</v>
      </c>
      <c r="F284" s="2">
        <v>4</v>
      </c>
      <c r="G284" s="2">
        <v>131.07</v>
      </c>
      <c r="H284" s="2">
        <v>5</v>
      </c>
      <c r="I284" s="2">
        <v>4</v>
      </c>
      <c r="J284" s="2">
        <v>2</v>
      </c>
      <c r="K284" s="2" t="s">
        <v>61</v>
      </c>
      <c r="L284" s="6" t="s">
        <v>113</v>
      </c>
      <c r="M284" s="5">
        <v>1100000000</v>
      </c>
      <c r="N284" s="2">
        <v>0</v>
      </c>
      <c r="O284" s="2">
        <v>4.7538020000000003</v>
      </c>
      <c r="P284" s="2">
        <v>-74.049519000000004</v>
      </c>
      <c r="Q284" s="2" t="s">
        <v>2325</v>
      </c>
      <c r="R284" s="2">
        <v>8392462.0429999996</v>
      </c>
      <c r="S284" s="2">
        <v>0</v>
      </c>
      <c r="T284" s="2" t="s">
        <v>68</v>
      </c>
      <c r="U284" s="2" t="s">
        <v>69</v>
      </c>
      <c r="V284" s="2" t="s">
        <v>28</v>
      </c>
      <c r="W284" s="2" t="s">
        <v>70</v>
      </c>
      <c r="X284" s="2" t="s">
        <v>71</v>
      </c>
      <c r="Y284" s="2">
        <v>2.8840494870062399</v>
      </c>
      <c r="Z284" s="2">
        <v>4.73719444444444</v>
      </c>
      <c r="AA284" s="2">
        <v>-74.069472222222203</v>
      </c>
      <c r="AB284" s="2">
        <v>2555</v>
      </c>
      <c r="AC284" s="2" t="s">
        <v>31</v>
      </c>
      <c r="AD284" s="2" t="s">
        <v>58</v>
      </c>
      <c r="AE284" s="2" t="s">
        <v>33</v>
      </c>
      <c r="AF284" s="2" t="s">
        <v>34</v>
      </c>
      <c r="AG284" s="2" t="s">
        <v>72</v>
      </c>
      <c r="AH284" s="2">
        <v>0.39573480855691201</v>
      </c>
      <c r="AI284" s="2">
        <v>3.0721470382851699</v>
      </c>
      <c r="AJ284" s="2">
        <v>0.44400244657048499</v>
      </c>
      <c r="AK284" s="2">
        <v>0.29529307752442802</v>
      </c>
      <c r="AL284" s="2">
        <v>8.0241027589089305E-3</v>
      </c>
      <c r="AM284" s="2">
        <v>15.3</v>
      </c>
      <c r="AN284" s="2">
        <v>9.8000000000000007</v>
      </c>
      <c r="AO284" s="2">
        <v>29.7</v>
      </c>
      <c r="AP284" s="2">
        <v>564</v>
      </c>
      <c r="AQ284" s="2">
        <v>68</v>
      </c>
      <c r="AR284" s="2">
        <v>1.8</v>
      </c>
      <c r="AS284" s="2">
        <v>43</v>
      </c>
      <c r="AT284" s="2">
        <v>25.4</v>
      </c>
      <c r="AU284" s="2">
        <v>162</v>
      </c>
      <c r="AV284" s="2">
        <v>9.1</v>
      </c>
      <c r="AW284" s="2">
        <v>9.1999999999999993</v>
      </c>
      <c r="AX284" s="2">
        <v>18.3</v>
      </c>
      <c r="AY284" s="2">
        <v>0.34</v>
      </c>
      <c r="AZ284" s="2">
        <v>7.3</v>
      </c>
      <c r="BA284" s="2">
        <v>0.9</v>
      </c>
      <c r="BB284" s="2">
        <v>7.5</v>
      </c>
      <c r="BC284" s="2">
        <v>2.9</v>
      </c>
      <c r="BD284" s="2">
        <f>+AN284*EXP(-0.0495*Y284)</f>
        <v>8.4962249054366481</v>
      </c>
      <c r="BE284" s="2">
        <f>+AO284*EXP(-0.024*Y284)</f>
        <v>27.713782652254764</v>
      </c>
    </row>
    <row r="285" spans="1:57" x14ac:dyDescent="0.2">
      <c r="A285" s="2" t="s">
        <v>1762</v>
      </c>
      <c r="B285" s="2" t="s">
        <v>19</v>
      </c>
      <c r="C285" s="2" t="s">
        <v>20</v>
      </c>
      <c r="D285" s="2" t="s">
        <v>21</v>
      </c>
      <c r="E285" s="2" t="s">
        <v>879</v>
      </c>
      <c r="F285" s="2">
        <v>4</v>
      </c>
      <c r="G285" s="2">
        <v>130</v>
      </c>
      <c r="H285" s="2">
        <v>3</v>
      </c>
      <c r="I285" s="2">
        <v>3</v>
      </c>
      <c r="J285" s="2">
        <v>2</v>
      </c>
      <c r="K285" s="2" t="s">
        <v>61</v>
      </c>
      <c r="L285" s="6" t="s">
        <v>75</v>
      </c>
      <c r="M285" s="5">
        <v>860000000</v>
      </c>
      <c r="N285" s="2">
        <v>0</v>
      </c>
      <c r="O285" s="2">
        <v>4.7333626750000004</v>
      </c>
      <c r="P285" s="2">
        <v>-74.057548519999997</v>
      </c>
      <c r="Q285" s="2" t="s">
        <v>1763</v>
      </c>
      <c r="R285" s="2">
        <v>6615384.6150000002</v>
      </c>
      <c r="S285" s="2">
        <v>0</v>
      </c>
      <c r="T285" s="2" t="s">
        <v>68</v>
      </c>
      <c r="U285" s="2" t="s">
        <v>69</v>
      </c>
      <c r="V285" s="2" t="s">
        <v>28</v>
      </c>
      <c r="W285" s="2" t="s">
        <v>70</v>
      </c>
      <c r="X285" s="2" t="s">
        <v>71</v>
      </c>
      <c r="Y285" s="2">
        <v>1.3898818263044199</v>
      </c>
      <c r="Z285" s="2">
        <v>4.73719444444444</v>
      </c>
      <c r="AA285" s="2">
        <v>-74.069472222222203</v>
      </c>
      <c r="AB285" s="2">
        <v>2555</v>
      </c>
      <c r="AC285" s="2" t="s">
        <v>31</v>
      </c>
      <c r="AD285" s="2" t="s">
        <v>58</v>
      </c>
      <c r="AE285" s="2" t="s">
        <v>33</v>
      </c>
      <c r="AF285" s="2" t="s">
        <v>34</v>
      </c>
      <c r="AG285" s="2" t="s">
        <v>72</v>
      </c>
      <c r="AH285" s="2">
        <v>0.90028839110510195</v>
      </c>
      <c r="AI285" s="2">
        <v>3.9424973051666501</v>
      </c>
      <c r="AJ285" s="2">
        <v>1.9494205697136699</v>
      </c>
      <c r="AK285" s="2">
        <v>0.14418727689283001</v>
      </c>
      <c r="AL285" s="2">
        <v>6.8155433922309203E-2</v>
      </c>
      <c r="AM285" s="2">
        <v>15.3</v>
      </c>
      <c r="AN285" s="2">
        <v>9.8000000000000007</v>
      </c>
      <c r="AO285" s="2">
        <v>29.7</v>
      </c>
      <c r="AP285" s="2">
        <v>564</v>
      </c>
      <c r="AQ285" s="2">
        <v>68</v>
      </c>
      <c r="AR285" s="2">
        <v>1.8</v>
      </c>
      <c r="AS285" s="2">
        <v>43</v>
      </c>
      <c r="AT285" s="2">
        <v>25.4</v>
      </c>
      <c r="AU285" s="2">
        <v>162</v>
      </c>
      <c r="AV285" s="2">
        <v>9.1</v>
      </c>
      <c r="AW285" s="2">
        <v>9.1999999999999993</v>
      </c>
      <c r="AX285" s="2">
        <v>18.3</v>
      </c>
      <c r="AY285" s="2">
        <v>0.34</v>
      </c>
      <c r="AZ285" s="2">
        <v>7.3</v>
      </c>
      <c r="BA285" s="2">
        <v>0.9</v>
      </c>
      <c r="BB285" s="2">
        <v>7.5</v>
      </c>
      <c r="BC285" s="2">
        <v>2.9</v>
      </c>
      <c r="BD285" s="2">
        <f>+AN285*EXP(-0.0495*Y285)</f>
        <v>9.1484387404948855</v>
      </c>
      <c r="BE285" s="2">
        <f>+AO285*EXP(-0.024*Y285)</f>
        <v>28.725633630004985</v>
      </c>
    </row>
    <row r="286" spans="1:57" x14ac:dyDescent="0.2">
      <c r="A286" s="2" t="s">
        <v>1777</v>
      </c>
      <c r="B286" s="2" t="s">
        <v>19</v>
      </c>
      <c r="C286" s="2" t="s">
        <v>20</v>
      </c>
      <c r="D286" s="2" t="s">
        <v>21</v>
      </c>
      <c r="E286" s="2" t="s">
        <v>406</v>
      </c>
      <c r="F286" s="2">
        <v>6</v>
      </c>
      <c r="G286" s="2">
        <v>129</v>
      </c>
      <c r="H286" s="2">
        <v>3</v>
      </c>
      <c r="I286" s="2">
        <v>4</v>
      </c>
      <c r="J286" s="2">
        <v>2</v>
      </c>
      <c r="K286" s="2" t="s">
        <v>61</v>
      </c>
      <c r="L286" s="6" t="s">
        <v>84</v>
      </c>
      <c r="M286" s="5">
        <v>1100000000</v>
      </c>
      <c r="N286" s="2">
        <v>0</v>
      </c>
      <c r="O286" s="2">
        <v>4.758545399</v>
      </c>
      <c r="P286" s="2">
        <v>-74.06780243</v>
      </c>
      <c r="Q286" s="2" t="s">
        <v>1778</v>
      </c>
      <c r="R286" s="2">
        <v>8527131.7829999998</v>
      </c>
      <c r="S286" s="2">
        <v>0</v>
      </c>
      <c r="T286" s="2" t="s">
        <v>68</v>
      </c>
      <c r="U286" s="2" t="s">
        <v>69</v>
      </c>
      <c r="V286" s="2" t="s">
        <v>28</v>
      </c>
      <c r="W286" s="2" t="s">
        <v>70</v>
      </c>
      <c r="X286" s="2" t="s">
        <v>71</v>
      </c>
      <c r="Y286" s="2">
        <v>2.3839852290960599</v>
      </c>
      <c r="Z286" s="2">
        <v>4.73719444444444</v>
      </c>
      <c r="AA286" s="2">
        <v>-74.069472222222203</v>
      </c>
      <c r="AB286" s="2">
        <v>2555</v>
      </c>
      <c r="AC286" s="2" t="s">
        <v>31</v>
      </c>
      <c r="AD286" s="2" t="s">
        <v>58</v>
      </c>
      <c r="AE286" s="2" t="s">
        <v>33</v>
      </c>
      <c r="AF286" s="2" t="s">
        <v>34</v>
      </c>
      <c r="AG286" s="2" t="s">
        <v>72</v>
      </c>
      <c r="AH286" s="2">
        <v>2.4508982940199902</v>
      </c>
      <c r="AI286" s="2">
        <v>4.2259144479716904</v>
      </c>
      <c r="AJ286" s="2">
        <v>1.68529180641223</v>
      </c>
      <c r="AK286" s="2">
        <v>0.51894568896390103</v>
      </c>
      <c r="AL286" s="2">
        <v>0.28318885718171699</v>
      </c>
      <c r="AM286" s="2">
        <v>15.3</v>
      </c>
      <c r="AN286" s="2">
        <v>9.8000000000000007</v>
      </c>
      <c r="AO286" s="2">
        <v>29.7</v>
      </c>
      <c r="AP286" s="2">
        <v>564</v>
      </c>
      <c r="AQ286" s="2">
        <v>68</v>
      </c>
      <c r="AR286" s="2">
        <v>1.8</v>
      </c>
      <c r="AS286" s="2">
        <v>43</v>
      </c>
      <c r="AT286" s="2">
        <v>25.4</v>
      </c>
      <c r="AU286" s="2">
        <v>162</v>
      </c>
      <c r="AV286" s="2">
        <v>9.1</v>
      </c>
      <c r="AW286" s="2">
        <v>9.1999999999999993</v>
      </c>
      <c r="AX286" s="2">
        <v>18.3</v>
      </c>
      <c r="AY286" s="2">
        <v>0.34</v>
      </c>
      <c r="AZ286" s="2">
        <v>7.3</v>
      </c>
      <c r="BA286" s="2">
        <v>0.9</v>
      </c>
      <c r="BB286" s="2">
        <v>7.5</v>
      </c>
      <c r="BC286" s="2">
        <v>2.9</v>
      </c>
      <c r="BD286" s="2">
        <f>+AN286*EXP(-0.0495*Y286)</f>
        <v>8.7091580099148409</v>
      </c>
      <c r="BE286" s="2">
        <f>+AO286*EXP(-0.024*Y286)</f>
        <v>28.048394697920578</v>
      </c>
    </row>
    <row r="287" spans="1:57" x14ac:dyDescent="0.2">
      <c r="A287" s="2" t="s">
        <v>1722</v>
      </c>
      <c r="B287" s="2" t="s">
        <v>19</v>
      </c>
      <c r="C287" s="2" t="s">
        <v>20</v>
      </c>
      <c r="D287" s="2" t="s">
        <v>21</v>
      </c>
      <c r="E287" s="2" t="s">
        <v>300</v>
      </c>
      <c r="F287" s="2">
        <v>6</v>
      </c>
      <c r="G287" s="2">
        <v>128</v>
      </c>
      <c r="H287" s="2">
        <v>2</v>
      </c>
      <c r="I287" s="2">
        <v>3</v>
      </c>
      <c r="J287" s="2">
        <v>2</v>
      </c>
      <c r="K287" s="2" t="s">
        <v>61</v>
      </c>
      <c r="L287" s="6" t="s">
        <v>62</v>
      </c>
      <c r="M287" s="5">
        <v>1901000000</v>
      </c>
      <c r="N287" s="2">
        <v>0</v>
      </c>
      <c r="O287" s="2">
        <v>4.7277239</v>
      </c>
      <c r="P287" s="2">
        <v>-74.084555600000002</v>
      </c>
      <c r="Q287" s="2" t="s">
        <v>1723</v>
      </c>
      <c r="R287" s="2">
        <v>14851562.5</v>
      </c>
      <c r="S287" s="2">
        <v>0</v>
      </c>
      <c r="T287" s="2" t="s">
        <v>68</v>
      </c>
      <c r="U287" s="2" t="s">
        <v>69</v>
      </c>
      <c r="V287" s="2" t="s">
        <v>28</v>
      </c>
      <c r="W287" s="2" t="s">
        <v>70</v>
      </c>
      <c r="X287" s="2" t="s">
        <v>71</v>
      </c>
      <c r="Y287" s="2">
        <v>1.9777651876747699</v>
      </c>
      <c r="Z287" s="2">
        <v>4.73719444444444</v>
      </c>
      <c r="AA287" s="2">
        <v>-74.069472222222203</v>
      </c>
      <c r="AB287" s="2">
        <v>2555</v>
      </c>
      <c r="AC287" s="2" t="s">
        <v>31</v>
      </c>
      <c r="AD287" s="2" t="s">
        <v>58</v>
      </c>
      <c r="AE287" s="2" t="s">
        <v>33</v>
      </c>
      <c r="AF287" s="2" t="s">
        <v>34</v>
      </c>
      <c r="AG287" s="2" t="s">
        <v>72</v>
      </c>
      <c r="AH287" s="2">
        <v>0.94690781154231096</v>
      </c>
      <c r="AI287" s="2">
        <v>4.47838592977355</v>
      </c>
      <c r="AJ287" s="2">
        <v>1.88834715713707</v>
      </c>
      <c r="AK287" s="2">
        <v>0.53370552681580896</v>
      </c>
      <c r="AL287" s="2">
        <v>3.2425144061989798E-2</v>
      </c>
      <c r="AM287" s="2">
        <v>15.3</v>
      </c>
      <c r="AN287" s="2">
        <v>9.8000000000000007</v>
      </c>
      <c r="AO287" s="2">
        <v>29.7</v>
      </c>
      <c r="AP287" s="2">
        <v>564</v>
      </c>
      <c r="AQ287" s="2">
        <v>68</v>
      </c>
      <c r="AR287" s="2">
        <v>1.8</v>
      </c>
      <c r="AS287" s="2">
        <v>43</v>
      </c>
      <c r="AT287" s="2">
        <v>25.4</v>
      </c>
      <c r="AU287" s="2">
        <v>162</v>
      </c>
      <c r="AV287" s="2">
        <v>9.1</v>
      </c>
      <c r="AW287" s="2">
        <v>9.1999999999999993</v>
      </c>
      <c r="AX287" s="2">
        <v>18.3</v>
      </c>
      <c r="AY287" s="2">
        <v>0.34</v>
      </c>
      <c r="AZ287" s="2">
        <v>7.3</v>
      </c>
      <c r="BA287" s="2">
        <v>0.9</v>
      </c>
      <c r="BB287" s="2">
        <v>7.5</v>
      </c>
      <c r="BC287" s="2">
        <v>2.9</v>
      </c>
      <c r="BD287" s="2">
        <f>+AN287*EXP(-0.0495*Y287)</f>
        <v>8.8860533550178467</v>
      </c>
      <c r="BE287" s="2">
        <f>+AO287*EXP(-0.024*Y287)</f>
        <v>28.323183700344064</v>
      </c>
    </row>
    <row r="288" spans="1:57" x14ac:dyDescent="0.2">
      <c r="A288" s="2" t="s">
        <v>912</v>
      </c>
      <c r="B288" s="2" t="s">
        <v>19</v>
      </c>
      <c r="C288" s="2" t="s">
        <v>20</v>
      </c>
      <c r="D288" s="2" t="s">
        <v>21</v>
      </c>
      <c r="E288" s="2" t="s">
        <v>132</v>
      </c>
      <c r="F288" s="2">
        <v>5</v>
      </c>
      <c r="G288" s="2">
        <v>127.35</v>
      </c>
      <c r="H288" s="2">
        <v>3</v>
      </c>
      <c r="I288" s="2">
        <v>3</v>
      </c>
      <c r="J288" s="2">
        <v>2</v>
      </c>
      <c r="K288" s="2" t="s">
        <v>61</v>
      </c>
      <c r="L288" s="6" t="s">
        <v>75</v>
      </c>
      <c r="M288" s="5">
        <v>850000000</v>
      </c>
      <c r="N288" s="2">
        <v>0</v>
      </c>
      <c r="O288" s="2">
        <v>4.7302350000000004</v>
      </c>
      <c r="P288" s="2">
        <v>-74.074020000000004</v>
      </c>
      <c r="Q288" s="2" t="s">
        <v>913</v>
      </c>
      <c r="R288" s="2">
        <v>6674519.0420000004</v>
      </c>
      <c r="S288" s="2">
        <v>0</v>
      </c>
      <c r="T288" s="2" t="s">
        <v>68</v>
      </c>
      <c r="U288" s="2" t="s">
        <v>69</v>
      </c>
      <c r="V288" s="2" t="s">
        <v>28</v>
      </c>
      <c r="W288" s="2" t="s">
        <v>70</v>
      </c>
      <c r="X288" s="2" t="s">
        <v>71</v>
      </c>
      <c r="Y288" s="2">
        <v>0.92452358922385203</v>
      </c>
      <c r="Z288" s="2">
        <v>4.73719444444444</v>
      </c>
      <c r="AA288" s="2">
        <v>-74.069472222222203</v>
      </c>
      <c r="AB288" s="2">
        <v>2555</v>
      </c>
      <c r="AC288" s="2" t="s">
        <v>31</v>
      </c>
      <c r="AD288" s="2" t="s">
        <v>58</v>
      </c>
      <c r="AE288" s="2" t="s">
        <v>33</v>
      </c>
      <c r="AF288" s="2" t="s">
        <v>34</v>
      </c>
      <c r="AG288" s="2" t="s">
        <v>72</v>
      </c>
      <c r="AH288" s="2">
        <v>0.31687791187023501</v>
      </c>
      <c r="AI288" s="2">
        <v>5.6079887028299797</v>
      </c>
      <c r="AJ288" s="2">
        <v>1.5069240924743701</v>
      </c>
      <c r="AK288" s="2">
        <v>0.65418283956752699</v>
      </c>
      <c r="AL288" s="2">
        <v>0.175134836989566</v>
      </c>
      <c r="AM288" s="2">
        <v>15.3</v>
      </c>
      <c r="AN288" s="2">
        <v>9.8000000000000007</v>
      </c>
      <c r="AO288" s="2">
        <v>29.7</v>
      </c>
      <c r="AP288" s="2">
        <v>564</v>
      </c>
      <c r="AQ288" s="2">
        <v>68</v>
      </c>
      <c r="AR288" s="2">
        <v>1.8</v>
      </c>
      <c r="AS288" s="2">
        <v>43</v>
      </c>
      <c r="AT288" s="2">
        <v>25.4</v>
      </c>
      <c r="AU288" s="2">
        <v>162</v>
      </c>
      <c r="AV288" s="2">
        <v>9.1</v>
      </c>
      <c r="AW288" s="2">
        <v>9.1999999999999993</v>
      </c>
      <c r="AX288" s="2">
        <v>18.3</v>
      </c>
      <c r="AY288" s="2">
        <v>0.34</v>
      </c>
      <c r="AZ288" s="2">
        <v>7.3</v>
      </c>
      <c r="BA288" s="2">
        <v>0.9</v>
      </c>
      <c r="BB288" s="2">
        <v>7.5</v>
      </c>
      <c r="BC288" s="2">
        <v>2.9</v>
      </c>
      <c r="BD288" s="2">
        <f>+AN288*EXP(-0.0495*Y288)</f>
        <v>9.3616210819547891</v>
      </c>
      <c r="BE288" s="2">
        <f>+AO288*EXP(-0.024*Y288)</f>
        <v>29.048256946825227</v>
      </c>
    </row>
    <row r="289" spans="1:57" x14ac:dyDescent="0.2">
      <c r="A289" s="2" t="s">
        <v>2843</v>
      </c>
      <c r="B289" s="2" t="s">
        <v>19</v>
      </c>
      <c r="C289" s="2" t="s">
        <v>1907</v>
      </c>
      <c r="D289" s="2" t="s">
        <v>21</v>
      </c>
      <c r="E289" s="2" t="s">
        <v>2844</v>
      </c>
      <c r="F289" s="2">
        <v>4</v>
      </c>
      <c r="G289" s="2">
        <v>126</v>
      </c>
      <c r="H289" s="2">
        <v>3</v>
      </c>
      <c r="I289" s="2">
        <v>3</v>
      </c>
      <c r="J289" s="2">
        <v>2</v>
      </c>
      <c r="K289" s="2" t="s">
        <v>61</v>
      </c>
      <c r="L289" s="6" t="s">
        <v>75</v>
      </c>
      <c r="M289" s="5">
        <v>740000000</v>
      </c>
      <c r="N289" s="2">
        <v>0</v>
      </c>
      <c r="O289" s="2">
        <v>4.7553782</v>
      </c>
      <c r="P289" s="2">
        <v>-74.039280000000005</v>
      </c>
      <c r="Q289" s="2" t="s">
        <v>2845</v>
      </c>
      <c r="R289" s="2">
        <v>5873015.8729999997</v>
      </c>
      <c r="S289" s="2">
        <v>0</v>
      </c>
      <c r="T289" s="2" t="s">
        <v>102</v>
      </c>
      <c r="U289" s="2" t="s">
        <v>103</v>
      </c>
      <c r="V289" s="2" t="s">
        <v>28</v>
      </c>
      <c r="W289" s="2" t="s">
        <v>70</v>
      </c>
      <c r="X289" s="2" t="s">
        <v>104</v>
      </c>
      <c r="Y289" s="2">
        <v>3.20399968899443</v>
      </c>
      <c r="Z289" s="2">
        <v>4.7837500000000004</v>
      </c>
      <c r="AA289" s="2">
        <v>-74.044138888888895</v>
      </c>
      <c r="AB289" s="2">
        <v>2580</v>
      </c>
      <c r="AC289" s="2" t="s">
        <v>105</v>
      </c>
      <c r="AD289" s="2" t="s">
        <v>58</v>
      </c>
      <c r="AE289" s="2" t="s">
        <v>33</v>
      </c>
      <c r="AF289" s="2" t="s">
        <v>34</v>
      </c>
      <c r="AG289" s="2" t="s">
        <v>59</v>
      </c>
      <c r="AH289" s="2">
        <v>0.75461765120985502</v>
      </c>
      <c r="AI289" s="2">
        <v>1.92476959218035</v>
      </c>
      <c r="AJ289" s="2">
        <v>1.0802341572441301</v>
      </c>
      <c r="AK289" s="2">
        <v>0.72162514258433896</v>
      </c>
      <c r="AL289" s="2">
        <v>9.6967541510963803E-3</v>
      </c>
      <c r="AM289" s="2">
        <v>15.3</v>
      </c>
      <c r="AN289" s="2">
        <v>9.8000000000000007</v>
      </c>
      <c r="AO289" s="2">
        <v>29.7</v>
      </c>
      <c r="AP289" s="2">
        <v>564</v>
      </c>
      <c r="AQ289" s="2">
        <v>68</v>
      </c>
      <c r="AR289" s="2">
        <v>1.8</v>
      </c>
      <c r="AS289" s="2">
        <v>43</v>
      </c>
      <c r="AT289" s="2">
        <v>25.4</v>
      </c>
      <c r="AU289" s="2">
        <v>162</v>
      </c>
      <c r="AV289" s="2">
        <v>9.1</v>
      </c>
      <c r="AW289" s="2">
        <v>9.1999999999999993</v>
      </c>
      <c r="AX289" s="2">
        <v>18.3</v>
      </c>
      <c r="AY289" s="2">
        <v>0.34</v>
      </c>
      <c r="AZ289" s="2">
        <v>7.3</v>
      </c>
      <c r="BA289" s="2">
        <v>0.9</v>
      </c>
      <c r="BB289" s="2">
        <v>7.5</v>
      </c>
      <c r="BC289" s="2">
        <v>2.9</v>
      </c>
      <c r="BD289" s="2">
        <f>+AN289*EXP(-0.0495*Y289)</f>
        <v>8.3627255866394439</v>
      </c>
      <c r="BE289" s="2">
        <f>+AO289*EXP(-0.024*Y289)</f>
        <v>27.50178889468912</v>
      </c>
    </row>
    <row r="290" spans="1:57" x14ac:dyDescent="0.2">
      <c r="A290" s="2" t="s">
        <v>263</v>
      </c>
      <c r="B290" s="2" t="s">
        <v>19</v>
      </c>
      <c r="C290" s="2" t="s">
        <v>20</v>
      </c>
      <c r="D290" s="2" t="s">
        <v>21</v>
      </c>
      <c r="E290" s="2" t="s">
        <v>264</v>
      </c>
      <c r="F290" s="2">
        <v>5</v>
      </c>
      <c r="G290" s="2">
        <v>124.26</v>
      </c>
      <c r="H290" s="2">
        <v>3</v>
      </c>
      <c r="I290" s="2">
        <v>2</v>
      </c>
      <c r="J290" s="2">
        <v>2</v>
      </c>
      <c r="K290" s="2" t="s">
        <v>61</v>
      </c>
      <c r="L290" s="6" t="s">
        <v>66</v>
      </c>
      <c r="M290" s="5">
        <v>979000000</v>
      </c>
      <c r="N290" s="2">
        <v>0</v>
      </c>
      <c r="O290" s="2">
        <v>4.7087545000000004</v>
      </c>
      <c r="P290" s="2">
        <v>-74.061580000000006</v>
      </c>
      <c r="Q290" s="2" t="s">
        <v>265</v>
      </c>
      <c r="R290" s="2">
        <v>7878641.5580000002</v>
      </c>
      <c r="S290" s="2">
        <v>0</v>
      </c>
      <c r="T290" s="2" t="s">
        <v>68</v>
      </c>
      <c r="U290" s="2" t="s">
        <v>69</v>
      </c>
      <c r="V290" s="2" t="s">
        <v>28</v>
      </c>
      <c r="W290" s="2" t="s">
        <v>70</v>
      </c>
      <c r="X290" s="2" t="s">
        <v>71</v>
      </c>
      <c r="Y290" s="2">
        <v>3.2847651070139801</v>
      </c>
      <c r="Z290" s="2">
        <v>4.73719444444444</v>
      </c>
      <c r="AA290" s="2">
        <v>-74.069472222222203</v>
      </c>
      <c r="AB290" s="2">
        <v>2555</v>
      </c>
      <c r="AC290" s="2" t="s">
        <v>31</v>
      </c>
      <c r="AD290" s="2" t="s">
        <v>58</v>
      </c>
      <c r="AE290" s="2" t="s">
        <v>33</v>
      </c>
      <c r="AF290" s="2" t="s">
        <v>34</v>
      </c>
      <c r="AG290" s="2" t="s">
        <v>72</v>
      </c>
      <c r="AH290" s="2">
        <v>0.93370155079594497</v>
      </c>
      <c r="AI290" s="2">
        <v>4.0480285963913998</v>
      </c>
      <c r="AJ290" s="2">
        <v>1.41076514250314</v>
      </c>
      <c r="AK290" s="2">
        <v>0.38594662798155899</v>
      </c>
      <c r="AL290" s="2">
        <v>0.15188518175218799</v>
      </c>
      <c r="AM290" s="2">
        <v>15.3</v>
      </c>
      <c r="AN290" s="2">
        <v>9.8000000000000007</v>
      </c>
      <c r="AO290" s="2">
        <v>29.7</v>
      </c>
      <c r="AP290" s="2">
        <v>564</v>
      </c>
      <c r="AQ290" s="2">
        <v>68</v>
      </c>
      <c r="AR290" s="2">
        <v>1.8</v>
      </c>
      <c r="AS290" s="2">
        <v>43</v>
      </c>
      <c r="AT290" s="2">
        <v>25.4</v>
      </c>
      <c r="AU290" s="2">
        <v>162</v>
      </c>
      <c r="AV290" s="2">
        <v>9.1</v>
      </c>
      <c r="AW290" s="2">
        <v>9.1999999999999993</v>
      </c>
      <c r="AX290" s="2">
        <v>18.3</v>
      </c>
      <c r="AY290" s="2">
        <v>0.34</v>
      </c>
      <c r="AZ290" s="2">
        <v>7.3</v>
      </c>
      <c r="BA290" s="2">
        <v>0.9</v>
      </c>
      <c r="BB290" s="2">
        <v>7.5</v>
      </c>
      <c r="BC290" s="2">
        <v>2.9</v>
      </c>
      <c r="BD290" s="2">
        <f>+AN290*EXP(-0.0495*Y290)</f>
        <v>8.3293590869731542</v>
      </c>
      <c r="BE290" s="2">
        <f>+AO290*EXP(-0.024*Y290)</f>
        <v>27.448531883828416</v>
      </c>
    </row>
    <row r="291" spans="1:57" x14ac:dyDescent="0.2">
      <c r="A291" s="2" t="s">
        <v>677</v>
      </c>
      <c r="B291" s="2" t="s">
        <v>19</v>
      </c>
      <c r="C291" s="2" t="s">
        <v>20</v>
      </c>
      <c r="D291" s="2" t="s">
        <v>21</v>
      </c>
      <c r="E291" s="2" t="s">
        <v>125</v>
      </c>
      <c r="F291" s="2">
        <v>5</v>
      </c>
      <c r="G291" s="2">
        <v>123</v>
      </c>
      <c r="H291" s="2">
        <v>3</v>
      </c>
      <c r="I291" s="2">
        <v>2</v>
      </c>
      <c r="J291" s="2">
        <v>1</v>
      </c>
      <c r="K291" s="2" t="s">
        <v>61</v>
      </c>
      <c r="L291" s="6" t="s">
        <v>113</v>
      </c>
      <c r="M291" s="5">
        <v>688000000</v>
      </c>
      <c r="N291" s="2">
        <v>0</v>
      </c>
      <c r="O291" s="2">
        <v>4.7366365740000003</v>
      </c>
      <c r="P291" s="2">
        <v>-74.06294604</v>
      </c>
      <c r="Q291" s="2" t="s">
        <v>678</v>
      </c>
      <c r="R291" s="2">
        <v>5593495.9349999996</v>
      </c>
      <c r="S291" s="2">
        <v>0</v>
      </c>
      <c r="T291" s="2" t="s">
        <v>68</v>
      </c>
      <c r="U291" s="2" t="s">
        <v>69</v>
      </c>
      <c r="V291" s="2" t="s">
        <v>28</v>
      </c>
      <c r="W291" s="2" t="s">
        <v>70</v>
      </c>
      <c r="X291" s="2" t="s">
        <v>71</v>
      </c>
      <c r="Y291" s="2">
        <v>0.72666837724334199</v>
      </c>
      <c r="Z291" s="2">
        <v>4.73719444444444</v>
      </c>
      <c r="AA291" s="2">
        <v>-74.069472222222203</v>
      </c>
      <c r="AB291" s="2">
        <v>2555</v>
      </c>
      <c r="AC291" s="2" t="s">
        <v>31</v>
      </c>
      <c r="AD291" s="2" t="s">
        <v>58</v>
      </c>
      <c r="AE291" s="2" t="s">
        <v>33</v>
      </c>
      <c r="AF291" s="2" t="s">
        <v>34</v>
      </c>
      <c r="AG291" s="2" t="s">
        <v>72</v>
      </c>
      <c r="AH291" s="2">
        <v>1.5378889518502901</v>
      </c>
      <c r="AI291" s="2">
        <v>4.5612277069475198</v>
      </c>
      <c r="AJ291" s="2">
        <v>2.12582399737378</v>
      </c>
      <c r="AK291" s="2">
        <v>0.28578575698073699</v>
      </c>
      <c r="AL291" s="2">
        <v>0.119637064584981</v>
      </c>
      <c r="AM291" s="2">
        <v>15.3</v>
      </c>
      <c r="AN291" s="2">
        <v>9.8000000000000007</v>
      </c>
      <c r="AO291" s="2">
        <v>29.7</v>
      </c>
      <c r="AP291" s="2">
        <v>564</v>
      </c>
      <c r="AQ291" s="2">
        <v>68</v>
      </c>
      <c r="AR291" s="2">
        <v>1.8</v>
      </c>
      <c r="AS291" s="2">
        <v>43</v>
      </c>
      <c r="AT291" s="2">
        <v>25.4</v>
      </c>
      <c r="AU291" s="2">
        <v>162</v>
      </c>
      <c r="AV291" s="2">
        <v>9.1</v>
      </c>
      <c r="AW291" s="2">
        <v>9.1999999999999993</v>
      </c>
      <c r="AX291" s="2">
        <v>18.3</v>
      </c>
      <c r="AY291" s="2">
        <v>0.34</v>
      </c>
      <c r="AZ291" s="2">
        <v>7.3</v>
      </c>
      <c r="BA291" s="2">
        <v>0.9</v>
      </c>
      <c r="BB291" s="2">
        <v>7.5</v>
      </c>
      <c r="BC291" s="2">
        <v>2.9</v>
      </c>
      <c r="BD291" s="2">
        <f>+AN291*EXP(-0.0495*Y291)</f>
        <v>9.4537576841517819</v>
      </c>
      <c r="BE291" s="2">
        <f>+AO291*EXP(-0.024*Y291)</f>
        <v>29.18652133985146</v>
      </c>
    </row>
    <row r="292" spans="1:57" x14ac:dyDescent="0.2">
      <c r="A292" s="2" t="s">
        <v>433</v>
      </c>
      <c r="B292" s="2" t="s">
        <v>19</v>
      </c>
      <c r="C292" s="2" t="s">
        <v>20</v>
      </c>
      <c r="D292" s="2" t="s">
        <v>21</v>
      </c>
      <c r="E292" s="2" t="s">
        <v>434</v>
      </c>
      <c r="F292" s="2">
        <v>5</v>
      </c>
      <c r="G292" s="2">
        <v>122</v>
      </c>
      <c r="H292" s="2">
        <v>3</v>
      </c>
      <c r="I292" s="2">
        <v>3</v>
      </c>
      <c r="J292" s="2">
        <v>2</v>
      </c>
      <c r="K292" s="2" t="s">
        <v>61</v>
      </c>
      <c r="L292" s="6" t="s">
        <v>84</v>
      </c>
      <c r="M292" s="5">
        <v>800000000</v>
      </c>
      <c r="N292" s="2">
        <v>0</v>
      </c>
      <c r="O292" s="2">
        <v>4.7226986999999996</v>
      </c>
      <c r="P292" s="2">
        <v>-74.072815000000006</v>
      </c>
      <c r="Q292" s="2" t="s">
        <v>435</v>
      </c>
      <c r="R292" s="2">
        <v>6557377.0489999996</v>
      </c>
      <c r="S292" s="2">
        <v>0</v>
      </c>
      <c r="T292" s="2" t="s">
        <v>68</v>
      </c>
      <c r="U292" s="2" t="s">
        <v>69</v>
      </c>
      <c r="V292" s="2" t="s">
        <v>28</v>
      </c>
      <c r="W292" s="2" t="s">
        <v>70</v>
      </c>
      <c r="X292" s="2" t="s">
        <v>71</v>
      </c>
      <c r="Y292" s="2">
        <v>1.6557246241246499</v>
      </c>
      <c r="Z292" s="2">
        <v>4.73719444444444</v>
      </c>
      <c r="AA292" s="2">
        <v>-74.069472222222203</v>
      </c>
      <c r="AB292" s="2">
        <v>2555</v>
      </c>
      <c r="AC292" s="2" t="s">
        <v>31</v>
      </c>
      <c r="AD292" s="2" t="s">
        <v>58</v>
      </c>
      <c r="AE292" s="2" t="s">
        <v>33</v>
      </c>
      <c r="AF292" s="2" t="s">
        <v>34</v>
      </c>
      <c r="AG292" s="2" t="s">
        <v>72</v>
      </c>
      <c r="AH292" s="2">
        <v>0.26315370591797699</v>
      </c>
      <c r="AI292" s="2">
        <v>5.4517811118957997</v>
      </c>
      <c r="AJ292" s="2">
        <v>0.66450466731536095</v>
      </c>
      <c r="AK292" s="2">
        <v>0.27059765690104298</v>
      </c>
      <c r="AL292" s="2">
        <v>0.30026091906902003</v>
      </c>
      <c r="AM292" s="2">
        <v>15.3</v>
      </c>
      <c r="AN292" s="2">
        <v>9.8000000000000007</v>
      </c>
      <c r="AO292" s="2">
        <v>29.7</v>
      </c>
      <c r="AP292" s="2">
        <v>564</v>
      </c>
      <c r="AQ292" s="2">
        <v>68</v>
      </c>
      <c r="AR292" s="2">
        <v>1.8</v>
      </c>
      <c r="AS292" s="2">
        <v>43</v>
      </c>
      <c r="AT292" s="2">
        <v>25.4</v>
      </c>
      <c r="AU292" s="2">
        <v>162</v>
      </c>
      <c r="AV292" s="2">
        <v>9.1</v>
      </c>
      <c r="AW292" s="2">
        <v>9.1999999999999993</v>
      </c>
      <c r="AX292" s="2">
        <v>18.3</v>
      </c>
      <c r="AY292" s="2">
        <v>0.34</v>
      </c>
      <c r="AZ292" s="2">
        <v>7.3</v>
      </c>
      <c r="BA292" s="2">
        <v>0.9</v>
      </c>
      <c r="BB292" s="2">
        <v>7.5</v>
      </c>
      <c r="BC292" s="2">
        <v>2.9</v>
      </c>
      <c r="BD292" s="2">
        <f>+AN292*EXP(-0.0495*Y292)</f>
        <v>9.0288410680381865</v>
      </c>
      <c r="BE292" s="2">
        <f>+AO292*EXP(-0.024*Y292)</f>
        <v>28.542940992490362</v>
      </c>
    </row>
    <row r="293" spans="1:57" x14ac:dyDescent="0.2">
      <c r="A293" s="2" t="s">
        <v>64</v>
      </c>
      <c r="B293" s="2" t="s">
        <v>19</v>
      </c>
      <c r="C293" s="2" t="s">
        <v>20</v>
      </c>
      <c r="D293" s="2" t="s">
        <v>21</v>
      </c>
      <c r="E293" s="2" t="s">
        <v>65</v>
      </c>
      <c r="F293" s="2">
        <v>5</v>
      </c>
      <c r="G293" s="2">
        <v>122</v>
      </c>
      <c r="H293" s="2">
        <v>3</v>
      </c>
      <c r="I293" s="2">
        <v>3</v>
      </c>
      <c r="J293" s="2">
        <v>2</v>
      </c>
      <c r="K293" s="2" t="s">
        <v>61</v>
      </c>
      <c r="L293" s="6" t="s">
        <v>66</v>
      </c>
      <c r="M293" s="5">
        <v>649000000</v>
      </c>
      <c r="N293" s="2">
        <v>0</v>
      </c>
      <c r="O293" s="2">
        <v>4.7118130000000003</v>
      </c>
      <c r="P293" s="2">
        <v>-74.078230000000005</v>
      </c>
      <c r="Q293" s="2" t="s">
        <v>67</v>
      </c>
      <c r="R293" s="2">
        <v>5319672.1310000001</v>
      </c>
      <c r="S293" s="2">
        <v>0</v>
      </c>
      <c r="T293" s="2" t="s">
        <v>68</v>
      </c>
      <c r="U293" s="2" t="s">
        <v>69</v>
      </c>
      <c r="V293" s="2" t="s">
        <v>28</v>
      </c>
      <c r="W293" s="2" t="s">
        <v>70</v>
      </c>
      <c r="X293" s="2" t="s">
        <v>71</v>
      </c>
      <c r="Y293" s="2">
        <v>2.9878368503072101</v>
      </c>
      <c r="Z293" s="2">
        <v>4.73719444444444</v>
      </c>
      <c r="AA293" s="2">
        <v>-74.069472222222203</v>
      </c>
      <c r="AB293" s="2">
        <v>2555</v>
      </c>
      <c r="AC293" s="2" t="s">
        <v>31</v>
      </c>
      <c r="AD293" s="2" t="s">
        <v>58</v>
      </c>
      <c r="AE293" s="2" t="s">
        <v>33</v>
      </c>
      <c r="AF293" s="2" t="s">
        <v>34</v>
      </c>
      <c r="AG293" s="2" t="s">
        <v>72</v>
      </c>
      <c r="AH293" s="2">
        <v>0.65702919784239999</v>
      </c>
      <c r="AI293" s="2">
        <v>5.4755671435270701</v>
      </c>
      <c r="AJ293" s="2">
        <v>0.93849137178653297</v>
      </c>
      <c r="AK293" s="2">
        <v>0.16089636884286901</v>
      </c>
      <c r="AL293" s="2">
        <v>0.27973505305721202</v>
      </c>
      <c r="AM293" s="2">
        <v>15.3</v>
      </c>
      <c r="AN293" s="2">
        <v>9.8000000000000007</v>
      </c>
      <c r="AO293" s="2">
        <v>29.7</v>
      </c>
      <c r="AP293" s="2">
        <v>564</v>
      </c>
      <c r="AQ293" s="2">
        <v>68</v>
      </c>
      <c r="AR293" s="2">
        <v>1.8</v>
      </c>
      <c r="AS293" s="2">
        <v>43</v>
      </c>
      <c r="AT293" s="2">
        <v>25.4</v>
      </c>
      <c r="AU293" s="2">
        <v>162</v>
      </c>
      <c r="AV293" s="2">
        <v>9.1</v>
      </c>
      <c r="AW293" s="2">
        <v>9.1999999999999993</v>
      </c>
      <c r="AX293" s="2">
        <v>18.3</v>
      </c>
      <c r="AY293" s="2">
        <v>0.34</v>
      </c>
      <c r="AZ293" s="2">
        <v>7.3</v>
      </c>
      <c r="BA293" s="2">
        <v>0.9</v>
      </c>
      <c r="BB293" s="2">
        <v>7.5</v>
      </c>
      <c r="BC293" s="2">
        <v>2.9</v>
      </c>
      <c r="BD293" s="2">
        <f>+AN293*EXP(-0.0495*Y293)</f>
        <v>8.4526876981841799</v>
      </c>
      <c r="BE293" s="2">
        <f>+AO293*EXP(-0.024*Y293)</f>
        <v>27.644836386630889</v>
      </c>
    </row>
    <row r="294" spans="1:57" x14ac:dyDescent="0.2">
      <c r="A294" s="2" t="s">
        <v>1945</v>
      </c>
      <c r="B294" s="2" t="s">
        <v>19</v>
      </c>
      <c r="C294" s="2" t="s">
        <v>1907</v>
      </c>
      <c r="D294" s="2" t="s">
        <v>21</v>
      </c>
      <c r="E294" s="2" t="s">
        <v>1946</v>
      </c>
      <c r="F294" s="2">
        <v>5</v>
      </c>
      <c r="G294" s="2">
        <v>120</v>
      </c>
      <c r="H294" s="2">
        <v>3</v>
      </c>
      <c r="I294" s="2">
        <v>3</v>
      </c>
      <c r="J294" s="2">
        <v>2</v>
      </c>
      <c r="K294" s="2" t="s">
        <v>61</v>
      </c>
      <c r="L294" s="6" t="s">
        <v>113</v>
      </c>
      <c r="M294" s="5">
        <v>690000000</v>
      </c>
      <c r="N294" s="2">
        <v>0</v>
      </c>
      <c r="O294" s="2">
        <v>4.7657509999999998</v>
      </c>
      <c r="P294" s="2">
        <v>-74.042626999999996</v>
      </c>
      <c r="Q294" s="2" t="s">
        <v>1947</v>
      </c>
      <c r="R294" s="2">
        <v>5750000</v>
      </c>
      <c r="S294" s="2">
        <v>0</v>
      </c>
      <c r="T294" s="2" t="s">
        <v>102</v>
      </c>
      <c r="U294" s="2" t="s">
        <v>103</v>
      </c>
      <c r="V294" s="2" t="s">
        <v>28</v>
      </c>
      <c r="W294" s="2" t="s">
        <v>70</v>
      </c>
      <c r="X294" s="2" t="s">
        <v>104</v>
      </c>
      <c r="Y294" s="2">
        <v>2.01064687198624</v>
      </c>
      <c r="Z294" s="2">
        <v>4.7837500000000004</v>
      </c>
      <c r="AA294" s="2">
        <v>-74.044138888888895</v>
      </c>
      <c r="AB294" s="2">
        <v>2580</v>
      </c>
      <c r="AC294" s="2" t="s">
        <v>105</v>
      </c>
      <c r="AD294" s="2" t="s">
        <v>58</v>
      </c>
      <c r="AE294" s="2" t="s">
        <v>33</v>
      </c>
      <c r="AF294" s="2" t="s">
        <v>34</v>
      </c>
      <c r="AG294" s="2" t="s">
        <v>59</v>
      </c>
      <c r="AH294" s="2">
        <v>0.334309392108667</v>
      </c>
      <c r="AI294" s="2">
        <v>2.1893938538477902</v>
      </c>
      <c r="AJ294" s="2">
        <v>1.82303595677373</v>
      </c>
      <c r="AK294" s="2">
        <v>0.329897278531816</v>
      </c>
      <c r="AL294" s="2">
        <v>0.23191970996751901</v>
      </c>
      <c r="AM294" s="2">
        <v>15.3</v>
      </c>
      <c r="AN294" s="2">
        <v>9.8000000000000007</v>
      </c>
      <c r="AO294" s="2">
        <v>29.7</v>
      </c>
      <c r="AP294" s="2">
        <v>564</v>
      </c>
      <c r="AQ294" s="2">
        <v>68</v>
      </c>
      <c r="AR294" s="2">
        <v>1.8</v>
      </c>
      <c r="AS294" s="2">
        <v>43</v>
      </c>
      <c r="AT294" s="2">
        <v>25.4</v>
      </c>
      <c r="AU294" s="2">
        <v>162</v>
      </c>
      <c r="AV294" s="2">
        <v>9.1</v>
      </c>
      <c r="AW294" s="2">
        <v>9.1999999999999993</v>
      </c>
      <c r="AX294" s="2">
        <v>18.3</v>
      </c>
      <c r="AY294" s="2">
        <v>0.34</v>
      </c>
      <c r="AZ294" s="2">
        <v>7.3</v>
      </c>
      <c r="BA294" s="2">
        <v>0.9</v>
      </c>
      <c r="BB294" s="2">
        <v>7.5</v>
      </c>
      <c r="BC294" s="2">
        <v>2.9</v>
      </c>
      <c r="BD294" s="2">
        <f>+AN294*EXP(-0.0495*Y294)</f>
        <v>8.8716017933434621</v>
      </c>
      <c r="BE294" s="2">
        <f>+AO294*EXP(-0.024*Y294)</f>
        <v>28.300840981855064</v>
      </c>
    </row>
    <row r="295" spans="1:57" x14ac:dyDescent="0.2">
      <c r="A295" s="2" t="s">
        <v>2394</v>
      </c>
      <c r="B295" s="2" t="s">
        <v>19</v>
      </c>
      <c r="C295" s="2" t="s">
        <v>1907</v>
      </c>
      <c r="D295" s="2" t="s">
        <v>21</v>
      </c>
      <c r="E295" s="2" t="s">
        <v>1257</v>
      </c>
      <c r="F295" s="2">
        <v>4</v>
      </c>
      <c r="G295" s="2">
        <v>120</v>
      </c>
      <c r="H295" s="2">
        <v>3</v>
      </c>
      <c r="I295" s="2">
        <v>4</v>
      </c>
      <c r="J295" s="2">
        <v>2</v>
      </c>
      <c r="K295" s="2" t="s">
        <v>61</v>
      </c>
      <c r="L295" s="6" t="s">
        <v>62</v>
      </c>
      <c r="M295" s="5">
        <v>650000000</v>
      </c>
      <c r="N295" s="2">
        <v>0</v>
      </c>
      <c r="O295" s="2">
        <v>4.7384851000000001</v>
      </c>
      <c r="P295" s="2">
        <v>-74.047470599999997</v>
      </c>
      <c r="Q295" s="2" t="s">
        <v>2395</v>
      </c>
      <c r="R295" s="2">
        <v>5416666.6670000004</v>
      </c>
      <c r="S295" s="2">
        <v>0</v>
      </c>
      <c r="T295" s="2" t="s">
        <v>68</v>
      </c>
      <c r="U295" s="2" t="s">
        <v>69</v>
      </c>
      <c r="V295" s="2" t="s">
        <v>28</v>
      </c>
      <c r="W295" s="2" t="s">
        <v>70</v>
      </c>
      <c r="X295" s="2" t="s">
        <v>71</v>
      </c>
      <c r="Y295" s="2">
        <v>2.4450654837747701</v>
      </c>
      <c r="Z295" s="2">
        <v>4.73719444444444</v>
      </c>
      <c r="AA295" s="2">
        <v>-74.069472222222203</v>
      </c>
      <c r="AB295" s="2">
        <v>2555</v>
      </c>
      <c r="AC295" s="2" t="s">
        <v>31</v>
      </c>
      <c r="AD295" s="2" t="s">
        <v>58</v>
      </c>
      <c r="AE295" s="2" t="s">
        <v>33</v>
      </c>
      <c r="AF295" s="2" t="s">
        <v>34</v>
      </c>
      <c r="AG295" s="2" t="s">
        <v>59</v>
      </c>
      <c r="AH295" s="2">
        <v>0.38360081334685597</v>
      </c>
      <c r="AI295" s="2">
        <v>2.8963954522628401</v>
      </c>
      <c r="AJ295" s="2">
        <v>1.03646481615564</v>
      </c>
      <c r="AK295" s="2">
        <v>0.13790681483997999</v>
      </c>
      <c r="AL295" s="2">
        <v>0.38109782824758198</v>
      </c>
      <c r="AM295" s="2">
        <v>15.3</v>
      </c>
      <c r="AN295" s="2">
        <v>9.8000000000000007</v>
      </c>
      <c r="AO295" s="2">
        <v>29.7</v>
      </c>
      <c r="AP295" s="2">
        <v>564</v>
      </c>
      <c r="AQ295" s="2">
        <v>68</v>
      </c>
      <c r="AR295" s="2">
        <v>1.8</v>
      </c>
      <c r="AS295" s="2">
        <v>43</v>
      </c>
      <c r="AT295" s="2">
        <v>25.4</v>
      </c>
      <c r="AU295" s="2">
        <v>162</v>
      </c>
      <c r="AV295" s="2">
        <v>9.1</v>
      </c>
      <c r="AW295" s="2">
        <v>9.1999999999999993</v>
      </c>
      <c r="AX295" s="2">
        <v>18.3</v>
      </c>
      <c r="AY295" s="2">
        <v>0.34</v>
      </c>
      <c r="AZ295" s="2">
        <v>7.3</v>
      </c>
      <c r="BA295" s="2">
        <v>0.9</v>
      </c>
      <c r="BB295" s="2">
        <v>7.5</v>
      </c>
      <c r="BC295" s="2">
        <v>2.9</v>
      </c>
      <c r="BD295" s="2">
        <f>+AN295*EXP(-0.0495*Y295)</f>
        <v>8.6828658760474831</v>
      </c>
      <c r="BE295" s="2">
        <f>+AO295*EXP(-0.024*Y295)</f>
        <v>28.007307946153993</v>
      </c>
    </row>
    <row r="296" spans="1:57" x14ac:dyDescent="0.2">
      <c r="A296" s="2" t="s">
        <v>1937</v>
      </c>
      <c r="B296" s="2" t="s">
        <v>19</v>
      </c>
      <c r="C296" s="2" t="s">
        <v>1907</v>
      </c>
      <c r="D296" s="2" t="s">
        <v>21</v>
      </c>
      <c r="E296" s="2" t="s">
        <v>1938</v>
      </c>
      <c r="F296" s="2">
        <v>5</v>
      </c>
      <c r="G296" s="2">
        <v>120</v>
      </c>
      <c r="H296" s="2">
        <v>3</v>
      </c>
      <c r="I296" s="2">
        <v>3</v>
      </c>
      <c r="J296" s="2">
        <v>2</v>
      </c>
      <c r="K296" s="2" t="s">
        <v>61</v>
      </c>
      <c r="L296" s="6" t="s">
        <v>113</v>
      </c>
      <c r="M296" s="5">
        <v>650000000</v>
      </c>
      <c r="N296" s="2">
        <v>0</v>
      </c>
      <c r="O296" s="2">
        <v>4.7639810000000002</v>
      </c>
      <c r="P296" s="2">
        <v>-74.043143999999998</v>
      </c>
      <c r="Q296" s="2" t="s">
        <v>1939</v>
      </c>
      <c r="R296" s="2">
        <v>5416666.6670000004</v>
      </c>
      <c r="S296" s="2">
        <v>0</v>
      </c>
      <c r="T296" s="2" t="s">
        <v>102</v>
      </c>
      <c r="U296" s="2" t="s">
        <v>103</v>
      </c>
      <c r="V296" s="2" t="s">
        <v>28</v>
      </c>
      <c r="W296" s="2" t="s">
        <v>70</v>
      </c>
      <c r="X296" s="2" t="s">
        <v>104</v>
      </c>
      <c r="Y296" s="2">
        <v>2.2034407729792602</v>
      </c>
      <c r="Z296" s="2">
        <v>4.7837500000000004</v>
      </c>
      <c r="AA296" s="2">
        <v>-74.044138888888895</v>
      </c>
      <c r="AB296" s="2">
        <v>2580</v>
      </c>
      <c r="AC296" s="2" t="s">
        <v>105</v>
      </c>
      <c r="AD296" s="2" t="s">
        <v>58</v>
      </c>
      <c r="AE296" s="2" t="s">
        <v>33</v>
      </c>
      <c r="AF296" s="2" t="s">
        <v>34</v>
      </c>
      <c r="AG296" s="2" t="s">
        <v>59</v>
      </c>
      <c r="AH296" s="2">
        <v>0.16073400268237301</v>
      </c>
      <c r="AI296" s="2">
        <v>2.2695528138910799</v>
      </c>
      <c r="AJ296" s="2">
        <v>1.6406807316577201</v>
      </c>
      <c r="AK296" s="2">
        <v>0.38971855869560701</v>
      </c>
      <c r="AL296" s="2">
        <v>0.108083728180966</v>
      </c>
      <c r="AM296" s="2">
        <v>15.3</v>
      </c>
      <c r="AN296" s="2">
        <v>9.8000000000000007</v>
      </c>
      <c r="AO296" s="2">
        <v>29.7</v>
      </c>
      <c r="AP296" s="2">
        <v>564</v>
      </c>
      <c r="AQ296" s="2">
        <v>68</v>
      </c>
      <c r="AR296" s="2">
        <v>1.8</v>
      </c>
      <c r="AS296" s="2">
        <v>43</v>
      </c>
      <c r="AT296" s="2">
        <v>25.4</v>
      </c>
      <c r="AU296" s="2">
        <v>162</v>
      </c>
      <c r="AV296" s="2">
        <v>9.1</v>
      </c>
      <c r="AW296" s="2">
        <v>9.1999999999999993</v>
      </c>
      <c r="AX296" s="2">
        <v>18.3</v>
      </c>
      <c r="AY296" s="2">
        <v>0.34</v>
      </c>
      <c r="AZ296" s="2">
        <v>7.3</v>
      </c>
      <c r="BA296" s="2">
        <v>0.9</v>
      </c>
      <c r="BB296" s="2">
        <v>7.5</v>
      </c>
      <c r="BC296" s="2">
        <v>2.9</v>
      </c>
      <c r="BD296" s="2">
        <f>+AN296*EXP(-0.0495*Y296)</f>
        <v>8.7873401592652396</v>
      </c>
      <c r="BE296" s="2">
        <f>+AO296*EXP(-0.024*Y296)</f>
        <v>28.170193961508826</v>
      </c>
    </row>
    <row r="297" spans="1:57" x14ac:dyDescent="0.2">
      <c r="A297" s="2" t="s">
        <v>3104</v>
      </c>
      <c r="B297" s="2" t="s">
        <v>19</v>
      </c>
      <c r="C297" s="2" t="s">
        <v>1907</v>
      </c>
      <c r="D297" s="2" t="s">
        <v>21</v>
      </c>
      <c r="E297" s="2" t="s">
        <v>2456</v>
      </c>
      <c r="F297" s="2">
        <v>3</v>
      </c>
      <c r="G297" s="2">
        <v>120</v>
      </c>
      <c r="H297" s="2">
        <v>4</v>
      </c>
      <c r="I297" s="2">
        <v>2</v>
      </c>
      <c r="J297" s="2">
        <v>2</v>
      </c>
      <c r="K297" s="2" t="s">
        <v>61</v>
      </c>
      <c r="L297" s="6" t="s">
        <v>113</v>
      </c>
      <c r="M297" s="5">
        <v>530000000</v>
      </c>
      <c r="N297" s="2">
        <v>0</v>
      </c>
      <c r="O297" s="2">
        <v>4.7100181579999996</v>
      </c>
      <c r="P297" s="2">
        <v>-74.095420840000003</v>
      </c>
      <c r="Q297" s="2" t="s">
        <v>3105</v>
      </c>
      <c r="R297" s="2">
        <v>4416666.6670000004</v>
      </c>
      <c r="S297" s="2">
        <v>0</v>
      </c>
      <c r="T297" s="2" t="s">
        <v>68</v>
      </c>
      <c r="U297" s="2" t="s">
        <v>69</v>
      </c>
      <c r="V297" s="2" t="s">
        <v>28</v>
      </c>
      <c r="W297" s="2" t="s">
        <v>70</v>
      </c>
      <c r="X297" s="2" t="s">
        <v>71</v>
      </c>
      <c r="Y297" s="2">
        <v>4.1760616183713903</v>
      </c>
      <c r="Z297" s="2">
        <v>4.73719444444444</v>
      </c>
      <c r="AA297" s="2">
        <v>-74.069472222222203</v>
      </c>
      <c r="AB297" s="2">
        <v>2555</v>
      </c>
      <c r="AC297" s="2" t="s">
        <v>31</v>
      </c>
      <c r="AD297" s="2" t="s">
        <v>58</v>
      </c>
      <c r="AE297" s="2" t="s">
        <v>33</v>
      </c>
      <c r="AF297" s="2" t="s">
        <v>34</v>
      </c>
      <c r="AG297" s="2" t="s">
        <v>363</v>
      </c>
      <c r="AH297" s="2">
        <v>0.99242686230108801</v>
      </c>
      <c r="AI297" s="2">
        <v>3.7696281824474398</v>
      </c>
      <c r="AJ297" s="2">
        <v>1.13468498856231</v>
      </c>
      <c r="AK297" s="2">
        <v>0.27074738645984903</v>
      </c>
      <c r="AL297" s="2">
        <v>0.23070869228789601</v>
      </c>
      <c r="AM297" s="2">
        <v>15.3</v>
      </c>
      <c r="AN297" s="2">
        <v>9.8000000000000007</v>
      </c>
      <c r="AO297" s="2">
        <v>29.7</v>
      </c>
      <c r="AP297" s="2">
        <v>564</v>
      </c>
      <c r="AQ297" s="2">
        <v>68</v>
      </c>
      <c r="AR297" s="2">
        <v>1.8</v>
      </c>
      <c r="AS297" s="2">
        <v>43</v>
      </c>
      <c r="AT297" s="2">
        <v>25.4</v>
      </c>
      <c r="AU297" s="2">
        <v>162</v>
      </c>
      <c r="AV297" s="2">
        <v>9.1</v>
      </c>
      <c r="AW297" s="2">
        <v>9.1999999999999993</v>
      </c>
      <c r="AX297" s="2">
        <v>18.3</v>
      </c>
      <c r="AY297" s="2">
        <v>0.34</v>
      </c>
      <c r="AZ297" s="2">
        <v>7.3</v>
      </c>
      <c r="BA297" s="2">
        <v>0.9</v>
      </c>
      <c r="BB297" s="2">
        <v>7.5</v>
      </c>
      <c r="BC297" s="2">
        <v>2.9</v>
      </c>
      <c r="BD297" s="2">
        <f>+AN297*EXP(-0.0495*Y297)</f>
        <v>7.9698632580102613</v>
      </c>
      <c r="BE297" s="2">
        <f>+AO297*EXP(-0.024*Y297)</f>
        <v>26.867612554495548</v>
      </c>
    </row>
    <row r="298" spans="1:57" x14ac:dyDescent="0.2">
      <c r="A298" s="2" t="s">
        <v>2264</v>
      </c>
      <c r="B298" s="2" t="s">
        <v>19</v>
      </c>
      <c r="C298" s="2" t="s">
        <v>1907</v>
      </c>
      <c r="D298" s="2" t="s">
        <v>21</v>
      </c>
      <c r="E298" s="2" t="s">
        <v>380</v>
      </c>
      <c r="F298" s="2">
        <v>4</v>
      </c>
      <c r="G298" s="2">
        <v>118</v>
      </c>
      <c r="H298" s="2">
        <v>4</v>
      </c>
      <c r="I298" s="2">
        <v>4</v>
      </c>
      <c r="J298" s="2">
        <v>2</v>
      </c>
      <c r="K298" s="2" t="s">
        <v>61</v>
      </c>
      <c r="L298" s="6" t="s">
        <v>113</v>
      </c>
      <c r="M298" s="5">
        <v>749500000</v>
      </c>
      <c r="N298" s="2">
        <v>0</v>
      </c>
      <c r="O298" s="2">
        <v>4.7292084689999996</v>
      </c>
      <c r="P298" s="2">
        <v>-74.047256469999994</v>
      </c>
      <c r="Q298" s="2" t="s">
        <v>2265</v>
      </c>
      <c r="R298" s="2">
        <v>6351694.915</v>
      </c>
      <c r="S298" s="2">
        <v>0</v>
      </c>
      <c r="T298" s="2" t="s">
        <v>68</v>
      </c>
      <c r="U298" s="2" t="s">
        <v>69</v>
      </c>
      <c r="V298" s="2" t="s">
        <v>28</v>
      </c>
      <c r="W298" s="2" t="s">
        <v>70</v>
      </c>
      <c r="X298" s="2" t="s">
        <v>71</v>
      </c>
      <c r="Y298" s="2">
        <v>2.6200431917917801</v>
      </c>
      <c r="Z298" s="2">
        <v>4.73719444444444</v>
      </c>
      <c r="AA298" s="2">
        <v>-74.069472222222203</v>
      </c>
      <c r="AB298" s="2">
        <v>2555</v>
      </c>
      <c r="AC298" s="2" t="s">
        <v>31</v>
      </c>
      <c r="AD298" s="2" t="s">
        <v>58</v>
      </c>
      <c r="AE298" s="2" t="s">
        <v>33</v>
      </c>
      <c r="AF298" s="2" t="s">
        <v>34</v>
      </c>
      <c r="AG298" s="2" t="s">
        <v>59</v>
      </c>
      <c r="AH298" s="2">
        <v>0.33883393514648402</v>
      </c>
      <c r="AI298" s="2">
        <v>2.8267945772575702</v>
      </c>
      <c r="AJ298" s="2">
        <v>0.90399918024954795</v>
      </c>
      <c r="AK298" s="2">
        <v>0.15194905573491599</v>
      </c>
      <c r="AL298" s="2">
        <v>0.25809969450908699</v>
      </c>
      <c r="AM298" s="2">
        <v>15.3</v>
      </c>
      <c r="AN298" s="2">
        <v>9.8000000000000007</v>
      </c>
      <c r="AO298" s="2">
        <v>29.7</v>
      </c>
      <c r="AP298" s="2">
        <v>564</v>
      </c>
      <c r="AQ298" s="2">
        <v>68</v>
      </c>
      <c r="AR298" s="2">
        <v>1.8</v>
      </c>
      <c r="AS298" s="2">
        <v>43</v>
      </c>
      <c r="AT298" s="2">
        <v>25.4</v>
      </c>
      <c r="AU298" s="2">
        <v>162</v>
      </c>
      <c r="AV298" s="2">
        <v>9.1</v>
      </c>
      <c r="AW298" s="2">
        <v>9.1999999999999993</v>
      </c>
      <c r="AX298" s="2">
        <v>18.3</v>
      </c>
      <c r="AY298" s="2">
        <v>0.34</v>
      </c>
      <c r="AZ298" s="2">
        <v>7.3</v>
      </c>
      <c r="BA298" s="2">
        <v>0.9</v>
      </c>
      <c r="BB298" s="2">
        <v>7.5</v>
      </c>
      <c r="BC298" s="2">
        <v>2.9</v>
      </c>
      <c r="BD298" s="2">
        <f>+AN298*EXP(-0.0495*Y298)</f>
        <v>8.6079848866326536</v>
      </c>
      <c r="BE298" s="2">
        <f>+AO298*EXP(-0.024*Y298)</f>
        <v>27.889938853089841</v>
      </c>
    </row>
    <row r="299" spans="1:57" x14ac:dyDescent="0.2">
      <c r="A299" s="2" t="s">
        <v>3133</v>
      </c>
      <c r="B299" s="2" t="s">
        <v>19</v>
      </c>
      <c r="C299" s="2" t="s">
        <v>1907</v>
      </c>
      <c r="D299" s="2" t="s">
        <v>21</v>
      </c>
      <c r="E299" s="2" t="s">
        <v>1938</v>
      </c>
      <c r="F299" s="2">
        <v>5</v>
      </c>
      <c r="G299" s="2">
        <v>118</v>
      </c>
      <c r="H299" s="2">
        <v>4</v>
      </c>
      <c r="I299" s="2">
        <v>4</v>
      </c>
      <c r="J299" s="2">
        <v>2</v>
      </c>
      <c r="K299" s="2" t="s">
        <v>61</v>
      </c>
      <c r="L299" s="6" t="s">
        <v>62</v>
      </c>
      <c r="M299" s="5">
        <v>650000000</v>
      </c>
      <c r="N299" s="2">
        <v>0</v>
      </c>
      <c r="O299" s="2">
        <v>4.7655537519999998</v>
      </c>
      <c r="P299" s="2">
        <v>-74.04293638</v>
      </c>
      <c r="Q299" s="2" t="s">
        <v>3134</v>
      </c>
      <c r="R299" s="2">
        <v>5508474.5760000004</v>
      </c>
      <c r="S299" s="2">
        <v>0</v>
      </c>
      <c r="T299" s="2" t="s">
        <v>102</v>
      </c>
      <c r="U299" s="2" t="s">
        <v>103</v>
      </c>
      <c r="V299" s="2" t="s">
        <v>28</v>
      </c>
      <c r="W299" s="2" t="s">
        <v>70</v>
      </c>
      <c r="X299" s="2" t="s">
        <v>104</v>
      </c>
      <c r="Y299" s="2">
        <v>2.0299848573793602</v>
      </c>
      <c r="Z299" s="2">
        <v>4.7837500000000004</v>
      </c>
      <c r="AA299" s="2">
        <v>-74.044138888888895</v>
      </c>
      <c r="AB299" s="2">
        <v>2580</v>
      </c>
      <c r="AC299" s="2" t="s">
        <v>105</v>
      </c>
      <c r="AD299" s="2" t="s">
        <v>58</v>
      </c>
      <c r="AE299" s="2" t="s">
        <v>33</v>
      </c>
      <c r="AF299" s="2" t="s">
        <v>34</v>
      </c>
      <c r="AG299" s="2" t="s">
        <v>59</v>
      </c>
      <c r="AH299" s="2">
        <v>0.29658875303409798</v>
      </c>
      <c r="AI299" s="2">
        <v>2.2253453084062098</v>
      </c>
      <c r="AJ299" s="2">
        <v>1.7840375682427501</v>
      </c>
      <c r="AK299" s="2">
        <v>0.36667851710791899</v>
      </c>
      <c r="AL299" s="2">
        <v>0.19271537116677001</v>
      </c>
      <c r="AM299" s="2">
        <v>15.3</v>
      </c>
      <c r="AN299" s="2">
        <v>9.8000000000000007</v>
      </c>
      <c r="AO299" s="2">
        <v>29.7</v>
      </c>
      <c r="AP299" s="2">
        <v>564</v>
      </c>
      <c r="AQ299" s="2">
        <v>68</v>
      </c>
      <c r="AR299" s="2">
        <v>1.8</v>
      </c>
      <c r="AS299" s="2">
        <v>43</v>
      </c>
      <c r="AT299" s="2">
        <v>25.4</v>
      </c>
      <c r="AU299" s="2">
        <v>162</v>
      </c>
      <c r="AV299" s="2">
        <v>9.1</v>
      </c>
      <c r="AW299" s="2">
        <v>9.1999999999999993</v>
      </c>
      <c r="AX299" s="2">
        <v>18.3</v>
      </c>
      <c r="AY299" s="2">
        <v>0.34</v>
      </c>
      <c r="AZ299" s="2">
        <v>7.3</v>
      </c>
      <c r="BA299" s="2">
        <v>0.9</v>
      </c>
      <c r="BB299" s="2">
        <v>7.5</v>
      </c>
      <c r="BC299" s="2">
        <v>2.9</v>
      </c>
      <c r="BD299" s="2">
        <f>+AN299*EXP(-0.0495*Y299)</f>
        <v>8.8631136906843064</v>
      </c>
      <c r="BE299" s="2">
        <f>+AO299*EXP(-0.024*Y299)</f>
        <v>28.287709279390338</v>
      </c>
    </row>
    <row r="300" spans="1:57" x14ac:dyDescent="0.2">
      <c r="A300" s="2" t="s">
        <v>2978</v>
      </c>
      <c r="B300" s="2" t="s">
        <v>19</v>
      </c>
      <c r="C300" s="2" t="s">
        <v>1907</v>
      </c>
      <c r="D300" s="2" t="s">
        <v>21</v>
      </c>
      <c r="E300" s="2" t="s">
        <v>2979</v>
      </c>
      <c r="F300" s="2">
        <v>4</v>
      </c>
      <c r="G300" s="2">
        <v>118</v>
      </c>
      <c r="H300" s="2">
        <v>4</v>
      </c>
      <c r="I300" s="2">
        <v>4</v>
      </c>
      <c r="J300" s="2">
        <v>1</v>
      </c>
      <c r="K300" s="2" t="s">
        <v>61</v>
      </c>
      <c r="L300" s="6" t="s">
        <v>113</v>
      </c>
      <c r="M300" s="5">
        <v>650000000</v>
      </c>
      <c r="N300" s="2">
        <v>0</v>
      </c>
      <c r="O300" s="2">
        <v>4.7473197000000003</v>
      </c>
      <c r="P300" s="2">
        <v>-74.067671000000004</v>
      </c>
      <c r="Q300" s="2" t="s">
        <v>2980</v>
      </c>
      <c r="R300" s="2">
        <v>5508474.5760000004</v>
      </c>
      <c r="S300" s="2">
        <v>0</v>
      </c>
      <c r="T300" s="2" t="s">
        <v>68</v>
      </c>
      <c r="U300" s="2" t="s">
        <v>69</v>
      </c>
      <c r="V300" s="2" t="s">
        <v>28</v>
      </c>
      <c r="W300" s="2" t="s">
        <v>70</v>
      </c>
      <c r="X300" s="2" t="s">
        <v>71</v>
      </c>
      <c r="Y300" s="2">
        <v>1.1447142229794101</v>
      </c>
      <c r="Z300" s="2">
        <v>4.73719444444444</v>
      </c>
      <c r="AA300" s="2">
        <v>-74.069472222222203</v>
      </c>
      <c r="AB300" s="2">
        <v>2555</v>
      </c>
      <c r="AC300" s="2" t="s">
        <v>31</v>
      </c>
      <c r="AD300" s="2" t="s">
        <v>58</v>
      </c>
      <c r="AE300" s="2" t="s">
        <v>33</v>
      </c>
      <c r="AF300" s="2" t="s">
        <v>34</v>
      </c>
      <c r="AG300" s="2" t="s">
        <v>72</v>
      </c>
      <c r="AH300" s="2">
        <v>1.9706346571744899</v>
      </c>
      <c r="AI300" s="2">
        <v>5.1767143169101004</v>
      </c>
      <c r="AJ300" s="2">
        <v>1.70767111950171</v>
      </c>
      <c r="AK300" s="2">
        <v>0.396652139059054</v>
      </c>
      <c r="AL300" s="2">
        <v>2.3037004725308698E-2</v>
      </c>
      <c r="AM300" s="2">
        <v>15.3</v>
      </c>
      <c r="AN300" s="2">
        <v>9.8000000000000007</v>
      </c>
      <c r="AO300" s="2">
        <v>29.7</v>
      </c>
      <c r="AP300" s="2">
        <v>564</v>
      </c>
      <c r="AQ300" s="2">
        <v>68</v>
      </c>
      <c r="AR300" s="2">
        <v>1.8</v>
      </c>
      <c r="AS300" s="2">
        <v>43</v>
      </c>
      <c r="AT300" s="2">
        <v>25.4</v>
      </c>
      <c r="AU300" s="2">
        <v>162</v>
      </c>
      <c r="AV300" s="2">
        <v>9.1</v>
      </c>
      <c r="AW300" s="2">
        <v>9.1999999999999993</v>
      </c>
      <c r="AX300" s="2">
        <v>18.3</v>
      </c>
      <c r="AY300" s="2">
        <v>0.34</v>
      </c>
      <c r="AZ300" s="2">
        <v>7.3</v>
      </c>
      <c r="BA300" s="2">
        <v>0.9</v>
      </c>
      <c r="BB300" s="2">
        <v>7.5</v>
      </c>
      <c r="BC300" s="2">
        <v>2.9</v>
      </c>
      <c r="BD300" s="2">
        <f>+AN300*EXP(-0.0495*Y300)</f>
        <v>9.2601387434430595</v>
      </c>
      <c r="BE300" s="2">
        <f>+AO300*EXP(-0.024*Y300)</f>
        <v>28.89515414620378</v>
      </c>
    </row>
    <row r="301" spans="1:57" x14ac:dyDescent="0.2">
      <c r="A301" s="2" t="s">
        <v>1505</v>
      </c>
      <c r="B301" s="2" t="s">
        <v>19</v>
      </c>
      <c r="C301" s="2" t="s">
        <v>20</v>
      </c>
      <c r="D301" s="2" t="s">
        <v>21</v>
      </c>
      <c r="E301" s="2" t="s">
        <v>1506</v>
      </c>
      <c r="F301" s="2">
        <v>4</v>
      </c>
      <c r="G301" s="2">
        <v>116</v>
      </c>
      <c r="H301" s="2">
        <v>3</v>
      </c>
      <c r="I301" s="2">
        <v>3</v>
      </c>
      <c r="J301" s="2">
        <v>2</v>
      </c>
      <c r="K301" s="2" t="s">
        <v>61</v>
      </c>
      <c r="L301" s="6" t="s">
        <v>113</v>
      </c>
      <c r="M301" s="5">
        <v>533540000</v>
      </c>
      <c r="N301" s="2">
        <v>0</v>
      </c>
      <c r="O301" s="2">
        <v>4.7392871999999997</v>
      </c>
      <c r="P301" s="2">
        <v>-74.045935600000007</v>
      </c>
      <c r="Q301" s="2" t="s">
        <v>1507</v>
      </c>
      <c r="R301" s="2">
        <v>4599482.7589999996</v>
      </c>
      <c r="S301" s="2">
        <v>0</v>
      </c>
      <c r="T301" s="2" t="s">
        <v>68</v>
      </c>
      <c r="U301" s="2" t="s">
        <v>69</v>
      </c>
      <c r="V301" s="2" t="s">
        <v>28</v>
      </c>
      <c r="W301" s="2" t="s">
        <v>70</v>
      </c>
      <c r="X301" s="2" t="s">
        <v>71</v>
      </c>
      <c r="Y301" s="2">
        <v>2.6215025194578501</v>
      </c>
      <c r="Z301" s="2">
        <v>4.73719444444444</v>
      </c>
      <c r="AA301" s="2">
        <v>-74.069472222222203</v>
      </c>
      <c r="AB301" s="2">
        <v>2555</v>
      </c>
      <c r="AC301" s="2" t="s">
        <v>31</v>
      </c>
      <c r="AD301" s="2" t="s">
        <v>58</v>
      </c>
      <c r="AE301" s="2" t="s">
        <v>33</v>
      </c>
      <c r="AF301" s="2" t="s">
        <v>34</v>
      </c>
      <c r="AG301" s="2" t="s">
        <v>59</v>
      </c>
      <c r="AH301" s="2">
        <v>0.36980783550565099</v>
      </c>
      <c r="AI301" s="2">
        <v>2.7528782488691901</v>
      </c>
      <c r="AJ301" s="2">
        <v>0.96842515941479101</v>
      </c>
      <c r="AK301" s="2">
        <v>0.118392698893408</v>
      </c>
      <c r="AL301" s="2">
        <v>0.237288210494605</v>
      </c>
      <c r="AM301" s="2">
        <v>15.3</v>
      </c>
      <c r="AN301" s="2">
        <v>9.8000000000000007</v>
      </c>
      <c r="AO301" s="2">
        <v>29.7</v>
      </c>
      <c r="AP301" s="2">
        <v>564</v>
      </c>
      <c r="AQ301" s="2">
        <v>68</v>
      </c>
      <c r="AR301" s="2">
        <v>1.8</v>
      </c>
      <c r="AS301" s="2">
        <v>43</v>
      </c>
      <c r="AT301" s="2">
        <v>25.4</v>
      </c>
      <c r="AU301" s="2">
        <v>162</v>
      </c>
      <c r="AV301" s="2">
        <v>9.1</v>
      </c>
      <c r="AW301" s="2">
        <v>9.1999999999999993</v>
      </c>
      <c r="AX301" s="2">
        <v>18.3</v>
      </c>
      <c r="AY301" s="2">
        <v>0.34</v>
      </c>
      <c r="AZ301" s="2">
        <v>7.3</v>
      </c>
      <c r="BA301" s="2">
        <v>0.9</v>
      </c>
      <c r="BB301" s="2">
        <v>7.5</v>
      </c>
      <c r="BC301" s="2">
        <v>2.9</v>
      </c>
      <c r="BD301" s="2">
        <f>+AN301*EXP(-0.0495*Y301)</f>
        <v>8.6073630965015031</v>
      </c>
      <c r="BE301" s="2">
        <f>+AO301*EXP(-0.024*Y301)</f>
        <v>27.888962056770573</v>
      </c>
    </row>
    <row r="302" spans="1:57" x14ac:dyDescent="0.2">
      <c r="A302" s="2" t="s">
        <v>1256</v>
      </c>
      <c r="B302" s="2" t="s">
        <v>19</v>
      </c>
      <c r="C302" s="2" t="s">
        <v>20</v>
      </c>
      <c r="D302" s="2" t="s">
        <v>21</v>
      </c>
      <c r="E302" s="2" t="s">
        <v>1257</v>
      </c>
      <c r="F302" s="2">
        <v>4</v>
      </c>
      <c r="G302" s="2">
        <v>116</v>
      </c>
      <c r="H302" s="2">
        <v>3</v>
      </c>
      <c r="I302" s="2">
        <v>3</v>
      </c>
      <c r="J302" s="2">
        <v>2</v>
      </c>
      <c r="K302" s="2" t="s">
        <v>61</v>
      </c>
      <c r="L302" s="6" t="s">
        <v>113</v>
      </c>
      <c r="M302" s="5">
        <v>533540000</v>
      </c>
      <c r="N302" s="2">
        <v>0</v>
      </c>
      <c r="O302" s="2">
        <v>4.7393746480000001</v>
      </c>
      <c r="P302" s="2">
        <v>-74.045996270000003</v>
      </c>
      <c r="Q302" s="2" t="s">
        <v>1258</v>
      </c>
      <c r="R302" s="2">
        <v>4599482.7589999996</v>
      </c>
      <c r="S302" s="2">
        <v>0</v>
      </c>
      <c r="T302" s="2" t="s">
        <v>68</v>
      </c>
      <c r="U302" s="2" t="s">
        <v>69</v>
      </c>
      <c r="V302" s="2" t="s">
        <v>28</v>
      </c>
      <c r="W302" s="2" t="s">
        <v>70</v>
      </c>
      <c r="X302" s="2" t="s">
        <v>71</v>
      </c>
      <c r="Y302" s="2">
        <v>2.6156836584365499</v>
      </c>
      <c r="Z302" s="2">
        <v>4.73719444444444</v>
      </c>
      <c r="AA302" s="2">
        <v>-74.069472222222203</v>
      </c>
      <c r="AB302" s="2">
        <v>2555</v>
      </c>
      <c r="AC302" s="2" t="s">
        <v>31</v>
      </c>
      <c r="AD302" s="2" t="s">
        <v>58</v>
      </c>
      <c r="AE302" s="2" t="s">
        <v>33</v>
      </c>
      <c r="AF302" s="2" t="s">
        <v>34</v>
      </c>
      <c r="AG302" s="2" t="s">
        <v>59</v>
      </c>
      <c r="AH302" s="2">
        <v>0.35805475857730901</v>
      </c>
      <c r="AI302" s="2">
        <v>2.7619380093851502</v>
      </c>
      <c r="AJ302" s="2">
        <v>0.98008029969992405</v>
      </c>
      <c r="AK302" s="2">
        <v>0.10923603980194201</v>
      </c>
      <c r="AL302" s="2">
        <v>0.22870688360819699</v>
      </c>
      <c r="AM302" s="2">
        <v>15.3</v>
      </c>
      <c r="AN302" s="2">
        <v>9.8000000000000007</v>
      </c>
      <c r="AO302" s="2">
        <v>29.7</v>
      </c>
      <c r="AP302" s="2">
        <v>564</v>
      </c>
      <c r="AQ302" s="2">
        <v>68</v>
      </c>
      <c r="AR302" s="2">
        <v>1.8</v>
      </c>
      <c r="AS302" s="2">
        <v>43</v>
      </c>
      <c r="AT302" s="2">
        <v>25.4</v>
      </c>
      <c r="AU302" s="2">
        <v>162</v>
      </c>
      <c r="AV302" s="2">
        <v>9.1</v>
      </c>
      <c r="AW302" s="2">
        <v>9.1999999999999993</v>
      </c>
      <c r="AX302" s="2">
        <v>18.3</v>
      </c>
      <c r="AY302" s="2">
        <v>0.34</v>
      </c>
      <c r="AZ302" s="2">
        <v>7.3</v>
      </c>
      <c r="BA302" s="2">
        <v>0.9</v>
      </c>
      <c r="BB302" s="2">
        <v>7.5</v>
      </c>
      <c r="BC302" s="2">
        <v>2.9</v>
      </c>
      <c r="BD302" s="2">
        <f>+AN302*EXP(-0.0495*Y302)</f>
        <v>8.6098426635398067</v>
      </c>
      <c r="BE302" s="2">
        <f>+AO302*EXP(-0.024*Y302)</f>
        <v>27.892857096602267</v>
      </c>
    </row>
    <row r="303" spans="1:57" x14ac:dyDescent="0.2">
      <c r="A303" s="2" t="s">
        <v>297</v>
      </c>
      <c r="B303" s="2" t="s">
        <v>19</v>
      </c>
      <c r="C303" s="2" t="s">
        <v>20</v>
      </c>
      <c r="D303" s="2" t="s">
        <v>21</v>
      </c>
      <c r="E303" s="2" t="s">
        <v>228</v>
      </c>
      <c r="F303" s="2">
        <v>5</v>
      </c>
      <c r="G303" s="2">
        <v>115</v>
      </c>
      <c r="H303" s="2">
        <v>3</v>
      </c>
      <c r="I303" s="2">
        <v>3</v>
      </c>
      <c r="J303" s="2">
        <v>2</v>
      </c>
      <c r="K303" s="2" t="s">
        <v>61</v>
      </c>
      <c r="L303" s="6" t="s">
        <v>113</v>
      </c>
      <c r="M303" s="5">
        <v>1000000000</v>
      </c>
      <c r="N303" s="2">
        <v>0</v>
      </c>
      <c r="O303" s="2">
        <v>4.7241234780000001</v>
      </c>
      <c r="P303" s="2">
        <v>-74.064826969999999</v>
      </c>
      <c r="Q303" s="2" t="s">
        <v>298</v>
      </c>
      <c r="R303" s="2">
        <v>8695652.1740000006</v>
      </c>
      <c r="S303" s="2">
        <v>0</v>
      </c>
      <c r="T303" s="2" t="s">
        <v>68</v>
      </c>
      <c r="U303" s="2" t="s">
        <v>69</v>
      </c>
      <c r="V303" s="2" t="s">
        <v>28</v>
      </c>
      <c r="W303" s="2" t="s">
        <v>70</v>
      </c>
      <c r="X303" s="2" t="s">
        <v>71</v>
      </c>
      <c r="Y303" s="2">
        <v>1.54361951533374</v>
      </c>
      <c r="Z303" s="2">
        <v>4.73719444444444</v>
      </c>
      <c r="AA303" s="2">
        <v>-74.069472222222203</v>
      </c>
      <c r="AB303" s="2">
        <v>2555</v>
      </c>
      <c r="AC303" s="2" t="s">
        <v>31</v>
      </c>
      <c r="AD303" s="2" t="s">
        <v>58</v>
      </c>
      <c r="AE303" s="2" t="s">
        <v>33</v>
      </c>
      <c r="AF303" s="2" t="s">
        <v>34</v>
      </c>
      <c r="AG303" s="2" t="s">
        <v>72</v>
      </c>
      <c r="AH303" s="2">
        <v>1.14051117039386</v>
      </c>
      <c r="AI303" s="2">
        <v>4.6018336875181598</v>
      </c>
      <c r="AJ303" s="2">
        <v>1.0861031008080599</v>
      </c>
      <c r="AK303" s="2">
        <v>9.0071917249842801E-2</v>
      </c>
      <c r="AL303" s="2">
        <v>0.469945526055288</v>
      </c>
      <c r="AM303" s="2">
        <v>15.3</v>
      </c>
      <c r="AN303" s="2">
        <v>9.8000000000000007</v>
      </c>
      <c r="AO303" s="2">
        <v>29.7</v>
      </c>
      <c r="AP303" s="2">
        <v>564</v>
      </c>
      <c r="AQ303" s="2">
        <v>68</v>
      </c>
      <c r="AR303" s="2">
        <v>1.8</v>
      </c>
      <c r="AS303" s="2">
        <v>43</v>
      </c>
      <c r="AT303" s="2">
        <v>25.4</v>
      </c>
      <c r="AU303" s="2">
        <v>162</v>
      </c>
      <c r="AV303" s="2">
        <v>9.1</v>
      </c>
      <c r="AW303" s="2">
        <v>9.1999999999999993</v>
      </c>
      <c r="AX303" s="2">
        <v>18.3</v>
      </c>
      <c r="AY303" s="2">
        <v>0.34</v>
      </c>
      <c r="AZ303" s="2">
        <v>7.3</v>
      </c>
      <c r="BA303" s="2">
        <v>0.9</v>
      </c>
      <c r="BB303" s="2">
        <v>7.5</v>
      </c>
      <c r="BC303" s="2">
        <v>2.9</v>
      </c>
      <c r="BD303" s="2">
        <f>+AN303*EXP(-0.0495*Y303)</f>
        <v>9.0790832119392562</v>
      </c>
      <c r="BE303" s="2">
        <f>+AO303*EXP(-0.024*Y303)</f>
        <v>28.619839823247382</v>
      </c>
    </row>
    <row r="304" spans="1:57" x14ac:dyDescent="0.2">
      <c r="A304" s="2" t="s">
        <v>768</v>
      </c>
      <c r="B304" s="2" t="s">
        <v>19</v>
      </c>
      <c r="C304" s="2" t="s">
        <v>20</v>
      </c>
      <c r="D304" s="2" t="s">
        <v>21</v>
      </c>
      <c r="E304" s="2" t="s">
        <v>769</v>
      </c>
      <c r="F304" s="2">
        <v>5</v>
      </c>
      <c r="G304" s="2">
        <v>115</v>
      </c>
      <c r="H304" s="2">
        <v>3</v>
      </c>
      <c r="I304" s="2">
        <v>3</v>
      </c>
      <c r="J304" s="2">
        <v>2</v>
      </c>
      <c r="K304" s="2" t="s">
        <v>61</v>
      </c>
      <c r="L304" s="6" t="s">
        <v>66</v>
      </c>
      <c r="M304" s="5">
        <v>690000000</v>
      </c>
      <c r="N304" s="2">
        <v>0</v>
      </c>
      <c r="O304" s="2">
        <v>4.7277240000000003</v>
      </c>
      <c r="P304" s="2">
        <v>-74.06317</v>
      </c>
      <c r="Q304" s="2" t="s">
        <v>770</v>
      </c>
      <c r="R304" s="2">
        <v>6000000</v>
      </c>
      <c r="S304" s="2">
        <v>0</v>
      </c>
      <c r="T304" s="2" t="s">
        <v>68</v>
      </c>
      <c r="U304" s="2" t="s">
        <v>69</v>
      </c>
      <c r="V304" s="2" t="s">
        <v>28</v>
      </c>
      <c r="W304" s="2" t="s">
        <v>70</v>
      </c>
      <c r="X304" s="2" t="s">
        <v>71</v>
      </c>
      <c r="Y304" s="2">
        <v>1.2650174318977201</v>
      </c>
      <c r="Z304" s="2">
        <v>4.73719444444444</v>
      </c>
      <c r="AA304" s="2">
        <v>-74.069472222222203</v>
      </c>
      <c r="AB304" s="2">
        <v>2555</v>
      </c>
      <c r="AC304" s="2" t="s">
        <v>31</v>
      </c>
      <c r="AD304" s="2" t="s">
        <v>58</v>
      </c>
      <c r="AE304" s="2" t="s">
        <v>33</v>
      </c>
      <c r="AF304" s="2" t="s">
        <v>34</v>
      </c>
      <c r="AG304" s="2" t="s">
        <v>72</v>
      </c>
      <c r="AH304" s="2">
        <v>1.2813055566457301</v>
      </c>
      <c r="AI304" s="2">
        <v>4.4803360270147197</v>
      </c>
      <c r="AJ304" s="2">
        <v>1.50985887116645</v>
      </c>
      <c r="AK304" s="2">
        <v>0.19279153344238001</v>
      </c>
      <c r="AL304" s="2">
        <v>0.31225498812343999</v>
      </c>
      <c r="AM304" s="2">
        <v>15.3</v>
      </c>
      <c r="AN304" s="2">
        <v>9.8000000000000007</v>
      </c>
      <c r="AO304" s="2">
        <v>29.7</v>
      </c>
      <c r="AP304" s="2">
        <v>564</v>
      </c>
      <c r="AQ304" s="2">
        <v>68</v>
      </c>
      <c r="AR304" s="2">
        <v>1.8</v>
      </c>
      <c r="AS304" s="2">
        <v>43</v>
      </c>
      <c r="AT304" s="2">
        <v>25.4</v>
      </c>
      <c r="AU304" s="2">
        <v>162</v>
      </c>
      <c r="AV304" s="2">
        <v>9.1</v>
      </c>
      <c r="AW304" s="2">
        <v>9.1999999999999993</v>
      </c>
      <c r="AX304" s="2">
        <v>18.3</v>
      </c>
      <c r="AY304" s="2">
        <v>0.34</v>
      </c>
      <c r="AZ304" s="2">
        <v>7.3</v>
      </c>
      <c r="BA304" s="2">
        <v>0.9</v>
      </c>
      <c r="BB304" s="2">
        <v>7.5</v>
      </c>
      <c r="BC304" s="2">
        <v>2.9</v>
      </c>
      <c r="BD304" s="2">
        <f>+AN304*EXP(-0.0495*Y304)</f>
        <v>9.2051584020389008</v>
      </c>
      <c r="BE304" s="2">
        <f>+AO304*EXP(-0.024*Y304)</f>
        <v>28.811846156316296</v>
      </c>
    </row>
    <row r="305" spans="1:57" x14ac:dyDescent="0.2">
      <c r="A305" s="2" t="s">
        <v>442</v>
      </c>
      <c r="B305" s="2" t="s">
        <v>19</v>
      </c>
      <c r="C305" s="2" t="s">
        <v>20</v>
      </c>
      <c r="D305" s="2" t="s">
        <v>21</v>
      </c>
      <c r="E305" s="2" t="s">
        <v>443</v>
      </c>
      <c r="F305" s="2">
        <v>4</v>
      </c>
      <c r="G305" s="2">
        <v>115</v>
      </c>
      <c r="H305" s="2">
        <v>3</v>
      </c>
      <c r="I305" s="2">
        <v>3</v>
      </c>
      <c r="J305" s="2">
        <v>1</v>
      </c>
      <c r="K305" s="2" t="s">
        <v>61</v>
      </c>
      <c r="L305" s="6" t="s">
        <v>113</v>
      </c>
      <c r="M305" s="5">
        <v>600000000</v>
      </c>
      <c r="N305" s="2">
        <v>0</v>
      </c>
      <c r="O305" s="2">
        <v>4.718364716</v>
      </c>
      <c r="P305" s="2">
        <v>-74.071014399999996</v>
      </c>
      <c r="Q305" s="2" t="s">
        <v>444</v>
      </c>
      <c r="R305" s="2">
        <v>5217391.3039999995</v>
      </c>
      <c r="S305" s="2">
        <v>0</v>
      </c>
      <c r="T305" s="2" t="s">
        <v>68</v>
      </c>
      <c r="U305" s="2" t="s">
        <v>69</v>
      </c>
      <c r="V305" s="2" t="s">
        <v>28</v>
      </c>
      <c r="W305" s="2" t="s">
        <v>70</v>
      </c>
      <c r="X305" s="2" t="s">
        <v>71</v>
      </c>
      <c r="Y305" s="2">
        <v>2.1030866061918498</v>
      </c>
      <c r="Z305" s="2">
        <v>4.73719444444444</v>
      </c>
      <c r="AA305" s="2">
        <v>-74.069472222222203</v>
      </c>
      <c r="AB305" s="2">
        <v>2555</v>
      </c>
      <c r="AC305" s="2" t="s">
        <v>31</v>
      </c>
      <c r="AD305" s="2" t="s">
        <v>58</v>
      </c>
      <c r="AE305" s="2" t="s">
        <v>33</v>
      </c>
      <c r="AF305" s="2" t="s">
        <v>34</v>
      </c>
      <c r="AG305" s="2" t="s">
        <v>72</v>
      </c>
      <c r="AH305" s="2">
        <v>0.52050816749897399</v>
      </c>
      <c r="AI305" s="2">
        <v>5.1761518074012098</v>
      </c>
      <c r="AJ305" s="2">
        <v>0.173048897326393</v>
      </c>
      <c r="AK305" s="2">
        <v>3.65518872618169E-2</v>
      </c>
      <c r="AL305" s="2">
        <v>5.9970801025897399E-2</v>
      </c>
      <c r="AM305" s="2">
        <v>15.3</v>
      </c>
      <c r="AN305" s="2">
        <v>9.8000000000000007</v>
      </c>
      <c r="AO305" s="2">
        <v>29.7</v>
      </c>
      <c r="AP305" s="2">
        <v>564</v>
      </c>
      <c r="AQ305" s="2">
        <v>68</v>
      </c>
      <c r="AR305" s="2">
        <v>1.8</v>
      </c>
      <c r="AS305" s="2">
        <v>43</v>
      </c>
      <c r="AT305" s="2">
        <v>25.4</v>
      </c>
      <c r="AU305" s="2">
        <v>162</v>
      </c>
      <c r="AV305" s="2">
        <v>9.1</v>
      </c>
      <c r="AW305" s="2">
        <v>9.1999999999999993</v>
      </c>
      <c r="AX305" s="2">
        <v>18.3</v>
      </c>
      <c r="AY305" s="2">
        <v>0.34</v>
      </c>
      <c r="AZ305" s="2">
        <v>7.3</v>
      </c>
      <c r="BA305" s="2">
        <v>0.9</v>
      </c>
      <c r="BB305" s="2">
        <v>7.5</v>
      </c>
      <c r="BC305" s="2">
        <v>2.9</v>
      </c>
      <c r="BD305" s="2">
        <f>+AN305*EXP(-0.0495*Y305)</f>
        <v>8.8311001457271274</v>
      </c>
      <c r="BE305" s="2">
        <f>+AO305*EXP(-0.024*Y305)</f>
        <v>28.238123645230861</v>
      </c>
    </row>
    <row r="306" spans="1:57" x14ac:dyDescent="0.2">
      <c r="A306" s="2" t="s">
        <v>2041</v>
      </c>
      <c r="B306" s="2" t="s">
        <v>19</v>
      </c>
      <c r="C306" s="2" t="s">
        <v>1907</v>
      </c>
      <c r="D306" s="2" t="s">
        <v>21</v>
      </c>
      <c r="E306" s="2" t="s">
        <v>496</v>
      </c>
      <c r="F306" s="2">
        <v>4</v>
      </c>
      <c r="G306" s="2">
        <v>114</v>
      </c>
      <c r="H306" s="2">
        <v>3</v>
      </c>
      <c r="I306" s="2">
        <v>3</v>
      </c>
      <c r="J306" s="2">
        <v>2</v>
      </c>
      <c r="K306" s="2" t="s">
        <v>61</v>
      </c>
      <c r="L306" s="6" t="s">
        <v>75</v>
      </c>
      <c r="M306" s="5">
        <v>630000000</v>
      </c>
      <c r="N306" s="2">
        <v>0</v>
      </c>
      <c r="O306" s="2">
        <v>4.7380136999999998</v>
      </c>
      <c r="P306" s="2">
        <v>-74.059814000000003</v>
      </c>
      <c r="Q306" s="2" t="s">
        <v>2042</v>
      </c>
      <c r="R306" s="2">
        <v>5526315.7889999999</v>
      </c>
      <c r="S306" s="2">
        <v>0</v>
      </c>
      <c r="T306" s="2" t="s">
        <v>68</v>
      </c>
      <c r="U306" s="2" t="s">
        <v>69</v>
      </c>
      <c r="V306" s="2" t="s">
        <v>28</v>
      </c>
      <c r="W306" s="2" t="s">
        <v>70</v>
      </c>
      <c r="X306" s="2" t="s">
        <v>71</v>
      </c>
      <c r="Y306" s="2">
        <v>1.0753492459899401</v>
      </c>
      <c r="Z306" s="2">
        <v>4.73719444444444</v>
      </c>
      <c r="AA306" s="2">
        <v>-74.069472222222203</v>
      </c>
      <c r="AB306" s="2">
        <v>2555</v>
      </c>
      <c r="AC306" s="2" t="s">
        <v>31</v>
      </c>
      <c r="AD306" s="2" t="s">
        <v>58</v>
      </c>
      <c r="AE306" s="2" t="s">
        <v>33</v>
      </c>
      <c r="AF306" s="2" t="s">
        <v>34</v>
      </c>
      <c r="AG306" s="2" t="s">
        <v>72</v>
      </c>
      <c r="AH306" s="2">
        <v>1.2334038097323099</v>
      </c>
      <c r="AI306" s="2">
        <v>4.2341997985238304</v>
      </c>
      <c r="AJ306" s="2">
        <v>1.8364402929513</v>
      </c>
      <c r="AK306" s="2">
        <v>0.36600147581884701</v>
      </c>
      <c r="AL306" s="2">
        <v>0.207304118128393</v>
      </c>
      <c r="AM306" s="2">
        <v>15.3</v>
      </c>
      <c r="AN306" s="2">
        <v>9.8000000000000007</v>
      </c>
      <c r="AO306" s="2">
        <v>29.7</v>
      </c>
      <c r="AP306" s="2">
        <v>564</v>
      </c>
      <c r="AQ306" s="2">
        <v>68</v>
      </c>
      <c r="AR306" s="2">
        <v>1.8</v>
      </c>
      <c r="AS306" s="2">
        <v>43</v>
      </c>
      <c r="AT306" s="2">
        <v>25.4</v>
      </c>
      <c r="AU306" s="2">
        <v>162</v>
      </c>
      <c r="AV306" s="2">
        <v>9.1</v>
      </c>
      <c r="AW306" s="2">
        <v>9.1999999999999993</v>
      </c>
      <c r="AX306" s="2">
        <v>18.3</v>
      </c>
      <c r="AY306" s="2">
        <v>0.34</v>
      </c>
      <c r="AZ306" s="2">
        <v>7.3</v>
      </c>
      <c r="BA306" s="2">
        <v>0.9</v>
      </c>
      <c r="BB306" s="2">
        <v>7.5</v>
      </c>
      <c r="BC306" s="2">
        <v>2.9</v>
      </c>
      <c r="BD306" s="2">
        <f>+AN306*EXP(-0.0495*Y306)</f>
        <v>9.2919886924964583</v>
      </c>
      <c r="BE306" s="2">
        <f>+AO306*EXP(-0.024*Y306)</f>
        <v>28.943297689653342</v>
      </c>
    </row>
    <row r="307" spans="1:57" x14ac:dyDescent="0.2">
      <c r="A307" s="2" t="s">
        <v>2146</v>
      </c>
      <c r="B307" s="2" t="s">
        <v>19</v>
      </c>
      <c r="C307" s="2" t="s">
        <v>1907</v>
      </c>
      <c r="D307" s="2" t="s">
        <v>21</v>
      </c>
      <c r="E307" s="2" t="s">
        <v>1308</v>
      </c>
      <c r="F307" s="2">
        <v>4</v>
      </c>
      <c r="G307" s="2">
        <v>112</v>
      </c>
      <c r="H307" s="2">
        <v>3</v>
      </c>
      <c r="I307" s="2">
        <v>3</v>
      </c>
      <c r="J307" s="2">
        <v>2</v>
      </c>
      <c r="K307" s="2" t="s">
        <v>61</v>
      </c>
      <c r="L307" s="6" t="s">
        <v>75</v>
      </c>
      <c r="M307" s="5">
        <v>680000000</v>
      </c>
      <c r="N307" s="2">
        <v>0</v>
      </c>
      <c r="O307" s="2">
        <v>4.7632937430000002</v>
      </c>
      <c r="P307" s="2">
        <v>-74.048919679999997</v>
      </c>
      <c r="Q307" s="2" t="s">
        <v>2147</v>
      </c>
      <c r="R307" s="2">
        <v>6071428.5710000005</v>
      </c>
      <c r="S307" s="2">
        <v>0</v>
      </c>
      <c r="T307" s="2" t="s">
        <v>102</v>
      </c>
      <c r="U307" s="2" t="s">
        <v>103</v>
      </c>
      <c r="V307" s="2" t="s">
        <v>28</v>
      </c>
      <c r="W307" s="2" t="s">
        <v>70</v>
      </c>
      <c r="X307" s="2" t="s">
        <v>104</v>
      </c>
      <c r="Y307" s="2">
        <v>2.33812309624077</v>
      </c>
      <c r="Z307" s="2">
        <v>4.7837500000000004</v>
      </c>
      <c r="AA307" s="2">
        <v>-74.044138888888895</v>
      </c>
      <c r="AB307" s="2">
        <v>2580</v>
      </c>
      <c r="AC307" s="2" t="s">
        <v>105</v>
      </c>
      <c r="AD307" s="2" t="s">
        <v>58</v>
      </c>
      <c r="AE307" s="2" t="s">
        <v>33</v>
      </c>
      <c r="AF307" s="2" t="s">
        <v>34</v>
      </c>
      <c r="AG307" s="2" t="s">
        <v>72</v>
      </c>
      <c r="AH307" s="2">
        <v>0.49626211353866501</v>
      </c>
      <c r="AI307" s="2">
        <v>2.9139163674428401</v>
      </c>
      <c r="AJ307" s="2">
        <v>1.2079071586039301</v>
      </c>
      <c r="AK307" s="2">
        <v>0.25527909122923997</v>
      </c>
      <c r="AL307" s="2">
        <v>4.38584846815454E-2</v>
      </c>
      <c r="AM307" s="2">
        <v>15.3</v>
      </c>
      <c r="AN307" s="2">
        <v>9.8000000000000007</v>
      </c>
      <c r="AO307" s="2">
        <v>29.7</v>
      </c>
      <c r="AP307" s="2">
        <v>564</v>
      </c>
      <c r="AQ307" s="2">
        <v>68</v>
      </c>
      <c r="AR307" s="2">
        <v>1.8</v>
      </c>
      <c r="AS307" s="2">
        <v>43</v>
      </c>
      <c r="AT307" s="2">
        <v>25.4</v>
      </c>
      <c r="AU307" s="2">
        <v>162</v>
      </c>
      <c r="AV307" s="2">
        <v>9.1</v>
      </c>
      <c r="AW307" s="2">
        <v>9.1999999999999993</v>
      </c>
      <c r="AX307" s="2">
        <v>18.3</v>
      </c>
      <c r="AY307" s="2">
        <v>0.34</v>
      </c>
      <c r="AZ307" s="2">
        <v>7.3</v>
      </c>
      <c r="BA307" s="2">
        <v>0.9</v>
      </c>
      <c r="BB307" s="2">
        <v>7.5</v>
      </c>
      <c r="BC307" s="2">
        <v>2.9</v>
      </c>
      <c r="BD307" s="2">
        <f>+AN307*EXP(-0.0495*Y307)</f>
        <v>8.7289517868930115</v>
      </c>
      <c r="BE307" s="2">
        <f>+AO307*EXP(-0.024*Y307)</f>
        <v>28.079284315663323</v>
      </c>
    </row>
    <row r="308" spans="1:57" x14ac:dyDescent="0.2">
      <c r="A308" s="2" t="s">
        <v>3184</v>
      </c>
      <c r="B308" s="2" t="s">
        <v>19</v>
      </c>
      <c r="C308" s="2" t="s">
        <v>1907</v>
      </c>
      <c r="D308" s="2" t="s">
        <v>21</v>
      </c>
      <c r="E308" s="2" t="s">
        <v>1407</v>
      </c>
      <c r="F308" s="2">
        <v>4</v>
      </c>
      <c r="G308" s="2">
        <v>110</v>
      </c>
      <c r="H308" s="2">
        <v>4</v>
      </c>
      <c r="I308" s="2">
        <v>3</v>
      </c>
      <c r="J308" s="2">
        <v>1</v>
      </c>
      <c r="K308" s="2" t="s">
        <v>61</v>
      </c>
      <c r="L308" s="6" t="s">
        <v>113</v>
      </c>
      <c r="M308" s="5">
        <v>460000000</v>
      </c>
      <c r="N308" s="2">
        <v>0</v>
      </c>
      <c r="O308" s="2">
        <v>4.7652878760000004</v>
      </c>
      <c r="P308" s="2">
        <v>-74.050285340000002</v>
      </c>
      <c r="Q308" s="2" t="s">
        <v>3185</v>
      </c>
      <c r="R308" s="2">
        <v>4181818.182</v>
      </c>
      <c r="S308" s="2">
        <v>0</v>
      </c>
      <c r="T308" s="2" t="s">
        <v>102</v>
      </c>
      <c r="U308" s="2" t="s">
        <v>103</v>
      </c>
      <c r="V308" s="2" t="s">
        <v>28</v>
      </c>
      <c r="W308" s="2" t="s">
        <v>70</v>
      </c>
      <c r="X308" s="2" t="s">
        <v>104</v>
      </c>
      <c r="Y308" s="2">
        <v>2.16534909931468</v>
      </c>
      <c r="Z308" s="2">
        <v>4.7837500000000004</v>
      </c>
      <c r="AA308" s="2">
        <v>-74.044138888888895</v>
      </c>
      <c r="AB308" s="2">
        <v>2580</v>
      </c>
      <c r="AC308" s="2" t="s">
        <v>105</v>
      </c>
      <c r="AD308" s="2" t="s">
        <v>58</v>
      </c>
      <c r="AE308" s="2" t="s">
        <v>33</v>
      </c>
      <c r="AF308" s="2" t="s">
        <v>34</v>
      </c>
      <c r="AG308" s="2" t="s">
        <v>72</v>
      </c>
      <c r="AH308" s="2">
        <v>0.68260376475046103</v>
      </c>
      <c r="AI308" s="2">
        <v>3.0399085384631599</v>
      </c>
      <c r="AJ308" s="2">
        <v>1.3637219423884701</v>
      </c>
      <c r="AK308" s="2">
        <v>0.451246149521281</v>
      </c>
      <c r="AL308" s="2">
        <v>0.15149722617855199</v>
      </c>
      <c r="AM308" s="2">
        <v>15.3</v>
      </c>
      <c r="AN308" s="2">
        <v>9.8000000000000007</v>
      </c>
      <c r="AO308" s="2">
        <v>29.7</v>
      </c>
      <c r="AP308" s="2">
        <v>564</v>
      </c>
      <c r="AQ308" s="2">
        <v>68</v>
      </c>
      <c r="AR308" s="2">
        <v>1.8</v>
      </c>
      <c r="AS308" s="2">
        <v>43</v>
      </c>
      <c r="AT308" s="2">
        <v>25.4</v>
      </c>
      <c r="AU308" s="2">
        <v>162</v>
      </c>
      <c r="AV308" s="2">
        <v>9.1</v>
      </c>
      <c r="AW308" s="2">
        <v>9.1999999999999993</v>
      </c>
      <c r="AX308" s="2">
        <v>18.3</v>
      </c>
      <c r="AY308" s="2">
        <v>0.34</v>
      </c>
      <c r="AZ308" s="2">
        <v>7.3</v>
      </c>
      <c r="BA308" s="2">
        <v>0.9</v>
      </c>
      <c r="BB308" s="2">
        <v>7.5</v>
      </c>
      <c r="BC308" s="2">
        <v>2.9</v>
      </c>
      <c r="BD308" s="2">
        <f>+AN308*EXP(-0.0495*Y308)</f>
        <v>8.8039246521356773</v>
      </c>
      <c r="BE308" s="2">
        <f>+AO308*EXP(-0.024*Y308)</f>
        <v>28.195958932935778</v>
      </c>
    </row>
    <row r="309" spans="1:57" x14ac:dyDescent="0.2">
      <c r="A309" s="2" t="s">
        <v>2686</v>
      </c>
      <c r="B309" s="2" t="s">
        <v>19</v>
      </c>
      <c r="C309" s="2" t="s">
        <v>1907</v>
      </c>
      <c r="D309" s="2" t="s">
        <v>21</v>
      </c>
      <c r="E309" s="2" t="s">
        <v>1475</v>
      </c>
      <c r="F309" s="2">
        <v>3</v>
      </c>
      <c r="G309" s="2">
        <v>110</v>
      </c>
      <c r="H309" s="2">
        <v>4</v>
      </c>
      <c r="I309" s="2">
        <v>3</v>
      </c>
      <c r="J309" s="2">
        <v>1</v>
      </c>
      <c r="K309" s="2" t="s">
        <v>61</v>
      </c>
      <c r="L309" s="6" t="s">
        <v>113</v>
      </c>
      <c r="M309" s="5">
        <v>460000000</v>
      </c>
      <c r="N309" s="2">
        <v>0</v>
      </c>
      <c r="O309" s="2">
        <v>4.7479810709999999</v>
      </c>
      <c r="P309" s="2">
        <v>-74.061775209999993</v>
      </c>
      <c r="Q309" s="2" t="s">
        <v>2687</v>
      </c>
      <c r="R309" s="2">
        <v>4181818.182</v>
      </c>
      <c r="S309" s="2">
        <v>0</v>
      </c>
      <c r="T309" s="2" t="s">
        <v>68</v>
      </c>
      <c r="U309" s="2" t="s">
        <v>69</v>
      </c>
      <c r="V309" s="2" t="s">
        <v>28</v>
      </c>
      <c r="W309" s="2" t="s">
        <v>70</v>
      </c>
      <c r="X309" s="2" t="s">
        <v>71</v>
      </c>
      <c r="Y309" s="2">
        <v>1.47341901702119</v>
      </c>
      <c r="Z309" s="2">
        <v>4.73719444444444</v>
      </c>
      <c r="AA309" s="2">
        <v>-74.069472222222203</v>
      </c>
      <c r="AB309" s="2">
        <v>2555</v>
      </c>
      <c r="AC309" s="2" t="s">
        <v>31</v>
      </c>
      <c r="AD309" s="2" t="s">
        <v>58</v>
      </c>
      <c r="AE309" s="2" t="s">
        <v>33</v>
      </c>
      <c r="AF309" s="2" t="s">
        <v>34</v>
      </c>
      <c r="AG309" s="2" t="s">
        <v>72</v>
      </c>
      <c r="AH309" s="2">
        <v>1.6220657170728401</v>
      </c>
      <c r="AI309" s="2">
        <v>4.5226068265126704</v>
      </c>
      <c r="AJ309" s="2">
        <v>1.0941175760601001</v>
      </c>
      <c r="AK309" s="2">
        <v>0.269441543783773</v>
      </c>
      <c r="AL309" s="2">
        <v>4.98175666957772E-2</v>
      </c>
      <c r="AM309" s="2">
        <v>15.3</v>
      </c>
      <c r="AN309" s="2">
        <v>9.8000000000000007</v>
      </c>
      <c r="AO309" s="2">
        <v>29.7</v>
      </c>
      <c r="AP309" s="2">
        <v>564</v>
      </c>
      <c r="AQ309" s="2">
        <v>68</v>
      </c>
      <c r="AR309" s="2">
        <v>1.8</v>
      </c>
      <c r="AS309" s="2">
        <v>43</v>
      </c>
      <c r="AT309" s="2">
        <v>25.4</v>
      </c>
      <c r="AU309" s="2">
        <v>162</v>
      </c>
      <c r="AV309" s="2">
        <v>9.1</v>
      </c>
      <c r="AW309" s="2">
        <v>9.1999999999999993</v>
      </c>
      <c r="AX309" s="2">
        <v>18.3</v>
      </c>
      <c r="AY309" s="2">
        <v>0.34</v>
      </c>
      <c r="AZ309" s="2">
        <v>7.3</v>
      </c>
      <c r="BA309" s="2">
        <v>0.9</v>
      </c>
      <c r="BB309" s="2">
        <v>7.5</v>
      </c>
      <c r="BC309" s="2">
        <v>2.9</v>
      </c>
      <c r="BD309" s="2">
        <f>+AN309*EXP(-0.0495*Y309)</f>
        <v>9.1106872211150964</v>
      </c>
      <c r="BE309" s="2">
        <f>+AO309*EXP(-0.024*Y309)</f>
        <v>28.668099514497293</v>
      </c>
    </row>
    <row r="310" spans="1:57" x14ac:dyDescent="0.2">
      <c r="A310" s="2" t="s">
        <v>2846</v>
      </c>
      <c r="B310" s="2" t="s">
        <v>19</v>
      </c>
      <c r="C310" s="2" t="s">
        <v>1907</v>
      </c>
      <c r="D310" s="2" t="s">
        <v>21</v>
      </c>
      <c r="E310" s="2" t="s">
        <v>1383</v>
      </c>
      <c r="F310" s="2">
        <v>3</v>
      </c>
      <c r="G310" s="2">
        <v>110</v>
      </c>
      <c r="H310" s="2">
        <v>3</v>
      </c>
      <c r="I310" s="2">
        <v>3</v>
      </c>
      <c r="J310" s="2">
        <v>1</v>
      </c>
      <c r="K310" s="2" t="s">
        <v>61</v>
      </c>
      <c r="L310" s="6" t="s">
        <v>113</v>
      </c>
      <c r="M310" s="5">
        <v>437000000</v>
      </c>
      <c r="N310" s="2">
        <v>0</v>
      </c>
      <c r="O310" s="2">
        <v>4.7613583000000004</v>
      </c>
      <c r="P310" s="2">
        <v>-74.042366000000001</v>
      </c>
      <c r="Q310" s="2" t="s">
        <v>2847</v>
      </c>
      <c r="R310" s="2">
        <v>3972727.273</v>
      </c>
      <c r="S310" s="2">
        <v>0</v>
      </c>
      <c r="T310" s="2" t="s">
        <v>102</v>
      </c>
      <c r="U310" s="2" t="s">
        <v>103</v>
      </c>
      <c r="V310" s="2" t="s">
        <v>28</v>
      </c>
      <c r="W310" s="2" t="s">
        <v>70</v>
      </c>
      <c r="X310" s="2" t="s">
        <v>104</v>
      </c>
      <c r="Y310" s="2">
        <v>2.5003795081062101</v>
      </c>
      <c r="Z310" s="2">
        <v>4.7837500000000004</v>
      </c>
      <c r="AA310" s="2">
        <v>-74.044138888888895</v>
      </c>
      <c r="AB310" s="2">
        <v>2580</v>
      </c>
      <c r="AC310" s="2" t="s">
        <v>105</v>
      </c>
      <c r="AD310" s="2" t="s">
        <v>58</v>
      </c>
      <c r="AE310" s="2" t="s">
        <v>33</v>
      </c>
      <c r="AF310" s="2" t="s">
        <v>34</v>
      </c>
      <c r="AG310" s="2" t="s">
        <v>59</v>
      </c>
      <c r="AH310" s="2">
        <v>0.317577514327469</v>
      </c>
      <c r="AI310" s="2">
        <v>2.2212550861223299</v>
      </c>
      <c r="AJ310" s="2">
        <v>1.5172590436075399</v>
      </c>
      <c r="AK310" s="2">
        <v>0.45891722218367598</v>
      </c>
      <c r="AL310" s="2">
        <v>0.190584394840215</v>
      </c>
      <c r="AM310" s="2">
        <v>15.3</v>
      </c>
      <c r="AN310" s="2">
        <v>9.8000000000000007</v>
      </c>
      <c r="AO310" s="2">
        <v>29.7</v>
      </c>
      <c r="AP310" s="2">
        <v>564</v>
      </c>
      <c r="AQ310" s="2">
        <v>68</v>
      </c>
      <c r="AR310" s="2">
        <v>1.8</v>
      </c>
      <c r="AS310" s="2">
        <v>43</v>
      </c>
      <c r="AT310" s="2">
        <v>25.4</v>
      </c>
      <c r="AU310" s="2">
        <v>162</v>
      </c>
      <c r="AV310" s="2">
        <v>9.1</v>
      </c>
      <c r="AW310" s="2">
        <v>9.1999999999999993</v>
      </c>
      <c r="AX310" s="2">
        <v>18.3</v>
      </c>
      <c r="AY310" s="2">
        <v>0.34</v>
      </c>
      <c r="AZ310" s="2">
        <v>7.3</v>
      </c>
      <c r="BA310" s="2">
        <v>0.9</v>
      </c>
      <c r="BB310" s="2">
        <v>7.5</v>
      </c>
      <c r="BC310" s="2">
        <v>2.9</v>
      </c>
      <c r="BD310" s="2">
        <f>+AN310*EXP(-0.0495*Y310)</f>
        <v>8.6591243230011035</v>
      </c>
      <c r="BE310" s="2">
        <f>+AO310*EXP(-0.024*Y310)</f>
        <v>27.970151888707022</v>
      </c>
    </row>
    <row r="311" spans="1:57" x14ac:dyDescent="0.2">
      <c r="A311" s="2" t="s">
        <v>401</v>
      </c>
      <c r="B311" s="2" t="s">
        <v>19</v>
      </c>
      <c r="C311" s="2" t="s">
        <v>20</v>
      </c>
      <c r="D311" s="2" t="s">
        <v>21</v>
      </c>
      <c r="E311" s="2" t="s">
        <v>116</v>
      </c>
      <c r="F311" s="2">
        <v>4</v>
      </c>
      <c r="G311" s="2">
        <v>108.48</v>
      </c>
      <c r="H311" s="2">
        <v>3</v>
      </c>
      <c r="I311" s="2">
        <v>2</v>
      </c>
      <c r="J311" s="2">
        <v>2</v>
      </c>
      <c r="K311" s="2" t="s">
        <v>61</v>
      </c>
      <c r="L311" s="6" t="s">
        <v>62</v>
      </c>
      <c r="M311" s="5">
        <v>900000000</v>
      </c>
      <c r="N311" s="2">
        <v>0</v>
      </c>
      <c r="O311" s="2">
        <v>4.7559533119999999</v>
      </c>
      <c r="P311" s="2">
        <v>-74.049507140000003</v>
      </c>
      <c r="Q311" s="2" t="s">
        <v>402</v>
      </c>
      <c r="R311" s="2">
        <v>8296460.1770000001</v>
      </c>
      <c r="S311" s="2">
        <v>0</v>
      </c>
      <c r="T311" s="2" t="s">
        <v>68</v>
      </c>
      <c r="U311" s="2" t="s">
        <v>69</v>
      </c>
      <c r="V311" s="2" t="s">
        <v>28</v>
      </c>
      <c r="W311" s="2" t="s">
        <v>70</v>
      </c>
      <c r="X311" s="2" t="s">
        <v>71</v>
      </c>
      <c r="Y311" s="2">
        <v>3.0440746547633699</v>
      </c>
      <c r="Z311" s="2">
        <v>4.73719444444444</v>
      </c>
      <c r="AA311" s="2">
        <v>-74.069472222222203</v>
      </c>
      <c r="AB311" s="2">
        <v>2555</v>
      </c>
      <c r="AC311" s="2" t="s">
        <v>31</v>
      </c>
      <c r="AD311" s="2" t="s">
        <v>58</v>
      </c>
      <c r="AE311" s="2" t="s">
        <v>33</v>
      </c>
      <c r="AF311" s="2" t="s">
        <v>34</v>
      </c>
      <c r="AG311" s="2" t="s">
        <v>72</v>
      </c>
      <c r="AH311" s="2">
        <v>0.41107564142481401</v>
      </c>
      <c r="AI311" s="2">
        <v>3.0520486571182999</v>
      </c>
      <c r="AJ311" s="2">
        <v>0.52645258317389698</v>
      </c>
      <c r="AK311" s="2">
        <v>0.31286672646119001</v>
      </c>
      <c r="AL311" s="2">
        <v>6.06627760668869E-2</v>
      </c>
      <c r="AM311" s="2">
        <v>15.3</v>
      </c>
      <c r="AN311" s="2">
        <v>9.8000000000000007</v>
      </c>
      <c r="AO311" s="2">
        <v>29.7</v>
      </c>
      <c r="AP311" s="2">
        <v>564</v>
      </c>
      <c r="AQ311" s="2">
        <v>68</v>
      </c>
      <c r="AR311" s="2">
        <v>1.8</v>
      </c>
      <c r="AS311" s="2">
        <v>43</v>
      </c>
      <c r="AT311" s="2">
        <v>25.4</v>
      </c>
      <c r="AU311" s="2">
        <v>162</v>
      </c>
      <c r="AV311" s="2">
        <v>9.1</v>
      </c>
      <c r="AW311" s="2">
        <v>9.1999999999999993</v>
      </c>
      <c r="AX311" s="2">
        <v>18.3</v>
      </c>
      <c r="AY311" s="2">
        <v>0.34</v>
      </c>
      <c r="AZ311" s="2">
        <v>7.3</v>
      </c>
      <c r="BA311" s="2">
        <v>0.9</v>
      </c>
      <c r="BB311" s="2">
        <v>7.5</v>
      </c>
      <c r="BC311" s="2">
        <v>2.9</v>
      </c>
      <c r="BD311" s="2">
        <f>+AN311*EXP(-0.0495*Y311)</f>
        <v>8.4291900697745312</v>
      </c>
      <c r="BE311" s="2">
        <f>+AO311*EXP(-0.024*Y311)</f>
        <v>27.607549118070441</v>
      </c>
    </row>
    <row r="312" spans="1:57" x14ac:dyDescent="0.2">
      <c r="A312" s="2" t="s">
        <v>2138</v>
      </c>
      <c r="B312" s="2" t="s">
        <v>19</v>
      </c>
      <c r="C312" s="2" t="s">
        <v>1907</v>
      </c>
      <c r="D312" s="2" t="s">
        <v>21</v>
      </c>
      <c r="E312" s="2" t="s">
        <v>1377</v>
      </c>
      <c r="F312" s="2">
        <v>4</v>
      </c>
      <c r="G312" s="2">
        <v>107.34</v>
      </c>
      <c r="H312" s="2">
        <v>3</v>
      </c>
      <c r="I312" s="2">
        <v>3</v>
      </c>
      <c r="J312" s="2">
        <v>1</v>
      </c>
      <c r="K312" s="2" t="s">
        <v>61</v>
      </c>
      <c r="L312" s="6" t="s">
        <v>75</v>
      </c>
      <c r="M312" s="5">
        <v>529900000</v>
      </c>
      <c r="N312" s="2">
        <v>0</v>
      </c>
      <c r="O312" s="2">
        <v>4.7550964359999996</v>
      </c>
      <c r="P312" s="2">
        <v>-74.039031980000004</v>
      </c>
      <c r="Q312" s="2" t="s">
        <v>2139</v>
      </c>
      <c r="R312" s="2">
        <v>4936649.898</v>
      </c>
      <c r="S312" s="2">
        <v>0</v>
      </c>
      <c r="T312" s="2" t="s">
        <v>102</v>
      </c>
      <c r="U312" s="2" t="s">
        <v>103</v>
      </c>
      <c r="V312" s="2" t="s">
        <v>28</v>
      </c>
      <c r="W312" s="2" t="s">
        <v>70</v>
      </c>
      <c r="X312" s="2" t="s">
        <v>104</v>
      </c>
      <c r="Y312" s="2">
        <v>3.23962085816436</v>
      </c>
      <c r="Z312" s="2">
        <v>4.7837500000000004</v>
      </c>
      <c r="AA312" s="2">
        <v>-74.044138888888895</v>
      </c>
      <c r="AB312" s="2">
        <v>2580</v>
      </c>
      <c r="AC312" s="2" t="s">
        <v>105</v>
      </c>
      <c r="AD312" s="2" t="s">
        <v>58</v>
      </c>
      <c r="AE312" s="2" t="s">
        <v>33</v>
      </c>
      <c r="AF312" s="2" t="s">
        <v>34</v>
      </c>
      <c r="AG312" s="2" t="s">
        <v>59</v>
      </c>
      <c r="AH312" s="2">
        <v>0.77924381426200495</v>
      </c>
      <c r="AI312" s="2">
        <v>1.9007190019493501</v>
      </c>
      <c r="AJ312" s="2">
        <v>1.04174058207683</v>
      </c>
      <c r="AK312" s="2">
        <v>0.71465381776108095</v>
      </c>
      <c r="AL312" s="2">
        <v>1.96965548072663E-2</v>
      </c>
      <c r="AM312" s="2">
        <v>15.3</v>
      </c>
      <c r="AN312" s="2">
        <v>9.8000000000000007</v>
      </c>
      <c r="AO312" s="2">
        <v>29.7</v>
      </c>
      <c r="AP312" s="2">
        <v>564</v>
      </c>
      <c r="AQ312" s="2">
        <v>68</v>
      </c>
      <c r="AR312" s="2">
        <v>1.8</v>
      </c>
      <c r="AS312" s="2">
        <v>43</v>
      </c>
      <c r="AT312" s="2">
        <v>25.4</v>
      </c>
      <c r="AU312" s="2">
        <v>162</v>
      </c>
      <c r="AV312" s="2">
        <v>9.1</v>
      </c>
      <c r="AW312" s="2">
        <v>9.1999999999999993</v>
      </c>
      <c r="AX312" s="2">
        <v>18.3</v>
      </c>
      <c r="AY312" s="2">
        <v>0.34</v>
      </c>
      <c r="AZ312" s="2">
        <v>7.3</v>
      </c>
      <c r="BA312" s="2">
        <v>0.9</v>
      </c>
      <c r="BB312" s="2">
        <v>7.5</v>
      </c>
      <c r="BC312" s="2">
        <v>2.9</v>
      </c>
      <c r="BD312" s="2">
        <f>+AN312*EXP(-0.0495*Y312)</f>
        <v>8.3479930209282944</v>
      </c>
      <c r="BE312" s="2">
        <f>+AO312*EXP(-0.024*Y312)</f>
        <v>27.478287440918976</v>
      </c>
    </row>
    <row r="313" spans="1:57" x14ac:dyDescent="0.2">
      <c r="A313" s="2" t="s">
        <v>1860</v>
      </c>
      <c r="B313" s="2" t="s">
        <v>19</v>
      </c>
      <c r="C313" s="2" t="s">
        <v>20</v>
      </c>
      <c r="D313" s="2" t="s">
        <v>21</v>
      </c>
      <c r="E313" s="2" t="s">
        <v>65</v>
      </c>
      <c r="F313" s="2">
        <v>6</v>
      </c>
      <c r="G313" s="2">
        <v>107</v>
      </c>
      <c r="H313" s="2">
        <v>2</v>
      </c>
      <c r="I313" s="2">
        <v>3</v>
      </c>
      <c r="J313" s="2">
        <v>2</v>
      </c>
      <c r="K313" s="2" t="s">
        <v>61</v>
      </c>
      <c r="L313" s="6" t="s">
        <v>84</v>
      </c>
      <c r="M313" s="5">
        <v>1550000000</v>
      </c>
      <c r="N313" s="2">
        <v>0</v>
      </c>
      <c r="O313" s="2">
        <v>4.7187747959999999</v>
      </c>
      <c r="P313" s="2">
        <v>-74.074439999999996</v>
      </c>
      <c r="Q313" s="2" t="s">
        <v>1861</v>
      </c>
      <c r="R313" s="2">
        <v>14485981.310000001</v>
      </c>
      <c r="S313" s="2">
        <v>0</v>
      </c>
      <c r="T313" s="2" t="s">
        <v>68</v>
      </c>
      <c r="U313" s="2" t="s">
        <v>69</v>
      </c>
      <c r="V313" s="2" t="s">
        <v>28</v>
      </c>
      <c r="W313" s="2" t="s">
        <v>70</v>
      </c>
      <c r="X313" s="2" t="s">
        <v>71</v>
      </c>
      <c r="Y313" s="2">
        <v>2.1232412078563501</v>
      </c>
      <c r="Z313" s="2">
        <v>4.73719444444444</v>
      </c>
      <c r="AA313" s="2">
        <v>-74.069472222222203</v>
      </c>
      <c r="AB313" s="2">
        <v>2555</v>
      </c>
      <c r="AC313" s="2" t="s">
        <v>31</v>
      </c>
      <c r="AD313" s="2" t="s">
        <v>58</v>
      </c>
      <c r="AE313" s="2" t="s">
        <v>33</v>
      </c>
      <c r="AF313" s="2" t="s">
        <v>34</v>
      </c>
      <c r="AG313" s="2" t="s">
        <v>72</v>
      </c>
      <c r="AH313" s="2">
        <v>0.27707952765533</v>
      </c>
      <c r="AI313" s="2">
        <v>5.5586572872671098</v>
      </c>
      <c r="AJ313" s="2">
        <v>0.39690929453211798</v>
      </c>
      <c r="AK313" s="2">
        <v>0.19880316982666901</v>
      </c>
      <c r="AL313" s="2">
        <v>5.0099900373378102E-2</v>
      </c>
      <c r="AM313" s="2">
        <v>15.3</v>
      </c>
      <c r="AN313" s="2">
        <v>9.8000000000000007</v>
      </c>
      <c r="AO313" s="2">
        <v>29.7</v>
      </c>
      <c r="AP313" s="2">
        <v>564</v>
      </c>
      <c r="AQ313" s="2">
        <v>68</v>
      </c>
      <c r="AR313" s="2">
        <v>1.8</v>
      </c>
      <c r="AS313" s="2">
        <v>43</v>
      </c>
      <c r="AT313" s="2">
        <v>25.4</v>
      </c>
      <c r="AU313" s="2">
        <v>162</v>
      </c>
      <c r="AV313" s="2">
        <v>9.1</v>
      </c>
      <c r="AW313" s="2">
        <v>9.1999999999999993</v>
      </c>
      <c r="AX313" s="2">
        <v>18.3</v>
      </c>
      <c r="AY313" s="2">
        <v>0.34</v>
      </c>
      <c r="AZ313" s="2">
        <v>7.3</v>
      </c>
      <c r="BA313" s="2">
        <v>0.9</v>
      </c>
      <c r="BB313" s="2">
        <v>7.5</v>
      </c>
      <c r="BC313" s="2">
        <v>2.9</v>
      </c>
      <c r="BD313" s="2">
        <f>+AN313*EXP(-0.0495*Y313)</f>
        <v>8.8222941674798943</v>
      </c>
      <c r="BE313" s="2">
        <f>+AO313*EXP(-0.024*Y313)</f>
        <v>28.224467873005178</v>
      </c>
    </row>
    <row r="314" spans="1:57" x14ac:dyDescent="0.2">
      <c r="A314" s="2" t="s">
        <v>1305</v>
      </c>
      <c r="B314" s="2" t="s">
        <v>19</v>
      </c>
      <c r="C314" s="2" t="s">
        <v>20</v>
      </c>
      <c r="D314" s="2" t="s">
        <v>21</v>
      </c>
      <c r="E314" s="2" t="s">
        <v>132</v>
      </c>
      <c r="F314" s="2">
        <v>6</v>
      </c>
      <c r="G314" s="2">
        <v>107</v>
      </c>
      <c r="H314" s="2">
        <v>3</v>
      </c>
      <c r="I314" s="2">
        <v>2</v>
      </c>
      <c r="J314" s="2">
        <v>2</v>
      </c>
      <c r="K314" s="2" t="s">
        <v>61</v>
      </c>
      <c r="L314" s="6" t="s">
        <v>75</v>
      </c>
      <c r="M314" s="5">
        <v>748000000</v>
      </c>
      <c r="N314" s="2">
        <v>0</v>
      </c>
      <c r="O314" s="2">
        <v>4.7321906089999999</v>
      </c>
      <c r="P314" s="2">
        <v>-74.074752810000007</v>
      </c>
      <c r="Q314" s="2" t="s">
        <v>1306</v>
      </c>
      <c r="R314" s="2">
        <v>6990654.2060000002</v>
      </c>
      <c r="S314" s="2">
        <v>0</v>
      </c>
      <c r="T314" s="2" t="s">
        <v>68</v>
      </c>
      <c r="U314" s="2" t="s">
        <v>69</v>
      </c>
      <c r="V314" s="2" t="s">
        <v>28</v>
      </c>
      <c r="W314" s="2" t="s">
        <v>70</v>
      </c>
      <c r="X314" s="2" t="s">
        <v>71</v>
      </c>
      <c r="Y314" s="2">
        <v>0.80837416400533302</v>
      </c>
      <c r="Z314" s="2">
        <v>4.73719444444444</v>
      </c>
      <c r="AA314" s="2">
        <v>-74.069472222222203</v>
      </c>
      <c r="AB314" s="2">
        <v>2555</v>
      </c>
      <c r="AC314" s="2" t="s">
        <v>31</v>
      </c>
      <c r="AD314" s="2" t="s">
        <v>58</v>
      </c>
      <c r="AE314" s="2" t="s">
        <v>33</v>
      </c>
      <c r="AF314" s="2" t="s">
        <v>34</v>
      </c>
      <c r="AG314" s="2" t="s">
        <v>72</v>
      </c>
      <c r="AH314" s="2">
        <v>0.52326269007961901</v>
      </c>
      <c r="AI314" s="2">
        <v>5.4113560429707697</v>
      </c>
      <c r="AJ314" s="2">
        <v>1.7350291586281901</v>
      </c>
      <c r="AK314" s="2">
        <v>0.75308191556230897</v>
      </c>
      <c r="AL314" s="2">
        <v>2.3229289250645799E-2</v>
      </c>
      <c r="AM314" s="2">
        <v>15.3</v>
      </c>
      <c r="AN314" s="2">
        <v>9.8000000000000007</v>
      </c>
      <c r="AO314" s="2">
        <v>29.7</v>
      </c>
      <c r="AP314" s="2">
        <v>564</v>
      </c>
      <c r="AQ314" s="2">
        <v>68</v>
      </c>
      <c r="AR314" s="2">
        <v>1.8</v>
      </c>
      <c r="AS314" s="2">
        <v>43</v>
      </c>
      <c r="AT314" s="2">
        <v>25.4</v>
      </c>
      <c r="AU314" s="2">
        <v>162</v>
      </c>
      <c r="AV314" s="2">
        <v>9.1</v>
      </c>
      <c r="AW314" s="2">
        <v>9.1999999999999993</v>
      </c>
      <c r="AX314" s="2">
        <v>18.3</v>
      </c>
      <c r="AY314" s="2">
        <v>0.34</v>
      </c>
      <c r="AZ314" s="2">
        <v>7.3</v>
      </c>
      <c r="BA314" s="2">
        <v>0.9</v>
      </c>
      <c r="BB314" s="2">
        <v>7.5</v>
      </c>
      <c r="BC314" s="2">
        <v>2.9</v>
      </c>
      <c r="BD314" s="2">
        <f>+AN314*EXP(-0.0495*Y314)</f>
        <v>9.415599777662166</v>
      </c>
      <c r="BE314" s="2">
        <f>+AO314*EXP(-0.024*Y314)</f>
        <v>29.129344433848267</v>
      </c>
    </row>
    <row r="315" spans="1:57" x14ac:dyDescent="0.2">
      <c r="A315" s="2" t="s">
        <v>1904</v>
      </c>
      <c r="B315" s="2" t="s">
        <v>19</v>
      </c>
      <c r="C315" s="2" t="s">
        <v>20</v>
      </c>
      <c r="D315" s="2" t="s">
        <v>21</v>
      </c>
      <c r="E315" s="2" t="s">
        <v>264</v>
      </c>
      <c r="F315" s="2">
        <v>5</v>
      </c>
      <c r="G315" s="2">
        <v>106</v>
      </c>
      <c r="H315" s="2">
        <v>3</v>
      </c>
      <c r="I315" s="2">
        <v>2</v>
      </c>
      <c r="J315" s="2">
        <v>2</v>
      </c>
      <c r="K315" s="2" t="s">
        <v>61</v>
      </c>
      <c r="L315" s="6" t="s">
        <v>75</v>
      </c>
      <c r="M315" s="5">
        <v>750000000</v>
      </c>
      <c r="N315" s="2">
        <v>0</v>
      </c>
      <c r="O315" s="2">
        <v>4.7087535999999997</v>
      </c>
      <c r="P315" s="2">
        <v>-74.061570000000003</v>
      </c>
      <c r="Q315" s="2" t="s">
        <v>1905</v>
      </c>
      <c r="R315" s="2">
        <v>7075471.6979999999</v>
      </c>
      <c r="S315" s="2">
        <v>0</v>
      </c>
      <c r="T315" s="2" t="s">
        <v>68</v>
      </c>
      <c r="U315" s="2" t="s">
        <v>69</v>
      </c>
      <c r="V315" s="2" t="s">
        <v>28</v>
      </c>
      <c r="W315" s="2" t="s">
        <v>70</v>
      </c>
      <c r="X315" s="2" t="s">
        <v>71</v>
      </c>
      <c r="Y315" s="2">
        <v>3.2851575568879698</v>
      </c>
      <c r="Z315" s="2">
        <v>4.73719444444444</v>
      </c>
      <c r="AA315" s="2">
        <v>-74.069472222222203</v>
      </c>
      <c r="AB315" s="2">
        <v>2555</v>
      </c>
      <c r="AC315" s="2" t="s">
        <v>31</v>
      </c>
      <c r="AD315" s="2" t="s">
        <v>58</v>
      </c>
      <c r="AE315" s="2" t="s">
        <v>33</v>
      </c>
      <c r="AF315" s="2" t="s">
        <v>34</v>
      </c>
      <c r="AG315" s="2" t="s">
        <v>72</v>
      </c>
      <c r="AH315" s="2">
        <v>0.93268483919914702</v>
      </c>
      <c r="AI315" s="2">
        <v>4.0469211981998798</v>
      </c>
      <c r="AJ315" s="2">
        <v>1.41168553828918</v>
      </c>
      <c r="AK315" s="2">
        <v>0.38492264345472299</v>
      </c>
      <c r="AL315" s="2">
        <v>0.152785326629402</v>
      </c>
      <c r="AM315" s="2">
        <v>15.3</v>
      </c>
      <c r="AN315" s="2">
        <v>9.8000000000000007</v>
      </c>
      <c r="AO315" s="2">
        <v>29.7</v>
      </c>
      <c r="AP315" s="2">
        <v>564</v>
      </c>
      <c r="AQ315" s="2">
        <v>68</v>
      </c>
      <c r="AR315" s="2">
        <v>1.8</v>
      </c>
      <c r="AS315" s="2">
        <v>43</v>
      </c>
      <c r="AT315" s="2">
        <v>25.4</v>
      </c>
      <c r="AU315" s="2">
        <v>162</v>
      </c>
      <c r="AV315" s="2">
        <v>9.1</v>
      </c>
      <c r="AW315" s="2">
        <v>9.1999999999999993</v>
      </c>
      <c r="AX315" s="2">
        <v>18.3</v>
      </c>
      <c r="AY315" s="2">
        <v>0.34</v>
      </c>
      <c r="AZ315" s="2">
        <v>7.3</v>
      </c>
      <c r="BA315" s="2">
        <v>0.9</v>
      </c>
      <c r="BB315" s="2">
        <v>7.5</v>
      </c>
      <c r="BC315" s="2">
        <v>2.9</v>
      </c>
      <c r="BD315" s="2">
        <f>+AN315*EXP(-0.0495*Y315)</f>
        <v>8.329197280176567</v>
      </c>
      <c r="BE315" s="2">
        <f>+AO315*EXP(-0.024*Y315)</f>
        <v>27.448273352896845</v>
      </c>
    </row>
    <row r="316" spans="1:57" x14ac:dyDescent="0.2">
      <c r="A316" s="2" t="s">
        <v>2621</v>
      </c>
      <c r="B316" s="2" t="s">
        <v>19</v>
      </c>
      <c r="C316" s="2" t="s">
        <v>1907</v>
      </c>
      <c r="D316" s="2" t="s">
        <v>21</v>
      </c>
      <c r="E316" s="2" t="s">
        <v>1456</v>
      </c>
      <c r="F316" s="2">
        <v>4</v>
      </c>
      <c r="G316" s="2">
        <v>106</v>
      </c>
      <c r="H316" s="2">
        <v>3</v>
      </c>
      <c r="I316" s="2">
        <v>3</v>
      </c>
      <c r="J316" s="2">
        <v>1</v>
      </c>
      <c r="K316" s="2" t="s">
        <v>61</v>
      </c>
      <c r="L316" s="6" t="s">
        <v>75</v>
      </c>
      <c r="M316" s="5">
        <v>620000000</v>
      </c>
      <c r="N316" s="2">
        <v>0</v>
      </c>
      <c r="O316" s="2">
        <v>4.7548236849999999</v>
      </c>
      <c r="P316" s="2">
        <v>-74.038497919999998</v>
      </c>
      <c r="Q316" s="2" t="s">
        <v>2622</v>
      </c>
      <c r="R316" s="2">
        <v>5849056.6040000003</v>
      </c>
      <c r="S316" s="2">
        <v>0</v>
      </c>
      <c r="T316" s="2" t="s">
        <v>102</v>
      </c>
      <c r="U316" s="2" t="s">
        <v>103</v>
      </c>
      <c r="V316" s="2" t="s">
        <v>28</v>
      </c>
      <c r="W316" s="2" t="s">
        <v>70</v>
      </c>
      <c r="X316" s="2" t="s">
        <v>104</v>
      </c>
      <c r="Y316" s="2">
        <v>3.28030464206712</v>
      </c>
      <c r="Z316" s="2">
        <v>4.7837500000000004</v>
      </c>
      <c r="AA316" s="2">
        <v>-74.044138888888895</v>
      </c>
      <c r="AB316" s="2">
        <v>2580</v>
      </c>
      <c r="AC316" s="2" t="s">
        <v>105</v>
      </c>
      <c r="AD316" s="2" t="s">
        <v>58</v>
      </c>
      <c r="AE316" s="2" t="s">
        <v>33</v>
      </c>
      <c r="AF316" s="2" t="s">
        <v>34</v>
      </c>
      <c r="AG316" s="2" t="s">
        <v>59</v>
      </c>
      <c r="AH316" s="2">
        <v>0.83698917302409603</v>
      </c>
      <c r="AI316" s="2">
        <v>1.8457175661870699</v>
      </c>
      <c r="AJ316" s="2">
        <v>0.97530899132618998</v>
      </c>
      <c r="AK316" s="2">
        <v>0.73307251249812899</v>
      </c>
      <c r="AL316" s="2">
        <v>4.6606952310060901E-2</v>
      </c>
      <c r="AM316" s="2">
        <v>15.3</v>
      </c>
      <c r="AN316" s="2">
        <v>9.8000000000000007</v>
      </c>
      <c r="AO316" s="2">
        <v>29.7</v>
      </c>
      <c r="AP316" s="2">
        <v>564</v>
      </c>
      <c r="AQ316" s="2">
        <v>68</v>
      </c>
      <c r="AR316" s="2">
        <v>1.8</v>
      </c>
      <c r="AS316" s="2">
        <v>43</v>
      </c>
      <c r="AT316" s="2">
        <v>25.4</v>
      </c>
      <c r="AU316" s="2">
        <v>162</v>
      </c>
      <c r="AV316" s="2">
        <v>9.1</v>
      </c>
      <c r="AW316" s="2">
        <v>9.1999999999999993</v>
      </c>
      <c r="AX316" s="2">
        <v>18.3</v>
      </c>
      <c r="AY316" s="2">
        <v>0.34</v>
      </c>
      <c r="AZ316" s="2">
        <v>7.3</v>
      </c>
      <c r="BA316" s="2">
        <v>0.9</v>
      </c>
      <c r="BB316" s="2">
        <v>7.5</v>
      </c>
      <c r="BC316" s="2">
        <v>2.9</v>
      </c>
      <c r="BD316" s="2">
        <f>+AN316*EXP(-0.0495*Y316)</f>
        <v>8.3311983543191168</v>
      </c>
      <c r="BE316" s="2">
        <f>+AO316*EXP(-0.024*Y316)</f>
        <v>27.451470438256891</v>
      </c>
    </row>
    <row r="317" spans="1:57" x14ac:dyDescent="0.2">
      <c r="A317" s="2" t="s">
        <v>3279</v>
      </c>
      <c r="B317" s="2" t="s">
        <v>19</v>
      </c>
      <c r="C317" s="2" t="s">
        <v>3245</v>
      </c>
      <c r="D317" s="2" t="s">
        <v>21</v>
      </c>
      <c r="E317" s="2" t="s">
        <v>496</v>
      </c>
      <c r="F317" s="2">
        <v>4</v>
      </c>
      <c r="G317" s="2">
        <v>105</v>
      </c>
      <c r="H317" s="2">
        <v>3</v>
      </c>
      <c r="I317" s="2">
        <v>3</v>
      </c>
      <c r="J317" s="2">
        <v>2</v>
      </c>
      <c r="K317" s="2" t="s">
        <v>61</v>
      </c>
      <c r="L317" s="6" t="s">
        <v>113</v>
      </c>
      <c r="M317" s="5">
        <v>640000000</v>
      </c>
      <c r="N317" s="2">
        <v>0</v>
      </c>
      <c r="O317" s="2">
        <v>4.7384997459999996</v>
      </c>
      <c r="P317" s="2">
        <v>-74.060901759999993</v>
      </c>
      <c r="Q317" s="2" t="s">
        <v>3280</v>
      </c>
      <c r="R317" s="2">
        <v>6095238.0949999997</v>
      </c>
      <c r="S317" s="2">
        <v>0</v>
      </c>
      <c r="T317" s="2" t="s">
        <v>68</v>
      </c>
      <c r="U317" s="2" t="s">
        <v>69</v>
      </c>
      <c r="V317" s="2" t="s">
        <v>28</v>
      </c>
      <c r="W317" s="2" t="s">
        <v>70</v>
      </c>
      <c r="X317" s="2" t="s">
        <v>71</v>
      </c>
      <c r="Y317" s="2">
        <v>0.96183855228517401</v>
      </c>
      <c r="Z317" s="2">
        <v>4.73719444444444</v>
      </c>
      <c r="AA317" s="2">
        <v>-74.069472222222203</v>
      </c>
      <c r="AB317" s="2">
        <v>2555</v>
      </c>
      <c r="AC317" s="2" t="s">
        <v>31</v>
      </c>
      <c r="AD317" s="2" t="s">
        <v>58</v>
      </c>
      <c r="AE317" s="2" t="s">
        <v>33</v>
      </c>
      <c r="AF317" s="2" t="s">
        <v>34</v>
      </c>
      <c r="AG317" s="2" t="s">
        <v>72</v>
      </c>
      <c r="AH317" s="2">
        <v>1.36474323925121</v>
      </c>
      <c r="AI317" s="2">
        <v>4.3612579236580196</v>
      </c>
      <c r="AJ317" s="2">
        <v>1.83748818457161</v>
      </c>
      <c r="AK317" s="2">
        <v>0.4593323575289</v>
      </c>
      <c r="AL317" s="2">
        <v>0.24806278200435999</v>
      </c>
      <c r="AM317" s="2">
        <v>15.3</v>
      </c>
      <c r="AN317" s="2">
        <v>9.8000000000000007</v>
      </c>
      <c r="AO317" s="2">
        <v>29.7</v>
      </c>
      <c r="AP317" s="2">
        <v>564</v>
      </c>
      <c r="AQ317" s="2">
        <v>68</v>
      </c>
      <c r="AR317" s="2">
        <v>1.8</v>
      </c>
      <c r="AS317" s="2">
        <v>43</v>
      </c>
      <c r="AT317" s="2">
        <v>25.4</v>
      </c>
      <c r="AU317" s="2">
        <v>162</v>
      </c>
      <c r="AV317" s="2">
        <v>9.1</v>
      </c>
      <c r="AW317" s="2">
        <v>9.1999999999999993</v>
      </c>
      <c r="AX317" s="2">
        <v>18.3</v>
      </c>
      <c r="AY317" s="2">
        <v>0.34</v>
      </c>
      <c r="AZ317" s="2">
        <v>7.3</v>
      </c>
      <c r="BA317" s="2">
        <v>0.9</v>
      </c>
      <c r="BB317" s="2">
        <v>7.5</v>
      </c>
      <c r="BC317" s="2">
        <v>2.9</v>
      </c>
      <c r="BD317" s="2">
        <f>+AN317*EXP(-0.0495*Y317)</f>
        <v>9.344345278882928</v>
      </c>
      <c r="BE317" s="2">
        <f>+AO317*EXP(-0.024*Y317)</f>
        <v>29.022254160839918</v>
      </c>
    </row>
    <row r="318" spans="1:57" x14ac:dyDescent="0.2">
      <c r="A318" s="2" t="s">
        <v>980</v>
      </c>
      <c r="B318" s="2" t="s">
        <v>19</v>
      </c>
      <c r="C318" s="2" t="s">
        <v>20</v>
      </c>
      <c r="D318" s="2" t="s">
        <v>21</v>
      </c>
      <c r="E318" s="2" t="s">
        <v>380</v>
      </c>
      <c r="F318" s="2">
        <v>4</v>
      </c>
      <c r="G318" s="2">
        <v>104</v>
      </c>
      <c r="H318" s="2">
        <v>3</v>
      </c>
      <c r="I318" s="2">
        <v>2</v>
      </c>
      <c r="J318" s="2">
        <v>1</v>
      </c>
      <c r="K318" s="2" t="s">
        <v>61</v>
      </c>
      <c r="L318" s="6" t="s">
        <v>113</v>
      </c>
      <c r="M318" s="5">
        <v>588000000</v>
      </c>
      <c r="N318" s="2">
        <v>0</v>
      </c>
      <c r="O318" s="2">
        <v>4.7297796969999997</v>
      </c>
      <c r="P318" s="2">
        <v>-74.048526559999999</v>
      </c>
      <c r="Q318" s="2" t="s">
        <v>981</v>
      </c>
      <c r="R318" s="2">
        <v>5653846.1540000001</v>
      </c>
      <c r="S318" s="2">
        <v>0</v>
      </c>
      <c r="T318" s="2" t="s">
        <v>68</v>
      </c>
      <c r="U318" s="2" t="s">
        <v>69</v>
      </c>
      <c r="V318" s="2" t="s">
        <v>28</v>
      </c>
      <c r="W318" s="2" t="s">
        <v>70</v>
      </c>
      <c r="X318" s="2" t="s">
        <v>71</v>
      </c>
      <c r="Y318" s="2">
        <v>2.4659508127681198</v>
      </c>
      <c r="Z318" s="2">
        <v>4.73719444444444</v>
      </c>
      <c r="AA318" s="2">
        <v>-74.069472222222203</v>
      </c>
      <c r="AB318" s="2">
        <v>2555</v>
      </c>
      <c r="AC318" s="2" t="s">
        <v>31</v>
      </c>
      <c r="AD318" s="2" t="s">
        <v>58</v>
      </c>
      <c r="AE318" s="2" t="s">
        <v>33</v>
      </c>
      <c r="AF318" s="2" t="s">
        <v>34</v>
      </c>
      <c r="AG318" s="2" t="s">
        <v>59</v>
      </c>
      <c r="AH318" s="2">
        <v>0.18807499347913501</v>
      </c>
      <c r="AI318" s="2">
        <v>2.9588751513284901</v>
      </c>
      <c r="AJ318" s="2">
        <v>1.0085605453508599</v>
      </c>
      <c r="AK318" s="2">
        <v>0.26255799251779</v>
      </c>
      <c r="AL318" s="2">
        <v>0.30128810792896898</v>
      </c>
      <c r="AM318" s="2">
        <v>15.3</v>
      </c>
      <c r="AN318" s="2">
        <v>9.8000000000000007</v>
      </c>
      <c r="AO318" s="2">
        <v>29.7</v>
      </c>
      <c r="AP318" s="2">
        <v>564</v>
      </c>
      <c r="AQ318" s="2">
        <v>68</v>
      </c>
      <c r="AR318" s="2">
        <v>1.8</v>
      </c>
      <c r="AS318" s="2">
        <v>43</v>
      </c>
      <c r="AT318" s="2">
        <v>25.4</v>
      </c>
      <c r="AU318" s="2">
        <v>162</v>
      </c>
      <c r="AV318" s="2">
        <v>9.1</v>
      </c>
      <c r="AW318" s="2">
        <v>9.1999999999999993</v>
      </c>
      <c r="AX318" s="2">
        <v>18.3</v>
      </c>
      <c r="AY318" s="2">
        <v>0.34</v>
      </c>
      <c r="AZ318" s="2">
        <v>7.3</v>
      </c>
      <c r="BA318" s="2">
        <v>0.9</v>
      </c>
      <c r="BB318" s="2">
        <v>7.5</v>
      </c>
      <c r="BC318" s="2">
        <v>2.9</v>
      </c>
      <c r="BD318" s="2">
        <f>+AN318*EXP(-0.0495*Y318)</f>
        <v>8.6738939612699166</v>
      </c>
      <c r="BE318" s="2">
        <f>+AO318*EXP(-0.024*Y318)</f>
        <v>27.993272859800442</v>
      </c>
    </row>
    <row r="319" spans="1:57" x14ac:dyDescent="0.2">
      <c r="A319" s="2" t="s">
        <v>1173</v>
      </c>
      <c r="B319" s="2" t="s">
        <v>19</v>
      </c>
      <c r="C319" s="2" t="s">
        <v>20</v>
      </c>
      <c r="D319" s="2" t="s">
        <v>21</v>
      </c>
      <c r="E319" s="2" t="s">
        <v>380</v>
      </c>
      <c r="F319" s="2">
        <v>4</v>
      </c>
      <c r="G319" s="2">
        <v>104</v>
      </c>
      <c r="H319" s="2">
        <v>3</v>
      </c>
      <c r="I319" s="2">
        <v>2</v>
      </c>
      <c r="J319" s="2">
        <v>1</v>
      </c>
      <c r="K319" s="2" t="s">
        <v>61</v>
      </c>
      <c r="L319" s="6" t="s">
        <v>113</v>
      </c>
      <c r="M319" s="5">
        <v>588000000</v>
      </c>
      <c r="N319" s="2">
        <v>0</v>
      </c>
      <c r="O319" s="2">
        <v>4.729739189</v>
      </c>
      <c r="P319" s="2">
        <v>-74.04919434</v>
      </c>
      <c r="Q319" s="2" t="s">
        <v>1174</v>
      </c>
      <c r="R319" s="2">
        <v>5653846.1540000001</v>
      </c>
      <c r="S319" s="2">
        <v>0</v>
      </c>
      <c r="T319" s="2" t="s">
        <v>68</v>
      </c>
      <c r="U319" s="2" t="s">
        <v>69</v>
      </c>
      <c r="V319" s="2" t="s">
        <v>28</v>
      </c>
      <c r="W319" s="2" t="s">
        <v>70</v>
      </c>
      <c r="X319" s="2" t="s">
        <v>71</v>
      </c>
      <c r="Y319" s="2">
        <v>2.3978261243447601</v>
      </c>
      <c r="Z319" s="2">
        <v>4.73719444444444</v>
      </c>
      <c r="AA319" s="2">
        <v>-74.069472222222203</v>
      </c>
      <c r="AB319" s="2">
        <v>2555</v>
      </c>
      <c r="AC319" s="2" t="s">
        <v>31</v>
      </c>
      <c r="AD319" s="2" t="s">
        <v>58</v>
      </c>
      <c r="AE319" s="2" t="s">
        <v>33</v>
      </c>
      <c r="AF319" s="2" t="s">
        <v>34</v>
      </c>
      <c r="AG319" s="2" t="s">
        <v>59</v>
      </c>
      <c r="AH319" s="2">
        <v>0.144507005146809</v>
      </c>
      <c r="AI319" s="2">
        <v>3.03296535312341</v>
      </c>
      <c r="AJ319" s="2">
        <v>1.0799105114195899</v>
      </c>
      <c r="AK319" s="2">
        <v>0.23607141035832699</v>
      </c>
      <c r="AL319" s="2">
        <v>0.26910297159113999</v>
      </c>
      <c r="AM319" s="2">
        <v>15.3</v>
      </c>
      <c r="AN319" s="2">
        <v>9.8000000000000007</v>
      </c>
      <c r="AO319" s="2">
        <v>29.7</v>
      </c>
      <c r="AP319" s="2">
        <v>564</v>
      </c>
      <c r="AQ319" s="2">
        <v>68</v>
      </c>
      <c r="AR319" s="2">
        <v>1.8</v>
      </c>
      <c r="AS319" s="2">
        <v>43</v>
      </c>
      <c r="AT319" s="2">
        <v>25.4</v>
      </c>
      <c r="AU319" s="2">
        <v>162</v>
      </c>
      <c r="AV319" s="2">
        <v>9.1</v>
      </c>
      <c r="AW319" s="2">
        <v>9.1999999999999993</v>
      </c>
      <c r="AX319" s="2">
        <v>18.3</v>
      </c>
      <c r="AY319" s="2">
        <v>0.34</v>
      </c>
      <c r="AZ319" s="2">
        <v>7.3</v>
      </c>
      <c r="BA319" s="2">
        <v>0.9</v>
      </c>
      <c r="BB319" s="2">
        <v>7.5</v>
      </c>
      <c r="BC319" s="2">
        <v>2.9</v>
      </c>
      <c r="BD319" s="2">
        <f>+AN319*EXP(-0.0495*Y319)</f>
        <v>8.7031931975530341</v>
      </c>
      <c r="BE319" s="2">
        <f>+AO319*EXP(-0.024*Y319)</f>
        <v>28.03907908781305</v>
      </c>
    </row>
    <row r="320" spans="1:57" x14ac:dyDescent="0.2">
      <c r="A320" s="2" t="s">
        <v>1556</v>
      </c>
      <c r="B320" s="2" t="s">
        <v>19</v>
      </c>
      <c r="C320" s="2" t="s">
        <v>20</v>
      </c>
      <c r="D320" s="2" t="s">
        <v>21</v>
      </c>
      <c r="E320" s="2" t="s">
        <v>630</v>
      </c>
      <c r="F320" s="2">
        <v>6</v>
      </c>
      <c r="G320" s="2">
        <v>103</v>
      </c>
      <c r="H320" s="2">
        <v>3</v>
      </c>
      <c r="I320" s="2">
        <v>3</v>
      </c>
      <c r="J320" s="2">
        <v>2</v>
      </c>
      <c r="K320" s="2" t="s">
        <v>61</v>
      </c>
      <c r="L320" s="6" t="s">
        <v>75</v>
      </c>
      <c r="M320" s="5">
        <v>770000000</v>
      </c>
      <c r="N320" s="2">
        <v>0</v>
      </c>
      <c r="O320" s="2">
        <v>4.7087662679999998</v>
      </c>
      <c r="P320" s="2">
        <v>-74.081559549999994</v>
      </c>
      <c r="Q320" s="2" t="s">
        <v>1557</v>
      </c>
      <c r="R320" s="2">
        <v>7475728.1550000003</v>
      </c>
      <c r="S320" s="2">
        <v>0</v>
      </c>
      <c r="T320" s="2" t="s">
        <v>68</v>
      </c>
      <c r="U320" s="2" t="s">
        <v>69</v>
      </c>
      <c r="V320" s="2" t="s">
        <v>28</v>
      </c>
      <c r="W320" s="2" t="s">
        <v>70</v>
      </c>
      <c r="X320" s="2" t="s">
        <v>71</v>
      </c>
      <c r="Y320" s="2">
        <v>3.43700470907716</v>
      </c>
      <c r="Z320" s="2">
        <v>4.73719444444444</v>
      </c>
      <c r="AA320" s="2">
        <v>-74.069472222222203</v>
      </c>
      <c r="AB320" s="2">
        <v>2555</v>
      </c>
      <c r="AC320" s="2" t="s">
        <v>31</v>
      </c>
      <c r="AD320" s="2" t="s">
        <v>58</v>
      </c>
      <c r="AE320" s="2" t="s">
        <v>33</v>
      </c>
      <c r="AF320" s="2" t="s">
        <v>34</v>
      </c>
      <c r="AG320" s="2" t="s">
        <v>72</v>
      </c>
      <c r="AH320" s="2">
        <v>1.08638036071217</v>
      </c>
      <c r="AI320" s="2">
        <v>5.2320899559690499</v>
      </c>
      <c r="AJ320" s="2">
        <v>1.2122295429129799</v>
      </c>
      <c r="AK320" s="2">
        <v>0.351959772761409</v>
      </c>
      <c r="AL320" s="2">
        <v>0.29904552060095202</v>
      </c>
      <c r="AM320" s="2">
        <v>15.3</v>
      </c>
      <c r="AN320" s="2">
        <v>9.8000000000000007</v>
      </c>
      <c r="AO320" s="2">
        <v>29.7</v>
      </c>
      <c r="AP320" s="2">
        <v>564</v>
      </c>
      <c r="AQ320" s="2">
        <v>68</v>
      </c>
      <c r="AR320" s="2">
        <v>1.8</v>
      </c>
      <c r="AS320" s="2">
        <v>43</v>
      </c>
      <c r="AT320" s="2">
        <v>25.4</v>
      </c>
      <c r="AU320" s="2">
        <v>162</v>
      </c>
      <c r="AV320" s="2">
        <v>9.1</v>
      </c>
      <c r="AW320" s="2">
        <v>9.1999999999999993</v>
      </c>
      <c r="AX320" s="2">
        <v>18.3</v>
      </c>
      <c r="AY320" s="2">
        <v>0.34</v>
      </c>
      <c r="AZ320" s="2">
        <v>7.3</v>
      </c>
      <c r="BA320" s="2">
        <v>0.9</v>
      </c>
      <c r="BB320" s="2">
        <v>7.5</v>
      </c>
      <c r="BC320" s="2">
        <v>2.9</v>
      </c>
      <c r="BD320" s="2">
        <f>+AN320*EXP(-0.0495*Y320)</f>
        <v>8.2668261162859427</v>
      </c>
      <c r="BE320" s="2">
        <f>+AO320*EXP(-0.024*Y320)</f>
        <v>27.348424792652221</v>
      </c>
    </row>
    <row r="321" spans="1:57" x14ac:dyDescent="0.2">
      <c r="A321" s="2" t="s">
        <v>1892</v>
      </c>
      <c r="B321" s="2" t="s">
        <v>19</v>
      </c>
      <c r="C321" s="2" t="s">
        <v>20</v>
      </c>
      <c r="D321" s="2" t="s">
        <v>21</v>
      </c>
      <c r="E321" s="2" t="s">
        <v>660</v>
      </c>
      <c r="F321" s="2">
        <v>4</v>
      </c>
      <c r="G321" s="2">
        <v>103</v>
      </c>
      <c r="H321" s="2">
        <v>3</v>
      </c>
      <c r="I321" s="2">
        <v>3</v>
      </c>
      <c r="J321" s="2">
        <v>2</v>
      </c>
      <c r="K321" s="2" t="s">
        <v>61</v>
      </c>
      <c r="L321" s="6" t="s">
        <v>113</v>
      </c>
      <c r="M321" s="5">
        <v>650000000</v>
      </c>
      <c r="N321" s="2">
        <v>0</v>
      </c>
      <c r="O321" s="2">
        <v>4.7241841459999998</v>
      </c>
      <c r="P321" s="2">
        <v>-74.060078059999995</v>
      </c>
      <c r="Q321" s="2" t="s">
        <v>1893</v>
      </c>
      <c r="R321" s="2">
        <v>6310679.6119999997</v>
      </c>
      <c r="S321" s="2">
        <v>0</v>
      </c>
      <c r="T321" s="2" t="s">
        <v>68</v>
      </c>
      <c r="U321" s="2" t="s">
        <v>69</v>
      </c>
      <c r="V321" s="2" t="s">
        <v>28</v>
      </c>
      <c r="W321" s="2" t="s">
        <v>70</v>
      </c>
      <c r="X321" s="2" t="s">
        <v>71</v>
      </c>
      <c r="Y321" s="2">
        <v>1.78430212036861</v>
      </c>
      <c r="Z321" s="2">
        <v>4.73719444444444</v>
      </c>
      <c r="AA321" s="2">
        <v>-74.069472222222203</v>
      </c>
      <c r="AB321" s="2">
        <v>2555</v>
      </c>
      <c r="AC321" s="2" t="s">
        <v>31</v>
      </c>
      <c r="AD321" s="2" t="s">
        <v>58</v>
      </c>
      <c r="AE321" s="2" t="s">
        <v>33</v>
      </c>
      <c r="AF321" s="2" t="s">
        <v>34</v>
      </c>
      <c r="AG321" s="2" t="s">
        <v>72</v>
      </c>
      <c r="AH321" s="2">
        <v>1.0124335097455901</v>
      </c>
      <c r="AI321" s="2">
        <v>4.0794139097203796</v>
      </c>
      <c r="AJ321" s="2">
        <v>1.4956866204281301</v>
      </c>
      <c r="AK321" s="2">
        <v>0.34102360973118701</v>
      </c>
      <c r="AL321" s="2">
        <v>0.21933440711323801</v>
      </c>
      <c r="AM321" s="2">
        <v>15.3</v>
      </c>
      <c r="AN321" s="2">
        <v>9.8000000000000007</v>
      </c>
      <c r="AO321" s="2">
        <v>29.7</v>
      </c>
      <c r="AP321" s="2">
        <v>564</v>
      </c>
      <c r="AQ321" s="2">
        <v>68</v>
      </c>
      <c r="AR321" s="2">
        <v>1.8</v>
      </c>
      <c r="AS321" s="2">
        <v>43</v>
      </c>
      <c r="AT321" s="2">
        <v>25.4</v>
      </c>
      <c r="AU321" s="2">
        <v>162</v>
      </c>
      <c r="AV321" s="2">
        <v>9.1</v>
      </c>
      <c r="AW321" s="2">
        <v>9.1999999999999993</v>
      </c>
      <c r="AX321" s="2">
        <v>18.3</v>
      </c>
      <c r="AY321" s="2">
        <v>0.34</v>
      </c>
      <c r="AZ321" s="2">
        <v>7.3</v>
      </c>
      <c r="BA321" s="2">
        <v>0.9</v>
      </c>
      <c r="BB321" s="2">
        <v>7.5</v>
      </c>
      <c r="BC321" s="2">
        <v>2.9</v>
      </c>
      <c r="BD321" s="2">
        <f>+AN321*EXP(-0.0495*Y321)</f>
        <v>8.9715587146017821</v>
      </c>
      <c r="BE321" s="2">
        <f>+AO321*EXP(-0.024*Y321)</f>
        <v>28.454997236015743</v>
      </c>
    </row>
    <row r="322" spans="1:57" x14ac:dyDescent="0.2">
      <c r="A322" s="2" t="s">
        <v>276</v>
      </c>
      <c r="B322" s="2" t="s">
        <v>19</v>
      </c>
      <c r="C322" s="2" t="s">
        <v>20</v>
      </c>
      <c r="D322" s="2" t="s">
        <v>21</v>
      </c>
      <c r="E322" s="2" t="s">
        <v>277</v>
      </c>
      <c r="F322" s="2">
        <v>4</v>
      </c>
      <c r="G322" s="2">
        <v>102</v>
      </c>
      <c r="H322" s="2">
        <v>3</v>
      </c>
      <c r="I322" s="2">
        <v>2</v>
      </c>
      <c r="J322" s="2">
        <v>2</v>
      </c>
      <c r="K322" s="2" t="s">
        <v>61</v>
      </c>
      <c r="L322" s="6" t="s">
        <v>62</v>
      </c>
      <c r="M322" s="5">
        <v>760000000</v>
      </c>
      <c r="N322" s="2">
        <v>0</v>
      </c>
      <c r="O322" s="2">
        <v>4.7526149999999996</v>
      </c>
      <c r="P322" s="2">
        <v>-74.029785000000004</v>
      </c>
      <c r="Q322" s="2" t="s">
        <v>278</v>
      </c>
      <c r="R322" s="2">
        <v>7450980.392</v>
      </c>
      <c r="S322" s="2">
        <v>0</v>
      </c>
      <c r="T322" s="2" t="s">
        <v>102</v>
      </c>
      <c r="U322" s="2" t="s">
        <v>103</v>
      </c>
      <c r="V322" s="2" t="s">
        <v>28</v>
      </c>
      <c r="W322" s="2" t="s">
        <v>70</v>
      </c>
      <c r="X322" s="2" t="s">
        <v>104</v>
      </c>
      <c r="Y322" s="2">
        <v>3.8142137046103999</v>
      </c>
      <c r="Z322" s="2">
        <v>4.7837500000000004</v>
      </c>
      <c r="AA322" s="2">
        <v>-74.044138888888895</v>
      </c>
      <c r="AB322" s="2">
        <v>2580</v>
      </c>
      <c r="AC322" s="2" t="s">
        <v>105</v>
      </c>
      <c r="AD322" s="2" t="s">
        <v>58</v>
      </c>
      <c r="AE322" s="2" t="s">
        <v>33</v>
      </c>
      <c r="AF322" s="2" t="s">
        <v>34</v>
      </c>
      <c r="AG322" s="2" t="s">
        <v>59</v>
      </c>
      <c r="AH322" s="2">
        <v>1.81628897500666</v>
      </c>
      <c r="AI322" s="2">
        <v>0.99107306977367304</v>
      </c>
      <c r="AJ322" s="2">
        <v>0.20372021284289901</v>
      </c>
      <c r="AK322" s="2">
        <v>0.83156492988143804</v>
      </c>
      <c r="AL322" s="2">
        <v>1.7274594364650699E-2</v>
      </c>
      <c r="AM322" s="2">
        <v>15.3</v>
      </c>
      <c r="AN322" s="2">
        <v>9.8000000000000007</v>
      </c>
      <c r="AO322" s="2">
        <v>29.7</v>
      </c>
      <c r="AP322" s="2">
        <v>564</v>
      </c>
      <c r="AQ322" s="2">
        <v>68</v>
      </c>
      <c r="AR322" s="2">
        <v>1.8</v>
      </c>
      <c r="AS322" s="2">
        <v>43</v>
      </c>
      <c r="AT322" s="2">
        <v>25.4</v>
      </c>
      <c r="AU322" s="2">
        <v>162</v>
      </c>
      <c r="AV322" s="2">
        <v>9.1</v>
      </c>
      <c r="AW322" s="2">
        <v>9.1999999999999993</v>
      </c>
      <c r="AX322" s="2">
        <v>18.3</v>
      </c>
      <c r="AY322" s="2">
        <v>0.34</v>
      </c>
      <c r="AZ322" s="2">
        <v>7.3</v>
      </c>
      <c r="BA322" s="2">
        <v>0.9</v>
      </c>
      <c r="BB322" s="2">
        <v>7.5</v>
      </c>
      <c r="BC322" s="2">
        <v>2.9</v>
      </c>
      <c r="BD322" s="2">
        <f>+AN322*EXP(-0.0495*Y322)</f>
        <v>8.113901354758692</v>
      </c>
      <c r="BE322" s="2">
        <f>+AO322*EXP(-0.024*Y322)</f>
        <v>27.101956392848845</v>
      </c>
    </row>
    <row r="323" spans="1:57" x14ac:dyDescent="0.2">
      <c r="A323" s="2" t="s">
        <v>818</v>
      </c>
      <c r="B323" s="2" t="s">
        <v>19</v>
      </c>
      <c r="C323" s="2" t="s">
        <v>20</v>
      </c>
      <c r="D323" s="2" t="s">
        <v>21</v>
      </c>
      <c r="E323" s="2" t="s">
        <v>819</v>
      </c>
      <c r="F323" s="2">
        <v>4</v>
      </c>
      <c r="G323" s="2">
        <v>100</v>
      </c>
      <c r="H323" s="2">
        <v>3</v>
      </c>
      <c r="I323" s="2">
        <v>3</v>
      </c>
      <c r="J323" s="2">
        <v>2</v>
      </c>
      <c r="K323" s="2" t="s">
        <v>61</v>
      </c>
      <c r="L323" s="6" t="s">
        <v>62</v>
      </c>
      <c r="M323" s="5">
        <v>480000000</v>
      </c>
      <c r="N323" s="2">
        <v>0</v>
      </c>
      <c r="O323" s="2">
        <v>4.7484520000000003</v>
      </c>
      <c r="P323" s="2">
        <v>-74.0394577</v>
      </c>
      <c r="Q323" s="2" t="s">
        <v>820</v>
      </c>
      <c r="R323" s="2">
        <v>4800000</v>
      </c>
      <c r="S323" s="2">
        <v>0</v>
      </c>
      <c r="T323" s="2" t="s">
        <v>68</v>
      </c>
      <c r="U323" s="2" t="s">
        <v>69</v>
      </c>
      <c r="V323" s="2" t="s">
        <v>28</v>
      </c>
      <c r="W323" s="2" t="s">
        <v>70</v>
      </c>
      <c r="X323" s="2" t="s">
        <v>71</v>
      </c>
      <c r="Y323" s="2">
        <v>3.55777728742112</v>
      </c>
      <c r="Z323" s="2">
        <v>4.73719444444444</v>
      </c>
      <c r="AA323" s="2">
        <v>-74.069472222222203</v>
      </c>
      <c r="AB323" s="2">
        <v>2555</v>
      </c>
      <c r="AC323" s="2" t="s">
        <v>31</v>
      </c>
      <c r="AD323" s="2" t="s">
        <v>58</v>
      </c>
      <c r="AE323" s="2" t="s">
        <v>33</v>
      </c>
      <c r="AF323" s="2" t="s">
        <v>34</v>
      </c>
      <c r="AG323" s="2" t="s">
        <v>59</v>
      </c>
      <c r="AH323" s="2">
        <v>0.90003962746494703</v>
      </c>
      <c r="AI323" s="2">
        <v>2.1046765236403799</v>
      </c>
      <c r="AJ323" s="2">
        <v>1.02142762868014</v>
      </c>
      <c r="AK323" s="2">
        <v>0.31121621411485101</v>
      </c>
      <c r="AL323" s="2">
        <v>0.31303635652271899</v>
      </c>
      <c r="AM323" s="2">
        <v>15.3</v>
      </c>
      <c r="AN323" s="2">
        <v>9.8000000000000007</v>
      </c>
      <c r="AO323" s="2">
        <v>29.7</v>
      </c>
      <c r="AP323" s="2">
        <v>564</v>
      </c>
      <c r="AQ323" s="2">
        <v>68</v>
      </c>
      <c r="AR323" s="2">
        <v>1.8</v>
      </c>
      <c r="AS323" s="2">
        <v>43</v>
      </c>
      <c r="AT323" s="2">
        <v>25.4</v>
      </c>
      <c r="AU323" s="2">
        <v>162</v>
      </c>
      <c r="AV323" s="2">
        <v>9.1</v>
      </c>
      <c r="AW323" s="2">
        <v>9.1999999999999993</v>
      </c>
      <c r="AX323" s="2">
        <v>18.3</v>
      </c>
      <c r="AY323" s="2">
        <v>0.34</v>
      </c>
      <c r="AZ323" s="2">
        <v>7.3</v>
      </c>
      <c r="BA323" s="2">
        <v>0.9</v>
      </c>
      <c r="BB323" s="2">
        <v>7.5</v>
      </c>
      <c r="BC323" s="2">
        <v>2.9</v>
      </c>
      <c r="BD323" s="2">
        <f>+AN323*EXP(-0.0495*Y323)</f>
        <v>8.2175524556989359</v>
      </c>
      <c r="BE323" s="2">
        <f>+AO323*EXP(-0.024*Y323)</f>
        <v>27.269269011624132</v>
      </c>
    </row>
    <row r="324" spans="1:57" x14ac:dyDescent="0.2">
      <c r="A324" s="2" t="s">
        <v>1753</v>
      </c>
      <c r="B324" s="2" t="s">
        <v>19</v>
      </c>
      <c r="C324" s="2" t="s">
        <v>20</v>
      </c>
      <c r="D324" s="2" t="s">
        <v>21</v>
      </c>
      <c r="E324" s="2" t="s">
        <v>434</v>
      </c>
      <c r="F324" s="2">
        <v>5</v>
      </c>
      <c r="G324" s="2">
        <v>98</v>
      </c>
      <c r="H324" s="2">
        <v>3</v>
      </c>
      <c r="I324" s="2">
        <v>2</v>
      </c>
      <c r="J324" s="2">
        <v>2</v>
      </c>
      <c r="K324" s="2" t="s">
        <v>61</v>
      </c>
      <c r="L324" s="6" t="s">
        <v>84</v>
      </c>
      <c r="M324" s="5">
        <v>700000000</v>
      </c>
      <c r="N324" s="2">
        <v>0</v>
      </c>
      <c r="O324" s="2">
        <v>4.7229051589999997</v>
      </c>
      <c r="P324" s="2">
        <v>-74.073120119999999</v>
      </c>
      <c r="Q324" s="2" t="s">
        <v>1754</v>
      </c>
      <c r="R324" s="2">
        <v>7142857.1430000002</v>
      </c>
      <c r="S324" s="2">
        <v>0</v>
      </c>
      <c r="T324" s="2" t="s">
        <v>68</v>
      </c>
      <c r="U324" s="2" t="s">
        <v>69</v>
      </c>
      <c r="V324" s="2" t="s">
        <v>28</v>
      </c>
      <c r="W324" s="2" t="s">
        <v>70</v>
      </c>
      <c r="X324" s="2" t="s">
        <v>71</v>
      </c>
      <c r="Y324" s="2">
        <v>1.64135049516465</v>
      </c>
      <c r="Z324" s="2">
        <v>4.73719444444444</v>
      </c>
      <c r="AA324" s="2">
        <v>-74.069472222222203</v>
      </c>
      <c r="AB324" s="2">
        <v>2555</v>
      </c>
      <c r="AC324" s="2" t="s">
        <v>31</v>
      </c>
      <c r="AD324" s="2" t="s">
        <v>58</v>
      </c>
      <c r="AE324" s="2" t="s">
        <v>33</v>
      </c>
      <c r="AF324" s="2" t="s">
        <v>34</v>
      </c>
      <c r="AG324" s="2" t="s">
        <v>72</v>
      </c>
      <c r="AH324" s="2">
        <v>0.25279630574219902</v>
      </c>
      <c r="AI324" s="2">
        <v>5.4895833337738003</v>
      </c>
      <c r="AJ324" s="2">
        <v>0.69513174629010999</v>
      </c>
      <c r="AK324" s="2">
        <v>0.30151610644834198</v>
      </c>
      <c r="AL324" s="2">
        <v>0.26443495571400399</v>
      </c>
      <c r="AM324" s="2">
        <v>15.3</v>
      </c>
      <c r="AN324" s="2">
        <v>9.8000000000000007</v>
      </c>
      <c r="AO324" s="2">
        <v>29.7</v>
      </c>
      <c r="AP324" s="2">
        <v>564</v>
      </c>
      <c r="AQ324" s="2">
        <v>68</v>
      </c>
      <c r="AR324" s="2">
        <v>1.8</v>
      </c>
      <c r="AS324" s="2">
        <v>43</v>
      </c>
      <c r="AT324" s="2">
        <v>25.4</v>
      </c>
      <c r="AU324" s="2">
        <v>162</v>
      </c>
      <c r="AV324" s="2">
        <v>9.1</v>
      </c>
      <c r="AW324" s="2">
        <v>9.1999999999999993</v>
      </c>
      <c r="AX324" s="2">
        <v>18.3</v>
      </c>
      <c r="AY324" s="2">
        <v>0.34</v>
      </c>
      <c r="AZ324" s="2">
        <v>7.3</v>
      </c>
      <c r="BA324" s="2">
        <v>0.9</v>
      </c>
      <c r="BB324" s="2">
        <v>7.5</v>
      </c>
      <c r="BC324" s="2">
        <v>2.9</v>
      </c>
      <c r="BD324" s="2">
        <f>+AN324*EXP(-0.0495*Y324)</f>
        <v>9.0352675494807517</v>
      </c>
      <c r="BE324" s="2">
        <f>+AO324*EXP(-0.024*Y324)</f>
        <v>28.552789409094981</v>
      </c>
    </row>
    <row r="325" spans="1:57" x14ac:dyDescent="0.2">
      <c r="A325" s="2" t="s">
        <v>2006</v>
      </c>
      <c r="B325" s="2" t="s">
        <v>19</v>
      </c>
      <c r="C325" s="2" t="s">
        <v>1907</v>
      </c>
      <c r="D325" s="2" t="s">
        <v>21</v>
      </c>
      <c r="E325" s="2" t="s">
        <v>1938</v>
      </c>
      <c r="F325" s="2">
        <v>5</v>
      </c>
      <c r="G325" s="2">
        <v>96</v>
      </c>
      <c r="H325" s="2">
        <v>4</v>
      </c>
      <c r="I325" s="2">
        <v>3</v>
      </c>
      <c r="J325" s="2">
        <v>2</v>
      </c>
      <c r="K325" s="2" t="s">
        <v>61</v>
      </c>
      <c r="L325" s="6" t="s">
        <v>113</v>
      </c>
      <c r="M325" s="5">
        <v>620000000</v>
      </c>
      <c r="N325" s="2">
        <v>0</v>
      </c>
      <c r="O325" s="2">
        <v>4.7655653950000003</v>
      </c>
      <c r="P325" s="2">
        <v>-74.042915339999993</v>
      </c>
      <c r="Q325" s="2" t="s">
        <v>2007</v>
      </c>
      <c r="R325" s="2">
        <v>6458333.3329999996</v>
      </c>
      <c r="S325" s="2">
        <v>0</v>
      </c>
      <c r="T325" s="2" t="s">
        <v>102</v>
      </c>
      <c r="U325" s="2" t="s">
        <v>103</v>
      </c>
      <c r="V325" s="2" t="s">
        <v>28</v>
      </c>
      <c r="W325" s="2" t="s">
        <v>70</v>
      </c>
      <c r="X325" s="2" t="s">
        <v>104</v>
      </c>
      <c r="Y325" s="2">
        <v>2.02884638069622</v>
      </c>
      <c r="Z325" s="2">
        <v>4.7837500000000004</v>
      </c>
      <c r="AA325" s="2">
        <v>-74.044138888888895</v>
      </c>
      <c r="AB325" s="2">
        <v>2580</v>
      </c>
      <c r="AC325" s="2" t="s">
        <v>105</v>
      </c>
      <c r="AD325" s="2" t="s">
        <v>58</v>
      </c>
      <c r="AE325" s="2" t="s">
        <v>33</v>
      </c>
      <c r="AF325" s="2" t="s">
        <v>34</v>
      </c>
      <c r="AG325" s="2" t="s">
        <v>59</v>
      </c>
      <c r="AH325" s="2">
        <v>0.29896849143564702</v>
      </c>
      <c r="AI325" s="2">
        <v>2.2229118081243402</v>
      </c>
      <c r="AJ325" s="2">
        <v>1.7865398278976401</v>
      </c>
      <c r="AK325" s="2">
        <v>0.36418003685891298</v>
      </c>
      <c r="AL325" s="2">
        <v>0.19530948667756101</v>
      </c>
      <c r="AM325" s="2">
        <v>15.3</v>
      </c>
      <c r="AN325" s="2">
        <v>9.8000000000000007</v>
      </c>
      <c r="AO325" s="2">
        <v>29.7</v>
      </c>
      <c r="AP325" s="2">
        <v>564</v>
      </c>
      <c r="AQ325" s="2">
        <v>68</v>
      </c>
      <c r="AR325" s="2">
        <v>1.8</v>
      </c>
      <c r="AS325" s="2">
        <v>43</v>
      </c>
      <c r="AT325" s="2">
        <v>25.4</v>
      </c>
      <c r="AU325" s="2">
        <v>162</v>
      </c>
      <c r="AV325" s="2">
        <v>9.1</v>
      </c>
      <c r="AW325" s="2">
        <v>9.1999999999999993</v>
      </c>
      <c r="AX325" s="2">
        <v>18.3</v>
      </c>
      <c r="AY325" s="2">
        <v>0.34</v>
      </c>
      <c r="AZ325" s="2">
        <v>7.3</v>
      </c>
      <c r="BA325" s="2">
        <v>0.9</v>
      </c>
      <c r="BB325" s="2">
        <v>7.5</v>
      </c>
      <c r="BC325" s="2">
        <v>2.9</v>
      </c>
      <c r="BD325" s="2">
        <f>+AN325*EXP(-0.0495*Y325)</f>
        <v>8.8636131819481943</v>
      </c>
      <c r="BE325" s="2">
        <f>+AO325*EXP(-0.024*Y325)</f>
        <v>28.288482207488236</v>
      </c>
    </row>
    <row r="326" spans="1:57" x14ac:dyDescent="0.2">
      <c r="A326" s="2" t="s">
        <v>1455</v>
      </c>
      <c r="B326" s="2" t="s">
        <v>19</v>
      </c>
      <c r="C326" s="2" t="s">
        <v>20</v>
      </c>
      <c r="D326" s="2" t="s">
        <v>21</v>
      </c>
      <c r="E326" s="2" t="s">
        <v>1456</v>
      </c>
      <c r="F326" s="2">
        <v>4</v>
      </c>
      <c r="G326" s="2">
        <v>95</v>
      </c>
      <c r="H326" s="2">
        <v>3</v>
      </c>
      <c r="I326" s="2">
        <v>2</v>
      </c>
      <c r="J326" s="2">
        <v>1</v>
      </c>
      <c r="K326" s="2" t="s">
        <v>61</v>
      </c>
      <c r="L326" s="6" t="s">
        <v>62</v>
      </c>
      <c r="M326" s="5">
        <v>610000000</v>
      </c>
      <c r="N326" s="2">
        <v>0</v>
      </c>
      <c r="O326" s="2">
        <v>4.7526473999999999</v>
      </c>
      <c r="P326" s="2">
        <v>-74.037517500000007</v>
      </c>
      <c r="Q326" s="2" t="s">
        <v>1457</v>
      </c>
      <c r="R326" s="2">
        <v>6421052.6320000002</v>
      </c>
      <c r="S326" s="2">
        <v>0</v>
      </c>
      <c r="T326" s="2" t="s">
        <v>102</v>
      </c>
      <c r="U326" s="2" t="s">
        <v>103</v>
      </c>
      <c r="V326" s="2" t="s">
        <v>28</v>
      </c>
      <c r="W326" s="2" t="s">
        <v>70</v>
      </c>
      <c r="X326" s="2" t="s">
        <v>104</v>
      </c>
      <c r="Y326" s="2">
        <v>3.5393849161012101</v>
      </c>
      <c r="Z326" s="2">
        <v>4.7837500000000004</v>
      </c>
      <c r="AA326" s="2">
        <v>-74.044138888888895</v>
      </c>
      <c r="AB326" s="2">
        <v>2580</v>
      </c>
      <c r="AC326" s="2" t="s">
        <v>105</v>
      </c>
      <c r="AD326" s="2" t="s">
        <v>58</v>
      </c>
      <c r="AE326" s="2" t="s">
        <v>33</v>
      </c>
      <c r="AF326" s="2" t="s">
        <v>34</v>
      </c>
      <c r="AG326" s="2" t="s">
        <v>59</v>
      </c>
      <c r="AH326" s="2">
        <v>0.97027296579100297</v>
      </c>
      <c r="AI326" s="2">
        <v>1.7882857509094501</v>
      </c>
      <c r="AJ326" s="2">
        <v>0.790433154587174</v>
      </c>
      <c r="AK326" s="2">
        <v>0.66657607473890401</v>
      </c>
      <c r="AL326" s="2">
        <v>0.258967967373393</v>
      </c>
      <c r="AM326" s="2">
        <v>15.3</v>
      </c>
      <c r="AN326" s="2">
        <v>9.8000000000000007</v>
      </c>
      <c r="AO326" s="2">
        <v>29.7</v>
      </c>
      <c r="AP326" s="2">
        <v>564</v>
      </c>
      <c r="AQ326" s="2">
        <v>68</v>
      </c>
      <c r="AR326" s="2">
        <v>1.8</v>
      </c>
      <c r="AS326" s="2">
        <v>43</v>
      </c>
      <c r="AT326" s="2">
        <v>25.4</v>
      </c>
      <c r="AU326" s="2">
        <v>162</v>
      </c>
      <c r="AV326" s="2">
        <v>9.1</v>
      </c>
      <c r="AW326" s="2">
        <v>9.1999999999999993</v>
      </c>
      <c r="AX326" s="2">
        <v>18.3</v>
      </c>
      <c r="AY326" s="2">
        <v>0.34</v>
      </c>
      <c r="AZ326" s="2">
        <v>7.3</v>
      </c>
      <c r="BA326" s="2">
        <v>0.9</v>
      </c>
      <c r="BB326" s="2">
        <v>7.5</v>
      </c>
      <c r="BC326" s="2">
        <v>2.9</v>
      </c>
      <c r="BD326" s="2">
        <f>+AN326*EXP(-0.0495*Y326)</f>
        <v>8.2250373060368194</v>
      </c>
      <c r="BE326" s="2">
        <f>+AO326*EXP(-0.024*Y326)</f>
        <v>27.281308785219299</v>
      </c>
    </row>
    <row r="327" spans="1:57" x14ac:dyDescent="0.2">
      <c r="A327" s="2" t="s">
        <v>1419</v>
      </c>
      <c r="B327" s="2" t="s">
        <v>19</v>
      </c>
      <c r="C327" s="2" t="s">
        <v>20</v>
      </c>
      <c r="D327" s="2" t="s">
        <v>21</v>
      </c>
      <c r="E327" s="2" t="s">
        <v>612</v>
      </c>
      <c r="F327" s="2">
        <v>4</v>
      </c>
      <c r="G327" s="2">
        <v>93.37</v>
      </c>
      <c r="H327" s="2">
        <v>3</v>
      </c>
      <c r="I327" s="2">
        <v>3</v>
      </c>
      <c r="J327" s="2">
        <v>2</v>
      </c>
      <c r="K327" s="2" t="s">
        <v>61</v>
      </c>
      <c r="L327" s="6" t="s">
        <v>62</v>
      </c>
      <c r="M327" s="5">
        <v>980000000</v>
      </c>
      <c r="N327" s="2">
        <v>0</v>
      </c>
      <c r="O327" s="2">
        <v>4.7435416100000003</v>
      </c>
      <c r="P327" s="2">
        <v>-74.067434480000003</v>
      </c>
      <c r="Q327" s="2" t="s">
        <v>1420</v>
      </c>
      <c r="R327" s="2">
        <v>10495876.619999999</v>
      </c>
      <c r="S327" s="2">
        <v>0</v>
      </c>
      <c r="T327" s="2" t="s">
        <v>68</v>
      </c>
      <c r="U327" s="2" t="s">
        <v>69</v>
      </c>
      <c r="V327" s="2" t="s">
        <v>28</v>
      </c>
      <c r="W327" s="2" t="s">
        <v>70</v>
      </c>
      <c r="X327" s="2" t="s">
        <v>71</v>
      </c>
      <c r="Y327" s="2">
        <v>0.74184686161980395</v>
      </c>
      <c r="Z327" s="2">
        <v>4.73719444444444</v>
      </c>
      <c r="AA327" s="2">
        <v>-74.069472222222203</v>
      </c>
      <c r="AB327" s="2">
        <v>2555</v>
      </c>
      <c r="AC327" s="2" t="s">
        <v>31</v>
      </c>
      <c r="AD327" s="2" t="s">
        <v>58</v>
      </c>
      <c r="AE327" s="2" t="s">
        <v>33</v>
      </c>
      <c r="AF327" s="2" t="s">
        <v>34</v>
      </c>
      <c r="AG327" s="2" t="s">
        <v>72</v>
      </c>
      <c r="AH327" s="2">
        <v>1.7452318150444599</v>
      </c>
      <c r="AI327" s="2">
        <v>5.1789010678522498</v>
      </c>
      <c r="AJ327" s="2">
        <v>1.8888546401011901</v>
      </c>
      <c r="AK327" s="2">
        <v>0.45611198685311699</v>
      </c>
      <c r="AL327" s="2">
        <v>0.22463336151207899</v>
      </c>
      <c r="AM327" s="2">
        <v>15.3</v>
      </c>
      <c r="AN327" s="2">
        <v>9.8000000000000007</v>
      </c>
      <c r="AO327" s="2">
        <v>29.7</v>
      </c>
      <c r="AP327" s="2">
        <v>564</v>
      </c>
      <c r="AQ327" s="2">
        <v>68</v>
      </c>
      <c r="AR327" s="2">
        <v>1.8</v>
      </c>
      <c r="AS327" s="2">
        <v>43</v>
      </c>
      <c r="AT327" s="2">
        <v>25.4</v>
      </c>
      <c r="AU327" s="2">
        <v>162</v>
      </c>
      <c r="AV327" s="2">
        <v>9.1</v>
      </c>
      <c r="AW327" s="2">
        <v>9.1999999999999993</v>
      </c>
      <c r="AX327" s="2">
        <v>18.3</v>
      </c>
      <c r="AY327" s="2">
        <v>0.34</v>
      </c>
      <c r="AZ327" s="2">
        <v>7.3</v>
      </c>
      <c r="BA327" s="2">
        <v>0.9</v>
      </c>
      <c r="BB327" s="2">
        <v>7.5</v>
      </c>
      <c r="BC327" s="2">
        <v>2.9</v>
      </c>
      <c r="BD327" s="2">
        <f>+AN327*EXP(-0.0495*Y327)</f>
        <v>9.446657413018082</v>
      </c>
      <c r="BE327" s="2">
        <f>+AO327*EXP(-0.024*Y327)</f>
        <v>29.175891104383524</v>
      </c>
    </row>
    <row r="328" spans="1:57" x14ac:dyDescent="0.2">
      <c r="A328" s="2" t="s">
        <v>1474</v>
      </c>
      <c r="B328" s="2" t="s">
        <v>19</v>
      </c>
      <c r="C328" s="2" t="s">
        <v>20</v>
      </c>
      <c r="D328" s="2" t="s">
        <v>21</v>
      </c>
      <c r="E328" s="2" t="s">
        <v>1475</v>
      </c>
      <c r="F328" s="2">
        <v>4</v>
      </c>
      <c r="G328" s="2">
        <v>93.02</v>
      </c>
      <c r="H328" s="2">
        <v>3</v>
      </c>
      <c r="I328" s="2">
        <v>2</v>
      </c>
      <c r="J328" s="2">
        <v>2</v>
      </c>
      <c r="K328" s="2" t="s">
        <v>61</v>
      </c>
      <c r="L328" s="6" t="s">
        <v>113</v>
      </c>
      <c r="M328" s="5">
        <v>610000000</v>
      </c>
      <c r="N328" s="2">
        <v>0</v>
      </c>
      <c r="O328" s="2">
        <v>4.754454</v>
      </c>
      <c r="P328" s="2">
        <v>-74.066474999999997</v>
      </c>
      <c r="Q328" s="2" t="s">
        <v>1476</v>
      </c>
      <c r="R328" s="2">
        <v>6557729.5209999997</v>
      </c>
      <c r="S328" s="2">
        <v>0</v>
      </c>
      <c r="T328" s="2" t="s">
        <v>68</v>
      </c>
      <c r="U328" s="2" t="s">
        <v>69</v>
      </c>
      <c r="V328" s="2" t="s">
        <v>28</v>
      </c>
      <c r="W328" s="2" t="s">
        <v>70</v>
      </c>
      <c r="X328" s="2" t="s">
        <v>71</v>
      </c>
      <c r="Y328" s="2">
        <v>1.9498844359537</v>
      </c>
      <c r="Z328" s="2">
        <v>4.73719444444444</v>
      </c>
      <c r="AA328" s="2">
        <v>-74.069472222222203</v>
      </c>
      <c r="AB328" s="2">
        <v>2555</v>
      </c>
      <c r="AC328" s="2" t="s">
        <v>31</v>
      </c>
      <c r="AD328" s="2" t="s">
        <v>58</v>
      </c>
      <c r="AE328" s="2" t="s">
        <v>33</v>
      </c>
      <c r="AF328" s="2" t="s">
        <v>34</v>
      </c>
      <c r="AG328" s="2" t="s">
        <v>72</v>
      </c>
      <c r="AH328" s="2">
        <v>2.2651708450952199</v>
      </c>
      <c r="AI328" s="2">
        <v>4.6789391417905302</v>
      </c>
      <c r="AJ328" s="2">
        <v>1.4433019874122499</v>
      </c>
      <c r="AK328" s="2">
        <v>0.35173291642773302</v>
      </c>
      <c r="AL328" s="2">
        <v>3.9441837697499198E-2</v>
      </c>
      <c r="AM328" s="2">
        <v>15.3</v>
      </c>
      <c r="AN328" s="2">
        <v>9.8000000000000007</v>
      </c>
      <c r="AO328" s="2">
        <v>29.7</v>
      </c>
      <c r="AP328" s="2">
        <v>564</v>
      </c>
      <c r="AQ328" s="2">
        <v>68</v>
      </c>
      <c r="AR328" s="2">
        <v>1.8</v>
      </c>
      <c r="AS328" s="2">
        <v>43</v>
      </c>
      <c r="AT328" s="2">
        <v>25.4</v>
      </c>
      <c r="AU328" s="2">
        <v>162</v>
      </c>
      <c r="AV328" s="2">
        <v>9.1</v>
      </c>
      <c r="AW328" s="2">
        <v>9.1999999999999993</v>
      </c>
      <c r="AX328" s="2">
        <v>18.3</v>
      </c>
      <c r="AY328" s="2">
        <v>0.34</v>
      </c>
      <c r="AZ328" s="2">
        <v>7.3</v>
      </c>
      <c r="BA328" s="2">
        <v>0.9</v>
      </c>
      <c r="BB328" s="2">
        <v>7.5</v>
      </c>
      <c r="BC328" s="2">
        <v>2.9</v>
      </c>
      <c r="BD328" s="2">
        <f>+AN328*EXP(-0.0495*Y328)</f>
        <v>8.8983254388492075</v>
      </c>
      <c r="BE328" s="2">
        <f>+AO328*EXP(-0.024*Y328)</f>
        <v>28.342142162215495</v>
      </c>
    </row>
    <row r="329" spans="1:57" x14ac:dyDescent="0.2">
      <c r="A329" s="2" t="s">
        <v>227</v>
      </c>
      <c r="B329" s="2" t="s">
        <v>19</v>
      </c>
      <c r="C329" s="2" t="s">
        <v>20</v>
      </c>
      <c r="D329" s="2" t="s">
        <v>21</v>
      </c>
      <c r="E329" s="2" t="s">
        <v>228</v>
      </c>
      <c r="F329" s="2">
        <v>4</v>
      </c>
      <c r="G329" s="2">
        <v>93</v>
      </c>
      <c r="H329" s="2">
        <v>3</v>
      </c>
      <c r="I329" s="2">
        <v>3</v>
      </c>
      <c r="J329" s="2">
        <v>2</v>
      </c>
      <c r="K329" s="2" t="s">
        <v>61</v>
      </c>
      <c r="L329" s="6" t="s">
        <v>84</v>
      </c>
      <c r="M329" s="5">
        <v>740000000</v>
      </c>
      <c r="N329" s="2">
        <v>0</v>
      </c>
      <c r="O329" s="2">
        <v>4.7232637410000002</v>
      </c>
      <c r="P329" s="2">
        <v>-74.060585020000005</v>
      </c>
      <c r="Q329" s="2" t="s">
        <v>229</v>
      </c>
      <c r="R329" s="2">
        <v>7956989.2470000004</v>
      </c>
      <c r="S329" s="2">
        <v>0</v>
      </c>
      <c r="T329" s="2" t="s">
        <v>68</v>
      </c>
      <c r="U329" s="2" t="s">
        <v>69</v>
      </c>
      <c r="V329" s="2" t="s">
        <v>28</v>
      </c>
      <c r="W329" s="2" t="s">
        <v>70</v>
      </c>
      <c r="X329" s="2" t="s">
        <v>71</v>
      </c>
      <c r="Y329" s="2">
        <v>1.8376476171826199</v>
      </c>
      <c r="Z329" s="2">
        <v>4.73719444444444</v>
      </c>
      <c r="AA329" s="2">
        <v>-74.069472222222203</v>
      </c>
      <c r="AB329" s="2">
        <v>2555</v>
      </c>
      <c r="AC329" s="2" t="s">
        <v>31</v>
      </c>
      <c r="AD329" s="2" t="s">
        <v>58</v>
      </c>
      <c r="AE329" s="2" t="s">
        <v>33</v>
      </c>
      <c r="AF329" s="2" t="s">
        <v>34</v>
      </c>
      <c r="AG329" s="2" t="s">
        <v>72</v>
      </c>
      <c r="AH329" s="2">
        <v>1.03823306523088</v>
      </c>
      <c r="AI329" s="2">
        <v>4.1243620380340902</v>
      </c>
      <c r="AJ329" s="2">
        <v>1.3944219435571299</v>
      </c>
      <c r="AK329" s="2">
        <v>0.25358104999807302</v>
      </c>
      <c r="AL329" s="2">
        <v>0.18538648466875299</v>
      </c>
      <c r="AM329" s="2">
        <v>15.3</v>
      </c>
      <c r="AN329" s="2">
        <v>9.8000000000000007</v>
      </c>
      <c r="AO329" s="2">
        <v>29.7</v>
      </c>
      <c r="AP329" s="2">
        <v>564</v>
      </c>
      <c r="AQ329" s="2">
        <v>68</v>
      </c>
      <c r="AR329" s="2">
        <v>1.8</v>
      </c>
      <c r="AS329" s="2">
        <v>43</v>
      </c>
      <c r="AT329" s="2">
        <v>25.4</v>
      </c>
      <c r="AU329" s="2">
        <v>162</v>
      </c>
      <c r="AV329" s="2">
        <v>9.1</v>
      </c>
      <c r="AW329" s="2">
        <v>9.1999999999999993</v>
      </c>
      <c r="AX329" s="2">
        <v>18.3</v>
      </c>
      <c r="AY329" s="2">
        <v>0.34</v>
      </c>
      <c r="AZ329" s="2">
        <v>7.3</v>
      </c>
      <c r="BA329" s="2">
        <v>0.9</v>
      </c>
      <c r="BB329" s="2">
        <v>7.5</v>
      </c>
      <c r="BC329" s="2">
        <v>2.9</v>
      </c>
      <c r="BD329" s="2">
        <f>+AN329*EXP(-0.0495*Y329)</f>
        <v>8.9478996487257501</v>
      </c>
      <c r="BE329" s="2">
        <f>+AO329*EXP(-0.024*Y329)</f>
        <v>28.418589843888366</v>
      </c>
    </row>
    <row r="330" spans="1:57" x14ac:dyDescent="0.2">
      <c r="A330" s="2" t="s">
        <v>522</v>
      </c>
      <c r="B330" s="2" t="s">
        <v>19</v>
      </c>
      <c r="C330" s="2" t="s">
        <v>20</v>
      </c>
      <c r="D330" s="2" t="s">
        <v>21</v>
      </c>
      <c r="E330" s="2" t="s">
        <v>91</v>
      </c>
      <c r="F330" s="2">
        <v>4</v>
      </c>
      <c r="G330" s="2">
        <v>93</v>
      </c>
      <c r="H330" s="2">
        <v>3</v>
      </c>
      <c r="I330" s="2">
        <v>3</v>
      </c>
      <c r="J330" s="2">
        <v>2</v>
      </c>
      <c r="K330" s="2" t="s">
        <v>61</v>
      </c>
      <c r="L330" s="6" t="s">
        <v>75</v>
      </c>
      <c r="M330" s="5">
        <v>678000000</v>
      </c>
      <c r="N330" s="2">
        <v>0</v>
      </c>
      <c r="O330" s="2">
        <v>4.7411012650000002</v>
      </c>
      <c r="P330" s="2">
        <v>-74.059982300000001</v>
      </c>
      <c r="Q330" s="2" t="s">
        <v>523</v>
      </c>
      <c r="R330" s="2">
        <v>7290322.5810000002</v>
      </c>
      <c r="S330" s="2">
        <v>0</v>
      </c>
      <c r="T330" s="2" t="s">
        <v>68</v>
      </c>
      <c r="U330" s="2" t="s">
        <v>69</v>
      </c>
      <c r="V330" s="2" t="s">
        <v>28</v>
      </c>
      <c r="W330" s="2" t="s">
        <v>70</v>
      </c>
      <c r="X330" s="2" t="s">
        <v>71</v>
      </c>
      <c r="Y330" s="2">
        <v>1.1390934243661299</v>
      </c>
      <c r="Z330" s="2">
        <v>4.73719444444444</v>
      </c>
      <c r="AA330" s="2">
        <v>-74.069472222222203</v>
      </c>
      <c r="AB330" s="2">
        <v>2555</v>
      </c>
      <c r="AC330" s="2" t="s">
        <v>31</v>
      </c>
      <c r="AD330" s="2" t="s">
        <v>58</v>
      </c>
      <c r="AE330" s="2" t="s">
        <v>33</v>
      </c>
      <c r="AF330" s="2" t="s">
        <v>34</v>
      </c>
      <c r="AG330" s="2" t="s">
        <v>72</v>
      </c>
      <c r="AH330" s="2">
        <v>1.3314941729002301</v>
      </c>
      <c r="AI330" s="2">
        <v>4.3132400984562</v>
      </c>
      <c r="AJ330" s="2">
        <v>1.53517191524781</v>
      </c>
      <c r="AK330" s="2">
        <v>0.44893372921057401</v>
      </c>
      <c r="AL330" s="2">
        <v>0.22968712835309399</v>
      </c>
      <c r="AM330" s="2">
        <v>15.3</v>
      </c>
      <c r="AN330" s="2">
        <v>9.8000000000000007</v>
      </c>
      <c r="AO330" s="2">
        <v>29.7</v>
      </c>
      <c r="AP330" s="2">
        <v>564</v>
      </c>
      <c r="AQ330" s="2">
        <v>68</v>
      </c>
      <c r="AR330" s="2">
        <v>1.8</v>
      </c>
      <c r="AS330" s="2">
        <v>43</v>
      </c>
      <c r="AT330" s="2">
        <v>25.4</v>
      </c>
      <c r="AU330" s="2">
        <v>162</v>
      </c>
      <c r="AV330" s="2">
        <v>9.1</v>
      </c>
      <c r="AW330" s="2">
        <v>9.1999999999999993</v>
      </c>
      <c r="AX330" s="2">
        <v>18.3</v>
      </c>
      <c r="AY330" s="2">
        <v>0.34</v>
      </c>
      <c r="AZ330" s="2">
        <v>7.3</v>
      </c>
      <c r="BA330" s="2">
        <v>0.9</v>
      </c>
      <c r="BB330" s="2">
        <v>7.5</v>
      </c>
      <c r="BC330" s="2">
        <v>2.9</v>
      </c>
      <c r="BD330" s="2">
        <f>+AN330*EXP(-0.0495*Y330)</f>
        <v>9.2627155459606065</v>
      </c>
      <c r="BE330" s="2">
        <f>+AO330*EXP(-0.024*Y330)</f>
        <v>28.899052341346039</v>
      </c>
    </row>
    <row r="331" spans="1:57" x14ac:dyDescent="0.2">
      <c r="A331" s="2" t="s">
        <v>869</v>
      </c>
      <c r="B331" s="2" t="s">
        <v>19</v>
      </c>
      <c r="C331" s="2" t="s">
        <v>20</v>
      </c>
      <c r="D331" s="2" t="s">
        <v>21</v>
      </c>
      <c r="E331" s="2" t="s">
        <v>91</v>
      </c>
      <c r="F331" s="2">
        <v>4</v>
      </c>
      <c r="G331" s="2">
        <v>93</v>
      </c>
      <c r="H331" s="2">
        <v>3</v>
      </c>
      <c r="I331" s="2">
        <v>3</v>
      </c>
      <c r="J331" s="2">
        <v>2</v>
      </c>
      <c r="K331" s="2" t="s">
        <v>61</v>
      </c>
      <c r="L331" s="6" t="s">
        <v>75</v>
      </c>
      <c r="M331" s="5">
        <v>540000000</v>
      </c>
      <c r="N331" s="2">
        <v>0</v>
      </c>
      <c r="O331" s="2">
        <v>4.7404184340000004</v>
      </c>
      <c r="P331" s="2">
        <v>-74.059600829999994</v>
      </c>
      <c r="Q331" s="2" t="s">
        <v>870</v>
      </c>
      <c r="R331" s="2">
        <v>5806451.6129999999</v>
      </c>
      <c r="S331" s="2">
        <v>0</v>
      </c>
      <c r="T331" s="2" t="s">
        <v>68</v>
      </c>
      <c r="U331" s="2" t="s">
        <v>69</v>
      </c>
      <c r="V331" s="2" t="s">
        <v>28</v>
      </c>
      <c r="W331" s="2" t="s">
        <v>70</v>
      </c>
      <c r="X331" s="2" t="s">
        <v>71</v>
      </c>
      <c r="Y331" s="2">
        <v>1.15243061756008</v>
      </c>
      <c r="Z331" s="2">
        <v>4.73719444444444</v>
      </c>
      <c r="AA331" s="2">
        <v>-74.069472222222203</v>
      </c>
      <c r="AB331" s="2">
        <v>2555</v>
      </c>
      <c r="AC331" s="2" t="s">
        <v>31</v>
      </c>
      <c r="AD331" s="2" t="s">
        <v>58</v>
      </c>
      <c r="AE331" s="2" t="s">
        <v>33</v>
      </c>
      <c r="AF331" s="2" t="s">
        <v>34</v>
      </c>
      <c r="AG331" s="2" t="s">
        <v>72</v>
      </c>
      <c r="AH331" s="2">
        <v>1.29675260722162</v>
      </c>
      <c r="AI331" s="2">
        <v>4.25614784770256</v>
      </c>
      <c r="AJ331" s="2">
        <v>1.5837300664390099</v>
      </c>
      <c r="AK331" s="2">
        <v>0.38002234569195797</v>
      </c>
      <c r="AL331" s="2">
        <v>0.23839999922136501</v>
      </c>
      <c r="AM331" s="2">
        <v>15.3</v>
      </c>
      <c r="AN331" s="2">
        <v>9.8000000000000007</v>
      </c>
      <c r="AO331" s="2">
        <v>29.7</v>
      </c>
      <c r="AP331" s="2">
        <v>564</v>
      </c>
      <c r="AQ331" s="2">
        <v>68</v>
      </c>
      <c r="AR331" s="2">
        <v>1.8</v>
      </c>
      <c r="AS331" s="2">
        <v>43</v>
      </c>
      <c r="AT331" s="2">
        <v>25.4</v>
      </c>
      <c r="AU331" s="2">
        <v>162</v>
      </c>
      <c r="AV331" s="2">
        <v>9.1</v>
      </c>
      <c r="AW331" s="2">
        <v>9.1999999999999993</v>
      </c>
      <c r="AX331" s="2">
        <v>18.3</v>
      </c>
      <c r="AY331" s="2">
        <v>0.34</v>
      </c>
      <c r="AZ331" s="2">
        <v>7.3</v>
      </c>
      <c r="BA331" s="2">
        <v>0.9</v>
      </c>
      <c r="BB331" s="2">
        <v>7.5</v>
      </c>
      <c r="BC331" s="2">
        <v>2.9</v>
      </c>
      <c r="BD331" s="2">
        <f>+AN331*EXP(-0.0495*Y331)</f>
        <v>9.2566024020806363</v>
      </c>
      <c r="BE331" s="2">
        <f>+AO331*EXP(-0.024*Y331)</f>
        <v>28.889803447815599</v>
      </c>
    </row>
    <row r="332" spans="1:57" x14ac:dyDescent="0.2">
      <c r="A332" s="2" t="s">
        <v>3172</v>
      </c>
      <c r="B332" s="2" t="s">
        <v>19</v>
      </c>
      <c r="C332" s="2" t="s">
        <v>1907</v>
      </c>
      <c r="D332" s="2" t="s">
        <v>21</v>
      </c>
      <c r="E332" s="2" t="s">
        <v>3173</v>
      </c>
      <c r="F332" s="2">
        <v>4</v>
      </c>
      <c r="G332" s="2">
        <v>93</v>
      </c>
      <c r="H332" s="2">
        <v>4</v>
      </c>
      <c r="I332" s="2">
        <v>3</v>
      </c>
      <c r="J332" s="2">
        <v>1</v>
      </c>
      <c r="K332" s="2" t="s">
        <v>61</v>
      </c>
      <c r="L332" s="6" t="s">
        <v>113</v>
      </c>
      <c r="M332" s="5">
        <v>459000000</v>
      </c>
      <c r="N332" s="2">
        <v>0</v>
      </c>
      <c r="O332" s="2">
        <v>4.7494635580000004</v>
      </c>
      <c r="P332" s="2">
        <v>-74.048088070000006</v>
      </c>
      <c r="Q332" s="2" t="s">
        <v>3174</v>
      </c>
      <c r="R332" s="2">
        <v>4935483.8710000003</v>
      </c>
      <c r="S332" s="2">
        <v>0</v>
      </c>
      <c r="T332" s="2" t="s">
        <v>68</v>
      </c>
      <c r="U332" s="2" t="s">
        <v>69</v>
      </c>
      <c r="V332" s="2" t="s">
        <v>28</v>
      </c>
      <c r="W332" s="2" t="s">
        <v>70</v>
      </c>
      <c r="X332" s="2" t="s">
        <v>71</v>
      </c>
      <c r="Y332" s="2">
        <v>2.7373872923471998</v>
      </c>
      <c r="Z332" s="2">
        <v>4.73719444444444</v>
      </c>
      <c r="AA332" s="2">
        <v>-74.069472222222203</v>
      </c>
      <c r="AB332" s="2">
        <v>2555</v>
      </c>
      <c r="AC332" s="2" t="s">
        <v>31</v>
      </c>
      <c r="AD332" s="2" t="s">
        <v>58</v>
      </c>
      <c r="AE332" s="2" t="s">
        <v>33</v>
      </c>
      <c r="AF332" s="2" t="s">
        <v>34</v>
      </c>
      <c r="AG332" s="2" t="s">
        <v>72</v>
      </c>
      <c r="AH332" s="2">
        <v>0.37391326252391699</v>
      </c>
      <c r="AI332" s="2">
        <v>3.0118322988622399</v>
      </c>
      <c r="AJ332" s="2">
        <v>0.73975656354335795</v>
      </c>
      <c r="AK332" s="2">
        <v>0.109060329174533</v>
      </c>
      <c r="AL332" s="2">
        <v>0.14599190829870801</v>
      </c>
      <c r="AM332" s="2">
        <v>15.3</v>
      </c>
      <c r="AN332" s="2">
        <v>9.8000000000000007</v>
      </c>
      <c r="AO332" s="2">
        <v>29.7</v>
      </c>
      <c r="AP332" s="2">
        <v>564</v>
      </c>
      <c r="AQ332" s="2">
        <v>68</v>
      </c>
      <c r="AR332" s="2">
        <v>1.8</v>
      </c>
      <c r="AS332" s="2">
        <v>43</v>
      </c>
      <c r="AT332" s="2">
        <v>25.4</v>
      </c>
      <c r="AU332" s="2">
        <v>162</v>
      </c>
      <c r="AV332" s="2">
        <v>9.1</v>
      </c>
      <c r="AW332" s="2">
        <v>9.1999999999999993</v>
      </c>
      <c r="AX332" s="2">
        <v>18.3</v>
      </c>
      <c r="AY332" s="2">
        <v>0.34</v>
      </c>
      <c r="AZ332" s="2">
        <v>7.3</v>
      </c>
      <c r="BA332" s="2">
        <v>0.9</v>
      </c>
      <c r="BB332" s="2">
        <v>7.5</v>
      </c>
      <c r="BC332" s="2">
        <v>2.9</v>
      </c>
      <c r="BD332" s="2">
        <f>+AN332*EXP(-0.0495*Y332)</f>
        <v>8.5581300544384948</v>
      </c>
      <c r="BE332" s="2">
        <f>+AO332*EXP(-0.024*Y332)</f>
        <v>27.811504076288479</v>
      </c>
    </row>
    <row r="333" spans="1:57" x14ac:dyDescent="0.2">
      <c r="A333" s="2" t="s">
        <v>131</v>
      </c>
      <c r="B333" s="2" t="s">
        <v>19</v>
      </c>
      <c r="C333" s="2" t="s">
        <v>20</v>
      </c>
      <c r="D333" s="2" t="s">
        <v>21</v>
      </c>
      <c r="E333" s="2" t="s">
        <v>132</v>
      </c>
      <c r="F333" s="2">
        <v>5</v>
      </c>
      <c r="G333" s="2">
        <v>92</v>
      </c>
      <c r="H333" s="2">
        <v>3</v>
      </c>
      <c r="I333" s="2">
        <v>3</v>
      </c>
      <c r="J333" s="2">
        <v>1</v>
      </c>
      <c r="K333" s="2" t="s">
        <v>61</v>
      </c>
      <c r="L333" s="6" t="s">
        <v>113</v>
      </c>
      <c r="M333" s="5">
        <v>510000000</v>
      </c>
      <c r="N333" s="2">
        <v>0</v>
      </c>
      <c r="O333" s="2">
        <v>4.7254357340000004</v>
      </c>
      <c r="P333" s="2">
        <v>-74.066848750000005</v>
      </c>
      <c r="Q333" s="2" t="s">
        <v>133</v>
      </c>
      <c r="R333" s="2">
        <v>5543478.2609999999</v>
      </c>
      <c r="S333" s="2">
        <v>0</v>
      </c>
      <c r="T333" s="2" t="s">
        <v>68</v>
      </c>
      <c r="U333" s="2" t="s">
        <v>69</v>
      </c>
      <c r="V333" s="2" t="s">
        <v>28</v>
      </c>
      <c r="W333" s="2" t="s">
        <v>70</v>
      </c>
      <c r="X333" s="2" t="s">
        <v>71</v>
      </c>
      <c r="Y333" s="2">
        <v>1.3409404290454801</v>
      </c>
      <c r="Z333" s="2">
        <v>4.73719444444444</v>
      </c>
      <c r="AA333" s="2">
        <v>-74.069472222222203</v>
      </c>
      <c r="AB333" s="2">
        <v>2555</v>
      </c>
      <c r="AC333" s="2" t="s">
        <v>31</v>
      </c>
      <c r="AD333" s="2" t="s">
        <v>58</v>
      </c>
      <c r="AE333" s="2" t="s">
        <v>33</v>
      </c>
      <c r="AF333" s="2" t="s">
        <v>34</v>
      </c>
      <c r="AG333" s="2" t="s">
        <v>72</v>
      </c>
      <c r="AH333" s="2">
        <v>0.90117782960147896</v>
      </c>
      <c r="AI333" s="2">
        <v>4.8415320611428703</v>
      </c>
      <c r="AJ333" s="2">
        <v>1.0753706050933101</v>
      </c>
      <c r="AK333" s="2">
        <v>0.28741064935822602</v>
      </c>
      <c r="AL333" s="2">
        <v>0.23664644123130801</v>
      </c>
      <c r="AM333" s="2">
        <v>15.3</v>
      </c>
      <c r="AN333" s="2">
        <v>9.8000000000000007</v>
      </c>
      <c r="AO333" s="2">
        <v>29.7</v>
      </c>
      <c r="AP333" s="2">
        <v>564</v>
      </c>
      <c r="AQ333" s="2">
        <v>68</v>
      </c>
      <c r="AR333" s="2">
        <v>1.8</v>
      </c>
      <c r="AS333" s="2">
        <v>43</v>
      </c>
      <c r="AT333" s="2">
        <v>25.4</v>
      </c>
      <c r="AU333" s="2">
        <v>162</v>
      </c>
      <c r="AV333" s="2">
        <v>9.1</v>
      </c>
      <c r="AW333" s="2">
        <v>9.1999999999999993</v>
      </c>
      <c r="AX333" s="2">
        <v>18.3</v>
      </c>
      <c r="AY333" s="2">
        <v>0.34</v>
      </c>
      <c r="AZ333" s="2">
        <v>7.3</v>
      </c>
      <c r="BA333" s="2">
        <v>0.9</v>
      </c>
      <c r="BB333" s="2">
        <v>7.5</v>
      </c>
      <c r="BC333" s="2">
        <v>2.9</v>
      </c>
      <c r="BD333" s="2">
        <f>+AN333*EXP(-0.0495*Y333)</f>
        <v>9.1706286082673092</v>
      </c>
      <c r="BE333" s="2">
        <f>+AO333*EXP(-0.024*Y333)</f>
        <v>28.7593943972409</v>
      </c>
    </row>
    <row r="334" spans="1:57" x14ac:dyDescent="0.2">
      <c r="A334" s="2" t="s">
        <v>4118</v>
      </c>
      <c r="B334" s="2" t="s">
        <v>19</v>
      </c>
      <c r="C334" s="2" t="s">
        <v>3245</v>
      </c>
      <c r="D334" s="2" t="s">
        <v>21</v>
      </c>
      <c r="E334" s="2" t="s">
        <v>496</v>
      </c>
      <c r="F334" s="2">
        <v>4</v>
      </c>
      <c r="G334" s="2">
        <v>92</v>
      </c>
      <c r="H334" s="2">
        <v>3</v>
      </c>
      <c r="I334" s="2">
        <v>2</v>
      </c>
      <c r="J334" s="2">
        <v>1</v>
      </c>
      <c r="K334" s="2" t="s">
        <v>61</v>
      </c>
      <c r="L334" s="6" t="s">
        <v>62</v>
      </c>
      <c r="M334" s="5">
        <v>490350000</v>
      </c>
      <c r="N334" s="2">
        <v>0</v>
      </c>
      <c r="O334" s="2">
        <v>4.7207926000000002</v>
      </c>
      <c r="P334" s="2">
        <v>-74.074768000000006</v>
      </c>
      <c r="Q334" s="2" t="s">
        <v>4119</v>
      </c>
      <c r="R334" s="2">
        <v>5329891.3039999995</v>
      </c>
      <c r="S334" s="2">
        <v>0</v>
      </c>
      <c r="T334" s="2" t="s">
        <v>68</v>
      </c>
      <c r="U334" s="2" t="s">
        <v>69</v>
      </c>
      <c r="V334" s="2" t="s">
        <v>28</v>
      </c>
      <c r="W334" s="2" t="s">
        <v>70</v>
      </c>
      <c r="X334" s="2" t="s">
        <v>71</v>
      </c>
      <c r="Y334" s="2">
        <v>1.91804207748638</v>
      </c>
      <c r="Z334" s="2">
        <v>4.73719444444444</v>
      </c>
      <c r="AA334" s="2">
        <v>-74.069472222222203</v>
      </c>
      <c r="AB334" s="2">
        <v>2555</v>
      </c>
      <c r="AC334" s="2" t="s">
        <v>31</v>
      </c>
      <c r="AD334" s="2" t="s">
        <v>58</v>
      </c>
      <c r="AE334" s="2" t="s">
        <v>33</v>
      </c>
      <c r="AF334" s="2" t="s">
        <v>34</v>
      </c>
      <c r="AG334" s="2" t="s">
        <v>72</v>
      </c>
      <c r="AH334" s="2">
        <v>5.2815802702927503E-2</v>
      </c>
      <c r="AI334" s="2">
        <v>5.6262528370061196</v>
      </c>
      <c r="AJ334" s="2">
        <v>0.57249370046869297</v>
      </c>
      <c r="AK334" s="2">
        <v>0.28036028106592198</v>
      </c>
      <c r="AL334" s="2">
        <v>0.120358298935377</v>
      </c>
      <c r="AM334" s="2">
        <v>15.3</v>
      </c>
      <c r="AN334" s="2">
        <v>9.8000000000000007</v>
      </c>
      <c r="AO334" s="2">
        <v>29.7</v>
      </c>
      <c r="AP334" s="2">
        <v>564</v>
      </c>
      <c r="AQ334" s="2">
        <v>68</v>
      </c>
      <c r="AR334" s="2">
        <v>1.8</v>
      </c>
      <c r="AS334" s="2">
        <v>43</v>
      </c>
      <c r="AT334" s="2">
        <v>25.4</v>
      </c>
      <c r="AU334" s="2">
        <v>162</v>
      </c>
      <c r="AV334" s="2">
        <v>9.1</v>
      </c>
      <c r="AW334" s="2">
        <v>9.1999999999999993</v>
      </c>
      <c r="AX334" s="2">
        <v>18.3</v>
      </c>
      <c r="AY334" s="2">
        <v>0.34</v>
      </c>
      <c r="AZ334" s="2">
        <v>7.3</v>
      </c>
      <c r="BA334" s="2">
        <v>0.9</v>
      </c>
      <c r="BB334" s="2">
        <v>7.5</v>
      </c>
      <c r="BC334" s="2">
        <v>2.9</v>
      </c>
      <c r="BD334" s="2">
        <f>+AN334*EXP(-0.0495*Y334)</f>
        <v>8.9123620097267757</v>
      </c>
      <c r="BE334" s="2">
        <f>+AO334*EXP(-0.024*Y334)</f>
        <v>28.363809976223617</v>
      </c>
    </row>
    <row r="335" spans="1:57" x14ac:dyDescent="0.2">
      <c r="A335" s="2" t="s">
        <v>1809</v>
      </c>
      <c r="B335" s="2" t="s">
        <v>19</v>
      </c>
      <c r="C335" s="2" t="s">
        <v>20</v>
      </c>
      <c r="D335" s="2" t="s">
        <v>21</v>
      </c>
      <c r="E335" s="2" t="s">
        <v>660</v>
      </c>
      <c r="F335" s="2">
        <v>4</v>
      </c>
      <c r="G335" s="2">
        <v>89</v>
      </c>
      <c r="H335" s="2">
        <v>3</v>
      </c>
      <c r="I335" s="2">
        <v>3</v>
      </c>
      <c r="J335" s="2">
        <v>2</v>
      </c>
      <c r="K335" s="2" t="s">
        <v>23</v>
      </c>
      <c r="L335" s="6" t="s">
        <v>24</v>
      </c>
      <c r="M335" s="5">
        <v>961534000</v>
      </c>
      <c r="N335" s="2">
        <v>0</v>
      </c>
      <c r="O335" s="2">
        <v>4.7347703000000001</v>
      </c>
      <c r="P335" s="2">
        <v>-74.064255000000003</v>
      </c>
      <c r="Q335" s="2" t="s">
        <v>1810</v>
      </c>
      <c r="R335" s="2">
        <v>10803752.810000001</v>
      </c>
      <c r="S335" s="2">
        <v>0</v>
      </c>
      <c r="T335" s="2" t="s">
        <v>68</v>
      </c>
      <c r="U335" s="2" t="s">
        <v>69</v>
      </c>
      <c r="V335" s="2" t="s">
        <v>28</v>
      </c>
      <c r="W335" s="2" t="s">
        <v>70</v>
      </c>
      <c r="X335" s="2" t="s">
        <v>71</v>
      </c>
      <c r="Y335" s="2">
        <v>0.63861239961929905</v>
      </c>
      <c r="Z335" s="2">
        <v>4.73719444444444</v>
      </c>
      <c r="AA335" s="2">
        <v>-74.069472222222203</v>
      </c>
      <c r="AB335" s="2">
        <v>2555</v>
      </c>
      <c r="AC335" s="2" t="s">
        <v>31</v>
      </c>
      <c r="AD335" s="2" t="s">
        <v>58</v>
      </c>
      <c r="AE335" s="2" t="s">
        <v>33</v>
      </c>
      <c r="AF335" s="2" t="s">
        <v>34</v>
      </c>
      <c r="AG335" s="2" t="s">
        <v>72</v>
      </c>
      <c r="AH335" s="2">
        <v>1.41440551929003</v>
      </c>
      <c r="AI335" s="2">
        <v>4.6910347939887096</v>
      </c>
      <c r="AJ335" s="2">
        <v>2.1334931094723402</v>
      </c>
      <c r="AK335" s="2">
        <v>0.32470775729854101</v>
      </c>
      <c r="AL335" s="2">
        <v>0.306373537902556</v>
      </c>
      <c r="AM335" s="2">
        <v>15.3</v>
      </c>
      <c r="AN335" s="2">
        <v>9.8000000000000007</v>
      </c>
      <c r="AO335" s="2">
        <v>29.7</v>
      </c>
      <c r="AP335" s="2">
        <v>564</v>
      </c>
      <c r="AQ335" s="2">
        <v>68</v>
      </c>
      <c r="AR335" s="2">
        <v>1.8</v>
      </c>
      <c r="AS335" s="2">
        <v>43</v>
      </c>
      <c r="AT335" s="2">
        <v>25.4</v>
      </c>
      <c r="AU335" s="2">
        <v>162</v>
      </c>
      <c r="AV335" s="2">
        <v>9.1</v>
      </c>
      <c r="AW335" s="2">
        <v>9.1999999999999993</v>
      </c>
      <c r="AX335" s="2">
        <v>18.3</v>
      </c>
      <c r="AY335" s="2">
        <v>0.34</v>
      </c>
      <c r="AZ335" s="2">
        <v>7.3</v>
      </c>
      <c r="BA335" s="2">
        <v>0.9</v>
      </c>
      <c r="BB335" s="2">
        <v>7.5</v>
      </c>
      <c r="BC335" s="2">
        <v>2.9</v>
      </c>
      <c r="BD335" s="2">
        <f>+AN335*EXP(-0.0495*Y335)</f>
        <v>9.4950543840132475</v>
      </c>
      <c r="BE335" s="2">
        <f>+AO335*EXP(-0.024*Y335)</f>
        <v>29.248267706591257</v>
      </c>
    </row>
    <row r="336" spans="1:57" x14ac:dyDescent="0.2">
      <c r="A336" s="2" t="s">
        <v>1310</v>
      </c>
      <c r="B336" s="2" t="s">
        <v>19</v>
      </c>
      <c r="C336" s="2" t="s">
        <v>20</v>
      </c>
      <c r="D336" s="2" t="s">
        <v>21</v>
      </c>
      <c r="E336" s="2" t="s">
        <v>1311</v>
      </c>
      <c r="F336" s="2">
        <v>5</v>
      </c>
      <c r="G336" s="2">
        <v>86</v>
      </c>
      <c r="H336" s="2">
        <v>3</v>
      </c>
      <c r="I336" s="2">
        <v>2</v>
      </c>
      <c r="J336" s="2">
        <v>2</v>
      </c>
      <c r="K336" s="2" t="s">
        <v>61</v>
      </c>
      <c r="L336" s="6" t="s">
        <v>75</v>
      </c>
      <c r="M336" s="5">
        <v>700000000</v>
      </c>
      <c r="N336" s="2">
        <v>0</v>
      </c>
      <c r="O336" s="2">
        <v>4.751829624</v>
      </c>
      <c r="P336" s="2">
        <v>-74.067932130000003</v>
      </c>
      <c r="Q336" s="2" t="s">
        <v>1312</v>
      </c>
      <c r="R336" s="2">
        <v>8139534.8839999996</v>
      </c>
      <c r="S336" s="2">
        <v>0</v>
      </c>
      <c r="T336" s="2" t="s">
        <v>68</v>
      </c>
      <c r="U336" s="2" t="s">
        <v>69</v>
      </c>
      <c r="V336" s="2" t="s">
        <v>28</v>
      </c>
      <c r="W336" s="2" t="s">
        <v>70</v>
      </c>
      <c r="X336" s="2" t="s">
        <v>71</v>
      </c>
      <c r="Y336" s="2">
        <v>1.6381151486454999</v>
      </c>
      <c r="Z336" s="2">
        <v>4.73719444444444</v>
      </c>
      <c r="AA336" s="2">
        <v>-74.069472222222203</v>
      </c>
      <c r="AB336" s="2">
        <v>2555</v>
      </c>
      <c r="AC336" s="2" t="s">
        <v>31</v>
      </c>
      <c r="AD336" s="2" t="s">
        <v>58</v>
      </c>
      <c r="AE336" s="2" t="s">
        <v>33</v>
      </c>
      <c r="AF336" s="2" t="s">
        <v>34</v>
      </c>
      <c r="AG336" s="2" t="s">
        <v>72</v>
      </c>
      <c r="AH336" s="2">
        <v>2.3126425038752298</v>
      </c>
      <c r="AI336" s="2">
        <v>4.8256085423620103</v>
      </c>
      <c r="AJ336" s="2">
        <v>1.6090546353923501</v>
      </c>
      <c r="AK336" s="2">
        <v>0.333661130773451</v>
      </c>
      <c r="AL336" s="2">
        <v>5.3022455185054301E-3</v>
      </c>
      <c r="AM336" s="2">
        <v>15.3</v>
      </c>
      <c r="AN336" s="2">
        <v>9.8000000000000007</v>
      </c>
      <c r="AO336" s="2">
        <v>29.7</v>
      </c>
      <c r="AP336" s="2">
        <v>564</v>
      </c>
      <c r="AQ336" s="2">
        <v>68</v>
      </c>
      <c r="AR336" s="2">
        <v>1.8</v>
      </c>
      <c r="AS336" s="2">
        <v>43</v>
      </c>
      <c r="AT336" s="2">
        <v>25.4</v>
      </c>
      <c r="AU336" s="2">
        <v>162</v>
      </c>
      <c r="AV336" s="2">
        <v>9.1</v>
      </c>
      <c r="AW336" s="2">
        <v>9.1999999999999993</v>
      </c>
      <c r="AX336" s="2">
        <v>18.3</v>
      </c>
      <c r="AY336" s="2">
        <v>0.34</v>
      </c>
      <c r="AZ336" s="2">
        <v>7.3</v>
      </c>
      <c r="BA336" s="2">
        <v>0.9</v>
      </c>
      <c r="BB336" s="2">
        <v>7.5</v>
      </c>
      <c r="BC336" s="2">
        <v>2.9</v>
      </c>
      <c r="BD336" s="2">
        <f>+AN336*EXP(-0.0495*Y336)</f>
        <v>9.0367146603148907</v>
      </c>
      <c r="BE336" s="2">
        <f>+AO336*EXP(-0.024*Y336)</f>
        <v>28.555006571201162</v>
      </c>
    </row>
    <row r="337" spans="1:57" x14ac:dyDescent="0.2">
      <c r="A337" s="2" t="s">
        <v>781</v>
      </c>
      <c r="B337" s="2" t="s">
        <v>19</v>
      </c>
      <c r="C337" s="2" t="s">
        <v>20</v>
      </c>
      <c r="D337" s="2" t="s">
        <v>21</v>
      </c>
      <c r="E337" s="2" t="s">
        <v>496</v>
      </c>
      <c r="F337" s="2">
        <v>4</v>
      </c>
      <c r="G337" s="2">
        <v>86</v>
      </c>
      <c r="H337" s="2">
        <v>3</v>
      </c>
      <c r="I337" s="2">
        <v>2</v>
      </c>
      <c r="J337" s="2">
        <v>2</v>
      </c>
      <c r="K337" s="2" t="s">
        <v>61</v>
      </c>
      <c r="L337" s="6" t="s">
        <v>75</v>
      </c>
      <c r="M337" s="5">
        <v>570000000</v>
      </c>
      <c r="N337" s="2">
        <v>0</v>
      </c>
      <c r="O337" s="2">
        <v>4.7340949999999999</v>
      </c>
      <c r="P337" s="2">
        <v>-74.054550000000006</v>
      </c>
      <c r="Q337" s="2" t="s">
        <v>782</v>
      </c>
      <c r="R337" s="2">
        <v>6627906.977</v>
      </c>
      <c r="S337" s="2">
        <v>0</v>
      </c>
      <c r="T337" s="2" t="s">
        <v>68</v>
      </c>
      <c r="U337" s="2" t="s">
        <v>69</v>
      </c>
      <c r="V337" s="2" t="s">
        <v>28</v>
      </c>
      <c r="W337" s="2" t="s">
        <v>70</v>
      </c>
      <c r="X337" s="2" t="s">
        <v>71</v>
      </c>
      <c r="Y337" s="2">
        <v>1.69103633527833</v>
      </c>
      <c r="Z337" s="2">
        <v>4.73719444444444</v>
      </c>
      <c r="AA337" s="2">
        <v>-74.069472222222203</v>
      </c>
      <c r="AB337" s="2">
        <v>2555</v>
      </c>
      <c r="AC337" s="2" t="s">
        <v>31</v>
      </c>
      <c r="AD337" s="2" t="s">
        <v>58</v>
      </c>
      <c r="AE337" s="2" t="s">
        <v>33</v>
      </c>
      <c r="AF337" s="2" t="s">
        <v>34</v>
      </c>
      <c r="AG337" s="2" t="s">
        <v>72</v>
      </c>
      <c r="AH337" s="2">
        <v>0.59277178622231996</v>
      </c>
      <c r="AI337" s="2">
        <v>3.61271211012992</v>
      </c>
      <c r="AJ337" s="2">
        <v>1.6217794626648001</v>
      </c>
      <c r="AK337" s="2">
        <v>0.10582302991516999</v>
      </c>
      <c r="AL337" s="2">
        <v>0.104422808106396</v>
      </c>
      <c r="AM337" s="2">
        <v>15.3</v>
      </c>
      <c r="AN337" s="2">
        <v>9.8000000000000007</v>
      </c>
      <c r="AO337" s="2">
        <v>29.7</v>
      </c>
      <c r="AP337" s="2">
        <v>564</v>
      </c>
      <c r="AQ337" s="2">
        <v>68</v>
      </c>
      <c r="AR337" s="2">
        <v>1.8</v>
      </c>
      <c r="AS337" s="2">
        <v>43</v>
      </c>
      <c r="AT337" s="2">
        <v>25.4</v>
      </c>
      <c r="AU337" s="2">
        <v>162</v>
      </c>
      <c r="AV337" s="2">
        <v>9.1</v>
      </c>
      <c r="AW337" s="2">
        <v>9.1999999999999993</v>
      </c>
      <c r="AX337" s="2">
        <v>18.3</v>
      </c>
      <c r="AY337" s="2">
        <v>0.34</v>
      </c>
      <c r="AZ337" s="2">
        <v>7.3</v>
      </c>
      <c r="BA337" s="2">
        <v>0.9</v>
      </c>
      <c r="BB337" s="2">
        <v>7.5</v>
      </c>
      <c r="BC337" s="2">
        <v>2.9</v>
      </c>
      <c r="BD337" s="2">
        <f>+AN337*EXP(-0.0495*Y337)</f>
        <v>9.0130730732475843</v>
      </c>
      <c r="BE337" s="2">
        <f>+AO337*EXP(-0.024*Y337)</f>
        <v>28.51876163760301</v>
      </c>
    </row>
    <row r="338" spans="1:57" x14ac:dyDescent="0.2">
      <c r="A338" s="2" t="s">
        <v>1088</v>
      </c>
      <c r="B338" s="2" t="s">
        <v>19</v>
      </c>
      <c r="C338" s="2" t="s">
        <v>20</v>
      </c>
      <c r="D338" s="2" t="s">
        <v>21</v>
      </c>
      <c r="E338" s="2" t="s">
        <v>329</v>
      </c>
      <c r="F338" s="2">
        <v>5</v>
      </c>
      <c r="G338" s="2">
        <v>86</v>
      </c>
      <c r="H338" s="2">
        <v>2</v>
      </c>
      <c r="I338" s="2">
        <v>2</v>
      </c>
      <c r="J338" s="2">
        <v>1</v>
      </c>
      <c r="K338" s="2" t="s">
        <v>61</v>
      </c>
      <c r="L338" s="6" t="s">
        <v>113</v>
      </c>
      <c r="M338" s="5">
        <v>489000000</v>
      </c>
      <c r="N338" s="2">
        <v>0</v>
      </c>
      <c r="O338" s="2">
        <v>4.7201424000000003</v>
      </c>
      <c r="P338" s="2">
        <v>-74.06523</v>
      </c>
      <c r="Q338" s="2" t="s">
        <v>1089</v>
      </c>
      <c r="R338" s="2">
        <v>5686046.5120000001</v>
      </c>
      <c r="S338" s="2">
        <v>0</v>
      </c>
      <c r="T338" s="2" t="s">
        <v>68</v>
      </c>
      <c r="U338" s="2" t="s">
        <v>69</v>
      </c>
      <c r="V338" s="2" t="s">
        <v>28</v>
      </c>
      <c r="W338" s="2" t="s">
        <v>70</v>
      </c>
      <c r="X338" s="2" t="s">
        <v>71</v>
      </c>
      <c r="Y338" s="2">
        <v>1.9556980190409301</v>
      </c>
      <c r="Z338" s="2">
        <v>4.73719444444444</v>
      </c>
      <c r="AA338" s="2">
        <v>-74.069472222222203</v>
      </c>
      <c r="AB338" s="2">
        <v>2555</v>
      </c>
      <c r="AC338" s="2" t="s">
        <v>31</v>
      </c>
      <c r="AD338" s="2" t="s">
        <v>58</v>
      </c>
      <c r="AE338" s="2" t="s">
        <v>33</v>
      </c>
      <c r="AF338" s="2" t="s">
        <v>34</v>
      </c>
      <c r="AG338" s="2" t="s">
        <v>72</v>
      </c>
      <c r="AH338" s="2">
        <v>1.0585986544160899</v>
      </c>
      <c r="AI338" s="2">
        <v>4.5719957433163296</v>
      </c>
      <c r="AJ338" s="2">
        <v>0.77638091112755003</v>
      </c>
      <c r="AK338" s="2">
        <v>0.26357306401214398</v>
      </c>
      <c r="AL338" s="2">
        <v>0.355992572125994</v>
      </c>
      <c r="AM338" s="2">
        <v>15.3</v>
      </c>
      <c r="AN338" s="2">
        <v>9.8000000000000007</v>
      </c>
      <c r="AO338" s="2">
        <v>29.7</v>
      </c>
      <c r="AP338" s="2">
        <v>564</v>
      </c>
      <c r="AQ338" s="2">
        <v>68</v>
      </c>
      <c r="AR338" s="2">
        <v>1.8</v>
      </c>
      <c r="AS338" s="2">
        <v>43</v>
      </c>
      <c r="AT338" s="2">
        <v>25.4</v>
      </c>
      <c r="AU338" s="2">
        <v>162</v>
      </c>
      <c r="AV338" s="2">
        <v>9.1</v>
      </c>
      <c r="AW338" s="2">
        <v>9.1999999999999993</v>
      </c>
      <c r="AX338" s="2">
        <v>18.3</v>
      </c>
      <c r="AY338" s="2">
        <v>0.34</v>
      </c>
      <c r="AZ338" s="2">
        <v>7.3</v>
      </c>
      <c r="BA338" s="2">
        <v>0.9</v>
      </c>
      <c r="BB338" s="2">
        <v>7.5</v>
      </c>
      <c r="BC338" s="2">
        <v>2.9</v>
      </c>
      <c r="BD338" s="2">
        <f>+AN338*EXP(-0.0495*Y338)</f>
        <v>8.8957651151254193</v>
      </c>
      <c r="BE338" s="2">
        <f>+AO338*EXP(-0.024*Y338)</f>
        <v>28.33818797251811</v>
      </c>
    </row>
    <row r="339" spans="1:57" x14ac:dyDescent="0.2">
      <c r="A339" s="2" t="s">
        <v>240</v>
      </c>
      <c r="B339" s="2" t="s">
        <v>19</v>
      </c>
      <c r="C339" s="2" t="s">
        <v>20</v>
      </c>
      <c r="D339" s="2" t="s">
        <v>21</v>
      </c>
      <c r="E339" s="2" t="s">
        <v>241</v>
      </c>
      <c r="F339" s="2">
        <v>4</v>
      </c>
      <c r="G339" s="2">
        <v>86</v>
      </c>
      <c r="H339" s="2">
        <v>3</v>
      </c>
      <c r="I339" s="2">
        <v>2</v>
      </c>
      <c r="J339" s="2">
        <v>1</v>
      </c>
      <c r="K339" s="2" t="s">
        <v>61</v>
      </c>
      <c r="L339" s="6" t="s">
        <v>75</v>
      </c>
      <c r="M339" s="5">
        <v>470000000</v>
      </c>
      <c r="N339" s="2">
        <v>0</v>
      </c>
      <c r="O339" s="2">
        <v>4.7687564</v>
      </c>
      <c r="P339" s="2">
        <v>-74.033019999999993</v>
      </c>
      <c r="Q339" s="2" t="s">
        <v>242</v>
      </c>
      <c r="R339" s="2">
        <v>5465116.2790000001</v>
      </c>
      <c r="S339" s="2">
        <v>0</v>
      </c>
      <c r="T339" s="2" t="s">
        <v>102</v>
      </c>
      <c r="U339" s="2" t="s">
        <v>103</v>
      </c>
      <c r="V339" s="2" t="s">
        <v>28</v>
      </c>
      <c r="W339" s="2" t="s">
        <v>70</v>
      </c>
      <c r="X339" s="2" t="s">
        <v>104</v>
      </c>
      <c r="Y339" s="2">
        <v>2.0753864477958199</v>
      </c>
      <c r="Z339" s="2">
        <v>4.7837500000000004</v>
      </c>
      <c r="AA339" s="2">
        <v>-74.044138888888895</v>
      </c>
      <c r="AB339" s="2">
        <v>2580</v>
      </c>
      <c r="AC339" s="2" t="s">
        <v>105</v>
      </c>
      <c r="AD339" s="2" t="s">
        <v>58</v>
      </c>
      <c r="AE339" s="2" t="s">
        <v>33</v>
      </c>
      <c r="AF339" s="2" t="s">
        <v>34</v>
      </c>
      <c r="AG339" s="2" t="s">
        <v>59</v>
      </c>
      <c r="AH339" s="2">
        <v>1.1699407171460099</v>
      </c>
      <c r="AI339" s="2">
        <v>1.12988624185324</v>
      </c>
      <c r="AJ339" s="2">
        <v>1.9853146006398099</v>
      </c>
      <c r="AK339" s="2">
        <v>0.39731093006847301</v>
      </c>
      <c r="AL339" s="2">
        <v>0.132319589453985</v>
      </c>
      <c r="AM339" s="2">
        <v>15.3</v>
      </c>
      <c r="AN339" s="2">
        <v>9.8000000000000007</v>
      </c>
      <c r="AO339" s="2">
        <v>29.7</v>
      </c>
      <c r="AP339" s="2">
        <v>564</v>
      </c>
      <c r="AQ339" s="2">
        <v>68</v>
      </c>
      <c r="AR339" s="2">
        <v>1.8</v>
      </c>
      <c r="AS339" s="2">
        <v>43</v>
      </c>
      <c r="AT339" s="2">
        <v>25.4</v>
      </c>
      <c r="AU339" s="2">
        <v>162</v>
      </c>
      <c r="AV339" s="2">
        <v>9.1</v>
      </c>
      <c r="AW339" s="2">
        <v>9.1999999999999993</v>
      </c>
      <c r="AX339" s="2">
        <v>18.3</v>
      </c>
      <c r="AY339" s="2">
        <v>0.34</v>
      </c>
      <c r="AZ339" s="2">
        <v>7.3</v>
      </c>
      <c r="BA339" s="2">
        <v>0.9</v>
      </c>
      <c r="BB339" s="2">
        <v>7.5</v>
      </c>
      <c r="BC339" s="2">
        <v>2.9</v>
      </c>
      <c r="BD339" s="2">
        <f>+AN339*EXP(-0.0495*Y339)</f>
        <v>8.8432172832887552</v>
      </c>
      <c r="BE339" s="2">
        <f>+AO339*EXP(-0.024*Y339)</f>
        <v>28.256902698678992</v>
      </c>
    </row>
    <row r="340" spans="1:57" x14ac:dyDescent="0.2">
      <c r="A340" s="2" t="s">
        <v>690</v>
      </c>
      <c r="B340" s="2" t="s">
        <v>19</v>
      </c>
      <c r="C340" s="2" t="s">
        <v>20</v>
      </c>
      <c r="D340" s="2" t="s">
        <v>21</v>
      </c>
      <c r="E340" s="2" t="s">
        <v>499</v>
      </c>
      <c r="F340" s="2">
        <v>6</v>
      </c>
      <c r="G340" s="2">
        <v>84.61</v>
      </c>
      <c r="H340" s="2">
        <v>3</v>
      </c>
      <c r="I340" s="2">
        <v>2</v>
      </c>
      <c r="J340" s="2">
        <v>2</v>
      </c>
      <c r="K340" s="2" t="s">
        <v>61</v>
      </c>
      <c r="L340" s="6" t="s">
        <v>113</v>
      </c>
      <c r="M340" s="5">
        <v>570000000</v>
      </c>
      <c r="N340" s="2">
        <v>0</v>
      </c>
      <c r="O340" s="2">
        <v>4.7188668250000001</v>
      </c>
      <c r="P340" s="2">
        <v>-74.075317380000001</v>
      </c>
      <c r="Q340" s="2" t="s">
        <v>691</v>
      </c>
      <c r="R340" s="2">
        <v>6736792.341</v>
      </c>
      <c r="S340" s="2">
        <v>0</v>
      </c>
      <c r="T340" s="2" t="s">
        <v>68</v>
      </c>
      <c r="U340" s="2" t="s">
        <v>69</v>
      </c>
      <c r="V340" s="2" t="s">
        <v>28</v>
      </c>
      <c r="W340" s="2" t="s">
        <v>70</v>
      </c>
      <c r="X340" s="2" t="s">
        <v>71</v>
      </c>
      <c r="Y340" s="2">
        <v>2.1407967558098999</v>
      </c>
      <c r="Z340" s="2">
        <v>4.73719444444444</v>
      </c>
      <c r="AA340" s="2">
        <v>-74.069472222222203</v>
      </c>
      <c r="AB340" s="2">
        <v>2555</v>
      </c>
      <c r="AC340" s="2" t="s">
        <v>31</v>
      </c>
      <c r="AD340" s="2" t="s">
        <v>58</v>
      </c>
      <c r="AE340" s="2" t="s">
        <v>33</v>
      </c>
      <c r="AF340" s="2" t="s">
        <v>34</v>
      </c>
      <c r="AG340" s="2" t="s">
        <v>72</v>
      </c>
      <c r="AH340" s="2">
        <v>0.27363773748540499</v>
      </c>
      <c r="AI340" s="2">
        <v>5.6168123485384998</v>
      </c>
      <c r="AJ340" s="2">
        <v>0.48646348103966802</v>
      </c>
      <c r="AK340" s="2">
        <v>0.28920308795751498</v>
      </c>
      <c r="AL340" s="2">
        <v>2.8349804099503099E-2</v>
      </c>
      <c r="AM340" s="2">
        <v>15.3</v>
      </c>
      <c r="AN340" s="2">
        <v>9.8000000000000007</v>
      </c>
      <c r="AO340" s="2">
        <v>29.7</v>
      </c>
      <c r="AP340" s="2">
        <v>564</v>
      </c>
      <c r="AQ340" s="2">
        <v>68</v>
      </c>
      <c r="AR340" s="2">
        <v>1.8</v>
      </c>
      <c r="AS340" s="2">
        <v>43</v>
      </c>
      <c r="AT340" s="2">
        <v>25.4</v>
      </c>
      <c r="AU340" s="2">
        <v>162</v>
      </c>
      <c r="AV340" s="2">
        <v>9.1</v>
      </c>
      <c r="AW340" s="2">
        <v>9.1999999999999993</v>
      </c>
      <c r="AX340" s="2">
        <v>18.3</v>
      </c>
      <c r="AY340" s="2">
        <v>0.34</v>
      </c>
      <c r="AZ340" s="2">
        <v>7.3</v>
      </c>
      <c r="BA340" s="2">
        <v>0.9</v>
      </c>
      <c r="BB340" s="2">
        <v>7.5</v>
      </c>
      <c r="BC340" s="2">
        <v>2.9</v>
      </c>
      <c r="BD340" s="2">
        <f>+AN340*EXP(-0.0495*Y340)</f>
        <v>8.8146309273268297</v>
      </c>
      <c r="BE340" s="2">
        <f>+AO340*EXP(-0.024*Y340)</f>
        <v>28.212578473899061</v>
      </c>
    </row>
    <row r="341" spans="1:57" x14ac:dyDescent="0.2">
      <c r="A341" s="2" t="s">
        <v>1325</v>
      </c>
      <c r="B341" s="2" t="s">
        <v>19</v>
      </c>
      <c r="C341" s="2" t="s">
        <v>20</v>
      </c>
      <c r="D341" s="2" t="s">
        <v>21</v>
      </c>
      <c r="E341" s="2" t="s">
        <v>1326</v>
      </c>
      <c r="F341" s="2">
        <v>6</v>
      </c>
      <c r="G341" s="2">
        <v>83.89</v>
      </c>
      <c r="H341" s="2">
        <v>3</v>
      </c>
      <c r="I341" s="2">
        <v>2</v>
      </c>
      <c r="J341" s="2">
        <v>1</v>
      </c>
      <c r="K341" s="2" t="s">
        <v>61</v>
      </c>
      <c r="L341" s="6" t="s">
        <v>75</v>
      </c>
      <c r="M341" s="5">
        <v>770000000</v>
      </c>
      <c r="N341" s="2">
        <v>0</v>
      </c>
      <c r="O341" s="2">
        <v>4.7574190610000002</v>
      </c>
      <c r="P341" s="2">
        <v>-74.068408009999999</v>
      </c>
      <c r="Q341" s="2" t="s">
        <v>1327</v>
      </c>
      <c r="R341" s="2">
        <v>9178686.375</v>
      </c>
      <c r="S341" s="2">
        <v>0</v>
      </c>
      <c r="T341" s="2" t="s">
        <v>68</v>
      </c>
      <c r="U341" s="2" t="s">
        <v>69</v>
      </c>
      <c r="V341" s="2" t="s">
        <v>28</v>
      </c>
      <c r="W341" s="2" t="s">
        <v>70</v>
      </c>
      <c r="X341" s="2" t="s">
        <v>71</v>
      </c>
      <c r="Y341" s="2">
        <v>2.2544874032997599</v>
      </c>
      <c r="Z341" s="2">
        <v>4.73719444444444</v>
      </c>
      <c r="AA341" s="2">
        <v>-74.069472222222203</v>
      </c>
      <c r="AB341" s="2">
        <v>2555</v>
      </c>
      <c r="AC341" s="2" t="s">
        <v>31</v>
      </c>
      <c r="AD341" s="2" t="s">
        <v>58</v>
      </c>
      <c r="AE341" s="2" t="s">
        <v>33</v>
      </c>
      <c r="AF341" s="2" t="s">
        <v>34</v>
      </c>
      <c r="AG341" s="2" t="s">
        <v>72</v>
      </c>
      <c r="AH341" s="2">
        <v>2.49858291886604</v>
      </c>
      <c r="AI341" s="2">
        <v>4.2881046930375</v>
      </c>
      <c r="AJ341" s="2">
        <v>1.7119967810477701</v>
      </c>
      <c r="AK341" s="2">
        <v>0.61459798653327902</v>
      </c>
      <c r="AL341" s="2">
        <v>0.144921638990923</v>
      </c>
      <c r="AM341" s="2">
        <v>15.3</v>
      </c>
      <c r="AN341" s="2">
        <v>9.8000000000000007</v>
      </c>
      <c r="AO341" s="2">
        <v>29.7</v>
      </c>
      <c r="AP341" s="2">
        <v>564</v>
      </c>
      <c r="AQ341" s="2">
        <v>68</v>
      </c>
      <c r="AR341" s="2">
        <v>1.8</v>
      </c>
      <c r="AS341" s="2">
        <v>43</v>
      </c>
      <c r="AT341" s="2">
        <v>25.4</v>
      </c>
      <c r="AU341" s="2">
        <v>162</v>
      </c>
      <c r="AV341" s="2">
        <v>9.1</v>
      </c>
      <c r="AW341" s="2">
        <v>9.1999999999999993</v>
      </c>
      <c r="AX341" s="2">
        <v>18.3</v>
      </c>
      <c r="AY341" s="2">
        <v>0.34</v>
      </c>
      <c r="AZ341" s="2">
        <v>7.3</v>
      </c>
      <c r="BA341" s="2">
        <v>0.9</v>
      </c>
      <c r="BB341" s="2">
        <v>7.5</v>
      </c>
      <c r="BC341" s="2">
        <v>2.9</v>
      </c>
      <c r="BD341" s="2">
        <f>+AN341*EXP(-0.0495*Y341)</f>
        <v>8.7651642650017436</v>
      </c>
      <c r="BE341" s="2">
        <f>+AO341*EXP(-0.024*Y341)</f>
        <v>28.135703249984971</v>
      </c>
    </row>
    <row r="342" spans="1:57" x14ac:dyDescent="0.2">
      <c r="A342" s="2" t="s">
        <v>217</v>
      </c>
      <c r="B342" s="2" t="s">
        <v>19</v>
      </c>
      <c r="C342" s="2" t="s">
        <v>20</v>
      </c>
      <c r="D342" s="2" t="s">
        <v>21</v>
      </c>
      <c r="E342" s="2" t="s">
        <v>218</v>
      </c>
      <c r="F342" s="2">
        <v>4</v>
      </c>
      <c r="G342" s="2">
        <v>83</v>
      </c>
      <c r="H342" s="2">
        <v>3</v>
      </c>
      <c r="I342" s="2">
        <v>2</v>
      </c>
      <c r="J342" s="2">
        <v>2</v>
      </c>
      <c r="K342" s="2" t="s">
        <v>61</v>
      </c>
      <c r="L342" s="6" t="s">
        <v>62</v>
      </c>
      <c r="M342" s="5">
        <v>690000000</v>
      </c>
      <c r="N342" s="2">
        <v>0</v>
      </c>
      <c r="O342" s="2">
        <v>4.7741193769999999</v>
      </c>
      <c r="P342" s="2">
        <v>-74.052612300000007</v>
      </c>
      <c r="Q342" s="2" t="s">
        <v>219</v>
      </c>
      <c r="R342" s="2">
        <v>8313253.0120000001</v>
      </c>
      <c r="S342" s="2">
        <v>0</v>
      </c>
      <c r="T342" s="2" t="s">
        <v>102</v>
      </c>
      <c r="U342" s="2" t="s">
        <v>103</v>
      </c>
      <c r="V342" s="2" t="s">
        <v>28</v>
      </c>
      <c r="W342" s="2" t="s">
        <v>70</v>
      </c>
      <c r="X342" s="2" t="s">
        <v>104</v>
      </c>
      <c r="Y342" s="2">
        <v>1.42579911825315</v>
      </c>
      <c r="Z342" s="2">
        <v>4.7837500000000004</v>
      </c>
      <c r="AA342" s="2">
        <v>-74.044138888888895</v>
      </c>
      <c r="AB342" s="2">
        <v>2580</v>
      </c>
      <c r="AC342" s="2" t="s">
        <v>105</v>
      </c>
      <c r="AD342" s="2" t="s">
        <v>58</v>
      </c>
      <c r="AE342" s="2" t="s">
        <v>33</v>
      </c>
      <c r="AF342" s="2" t="s">
        <v>34</v>
      </c>
      <c r="AG342" s="2" t="s">
        <v>72</v>
      </c>
      <c r="AH342" s="2">
        <v>1.1608392913786301</v>
      </c>
      <c r="AI342" s="2">
        <v>3.3667568810628201</v>
      </c>
      <c r="AJ342" s="2">
        <v>2.2943939312337802</v>
      </c>
      <c r="AK342" s="2">
        <v>1.02768826395857</v>
      </c>
      <c r="AL342" s="2">
        <v>5.5542191408408298E-2</v>
      </c>
      <c r="AM342" s="2">
        <v>15.3</v>
      </c>
      <c r="AN342" s="2">
        <v>9.8000000000000007</v>
      </c>
      <c r="AO342" s="2">
        <v>29.7</v>
      </c>
      <c r="AP342" s="2">
        <v>564</v>
      </c>
      <c r="AQ342" s="2">
        <v>68</v>
      </c>
      <c r="AR342" s="2">
        <v>1.8</v>
      </c>
      <c r="AS342" s="2">
        <v>43</v>
      </c>
      <c r="AT342" s="2">
        <v>25.4</v>
      </c>
      <c r="AU342" s="2">
        <v>162</v>
      </c>
      <c r="AV342" s="2">
        <v>9.1</v>
      </c>
      <c r="AW342" s="2">
        <v>9.1999999999999993</v>
      </c>
      <c r="AX342" s="2">
        <v>18.3</v>
      </c>
      <c r="AY342" s="2">
        <v>0.34</v>
      </c>
      <c r="AZ342" s="2">
        <v>7.3</v>
      </c>
      <c r="BA342" s="2">
        <v>0.9</v>
      </c>
      <c r="BB342" s="2">
        <v>7.5</v>
      </c>
      <c r="BC342" s="2">
        <v>2.9</v>
      </c>
      <c r="BD342" s="2">
        <f>+AN342*EXP(-0.0495*Y342)</f>
        <v>9.1321881271232996</v>
      </c>
      <c r="BE342" s="2">
        <f>+AO342*EXP(-0.024*Y342)</f>
        <v>28.700882372247428</v>
      </c>
    </row>
    <row r="343" spans="1:57" x14ac:dyDescent="0.2">
      <c r="A343" s="2" t="s">
        <v>360</v>
      </c>
      <c r="B343" s="2" t="s">
        <v>19</v>
      </c>
      <c r="C343" s="2" t="s">
        <v>20</v>
      </c>
      <c r="D343" s="2" t="s">
        <v>21</v>
      </c>
      <c r="E343" s="2" t="s">
        <v>361</v>
      </c>
      <c r="F343" s="2">
        <v>3</v>
      </c>
      <c r="G343" s="2">
        <v>82</v>
      </c>
      <c r="H343" s="2">
        <v>3</v>
      </c>
      <c r="I343" s="2">
        <v>2</v>
      </c>
      <c r="J343" s="2">
        <v>1</v>
      </c>
      <c r="K343" s="2" t="s">
        <v>61</v>
      </c>
      <c r="L343" s="6" t="s">
        <v>113</v>
      </c>
      <c r="M343" s="5">
        <v>350000000</v>
      </c>
      <c r="N343" s="2">
        <v>0</v>
      </c>
      <c r="O343" s="2">
        <v>4.7044548400000004</v>
      </c>
      <c r="P343" s="2">
        <v>-74.090005160000004</v>
      </c>
      <c r="Q343" s="2" t="s">
        <v>362</v>
      </c>
      <c r="R343" s="2">
        <v>4268292.6830000002</v>
      </c>
      <c r="S343" s="2">
        <v>0</v>
      </c>
      <c r="T343" s="2" t="s">
        <v>68</v>
      </c>
      <c r="U343" s="2" t="s">
        <v>69</v>
      </c>
      <c r="V343" s="2" t="s">
        <v>28</v>
      </c>
      <c r="W343" s="2" t="s">
        <v>70</v>
      </c>
      <c r="X343" s="2" t="s">
        <v>71</v>
      </c>
      <c r="Y343" s="2">
        <v>4.2978948051177497</v>
      </c>
      <c r="Z343" s="2">
        <v>4.73719444444444</v>
      </c>
      <c r="AA343" s="2">
        <v>-74.069472222222203</v>
      </c>
      <c r="AB343" s="2">
        <v>2555</v>
      </c>
      <c r="AC343" s="2" t="s">
        <v>31</v>
      </c>
      <c r="AD343" s="2" t="s">
        <v>58</v>
      </c>
      <c r="AE343" s="2" t="s">
        <v>33</v>
      </c>
      <c r="AF343" s="2" t="s">
        <v>34</v>
      </c>
      <c r="AG343" s="2" t="s">
        <v>363</v>
      </c>
      <c r="AH343" s="2">
        <v>0.86380514751675797</v>
      </c>
      <c r="AI343" s="2">
        <v>4.5927726888801104</v>
      </c>
      <c r="AJ343" s="2">
        <v>0.33959124170357302</v>
      </c>
      <c r="AK343" s="2">
        <v>0.77352920237592804</v>
      </c>
      <c r="AL343" s="2">
        <v>0.26651593173249299</v>
      </c>
      <c r="AM343" s="2">
        <v>15.3</v>
      </c>
      <c r="AN343" s="2">
        <v>9.8000000000000007</v>
      </c>
      <c r="AO343" s="2">
        <v>29.7</v>
      </c>
      <c r="AP343" s="2">
        <v>564</v>
      </c>
      <c r="AQ343" s="2">
        <v>68</v>
      </c>
      <c r="AR343" s="2">
        <v>1.8</v>
      </c>
      <c r="AS343" s="2">
        <v>43</v>
      </c>
      <c r="AT343" s="2">
        <v>25.4</v>
      </c>
      <c r="AU343" s="2">
        <v>162</v>
      </c>
      <c r="AV343" s="2">
        <v>9.1</v>
      </c>
      <c r="AW343" s="2">
        <v>9.1999999999999993</v>
      </c>
      <c r="AX343" s="2">
        <v>18.3</v>
      </c>
      <c r="AY343" s="2">
        <v>0.34</v>
      </c>
      <c r="AZ343" s="2">
        <v>7.3</v>
      </c>
      <c r="BA343" s="2">
        <v>0.9</v>
      </c>
      <c r="BB343" s="2">
        <v>7.5</v>
      </c>
      <c r="BC343" s="2">
        <v>2.9</v>
      </c>
      <c r="BD343" s="2">
        <f>+AN343*EXP(-0.0495*Y343)</f>
        <v>7.9219437034851836</v>
      </c>
      <c r="BE343" s="2">
        <f>+AO343*EXP(-0.024*Y343)</f>
        <v>26.789166493802767</v>
      </c>
    </row>
    <row r="344" spans="1:57" x14ac:dyDescent="0.2">
      <c r="A344" s="2" t="s">
        <v>730</v>
      </c>
      <c r="B344" s="2" t="s">
        <v>19</v>
      </c>
      <c r="C344" s="2" t="s">
        <v>20</v>
      </c>
      <c r="D344" s="2" t="s">
        <v>21</v>
      </c>
      <c r="E344" s="2" t="s">
        <v>731</v>
      </c>
      <c r="F344" s="2">
        <v>4</v>
      </c>
      <c r="G344" s="2">
        <v>80</v>
      </c>
      <c r="H344" s="2">
        <v>3</v>
      </c>
      <c r="I344" s="2">
        <v>2</v>
      </c>
      <c r="J344" s="2">
        <v>2</v>
      </c>
      <c r="K344" s="2" t="s">
        <v>61</v>
      </c>
      <c r="L344" s="6" t="s">
        <v>113</v>
      </c>
      <c r="M344" s="5">
        <v>393000000</v>
      </c>
      <c r="N344" s="2">
        <v>0</v>
      </c>
      <c r="O344" s="2">
        <v>4.7672759999999998</v>
      </c>
      <c r="P344" s="2">
        <v>-74.044790000000006</v>
      </c>
      <c r="Q344" s="2" t="s">
        <v>732</v>
      </c>
      <c r="R344" s="2">
        <v>4912500</v>
      </c>
      <c r="S344" s="2">
        <v>0</v>
      </c>
      <c r="T344" s="2" t="s">
        <v>102</v>
      </c>
      <c r="U344" s="2" t="s">
        <v>103</v>
      </c>
      <c r="V344" s="2" t="s">
        <v>28</v>
      </c>
      <c r="W344" s="2" t="s">
        <v>70</v>
      </c>
      <c r="X344" s="2" t="s">
        <v>104</v>
      </c>
      <c r="Y344" s="2">
        <v>1.8352991731669701</v>
      </c>
      <c r="Z344" s="2">
        <v>4.7837500000000004</v>
      </c>
      <c r="AA344" s="2">
        <v>-74.044138888888895</v>
      </c>
      <c r="AB344" s="2">
        <v>2580</v>
      </c>
      <c r="AC344" s="2" t="s">
        <v>105</v>
      </c>
      <c r="AD344" s="2" t="s">
        <v>58</v>
      </c>
      <c r="AE344" s="2" t="s">
        <v>33</v>
      </c>
      <c r="AF344" s="2" t="s">
        <v>34</v>
      </c>
      <c r="AG344" s="2" t="s">
        <v>72</v>
      </c>
      <c r="AH344" s="2">
        <v>0.217454010019793</v>
      </c>
      <c r="AI344" s="2">
        <v>2.4227614029436602</v>
      </c>
      <c r="AJ344" s="2">
        <v>1.81440414433377</v>
      </c>
      <c r="AK344" s="2">
        <v>0.46434284684836102</v>
      </c>
      <c r="AL344" s="2">
        <v>0.234702832766845</v>
      </c>
      <c r="AM344" s="2">
        <v>15.3</v>
      </c>
      <c r="AN344" s="2">
        <v>9.8000000000000007</v>
      </c>
      <c r="AO344" s="2">
        <v>29.7</v>
      </c>
      <c r="AP344" s="2">
        <v>564</v>
      </c>
      <c r="AQ344" s="2">
        <v>68</v>
      </c>
      <c r="AR344" s="2">
        <v>1.8</v>
      </c>
      <c r="AS344" s="2">
        <v>43</v>
      </c>
      <c r="AT344" s="2">
        <v>25.4</v>
      </c>
      <c r="AU344" s="2">
        <v>162</v>
      </c>
      <c r="AV344" s="2">
        <v>9.1</v>
      </c>
      <c r="AW344" s="2">
        <v>9.1999999999999993</v>
      </c>
      <c r="AX344" s="2">
        <v>18.3</v>
      </c>
      <c r="AY344" s="2">
        <v>0.34</v>
      </c>
      <c r="AZ344" s="2">
        <v>7.3</v>
      </c>
      <c r="BA344" s="2">
        <v>0.9</v>
      </c>
      <c r="BB344" s="2">
        <v>7.5</v>
      </c>
      <c r="BC344" s="2">
        <v>2.9</v>
      </c>
      <c r="BD344" s="2">
        <f>+AN344*EXP(-0.0495*Y344)</f>
        <v>8.9489398844356725</v>
      </c>
      <c r="BE344" s="2">
        <f>+AO344*EXP(-0.024*Y344)</f>
        <v>28.420191636242627</v>
      </c>
    </row>
    <row r="345" spans="1:57" x14ac:dyDescent="0.2">
      <c r="A345" s="2" t="s">
        <v>4263</v>
      </c>
      <c r="B345" s="2" t="s">
        <v>19</v>
      </c>
      <c r="C345" s="2" t="s">
        <v>3245</v>
      </c>
      <c r="D345" s="2" t="s">
        <v>21</v>
      </c>
      <c r="E345" s="2" t="s">
        <v>65</v>
      </c>
      <c r="F345" s="2">
        <v>5</v>
      </c>
      <c r="G345" s="2">
        <v>79.97</v>
      </c>
      <c r="H345" s="2">
        <v>1</v>
      </c>
      <c r="I345" s="2">
        <v>2</v>
      </c>
      <c r="J345" s="2">
        <v>2</v>
      </c>
      <c r="K345" s="2" t="s">
        <v>61</v>
      </c>
      <c r="L345" s="6" t="s">
        <v>62</v>
      </c>
      <c r="M345" s="5">
        <v>790000000</v>
      </c>
      <c r="N345" s="2">
        <v>0</v>
      </c>
      <c r="O345" s="2">
        <v>4.7131690769999999</v>
      </c>
      <c r="P345" s="2">
        <v>-74.076100819999994</v>
      </c>
      <c r="Q345" s="2" t="s">
        <v>4264</v>
      </c>
      <c r="R345" s="2">
        <v>9878704.5140000004</v>
      </c>
      <c r="S345" s="2">
        <v>0</v>
      </c>
      <c r="T345" s="2" t="s">
        <v>68</v>
      </c>
      <c r="U345" s="2" t="s">
        <v>69</v>
      </c>
      <c r="V345" s="2" t="s">
        <v>28</v>
      </c>
      <c r="W345" s="2" t="s">
        <v>70</v>
      </c>
      <c r="X345" s="2" t="s">
        <v>71</v>
      </c>
      <c r="Y345" s="2">
        <v>2.77375119005305</v>
      </c>
      <c r="Z345" s="2">
        <v>4.73719444444444</v>
      </c>
      <c r="AA345" s="2">
        <v>-74.069472222222203</v>
      </c>
      <c r="AB345" s="2">
        <v>2555</v>
      </c>
      <c r="AC345" s="2" t="s">
        <v>31</v>
      </c>
      <c r="AD345" s="2" t="s">
        <v>58</v>
      </c>
      <c r="AE345" s="2" t="s">
        <v>33</v>
      </c>
      <c r="AF345" s="2" t="s">
        <v>34</v>
      </c>
      <c r="AG345" s="2" t="s">
        <v>72</v>
      </c>
      <c r="AH345" s="2">
        <v>0.439978160612362</v>
      </c>
      <c r="AI345" s="2">
        <v>5.6644801952619703</v>
      </c>
      <c r="AJ345" s="2">
        <v>0.65982774756661899</v>
      </c>
      <c r="AK345" s="2">
        <v>0.218514245158453</v>
      </c>
      <c r="AL345" s="2">
        <v>0.20222503056909999</v>
      </c>
      <c r="AM345" s="2">
        <v>15.3</v>
      </c>
      <c r="AN345" s="2">
        <v>9.8000000000000007</v>
      </c>
      <c r="AO345" s="2">
        <v>29.7</v>
      </c>
      <c r="AP345" s="2">
        <v>564</v>
      </c>
      <c r="AQ345" s="2">
        <v>68</v>
      </c>
      <c r="AR345" s="2">
        <v>1.8</v>
      </c>
      <c r="AS345" s="2">
        <v>43</v>
      </c>
      <c r="AT345" s="2">
        <v>25.4</v>
      </c>
      <c r="AU345" s="2">
        <v>162</v>
      </c>
      <c r="AV345" s="2">
        <v>9.1</v>
      </c>
      <c r="AW345" s="2">
        <v>9.1999999999999993</v>
      </c>
      <c r="AX345" s="2">
        <v>18.3</v>
      </c>
      <c r="AY345" s="2">
        <v>0.34</v>
      </c>
      <c r="AZ345" s="2">
        <v>7.3</v>
      </c>
      <c r="BA345" s="2">
        <v>0.9</v>
      </c>
      <c r="BB345" s="2">
        <v>7.5</v>
      </c>
      <c r="BC345" s="2">
        <v>2.9</v>
      </c>
      <c r="BD345" s="2">
        <f>+AN345*EXP(-0.0495*Y345)</f>
        <v>8.5427391656838036</v>
      </c>
      <c r="BE345" s="2">
        <f>+AO345*EXP(-0.024*Y345)</f>
        <v>27.787242632173843</v>
      </c>
    </row>
    <row r="346" spans="1:57" x14ac:dyDescent="0.2">
      <c r="A346" s="2" t="s">
        <v>1785</v>
      </c>
      <c r="B346" s="2" t="s">
        <v>19</v>
      </c>
      <c r="C346" s="2" t="s">
        <v>20</v>
      </c>
      <c r="D346" s="2" t="s">
        <v>21</v>
      </c>
      <c r="E346" s="2" t="s">
        <v>496</v>
      </c>
      <c r="F346" s="2">
        <v>4</v>
      </c>
      <c r="G346" s="2">
        <v>79.97</v>
      </c>
      <c r="H346" s="2">
        <v>3</v>
      </c>
      <c r="I346" s="2">
        <v>2</v>
      </c>
      <c r="J346" s="2">
        <v>2</v>
      </c>
      <c r="K346" s="2" t="s">
        <v>61</v>
      </c>
      <c r="L346" s="6" t="s">
        <v>62</v>
      </c>
      <c r="M346" s="5">
        <v>460000000</v>
      </c>
      <c r="N346" s="2">
        <v>0</v>
      </c>
      <c r="O346" s="2">
        <v>4.7325302999999996</v>
      </c>
      <c r="P346" s="2">
        <v>-74.057855200000006</v>
      </c>
      <c r="Q346" s="2" t="s">
        <v>1786</v>
      </c>
      <c r="R346" s="2">
        <v>5752157.0590000004</v>
      </c>
      <c r="S346" s="2">
        <v>0</v>
      </c>
      <c r="T346" s="2" t="s">
        <v>68</v>
      </c>
      <c r="U346" s="2" t="s">
        <v>69</v>
      </c>
      <c r="V346" s="2" t="s">
        <v>28</v>
      </c>
      <c r="W346" s="2" t="s">
        <v>70</v>
      </c>
      <c r="X346" s="2" t="s">
        <v>71</v>
      </c>
      <c r="Y346" s="2">
        <v>1.3894434426983</v>
      </c>
      <c r="Z346" s="2">
        <v>4.73719444444444</v>
      </c>
      <c r="AA346" s="2">
        <v>-74.069472222222203</v>
      </c>
      <c r="AB346" s="2">
        <v>2555</v>
      </c>
      <c r="AC346" s="2" t="s">
        <v>31</v>
      </c>
      <c r="AD346" s="2" t="s">
        <v>58</v>
      </c>
      <c r="AE346" s="2" t="s">
        <v>33</v>
      </c>
      <c r="AF346" s="2" t="s">
        <v>34</v>
      </c>
      <c r="AG346" s="2" t="s">
        <v>72</v>
      </c>
      <c r="AH346" s="2">
        <v>0.91006855700332201</v>
      </c>
      <c r="AI346" s="2">
        <v>3.9758086624105702</v>
      </c>
      <c r="AJ346" s="2">
        <v>1.98309181128807</v>
      </c>
      <c r="AK346" s="2">
        <v>0.19737343491513501</v>
      </c>
      <c r="AL346" s="2">
        <v>2.6859111579953202E-2</v>
      </c>
      <c r="AM346" s="2">
        <v>15.3</v>
      </c>
      <c r="AN346" s="2">
        <v>9.8000000000000007</v>
      </c>
      <c r="AO346" s="2">
        <v>29.7</v>
      </c>
      <c r="AP346" s="2">
        <v>564</v>
      </c>
      <c r="AQ346" s="2">
        <v>68</v>
      </c>
      <c r="AR346" s="2">
        <v>1.8</v>
      </c>
      <c r="AS346" s="2">
        <v>43</v>
      </c>
      <c r="AT346" s="2">
        <v>25.4</v>
      </c>
      <c r="AU346" s="2">
        <v>162</v>
      </c>
      <c r="AV346" s="2">
        <v>9.1</v>
      </c>
      <c r="AW346" s="2">
        <v>9.1999999999999993</v>
      </c>
      <c r="AX346" s="2">
        <v>18.3</v>
      </c>
      <c r="AY346" s="2">
        <v>0.34</v>
      </c>
      <c r="AZ346" s="2">
        <v>7.3</v>
      </c>
      <c r="BA346" s="2">
        <v>0.9</v>
      </c>
      <c r="BB346" s="2">
        <v>7.5</v>
      </c>
      <c r="BC346" s="2">
        <v>2.9</v>
      </c>
      <c r="BD346" s="2">
        <f>+AN346*EXP(-0.0495*Y346)</f>
        <v>9.1486372636643409</v>
      </c>
      <c r="BE346" s="2">
        <f>+AO346*EXP(-0.024*Y346)</f>
        <v>28.725935859919506</v>
      </c>
    </row>
    <row r="347" spans="1:57" x14ac:dyDescent="0.2">
      <c r="A347" s="2" t="s">
        <v>575</v>
      </c>
      <c r="B347" s="2" t="s">
        <v>19</v>
      </c>
      <c r="C347" s="2" t="s">
        <v>20</v>
      </c>
      <c r="D347" s="2" t="s">
        <v>21</v>
      </c>
      <c r="E347" s="2" t="s">
        <v>125</v>
      </c>
      <c r="F347" s="2">
        <v>4</v>
      </c>
      <c r="G347" s="2">
        <v>79</v>
      </c>
      <c r="H347" s="2">
        <v>3</v>
      </c>
      <c r="I347" s="2">
        <v>2</v>
      </c>
      <c r="J347" s="2">
        <v>1</v>
      </c>
      <c r="K347" s="2" t="s">
        <v>61</v>
      </c>
      <c r="L347" s="6" t="s">
        <v>75</v>
      </c>
      <c r="M347" s="5">
        <v>545000000</v>
      </c>
      <c r="N347" s="2">
        <v>0</v>
      </c>
      <c r="O347" s="2">
        <v>4.7415776000000003</v>
      </c>
      <c r="P347" s="2">
        <v>-74.064899999999994</v>
      </c>
      <c r="Q347" s="2" t="s">
        <v>576</v>
      </c>
      <c r="R347" s="2">
        <v>6898734.1770000001</v>
      </c>
      <c r="S347" s="2">
        <v>0</v>
      </c>
      <c r="T347" s="2" t="s">
        <v>68</v>
      </c>
      <c r="U347" s="2" t="s">
        <v>69</v>
      </c>
      <c r="V347" s="2" t="s">
        <v>28</v>
      </c>
      <c r="W347" s="2" t="s">
        <v>70</v>
      </c>
      <c r="X347" s="2" t="s">
        <v>71</v>
      </c>
      <c r="Y347" s="2">
        <v>0.70382231932262596</v>
      </c>
      <c r="Z347" s="2">
        <v>4.73719444444444</v>
      </c>
      <c r="AA347" s="2">
        <v>-74.069472222222203</v>
      </c>
      <c r="AB347" s="2">
        <v>2555</v>
      </c>
      <c r="AC347" s="2" t="s">
        <v>31</v>
      </c>
      <c r="AD347" s="2" t="s">
        <v>58</v>
      </c>
      <c r="AE347" s="2" t="s">
        <v>33</v>
      </c>
      <c r="AF347" s="2" t="s">
        <v>34</v>
      </c>
      <c r="AG347" s="2" t="s">
        <v>72</v>
      </c>
      <c r="AH347" s="2">
        <v>1.8740547920295301</v>
      </c>
      <c r="AI347" s="2">
        <v>4.8574376881613404</v>
      </c>
      <c r="AJ347" s="2">
        <v>1.8159073024210599</v>
      </c>
      <c r="AK347" s="2">
        <v>0.104064439076741</v>
      </c>
      <c r="AL347" s="2">
        <v>0.21507429513164</v>
      </c>
      <c r="AM347" s="2">
        <v>15.3</v>
      </c>
      <c r="AN347" s="2">
        <v>9.8000000000000007</v>
      </c>
      <c r="AO347" s="2">
        <v>29.7</v>
      </c>
      <c r="AP347" s="2">
        <v>564</v>
      </c>
      <c r="AQ347" s="2">
        <v>68</v>
      </c>
      <c r="AR347" s="2">
        <v>1.8</v>
      </c>
      <c r="AS347" s="2">
        <v>43</v>
      </c>
      <c r="AT347" s="2">
        <v>25.4</v>
      </c>
      <c r="AU347" s="2">
        <v>162</v>
      </c>
      <c r="AV347" s="2">
        <v>9.1</v>
      </c>
      <c r="AW347" s="2">
        <v>9.1999999999999993</v>
      </c>
      <c r="AX347" s="2">
        <v>18.3</v>
      </c>
      <c r="AY347" s="2">
        <v>0.34</v>
      </c>
      <c r="AZ347" s="2">
        <v>7.3</v>
      </c>
      <c r="BA347" s="2">
        <v>0.9</v>
      </c>
      <c r="BB347" s="2">
        <v>7.5</v>
      </c>
      <c r="BC347" s="2">
        <v>2.9</v>
      </c>
      <c r="BD347" s="2">
        <f>+AN347*EXP(-0.0495*Y347)</f>
        <v>9.4644547958190746</v>
      </c>
      <c r="BE347" s="2">
        <f>+AO347*EXP(-0.024*Y347)</f>
        <v>29.202528854922644</v>
      </c>
    </row>
    <row r="348" spans="1:57" x14ac:dyDescent="0.2">
      <c r="A348" s="2" t="s">
        <v>2305</v>
      </c>
      <c r="B348" s="2" t="s">
        <v>19</v>
      </c>
      <c r="C348" s="2" t="s">
        <v>1907</v>
      </c>
      <c r="D348" s="2" t="s">
        <v>21</v>
      </c>
      <c r="E348" s="2" t="s">
        <v>135</v>
      </c>
      <c r="F348" s="2">
        <v>3</v>
      </c>
      <c r="G348" s="2">
        <v>78</v>
      </c>
      <c r="H348" s="2">
        <v>3</v>
      </c>
      <c r="I348" s="2">
        <v>3</v>
      </c>
      <c r="J348" s="2">
        <v>1</v>
      </c>
      <c r="K348" s="2" t="s">
        <v>61</v>
      </c>
      <c r="L348" s="6" t="s">
        <v>113</v>
      </c>
      <c r="M348" s="5">
        <v>395000000</v>
      </c>
      <c r="N348" s="2">
        <v>0</v>
      </c>
      <c r="O348" s="2">
        <v>4.7474775310000004</v>
      </c>
      <c r="P348" s="2">
        <v>-74.057640079999999</v>
      </c>
      <c r="Q348" s="2" t="s">
        <v>2306</v>
      </c>
      <c r="R348" s="2">
        <v>5064102.5640000002</v>
      </c>
      <c r="S348" s="2">
        <v>0</v>
      </c>
      <c r="T348" s="2" t="s">
        <v>68</v>
      </c>
      <c r="U348" s="2" t="s">
        <v>69</v>
      </c>
      <c r="V348" s="2" t="s">
        <v>28</v>
      </c>
      <c r="W348" s="2" t="s">
        <v>70</v>
      </c>
      <c r="X348" s="2" t="s">
        <v>71</v>
      </c>
      <c r="Y348" s="2">
        <v>1.74165930792833</v>
      </c>
      <c r="Z348" s="2">
        <v>4.73719444444444</v>
      </c>
      <c r="AA348" s="2">
        <v>-74.069472222222203</v>
      </c>
      <c r="AB348" s="2">
        <v>2555</v>
      </c>
      <c r="AC348" s="2" t="s">
        <v>31</v>
      </c>
      <c r="AD348" s="2" t="s">
        <v>58</v>
      </c>
      <c r="AE348" s="2" t="s">
        <v>33</v>
      </c>
      <c r="AF348" s="2" t="s">
        <v>34</v>
      </c>
      <c r="AG348" s="2" t="s">
        <v>72</v>
      </c>
      <c r="AH348" s="2">
        <v>1.16023899933802</v>
      </c>
      <c r="AI348" s="2">
        <v>4.0909214159076601</v>
      </c>
      <c r="AJ348" s="2">
        <v>0.79726126311425105</v>
      </c>
      <c r="AK348" s="2">
        <v>0.177468771310168</v>
      </c>
      <c r="AL348" s="2">
        <v>9.0495263927204E-2</v>
      </c>
      <c r="AM348" s="2">
        <v>15.3</v>
      </c>
      <c r="AN348" s="2">
        <v>9.8000000000000007</v>
      </c>
      <c r="AO348" s="2">
        <v>29.7</v>
      </c>
      <c r="AP348" s="2">
        <v>564</v>
      </c>
      <c r="AQ348" s="2">
        <v>68</v>
      </c>
      <c r="AR348" s="2">
        <v>1.8</v>
      </c>
      <c r="AS348" s="2">
        <v>43</v>
      </c>
      <c r="AT348" s="2">
        <v>25.4</v>
      </c>
      <c r="AU348" s="2">
        <v>162</v>
      </c>
      <c r="AV348" s="2">
        <v>9.1</v>
      </c>
      <c r="AW348" s="2">
        <v>9.1999999999999993</v>
      </c>
      <c r="AX348" s="2">
        <v>18.3</v>
      </c>
      <c r="AY348" s="2">
        <v>0.34</v>
      </c>
      <c r="AZ348" s="2">
        <v>7.3</v>
      </c>
      <c r="BA348" s="2">
        <v>0.9</v>
      </c>
      <c r="BB348" s="2">
        <v>7.5</v>
      </c>
      <c r="BC348" s="2">
        <v>2.9</v>
      </c>
      <c r="BD348" s="2">
        <f>+AN348*EXP(-0.0495*Y348)</f>
        <v>8.990516053851378</v>
      </c>
      <c r="BE348" s="2">
        <f>+AO348*EXP(-0.024*Y348)</f>
        <v>28.484133769680462</v>
      </c>
    </row>
    <row r="349" spans="1:57" x14ac:dyDescent="0.2">
      <c r="A349" s="2" t="s">
        <v>3025</v>
      </c>
      <c r="B349" s="2" t="s">
        <v>19</v>
      </c>
      <c r="C349" s="2" t="s">
        <v>1907</v>
      </c>
      <c r="D349" s="2" t="s">
        <v>21</v>
      </c>
      <c r="E349" s="2" t="s">
        <v>1675</v>
      </c>
      <c r="F349" s="2">
        <v>4</v>
      </c>
      <c r="G349" s="2">
        <v>78</v>
      </c>
      <c r="H349" s="2">
        <v>3</v>
      </c>
      <c r="I349" s="2">
        <v>2</v>
      </c>
      <c r="J349" s="2">
        <v>1</v>
      </c>
      <c r="K349" s="2" t="s">
        <v>61</v>
      </c>
      <c r="L349" s="6" t="s">
        <v>113</v>
      </c>
      <c r="M349" s="5">
        <v>350000000</v>
      </c>
      <c r="N349" s="2">
        <v>0</v>
      </c>
      <c r="O349" s="2">
        <v>4.758616924</v>
      </c>
      <c r="P349" s="2">
        <v>-74.059471130000006</v>
      </c>
      <c r="Q349" s="2" t="s">
        <v>3026</v>
      </c>
      <c r="R349" s="2">
        <v>4487179.4869999997</v>
      </c>
      <c r="S349" s="2">
        <v>0</v>
      </c>
      <c r="T349" s="2" t="s">
        <v>68</v>
      </c>
      <c r="U349" s="2" t="s">
        <v>69</v>
      </c>
      <c r="V349" s="2" t="s">
        <v>28</v>
      </c>
      <c r="W349" s="2" t="s">
        <v>70</v>
      </c>
      <c r="X349" s="2" t="s">
        <v>71</v>
      </c>
      <c r="Y349" s="2">
        <v>2.63020233369891</v>
      </c>
      <c r="Z349" s="2">
        <v>4.73719444444444</v>
      </c>
      <c r="AA349" s="2">
        <v>-74.069472222222203</v>
      </c>
      <c r="AB349" s="2">
        <v>2555</v>
      </c>
      <c r="AC349" s="2" t="s">
        <v>31</v>
      </c>
      <c r="AD349" s="2" t="s">
        <v>58</v>
      </c>
      <c r="AE349" s="2" t="s">
        <v>33</v>
      </c>
      <c r="AF349" s="2" t="s">
        <v>34</v>
      </c>
      <c r="AG349" s="2" t="s">
        <v>72</v>
      </c>
      <c r="AH349" s="2">
        <v>1.5526376176060499</v>
      </c>
      <c r="AI349" s="2">
        <v>4.1416007105113897</v>
      </c>
      <c r="AJ349" s="2">
        <v>0.87942640889551205</v>
      </c>
      <c r="AK349" s="2">
        <v>0.103239632697894</v>
      </c>
      <c r="AL349" s="2">
        <v>0.27077361127541599</v>
      </c>
      <c r="AM349" s="2">
        <v>15.3</v>
      </c>
      <c r="AN349" s="2">
        <v>9.8000000000000007</v>
      </c>
      <c r="AO349" s="2">
        <v>29.7</v>
      </c>
      <c r="AP349" s="2">
        <v>564</v>
      </c>
      <c r="AQ349" s="2">
        <v>68</v>
      </c>
      <c r="AR349" s="2">
        <v>1.8</v>
      </c>
      <c r="AS349" s="2">
        <v>43</v>
      </c>
      <c r="AT349" s="2">
        <v>25.4</v>
      </c>
      <c r="AU349" s="2">
        <v>162</v>
      </c>
      <c r="AV349" s="2">
        <v>9.1</v>
      </c>
      <c r="AW349" s="2">
        <v>9.1999999999999993</v>
      </c>
      <c r="AX349" s="2">
        <v>18.3</v>
      </c>
      <c r="AY349" s="2">
        <v>0.34</v>
      </c>
      <c r="AZ349" s="2">
        <v>7.3</v>
      </c>
      <c r="BA349" s="2">
        <v>0.9</v>
      </c>
      <c r="BB349" s="2">
        <v>7.5</v>
      </c>
      <c r="BC349" s="2">
        <v>2.9</v>
      </c>
      <c r="BD349" s="2">
        <f>+AN349*EXP(-0.0495*Y349)</f>
        <v>8.6036572127389341</v>
      </c>
      <c r="BE349" s="2">
        <f>+AO349*EXP(-0.024*Y349)</f>
        <v>27.883139573703502</v>
      </c>
    </row>
    <row r="350" spans="1:57" x14ac:dyDescent="0.2">
      <c r="A350" s="2" t="s">
        <v>469</v>
      </c>
      <c r="B350" s="2" t="s">
        <v>19</v>
      </c>
      <c r="C350" s="2" t="s">
        <v>20</v>
      </c>
      <c r="D350" s="2" t="s">
        <v>21</v>
      </c>
      <c r="E350" s="2" t="s">
        <v>434</v>
      </c>
      <c r="F350" s="2">
        <v>3</v>
      </c>
      <c r="G350" s="2">
        <v>76</v>
      </c>
      <c r="H350" s="2">
        <v>3</v>
      </c>
      <c r="I350" s="2">
        <v>2</v>
      </c>
      <c r="J350" s="2">
        <v>1</v>
      </c>
      <c r="K350" s="2" t="s">
        <v>61</v>
      </c>
      <c r="L350" s="6" t="s">
        <v>84</v>
      </c>
      <c r="M350" s="5">
        <v>375000000</v>
      </c>
      <c r="N350" s="2">
        <v>0</v>
      </c>
      <c r="O350" s="2">
        <v>4.7202577589999999</v>
      </c>
      <c r="P350" s="2">
        <v>-74.069335940000002</v>
      </c>
      <c r="Q350" s="2" t="s">
        <v>470</v>
      </c>
      <c r="R350" s="2">
        <v>4934210.5259999996</v>
      </c>
      <c r="S350" s="2">
        <v>0</v>
      </c>
      <c r="T350" s="2" t="s">
        <v>68</v>
      </c>
      <c r="U350" s="2" t="s">
        <v>69</v>
      </c>
      <c r="V350" s="2" t="s">
        <v>28</v>
      </c>
      <c r="W350" s="2" t="s">
        <v>70</v>
      </c>
      <c r="X350" s="2" t="s">
        <v>71</v>
      </c>
      <c r="Y350" s="2">
        <v>1.8854438203402999</v>
      </c>
      <c r="Z350" s="2">
        <v>4.73719444444444</v>
      </c>
      <c r="AA350" s="2">
        <v>-74.069472222222203</v>
      </c>
      <c r="AB350" s="2">
        <v>2555</v>
      </c>
      <c r="AC350" s="2" t="s">
        <v>31</v>
      </c>
      <c r="AD350" s="2" t="s">
        <v>58</v>
      </c>
      <c r="AE350" s="2" t="s">
        <v>33</v>
      </c>
      <c r="AF350" s="2" t="s">
        <v>34</v>
      </c>
      <c r="AG350" s="2" t="s">
        <v>72</v>
      </c>
      <c r="AH350" s="2">
        <v>0.60637914714857299</v>
      </c>
      <c r="AI350" s="2">
        <v>5.0224487310539701</v>
      </c>
      <c r="AJ350" s="2">
        <v>0.44147985671869699</v>
      </c>
      <c r="AK350" s="2">
        <v>6.4250184287038006E-2</v>
      </c>
      <c r="AL350" s="2">
        <v>0.15839569096116901</v>
      </c>
      <c r="AM350" s="2">
        <v>15.3</v>
      </c>
      <c r="AN350" s="2">
        <v>9.8000000000000007</v>
      </c>
      <c r="AO350" s="2">
        <v>29.7</v>
      </c>
      <c r="AP350" s="2">
        <v>564</v>
      </c>
      <c r="AQ350" s="2">
        <v>68</v>
      </c>
      <c r="AR350" s="2">
        <v>1.8</v>
      </c>
      <c r="AS350" s="2">
        <v>43</v>
      </c>
      <c r="AT350" s="2">
        <v>25.4</v>
      </c>
      <c r="AU350" s="2">
        <v>162</v>
      </c>
      <c r="AV350" s="2">
        <v>9.1</v>
      </c>
      <c r="AW350" s="2">
        <v>9.1999999999999993</v>
      </c>
      <c r="AX350" s="2">
        <v>18.3</v>
      </c>
      <c r="AY350" s="2">
        <v>0.34</v>
      </c>
      <c r="AZ350" s="2">
        <v>7.3</v>
      </c>
      <c r="BA350" s="2">
        <v>0.9</v>
      </c>
      <c r="BB350" s="2">
        <v>7.5</v>
      </c>
      <c r="BC350" s="2">
        <v>2.9</v>
      </c>
      <c r="BD350" s="2">
        <f>+AN350*EXP(-0.0495*Y350)</f>
        <v>8.9267547284424289</v>
      </c>
      <c r="BE350" s="2">
        <f>+AO350*EXP(-0.024*Y350)</f>
        <v>28.386009317519267</v>
      </c>
    </row>
    <row r="351" spans="1:57" x14ac:dyDescent="0.2">
      <c r="A351" s="2" t="s">
        <v>1382</v>
      </c>
      <c r="B351" s="2" t="s">
        <v>19</v>
      </c>
      <c r="C351" s="2" t="s">
        <v>20</v>
      </c>
      <c r="D351" s="2" t="s">
        <v>21</v>
      </c>
      <c r="E351" s="2" t="s">
        <v>1383</v>
      </c>
      <c r="F351" s="2">
        <v>4</v>
      </c>
      <c r="G351" s="2">
        <v>75</v>
      </c>
      <c r="H351" s="2">
        <v>3</v>
      </c>
      <c r="I351" s="2">
        <v>2</v>
      </c>
      <c r="J351" s="2">
        <v>1</v>
      </c>
      <c r="K351" s="2" t="s">
        <v>61</v>
      </c>
      <c r="L351" s="6" t="s">
        <v>113</v>
      </c>
      <c r="M351" s="5">
        <v>373000000</v>
      </c>
      <c r="N351" s="2">
        <v>0</v>
      </c>
      <c r="O351" s="2">
        <v>4.7598722200000001</v>
      </c>
      <c r="P351" s="2">
        <v>-74.042410619999998</v>
      </c>
      <c r="Q351" s="2" t="s">
        <v>1384</v>
      </c>
      <c r="R351" s="2">
        <v>4973333.3329999996</v>
      </c>
      <c r="S351" s="2">
        <v>0</v>
      </c>
      <c r="T351" s="2" t="s">
        <v>102</v>
      </c>
      <c r="U351" s="2" t="s">
        <v>103</v>
      </c>
      <c r="V351" s="2" t="s">
        <v>28</v>
      </c>
      <c r="W351" s="2" t="s">
        <v>70</v>
      </c>
      <c r="X351" s="2" t="s">
        <v>104</v>
      </c>
      <c r="Y351" s="2">
        <v>2.66496773381107</v>
      </c>
      <c r="Z351" s="2">
        <v>4.7837500000000004</v>
      </c>
      <c r="AA351" s="2">
        <v>-74.044138888888895</v>
      </c>
      <c r="AB351" s="2">
        <v>2580</v>
      </c>
      <c r="AC351" s="2" t="s">
        <v>105</v>
      </c>
      <c r="AD351" s="2" t="s">
        <v>58</v>
      </c>
      <c r="AE351" s="2" t="s">
        <v>33</v>
      </c>
      <c r="AF351" s="2" t="s">
        <v>34</v>
      </c>
      <c r="AG351" s="2" t="s">
        <v>59</v>
      </c>
      <c r="AH351" s="2">
        <v>0.44427453522517601</v>
      </c>
      <c r="AI351" s="2">
        <v>2.2601623338924699</v>
      </c>
      <c r="AJ351" s="2">
        <v>1.42378082296862</v>
      </c>
      <c r="AK351" s="2">
        <v>0.51688866663461797</v>
      </c>
      <c r="AL351" s="2">
        <v>0.33555883227741001</v>
      </c>
      <c r="AM351" s="2">
        <v>15.3</v>
      </c>
      <c r="AN351" s="2">
        <v>9.8000000000000007</v>
      </c>
      <c r="AO351" s="2">
        <v>29.7</v>
      </c>
      <c r="AP351" s="2">
        <v>564</v>
      </c>
      <c r="AQ351" s="2">
        <v>68</v>
      </c>
      <c r="AR351" s="2">
        <v>1.8</v>
      </c>
      <c r="AS351" s="2">
        <v>43</v>
      </c>
      <c r="AT351" s="2">
        <v>25.4</v>
      </c>
      <c r="AU351" s="2">
        <v>162</v>
      </c>
      <c r="AV351" s="2">
        <v>9.1</v>
      </c>
      <c r="AW351" s="2">
        <v>9.1999999999999993</v>
      </c>
      <c r="AX351" s="2">
        <v>18.3</v>
      </c>
      <c r="AY351" s="2">
        <v>0.34</v>
      </c>
      <c r="AZ351" s="2">
        <v>7.3</v>
      </c>
      <c r="BA351" s="2">
        <v>0.9</v>
      </c>
      <c r="BB351" s="2">
        <v>7.5</v>
      </c>
      <c r="BC351" s="2">
        <v>2.9</v>
      </c>
      <c r="BD351" s="2">
        <f>+AN351*EXP(-0.0495*Y351)</f>
        <v>8.588864020619253</v>
      </c>
      <c r="BE351" s="2">
        <f>+AO351*EXP(-0.024*Y351)</f>
        <v>27.859884432656123</v>
      </c>
    </row>
    <row r="352" spans="1:57" x14ac:dyDescent="0.2">
      <c r="A352" s="2" t="s">
        <v>2421</v>
      </c>
      <c r="B352" s="2" t="s">
        <v>19</v>
      </c>
      <c r="C352" s="2" t="s">
        <v>1907</v>
      </c>
      <c r="D352" s="2" t="s">
        <v>21</v>
      </c>
      <c r="E352" s="2" t="s">
        <v>2366</v>
      </c>
      <c r="F352" s="2">
        <v>4</v>
      </c>
      <c r="G352" s="2">
        <v>74</v>
      </c>
      <c r="H352" s="2">
        <v>3</v>
      </c>
      <c r="I352" s="2">
        <v>3</v>
      </c>
      <c r="J352" s="2">
        <v>1</v>
      </c>
      <c r="K352" s="2" t="s">
        <v>61</v>
      </c>
      <c r="L352" s="6" t="s">
        <v>84</v>
      </c>
      <c r="M352" s="5">
        <v>408000000</v>
      </c>
      <c r="N352" s="2">
        <v>0</v>
      </c>
      <c r="O352" s="2">
        <v>4.7499027250000001</v>
      </c>
      <c r="P352" s="2">
        <v>-74.067398069999996</v>
      </c>
      <c r="Q352" s="2" t="s">
        <v>2422</v>
      </c>
      <c r="R352" s="2">
        <v>5513513.5140000004</v>
      </c>
      <c r="S352" s="2">
        <v>0</v>
      </c>
      <c r="T352" s="2" t="s">
        <v>68</v>
      </c>
      <c r="U352" s="2" t="s">
        <v>69</v>
      </c>
      <c r="V352" s="2" t="s">
        <v>28</v>
      </c>
      <c r="W352" s="2" t="s">
        <v>70</v>
      </c>
      <c r="X352" s="2" t="s">
        <v>71</v>
      </c>
      <c r="Y352" s="2">
        <v>1.4332706790924501</v>
      </c>
      <c r="Z352" s="2">
        <v>4.73719444444444</v>
      </c>
      <c r="AA352" s="2">
        <v>-74.069472222222203</v>
      </c>
      <c r="AB352" s="2">
        <v>2555</v>
      </c>
      <c r="AC352" s="2" t="s">
        <v>31</v>
      </c>
      <c r="AD352" s="2" t="s">
        <v>58</v>
      </c>
      <c r="AE352" s="2" t="s">
        <v>33</v>
      </c>
      <c r="AF352" s="2" t="s">
        <v>34</v>
      </c>
      <c r="AG352" s="2" t="s">
        <v>72</v>
      </c>
      <c r="AH352" s="2">
        <v>2.1909756995401799</v>
      </c>
      <c r="AI352" s="2">
        <v>5.0370178897841598</v>
      </c>
      <c r="AJ352" s="2">
        <v>1.58785378922437</v>
      </c>
      <c r="AK352" s="2">
        <v>0.217976028195107</v>
      </c>
      <c r="AL352" s="2">
        <v>5.3965661064273203E-2</v>
      </c>
      <c r="AM352" s="2">
        <v>15.3</v>
      </c>
      <c r="AN352" s="2">
        <v>9.8000000000000007</v>
      </c>
      <c r="AO352" s="2">
        <v>29.7</v>
      </c>
      <c r="AP352" s="2">
        <v>564</v>
      </c>
      <c r="AQ352" s="2">
        <v>68</v>
      </c>
      <c r="AR352" s="2">
        <v>1.8</v>
      </c>
      <c r="AS352" s="2">
        <v>43</v>
      </c>
      <c r="AT352" s="2">
        <v>25.4</v>
      </c>
      <c r="AU352" s="2">
        <v>162</v>
      </c>
      <c r="AV352" s="2">
        <v>9.1</v>
      </c>
      <c r="AW352" s="2">
        <v>9.1999999999999993</v>
      </c>
      <c r="AX352" s="2">
        <v>18.3</v>
      </c>
      <c r="AY352" s="2">
        <v>0.34</v>
      </c>
      <c r="AZ352" s="2">
        <v>7.3</v>
      </c>
      <c r="BA352" s="2">
        <v>0.9</v>
      </c>
      <c r="BB352" s="2">
        <v>7.5</v>
      </c>
      <c r="BC352" s="2">
        <v>2.9</v>
      </c>
      <c r="BD352" s="2">
        <f>+AN352*EXP(-0.0495*Y352)</f>
        <v>9.128811282501923</v>
      </c>
      <c r="BE352" s="2">
        <f>+AO352*EXP(-0.024*Y352)</f>
        <v>28.695736264323859</v>
      </c>
    </row>
    <row r="353" spans="1:57" x14ac:dyDescent="0.2">
      <c r="A353" s="2" t="s">
        <v>1406</v>
      </c>
      <c r="B353" s="2" t="s">
        <v>19</v>
      </c>
      <c r="C353" s="2" t="s">
        <v>20</v>
      </c>
      <c r="D353" s="2" t="s">
        <v>21</v>
      </c>
      <c r="E353" s="2" t="s">
        <v>1407</v>
      </c>
      <c r="F353" s="2">
        <v>4</v>
      </c>
      <c r="G353" s="2">
        <v>74</v>
      </c>
      <c r="H353" s="2">
        <v>3</v>
      </c>
      <c r="I353" s="2">
        <v>2</v>
      </c>
      <c r="J353" s="2">
        <v>2</v>
      </c>
      <c r="K353" s="2" t="s">
        <v>61</v>
      </c>
      <c r="L353" s="6" t="s">
        <v>113</v>
      </c>
      <c r="M353" s="5">
        <v>356927056</v>
      </c>
      <c r="N353" s="2">
        <v>0</v>
      </c>
      <c r="O353" s="2">
        <v>4.7658696679999997</v>
      </c>
      <c r="P353" s="2">
        <v>-74.050113109999998</v>
      </c>
      <c r="Q353" s="2" t="s">
        <v>1408</v>
      </c>
      <c r="R353" s="2">
        <v>4823338.5949999997</v>
      </c>
      <c r="S353" s="2">
        <v>0</v>
      </c>
      <c r="T353" s="2" t="s">
        <v>102</v>
      </c>
      <c r="U353" s="2" t="s">
        <v>103</v>
      </c>
      <c r="V353" s="2" t="s">
        <v>28</v>
      </c>
      <c r="W353" s="2" t="s">
        <v>70</v>
      </c>
      <c r="X353" s="2" t="s">
        <v>104</v>
      </c>
      <c r="Y353" s="2">
        <v>2.0978638435038701</v>
      </c>
      <c r="Z353" s="2">
        <v>4.7837500000000004</v>
      </c>
      <c r="AA353" s="2">
        <v>-74.044138888888895</v>
      </c>
      <c r="AB353" s="2">
        <v>2580</v>
      </c>
      <c r="AC353" s="2" t="s">
        <v>105</v>
      </c>
      <c r="AD353" s="2" t="s">
        <v>58</v>
      </c>
      <c r="AE353" s="2" t="s">
        <v>33</v>
      </c>
      <c r="AF353" s="2" t="s">
        <v>34</v>
      </c>
      <c r="AG353" s="2" t="s">
        <v>72</v>
      </c>
      <c r="AH353" s="2">
        <v>0.688071661217318</v>
      </c>
      <c r="AI353" s="2">
        <v>3.0168848716499199</v>
      </c>
      <c r="AJ353" s="2">
        <v>1.43077379959399</v>
      </c>
      <c r="AK353" s="2">
        <v>0.46694921057950001</v>
      </c>
      <c r="AL353" s="2">
        <v>8.5135980020651994E-2</v>
      </c>
      <c r="AM353" s="2">
        <v>15.3</v>
      </c>
      <c r="AN353" s="2">
        <v>9.8000000000000007</v>
      </c>
      <c r="AO353" s="2">
        <v>29.7</v>
      </c>
      <c r="AP353" s="2">
        <v>564</v>
      </c>
      <c r="AQ353" s="2">
        <v>68</v>
      </c>
      <c r="AR353" s="2">
        <v>1.8</v>
      </c>
      <c r="AS353" s="2">
        <v>43</v>
      </c>
      <c r="AT353" s="2">
        <v>25.4</v>
      </c>
      <c r="AU353" s="2">
        <v>162</v>
      </c>
      <c r="AV353" s="2">
        <v>9.1</v>
      </c>
      <c r="AW353" s="2">
        <v>9.1999999999999993</v>
      </c>
      <c r="AX353" s="2">
        <v>18.3</v>
      </c>
      <c r="AY353" s="2">
        <v>0.34</v>
      </c>
      <c r="AZ353" s="2">
        <v>7.3</v>
      </c>
      <c r="BA353" s="2">
        <v>0.9</v>
      </c>
      <c r="BB353" s="2">
        <v>7.5</v>
      </c>
      <c r="BC353" s="2">
        <v>2.9</v>
      </c>
      <c r="BD353" s="2">
        <f>+AN353*EXP(-0.0495*Y353)</f>
        <v>8.8333835165172054</v>
      </c>
      <c r="BE353" s="2">
        <f>+AO353*EXP(-0.024*Y353)</f>
        <v>28.241663411519806</v>
      </c>
    </row>
    <row r="354" spans="1:57" x14ac:dyDescent="0.2">
      <c r="A354" s="2" t="s">
        <v>1811</v>
      </c>
      <c r="B354" s="2" t="s">
        <v>19</v>
      </c>
      <c r="C354" s="2" t="s">
        <v>20</v>
      </c>
      <c r="D354" s="2" t="s">
        <v>21</v>
      </c>
      <c r="E354" s="2" t="s">
        <v>660</v>
      </c>
      <c r="F354" s="2">
        <v>4</v>
      </c>
      <c r="G354" s="2">
        <v>73</v>
      </c>
      <c r="H354" s="2">
        <v>2</v>
      </c>
      <c r="I354" s="2">
        <v>3</v>
      </c>
      <c r="J354" s="2">
        <v>1</v>
      </c>
      <c r="K354" s="2" t="s">
        <v>23</v>
      </c>
      <c r="L354" s="6" t="s">
        <v>24</v>
      </c>
      <c r="M354" s="5">
        <v>897280000</v>
      </c>
      <c r="N354" s="2">
        <v>0</v>
      </c>
      <c r="O354" s="2">
        <v>4.7347703000000001</v>
      </c>
      <c r="P354" s="2">
        <v>-74.064255000000003</v>
      </c>
      <c r="Q354" s="2" t="s">
        <v>1812</v>
      </c>
      <c r="R354" s="2">
        <v>12291506.85</v>
      </c>
      <c r="S354" s="2">
        <v>0</v>
      </c>
      <c r="T354" s="2" t="s">
        <v>68</v>
      </c>
      <c r="U354" s="2" t="s">
        <v>69</v>
      </c>
      <c r="V354" s="2" t="s">
        <v>28</v>
      </c>
      <c r="W354" s="2" t="s">
        <v>70</v>
      </c>
      <c r="X354" s="2" t="s">
        <v>71</v>
      </c>
      <c r="Y354" s="2">
        <v>0.63861239961929905</v>
      </c>
      <c r="Z354" s="2">
        <v>4.73719444444444</v>
      </c>
      <c r="AA354" s="2">
        <v>-74.069472222222203</v>
      </c>
      <c r="AB354" s="2">
        <v>2555</v>
      </c>
      <c r="AC354" s="2" t="s">
        <v>31</v>
      </c>
      <c r="AD354" s="2" t="s">
        <v>58</v>
      </c>
      <c r="AE354" s="2" t="s">
        <v>33</v>
      </c>
      <c r="AF354" s="2" t="s">
        <v>34</v>
      </c>
      <c r="AG354" s="2" t="s">
        <v>72</v>
      </c>
      <c r="AH354" s="2">
        <v>1.41440551929003</v>
      </c>
      <c r="AI354" s="2">
        <v>4.6910347939887096</v>
      </c>
      <c r="AJ354" s="2">
        <v>2.1334931094723402</v>
      </c>
      <c r="AK354" s="2">
        <v>0.32470775729854101</v>
      </c>
      <c r="AL354" s="2">
        <v>0.306373537902556</v>
      </c>
      <c r="AM354" s="2">
        <v>15.3</v>
      </c>
      <c r="AN354" s="2">
        <v>9.8000000000000007</v>
      </c>
      <c r="AO354" s="2">
        <v>29.7</v>
      </c>
      <c r="AP354" s="2">
        <v>564</v>
      </c>
      <c r="AQ354" s="2">
        <v>68</v>
      </c>
      <c r="AR354" s="2">
        <v>1.8</v>
      </c>
      <c r="AS354" s="2">
        <v>43</v>
      </c>
      <c r="AT354" s="2">
        <v>25.4</v>
      </c>
      <c r="AU354" s="2">
        <v>162</v>
      </c>
      <c r="AV354" s="2">
        <v>9.1</v>
      </c>
      <c r="AW354" s="2">
        <v>9.1999999999999993</v>
      </c>
      <c r="AX354" s="2">
        <v>18.3</v>
      </c>
      <c r="AY354" s="2">
        <v>0.34</v>
      </c>
      <c r="AZ354" s="2">
        <v>7.3</v>
      </c>
      <c r="BA354" s="2">
        <v>0.9</v>
      </c>
      <c r="BB354" s="2">
        <v>7.5</v>
      </c>
      <c r="BC354" s="2">
        <v>2.9</v>
      </c>
      <c r="BD354" s="2">
        <f>+AN354*EXP(-0.0495*Y354)</f>
        <v>9.4950543840132475</v>
      </c>
      <c r="BE354" s="2">
        <f>+AO354*EXP(-0.024*Y354)</f>
        <v>29.248267706591257</v>
      </c>
    </row>
    <row r="355" spans="1:57" x14ac:dyDescent="0.2">
      <c r="A355" s="2" t="s">
        <v>489</v>
      </c>
      <c r="B355" s="2" t="s">
        <v>19</v>
      </c>
      <c r="C355" s="2" t="s">
        <v>20</v>
      </c>
      <c r="D355" s="2" t="s">
        <v>21</v>
      </c>
      <c r="E355" s="2" t="s">
        <v>490</v>
      </c>
      <c r="F355" s="2">
        <v>4</v>
      </c>
      <c r="G355" s="2">
        <v>73</v>
      </c>
      <c r="H355" s="2">
        <v>3</v>
      </c>
      <c r="I355" s="2">
        <v>2</v>
      </c>
      <c r="J355" s="2">
        <v>1</v>
      </c>
      <c r="K355" s="2" t="s">
        <v>61</v>
      </c>
      <c r="L355" s="6" t="s">
        <v>75</v>
      </c>
      <c r="M355" s="5">
        <v>520000000</v>
      </c>
      <c r="N355" s="2">
        <v>0</v>
      </c>
      <c r="O355" s="2">
        <v>4.73865509</v>
      </c>
      <c r="P355" s="2">
        <v>-74.065216059999997</v>
      </c>
      <c r="Q355" s="2" t="s">
        <v>491</v>
      </c>
      <c r="R355" s="2">
        <v>7123287.6710000001</v>
      </c>
      <c r="S355" s="2">
        <v>0</v>
      </c>
      <c r="T355" s="2" t="s">
        <v>68</v>
      </c>
      <c r="U355" s="2" t="s">
        <v>69</v>
      </c>
      <c r="V355" s="2" t="s">
        <v>28</v>
      </c>
      <c r="W355" s="2" t="s">
        <v>70</v>
      </c>
      <c r="X355" s="2" t="s">
        <v>71</v>
      </c>
      <c r="Y355" s="2">
        <v>0.499386903747289</v>
      </c>
      <c r="Z355" s="2">
        <v>4.73719444444444</v>
      </c>
      <c r="AA355" s="2">
        <v>-74.069472222222203</v>
      </c>
      <c r="AB355" s="2">
        <v>2555</v>
      </c>
      <c r="AC355" s="2" t="s">
        <v>31</v>
      </c>
      <c r="AD355" s="2" t="s">
        <v>58</v>
      </c>
      <c r="AE355" s="2" t="s">
        <v>33</v>
      </c>
      <c r="AF355" s="2" t="s">
        <v>34</v>
      </c>
      <c r="AG355" s="2" t="s">
        <v>72</v>
      </c>
      <c r="AH355" s="2">
        <v>1.62570795317617</v>
      </c>
      <c r="AI355" s="2">
        <v>4.8371895126274698</v>
      </c>
      <c r="AJ355" s="2">
        <v>2.0818122121976801</v>
      </c>
      <c r="AK355" s="2">
        <v>4.4755563898315601E-2</v>
      </c>
      <c r="AL355" s="2">
        <v>0.157008400094277</v>
      </c>
      <c r="AM355" s="2">
        <v>15.3</v>
      </c>
      <c r="AN355" s="2">
        <v>9.8000000000000007</v>
      </c>
      <c r="AO355" s="2">
        <v>29.7</v>
      </c>
      <c r="AP355" s="2">
        <v>564</v>
      </c>
      <c r="AQ355" s="2">
        <v>68</v>
      </c>
      <c r="AR355" s="2">
        <v>1.8</v>
      </c>
      <c r="AS355" s="2">
        <v>43</v>
      </c>
      <c r="AT355" s="2">
        <v>25.4</v>
      </c>
      <c r="AU355" s="2">
        <v>162</v>
      </c>
      <c r="AV355" s="2">
        <v>9.1</v>
      </c>
      <c r="AW355" s="2">
        <v>9.1999999999999993</v>
      </c>
      <c r="AX355" s="2">
        <v>18.3</v>
      </c>
      <c r="AY355" s="2">
        <v>0.34</v>
      </c>
      <c r="AZ355" s="2">
        <v>7.3</v>
      </c>
      <c r="BA355" s="2">
        <v>0.9</v>
      </c>
      <c r="BB355" s="2">
        <v>7.5</v>
      </c>
      <c r="BC355" s="2">
        <v>2.9</v>
      </c>
      <c r="BD355" s="2">
        <f>+AN355*EXP(-0.0495*Y355)</f>
        <v>9.5607170926441611</v>
      </c>
      <c r="BE355" s="2">
        <f>+AO355*EXP(-0.024*Y355)</f>
        <v>29.346161677344611</v>
      </c>
    </row>
    <row r="356" spans="1:57" x14ac:dyDescent="0.2">
      <c r="A356" s="2" t="s">
        <v>395</v>
      </c>
      <c r="B356" s="2" t="s">
        <v>19</v>
      </c>
      <c r="C356" s="2" t="s">
        <v>20</v>
      </c>
      <c r="D356" s="2" t="s">
        <v>21</v>
      </c>
      <c r="E356" s="2" t="s">
        <v>135</v>
      </c>
      <c r="F356" s="2">
        <v>3</v>
      </c>
      <c r="G356" s="2">
        <v>73</v>
      </c>
      <c r="H356" s="2">
        <v>3</v>
      </c>
      <c r="I356" s="2">
        <v>2</v>
      </c>
      <c r="J356" s="2">
        <v>1</v>
      </c>
      <c r="K356" s="2" t="s">
        <v>61</v>
      </c>
      <c r="L356" s="6" t="s">
        <v>75</v>
      </c>
      <c r="M356" s="5">
        <v>452000000</v>
      </c>
      <c r="N356" s="2">
        <v>0</v>
      </c>
      <c r="O356" s="2">
        <v>4.7450270650000004</v>
      </c>
      <c r="P356" s="2">
        <v>-74.057243349999993</v>
      </c>
      <c r="Q356" s="2" t="s">
        <v>396</v>
      </c>
      <c r="R356" s="2">
        <v>6191780.8219999997</v>
      </c>
      <c r="S356" s="2">
        <v>0</v>
      </c>
      <c r="T356" s="2" t="s">
        <v>68</v>
      </c>
      <c r="U356" s="2" t="s">
        <v>69</v>
      </c>
      <c r="V356" s="2" t="s">
        <v>28</v>
      </c>
      <c r="W356" s="2" t="s">
        <v>70</v>
      </c>
      <c r="X356" s="2" t="s">
        <v>71</v>
      </c>
      <c r="Y356" s="2">
        <v>1.61268721172636</v>
      </c>
      <c r="Z356" s="2">
        <v>4.73719444444444</v>
      </c>
      <c r="AA356" s="2">
        <v>-74.069472222222203</v>
      </c>
      <c r="AB356" s="2">
        <v>2555</v>
      </c>
      <c r="AC356" s="2" t="s">
        <v>31</v>
      </c>
      <c r="AD356" s="2" t="s">
        <v>58</v>
      </c>
      <c r="AE356" s="2" t="s">
        <v>33</v>
      </c>
      <c r="AF356" s="2" t="s">
        <v>34</v>
      </c>
      <c r="AG356" s="2" t="s">
        <v>72</v>
      </c>
      <c r="AH356" s="2">
        <v>1.0809387802686801</v>
      </c>
      <c r="AI356" s="2">
        <v>4.1003102057446403</v>
      </c>
      <c r="AJ356" s="2">
        <v>1.0117538295899999</v>
      </c>
      <c r="AK356" s="2">
        <v>0.44934267737196198</v>
      </c>
      <c r="AL356" s="2">
        <v>5.1204637543455098E-2</v>
      </c>
      <c r="AM356" s="2">
        <v>15.3</v>
      </c>
      <c r="AN356" s="2">
        <v>9.8000000000000007</v>
      </c>
      <c r="AO356" s="2">
        <v>29.7</v>
      </c>
      <c r="AP356" s="2">
        <v>564</v>
      </c>
      <c r="AQ356" s="2">
        <v>68</v>
      </c>
      <c r="AR356" s="2">
        <v>1.8</v>
      </c>
      <c r="AS356" s="2">
        <v>43</v>
      </c>
      <c r="AT356" s="2">
        <v>25.4</v>
      </c>
      <c r="AU356" s="2">
        <v>162</v>
      </c>
      <c r="AV356" s="2">
        <v>9.1</v>
      </c>
      <c r="AW356" s="2">
        <v>9.1999999999999993</v>
      </c>
      <c r="AX356" s="2">
        <v>18.3</v>
      </c>
      <c r="AY356" s="2">
        <v>0.34</v>
      </c>
      <c r="AZ356" s="2">
        <v>7.3</v>
      </c>
      <c r="BA356" s="2">
        <v>0.9</v>
      </c>
      <c r="BB356" s="2">
        <v>7.5</v>
      </c>
      <c r="BC356" s="2">
        <v>2.9</v>
      </c>
      <c r="BD356" s="2">
        <f>+AN356*EXP(-0.0495*Y356)</f>
        <v>9.0480961796858068</v>
      </c>
      <c r="BE356" s="2">
        <f>+AO356*EXP(-0.024*Y356)</f>
        <v>28.572438167394132</v>
      </c>
    </row>
    <row r="357" spans="1:57" x14ac:dyDescent="0.2">
      <c r="A357" s="2" t="s">
        <v>2467</v>
      </c>
      <c r="B357" s="2" t="s">
        <v>19</v>
      </c>
      <c r="C357" s="2" t="s">
        <v>1907</v>
      </c>
      <c r="D357" s="2" t="s">
        <v>21</v>
      </c>
      <c r="E357" s="2" t="s">
        <v>1501</v>
      </c>
      <c r="F357" s="2">
        <v>3</v>
      </c>
      <c r="G357" s="2">
        <v>72</v>
      </c>
      <c r="H357" s="2">
        <v>5</v>
      </c>
      <c r="I357" s="2">
        <v>4</v>
      </c>
      <c r="J357" s="2">
        <v>1</v>
      </c>
      <c r="K357" s="2" t="s">
        <v>61</v>
      </c>
      <c r="L357" s="6" t="s">
        <v>113</v>
      </c>
      <c r="M357" s="5">
        <v>800000000</v>
      </c>
      <c r="N357" s="2">
        <v>0</v>
      </c>
      <c r="O357" s="2">
        <v>4.7397746999999999</v>
      </c>
      <c r="P357" s="2">
        <v>-74.096450000000004</v>
      </c>
      <c r="Q357" s="2" t="s">
        <v>2468</v>
      </c>
      <c r="R357" s="2">
        <v>11111111.109999999</v>
      </c>
      <c r="S357" s="2">
        <v>0</v>
      </c>
      <c r="T357" s="2" t="s">
        <v>70</v>
      </c>
      <c r="U357" s="2" t="s">
        <v>738</v>
      </c>
      <c r="V357" s="2" t="s">
        <v>28</v>
      </c>
      <c r="W357" s="2" t="s">
        <v>70</v>
      </c>
      <c r="X357" s="2" t="s">
        <v>739</v>
      </c>
      <c r="Y357" s="2">
        <v>2.4131985863596501</v>
      </c>
      <c r="Z357" s="2">
        <v>4.7612472222222202</v>
      </c>
      <c r="AA357" s="2">
        <v>-74.093461111111097</v>
      </c>
      <c r="AB357" s="2">
        <v>2571</v>
      </c>
      <c r="AC357" s="2" t="s">
        <v>105</v>
      </c>
      <c r="AD357" s="2" t="s">
        <v>58</v>
      </c>
      <c r="AE357" s="2" t="s">
        <v>33</v>
      </c>
      <c r="AF357" s="2" t="s">
        <v>34</v>
      </c>
      <c r="AG357" s="2" t="s">
        <v>72</v>
      </c>
      <c r="AH357" s="2">
        <v>0.66327040840002705</v>
      </c>
      <c r="AI357" s="2">
        <v>2.9546538515073602</v>
      </c>
      <c r="AJ357" s="2">
        <v>3.7578271221514998</v>
      </c>
      <c r="AK357" s="2">
        <v>0.47894673291358197</v>
      </c>
      <c r="AL357" s="2">
        <v>0.123360936746563</v>
      </c>
      <c r="AM357" s="2">
        <v>15.3</v>
      </c>
      <c r="AN357" s="2">
        <v>9.8000000000000007</v>
      </c>
      <c r="AO357" s="2">
        <v>29.7</v>
      </c>
      <c r="AP357" s="2">
        <v>564</v>
      </c>
      <c r="AQ357" s="2">
        <v>68</v>
      </c>
      <c r="AR357" s="2">
        <v>1.8</v>
      </c>
      <c r="AS357" s="2">
        <v>43</v>
      </c>
      <c r="AT357" s="2">
        <v>25.4</v>
      </c>
      <c r="AU357" s="2">
        <v>162</v>
      </c>
      <c r="AV357" s="2">
        <v>9.1</v>
      </c>
      <c r="AW357" s="2">
        <v>9.1999999999999993</v>
      </c>
      <c r="AX357" s="2">
        <v>18.3</v>
      </c>
      <c r="AY357" s="2">
        <v>0.34</v>
      </c>
      <c r="AZ357" s="2">
        <v>7.3</v>
      </c>
      <c r="BA357" s="2">
        <v>0.9</v>
      </c>
      <c r="BB357" s="2">
        <v>7.5</v>
      </c>
      <c r="BC357" s="2">
        <v>2.9</v>
      </c>
      <c r="BD357" s="2">
        <f>+AN357*EXP(-0.0495*Y357)</f>
        <v>8.6965731360084568</v>
      </c>
      <c r="BE357" s="2">
        <f>+AO357*EXP(-0.024*Y357)</f>
        <v>28.028736283585708</v>
      </c>
    </row>
    <row r="358" spans="1:57" x14ac:dyDescent="0.2">
      <c r="A358" s="2" t="s">
        <v>134</v>
      </c>
      <c r="B358" s="2" t="s">
        <v>19</v>
      </c>
      <c r="C358" s="2" t="s">
        <v>20</v>
      </c>
      <c r="D358" s="2" t="s">
        <v>21</v>
      </c>
      <c r="E358" s="2" t="s">
        <v>135</v>
      </c>
      <c r="F358" s="2">
        <v>3</v>
      </c>
      <c r="G358" s="2">
        <v>72</v>
      </c>
      <c r="H358" s="2">
        <v>3</v>
      </c>
      <c r="I358" s="2">
        <v>2</v>
      </c>
      <c r="J358" s="2">
        <v>1</v>
      </c>
      <c r="K358" s="2" t="s">
        <v>61</v>
      </c>
      <c r="L358" s="6" t="s">
        <v>75</v>
      </c>
      <c r="M358" s="5">
        <v>452000000</v>
      </c>
      <c r="N358" s="2">
        <v>0</v>
      </c>
      <c r="O358" s="2">
        <v>4.7450270650000004</v>
      </c>
      <c r="P358" s="2">
        <v>-74.057243349999993</v>
      </c>
      <c r="Q358" s="2" t="s">
        <v>136</v>
      </c>
      <c r="R358" s="2">
        <v>6277777.7779999999</v>
      </c>
      <c r="S358" s="2">
        <v>0</v>
      </c>
      <c r="T358" s="2" t="s">
        <v>68</v>
      </c>
      <c r="U358" s="2" t="s">
        <v>69</v>
      </c>
      <c r="V358" s="2" t="s">
        <v>28</v>
      </c>
      <c r="W358" s="2" t="s">
        <v>70</v>
      </c>
      <c r="X358" s="2" t="s">
        <v>71</v>
      </c>
      <c r="Y358" s="2">
        <v>1.61268721172636</v>
      </c>
      <c r="Z358" s="2">
        <v>4.73719444444444</v>
      </c>
      <c r="AA358" s="2">
        <v>-74.069472222222203</v>
      </c>
      <c r="AB358" s="2">
        <v>2555</v>
      </c>
      <c r="AC358" s="2" t="s">
        <v>31</v>
      </c>
      <c r="AD358" s="2" t="s">
        <v>58</v>
      </c>
      <c r="AE358" s="2" t="s">
        <v>33</v>
      </c>
      <c r="AF358" s="2" t="s">
        <v>34</v>
      </c>
      <c r="AG358" s="2" t="s">
        <v>72</v>
      </c>
      <c r="AH358" s="2">
        <v>1.0809387802686801</v>
      </c>
      <c r="AI358" s="2">
        <v>4.1003102057446403</v>
      </c>
      <c r="AJ358" s="2">
        <v>1.0117538295899999</v>
      </c>
      <c r="AK358" s="2">
        <v>0.44934267737196198</v>
      </c>
      <c r="AL358" s="2">
        <v>5.1204637543455098E-2</v>
      </c>
      <c r="AM358" s="2">
        <v>15.3</v>
      </c>
      <c r="AN358" s="2">
        <v>9.8000000000000007</v>
      </c>
      <c r="AO358" s="2">
        <v>29.7</v>
      </c>
      <c r="AP358" s="2">
        <v>564</v>
      </c>
      <c r="AQ358" s="2">
        <v>68</v>
      </c>
      <c r="AR358" s="2">
        <v>1.8</v>
      </c>
      <c r="AS358" s="2">
        <v>43</v>
      </c>
      <c r="AT358" s="2">
        <v>25.4</v>
      </c>
      <c r="AU358" s="2">
        <v>162</v>
      </c>
      <c r="AV358" s="2">
        <v>9.1</v>
      </c>
      <c r="AW358" s="2">
        <v>9.1999999999999993</v>
      </c>
      <c r="AX358" s="2">
        <v>18.3</v>
      </c>
      <c r="AY358" s="2">
        <v>0.34</v>
      </c>
      <c r="AZ358" s="2">
        <v>7.3</v>
      </c>
      <c r="BA358" s="2">
        <v>0.9</v>
      </c>
      <c r="BB358" s="2">
        <v>7.5</v>
      </c>
      <c r="BC358" s="2">
        <v>2.9</v>
      </c>
      <c r="BD358" s="2">
        <f>+AN358*EXP(-0.0495*Y358)</f>
        <v>9.0480961796858068</v>
      </c>
      <c r="BE358" s="2">
        <f>+AO358*EXP(-0.024*Y358)</f>
        <v>28.572438167394132</v>
      </c>
    </row>
    <row r="359" spans="1:57" x14ac:dyDescent="0.2">
      <c r="A359" s="2" t="s">
        <v>2365</v>
      </c>
      <c r="B359" s="2" t="s">
        <v>19</v>
      </c>
      <c r="C359" s="2" t="s">
        <v>1907</v>
      </c>
      <c r="D359" s="2" t="s">
        <v>21</v>
      </c>
      <c r="E359" s="2" t="s">
        <v>2366</v>
      </c>
      <c r="F359" s="2">
        <v>4</v>
      </c>
      <c r="G359" s="2">
        <v>72</v>
      </c>
      <c r="H359" s="2">
        <v>3</v>
      </c>
      <c r="I359" s="2">
        <v>3</v>
      </c>
      <c r="J359" s="2">
        <v>1</v>
      </c>
      <c r="K359" s="2" t="s">
        <v>61</v>
      </c>
      <c r="L359" s="6" t="s">
        <v>75</v>
      </c>
      <c r="M359" s="5">
        <v>408000000</v>
      </c>
      <c r="N359" s="2">
        <v>0</v>
      </c>
      <c r="O359" s="2">
        <v>4.7504982949999999</v>
      </c>
      <c r="P359" s="2">
        <v>-74.067199709999997</v>
      </c>
      <c r="Q359" s="2" t="s">
        <v>2367</v>
      </c>
      <c r="R359" s="2">
        <v>5666666.6670000004</v>
      </c>
      <c r="S359" s="2">
        <v>0</v>
      </c>
      <c r="T359" s="2" t="s">
        <v>68</v>
      </c>
      <c r="U359" s="2" t="s">
        <v>69</v>
      </c>
      <c r="V359" s="2" t="s">
        <v>28</v>
      </c>
      <c r="W359" s="2" t="s">
        <v>70</v>
      </c>
      <c r="X359" s="2" t="s">
        <v>71</v>
      </c>
      <c r="Y359" s="2">
        <v>1.5022829458896001</v>
      </c>
      <c r="Z359" s="2">
        <v>4.73719444444444</v>
      </c>
      <c r="AA359" s="2">
        <v>-74.069472222222203</v>
      </c>
      <c r="AB359" s="2">
        <v>2555</v>
      </c>
      <c r="AC359" s="2" t="s">
        <v>31</v>
      </c>
      <c r="AD359" s="2" t="s">
        <v>58</v>
      </c>
      <c r="AE359" s="2" t="s">
        <v>33</v>
      </c>
      <c r="AF359" s="2" t="s">
        <v>34</v>
      </c>
      <c r="AG359" s="2" t="s">
        <v>72</v>
      </c>
      <c r="AH359" s="2">
        <v>2.2540763208290602</v>
      </c>
      <c r="AI359" s="2">
        <v>4.9932658972409101</v>
      </c>
      <c r="AJ359" s="2">
        <v>1.55170313635561</v>
      </c>
      <c r="AK359" s="2">
        <v>0.19875850553159499</v>
      </c>
      <c r="AL359" s="2">
        <v>4.9551682434526199E-2</v>
      </c>
      <c r="AM359" s="2">
        <v>15.3</v>
      </c>
      <c r="AN359" s="2">
        <v>9.8000000000000007</v>
      </c>
      <c r="AO359" s="2">
        <v>29.7</v>
      </c>
      <c r="AP359" s="2">
        <v>564</v>
      </c>
      <c r="AQ359" s="2">
        <v>68</v>
      </c>
      <c r="AR359" s="2">
        <v>1.8</v>
      </c>
      <c r="AS359" s="2">
        <v>43</v>
      </c>
      <c r="AT359" s="2">
        <v>25.4</v>
      </c>
      <c r="AU359" s="2">
        <v>162</v>
      </c>
      <c r="AV359" s="2">
        <v>9.1</v>
      </c>
      <c r="AW359" s="2">
        <v>9.1999999999999993</v>
      </c>
      <c r="AX359" s="2">
        <v>18.3</v>
      </c>
      <c r="AY359" s="2">
        <v>0.34</v>
      </c>
      <c r="AZ359" s="2">
        <v>7.3</v>
      </c>
      <c r="BA359" s="2">
        <v>0.9</v>
      </c>
      <c r="BB359" s="2">
        <v>7.5</v>
      </c>
      <c r="BC359" s="2">
        <v>2.9</v>
      </c>
      <c r="BD359" s="2">
        <f>+AN359*EXP(-0.0495*Y359)</f>
        <v>9.0976794895396242</v>
      </c>
      <c r="BE359" s="2">
        <f>+AO359*EXP(-0.024*Y359)</f>
        <v>28.648247015900189</v>
      </c>
    </row>
    <row r="360" spans="1:57" x14ac:dyDescent="0.2">
      <c r="A360" s="2" t="s">
        <v>2049</v>
      </c>
      <c r="B360" s="2" t="s">
        <v>19</v>
      </c>
      <c r="C360" s="2" t="s">
        <v>1907</v>
      </c>
      <c r="D360" s="2" t="s">
        <v>21</v>
      </c>
      <c r="E360" s="2" t="s">
        <v>125</v>
      </c>
      <c r="F360" s="2">
        <v>4</v>
      </c>
      <c r="G360" s="2">
        <v>71</v>
      </c>
      <c r="H360" s="2">
        <v>3</v>
      </c>
      <c r="I360" s="2">
        <v>2</v>
      </c>
      <c r="J360" s="2">
        <v>1</v>
      </c>
      <c r="K360" s="2" t="s">
        <v>61</v>
      </c>
      <c r="L360" s="6" t="s">
        <v>75</v>
      </c>
      <c r="M360" s="5">
        <v>415000000</v>
      </c>
      <c r="N360" s="2">
        <v>0</v>
      </c>
      <c r="O360" s="2">
        <v>4.7388209999999997</v>
      </c>
      <c r="P360" s="2">
        <v>-74.062340000000006</v>
      </c>
      <c r="Q360" s="2" t="s">
        <v>2050</v>
      </c>
      <c r="R360" s="2">
        <v>5845070.4230000004</v>
      </c>
      <c r="S360" s="2">
        <v>0</v>
      </c>
      <c r="T360" s="2" t="s">
        <v>68</v>
      </c>
      <c r="U360" s="2" t="s">
        <v>69</v>
      </c>
      <c r="V360" s="2" t="s">
        <v>28</v>
      </c>
      <c r="W360" s="2" t="s">
        <v>70</v>
      </c>
      <c r="X360" s="2" t="s">
        <v>71</v>
      </c>
      <c r="Y360" s="2">
        <v>0.81169555961023299</v>
      </c>
      <c r="Z360" s="2">
        <v>4.73719444444444</v>
      </c>
      <c r="AA360" s="2">
        <v>-74.069472222222203</v>
      </c>
      <c r="AB360" s="2">
        <v>2555</v>
      </c>
      <c r="AC360" s="2" t="s">
        <v>31</v>
      </c>
      <c r="AD360" s="2" t="s">
        <v>58</v>
      </c>
      <c r="AE360" s="2" t="s">
        <v>33</v>
      </c>
      <c r="AF360" s="2" t="s">
        <v>34</v>
      </c>
      <c r="AG360" s="2" t="s">
        <v>72</v>
      </c>
      <c r="AH360" s="2">
        <v>1.52733165465864</v>
      </c>
      <c r="AI360" s="2">
        <v>4.5242254577988597</v>
      </c>
      <c r="AJ360" s="2">
        <v>1.88360812614609</v>
      </c>
      <c r="AK360" s="2">
        <v>0.31301233423845598</v>
      </c>
      <c r="AL360" s="2">
        <v>0.277403928422498</v>
      </c>
      <c r="AM360" s="2">
        <v>15.3</v>
      </c>
      <c r="AN360" s="2">
        <v>9.8000000000000007</v>
      </c>
      <c r="AO360" s="2">
        <v>29.7</v>
      </c>
      <c r="AP360" s="2">
        <v>564</v>
      </c>
      <c r="AQ360" s="2">
        <v>68</v>
      </c>
      <c r="AR360" s="2">
        <v>1.8</v>
      </c>
      <c r="AS360" s="2">
        <v>43</v>
      </c>
      <c r="AT360" s="2">
        <v>25.4</v>
      </c>
      <c r="AU360" s="2">
        <v>162</v>
      </c>
      <c r="AV360" s="2">
        <v>9.1</v>
      </c>
      <c r="AW360" s="2">
        <v>9.1999999999999993</v>
      </c>
      <c r="AX360" s="2">
        <v>18.3</v>
      </c>
      <c r="AY360" s="2">
        <v>0.34</v>
      </c>
      <c r="AZ360" s="2">
        <v>7.3</v>
      </c>
      <c r="BA360" s="2">
        <v>0.9</v>
      </c>
      <c r="BB360" s="2">
        <v>7.5</v>
      </c>
      <c r="BC360" s="2">
        <v>2.9</v>
      </c>
      <c r="BD360" s="2">
        <f>+AN360*EXP(-0.0495*Y360)</f>
        <v>9.4140518947885621</v>
      </c>
      <c r="BE360" s="2">
        <f>+AO360*EXP(-0.024*Y360)</f>
        <v>29.127022524555422</v>
      </c>
    </row>
    <row r="361" spans="1:57" x14ac:dyDescent="0.2">
      <c r="A361" s="2" t="s">
        <v>1574</v>
      </c>
      <c r="B361" s="2" t="s">
        <v>19</v>
      </c>
      <c r="C361" s="2" t="s">
        <v>20</v>
      </c>
      <c r="D361" s="2" t="s">
        <v>21</v>
      </c>
      <c r="E361" s="2" t="s">
        <v>1468</v>
      </c>
      <c r="F361" s="2">
        <v>3</v>
      </c>
      <c r="G361" s="2">
        <v>71</v>
      </c>
      <c r="H361" s="2">
        <v>3</v>
      </c>
      <c r="I361" s="2">
        <v>2</v>
      </c>
      <c r="J361" s="2">
        <v>0</v>
      </c>
      <c r="K361" s="2" t="s">
        <v>61</v>
      </c>
      <c r="L361" s="6" t="s">
        <v>113</v>
      </c>
      <c r="M361" s="5">
        <v>370000000</v>
      </c>
      <c r="N361" s="2">
        <v>0</v>
      </c>
      <c r="O361" s="2">
        <v>4.7115669090000001</v>
      </c>
      <c r="P361" s="2">
        <v>-74.059095799999994</v>
      </c>
      <c r="Q361" s="2" t="s">
        <v>1575</v>
      </c>
      <c r="R361" s="2">
        <v>5211267.6059999997</v>
      </c>
      <c r="S361" s="2">
        <v>0</v>
      </c>
      <c r="T361" s="2" t="s">
        <v>68</v>
      </c>
      <c r="U361" s="2" t="s">
        <v>69</v>
      </c>
      <c r="V361" s="2" t="s">
        <v>28</v>
      </c>
      <c r="W361" s="2" t="s">
        <v>70</v>
      </c>
      <c r="X361" s="2" t="s">
        <v>71</v>
      </c>
      <c r="Y361" s="2">
        <v>3.0763485558842998</v>
      </c>
      <c r="Z361" s="2">
        <v>4.73719444444444</v>
      </c>
      <c r="AA361" s="2">
        <v>-74.069472222222203</v>
      </c>
      <c r="AB361" s="2">
        <v>2555</v>
      </c>
      <c r="AC361" s="2" t="s">
        <v>31</v>
      </c>
      <c r="AD361" s="2" t="s">
        <v>58</v>
      </c>
      <c r="AE361" s="2" t="s">
        <v>33</v>
      </c>
      <c r="AF361" s="2" t="s">
        <v>34</v>
      </c>
      <c r="AG361" s="2" t="s">
        <v>72</v>
      </c>
      <c r="AH361" s="2">
        <v>0.79668295360177899</v>
      </c>
      <c r="AI361" s="2">
        <v>3.78113379925672</v>
      </c>
      <c r="AJ361" s="2">
        <v>1.4856920187606699</v>
      </c>
      <c r="AK361" s="2">
        <v>0.19303423695706901</v>
      </c>
      <c r="AL361" s="2">
        <v>3.5970192282048598E-2</v>
      </c>
      <c r="AM361" s="2">
        <v>15.3</v>
      </c>
      <c r="AN361" s="2">
        <v>9.8000000000000007</v>
      </c>
      <c r="AO361" s="2">
        <v>29.7</v>
      </c>
      <c r="AP361" s="2">
        <v>564</v>
      </c>
      <c r="AQ361" s="2">
        <v>68</v>
      </c>
      <c r="AR361" s="2">
        <v>1.8</v>
      </c>
      <c r="AS361" s="2">
        <v>43</v>
      </c>
      <c r="AT361" s="2">
        <v>25.4</v>
      </c>
      <c r="AU361" s="2">
        <v>162</v>
      </c>
      <c r="AV361" s="2">
        <v>9.1</v>
      </c>
      <c r="AW361" s="2">
        <v>9.1999999999999993</v>
      </c>
      <c r="AX361" s="2">
        <v>18.3</v>
      </c>
      <c r="AY361" s="2">
        <v>0.34</v>
      </c>
      <c r="AZ361" s="2">
        <v>7.3</v>
      </c>
      <c r="BA361" s="2">
        <v>0.9</v>
      </c>
      <c r="BB361" s="2">
        <v>7.5</v>
      </c>
      <c r="BC361" s="2">
        <v>2.9</v>
      </c>
      <c r="BD361" s="2">
        <f>+AN361*EXP(-0.0495*Y361)</f>
        <v>8.4157346995854585</v>
      </c>
      <c r="BE361" s="2">
        <f>+AO361*EXP(-0.024*Y361)</f>
        <v>27.586173318254296</v>
      </c>
    </row>
    <row r="362" spans="1:57" x14ac:dyDescent="0.2">
      <c r="A362" s="2" t="s">
        <v>1467</v>
      </c>
      <c r="B362" s="2" t="s">
        <v>19</v>
      </c>
      <c r="C362" s="2" t="s">
        <v>20</v>
      </c>
      <c r="D362" s="2" t="s">
        <v>21</v>
      </c>
      <c r="E362" s="2" t="s">
        <v>1468</v>
      </c>
      <c r="F362" s="2">
        <v>3</v>
      </c>
      <c r="G362" s="2">
        <v>71</v>
      </c>
      <c r="H362" s="2">
        <v>3</v>
      </c>
      <c r="I362" s="2">
        <v>2</v>
      </c>
      <c r="J362" s="2">
        <v>0</v>
      </c>
      <c r="K362" s="2" t="s">
        <v>61</v>
      </c>
      <c r="L362" s="6" t="s">
        <v>113</v>
      </c>
      <c r="M362" s="5">
        <v>330000000</v>
      </c>
      <c r="N362" s="2">
        <v>0</v>
      </c>
      <c r="O362" s="2">
        <v>4.7115669090000001</v>
      </c>
      <c r="P362" s="2">
        <v>-74.059095799999994</v>
      </c>
      <c r="Q362" s="2" t="s">
        <v>1469</v>
      </c>
      <c r="R362" s="2">
        <v>4647887.324</v>
      </c>
      <c r="S362" s="2">
        <v>0</v>
      </c>
      <c r="T362" s="2" t="s">
        <v>68</v>
      </c>
      <c r="U362" s="2" t="s">
        <v>69</v>
      </c>
      <c r="V362" s="2" t="s">
        <v>28</v>
      </c>
      <c r="W362" s="2" t="s">
        <v>70</v>
      </c>
      <c r="X362" s="2" t="s">
        <v>71</v>
      </c>
      <c r="Y362" s="2">
        <v>3.0763485558842998</v>
      </c>
      <c r="Z362" s="2">
        <v>4.73719444444444</v>
      </c>
      <c r="AA362" s="2">
        <v>-74.069472222222203</v>
      </c>
      <c r="AB362" s="2">
        <v>2555</v>
      </c>
      <c r="AC362" s="2" t="s">
        <v>31</v>
      </c>
      <c r="AD362" s="2" t="s">
        <v>58</v>
      </c>
      <c r="AE362" s="2" t="s">
        <v>33</v>
      </c>
      <c r="AF362" s="2" t="s">
        <v>34</v>
      </c>
      <c r="AG362" s="2" t="s">
        <v>72</v>
      </c>
      <c r="AH362" s="2">
        <v>0.79668295360177899</v>
      </c>
      <c r="AI362" s="2">
        <v>3.78113379925672</v>
      </c>
      <c r="AJ362" s="2">
        <v>1.4856920187606699</v>
      </c>
      <c r="AK362" s="2">
        <v>0.19303423695706901</v>
      </c>
      <c r="AL362" s="2">
        <v>3.5970192282048598E-2</v>
      </c>
      <c r="AM362" s="2">
        <v>15.3</v>
      </c>
      <c r="AN362" s="2">
        <v>9.8000000000000007</v>
      </c>
      <c r="AO362" s="2">
        <v>29.7</v>
      </c>
      <c r="AP362" s="2">
        <v>564</v>
      </c>
      <c r="AQ362" s="2">
        <v>68</v>
      </c>
      <c r="AR362" s="2">
        <v>1.8</v>
      </c>
      <c r="AS362" s="2">
        <v>43</v>
      </c>
      <c r="AT362" s="2">
        <v>25.4</v>
      </c>
      <c r="AU362" s="2">
        <v>162</v>
      </c>
      <c r="AV362" s="2">
        <v>9.1</v>
      </c>
      <c r="AW362" s="2">
        <v>9.1999999999999993</v>
      </c>
      <c r="AX362" s="2">
        <v>18.3</v>
      </c>
      <c r="AY362" s="2">
        <v>0.34</v>
      </c>
      <c r="AZ362" s="2">
        <v>7.3</v>
      </c>
      <c r="BA362" s="2">
        <v>0.9</v>
      </c>
      <c r="BB362" s="2">
        <v>7.5</v>
      </c>
      <c r="BC362" s="2">
        <v>2.9</v>
      </c>
      <c r="BD362" s="2">
        <f>+AN362*EXP(-0.0495*Y362)</f>
        <v>8.4157346995854585</v>
      </c>
      <c r="BE362" s="2">
        <f>+AO362*EXP(-0.024*Y362)</f>
        <v>27.586173318254296</v>
      </c>
    </row>
    <row r="363" spans="1:57" x14ac:dyDescent="0.2">
      <c r="A363" s="2" t="s">
        <v>1360</v>
      </c>
      <c r="B363" s="2" t="s">
        <v>19</v>
      </c>
      <c r="C363" s="2" t="s">
        <v>20</v>
      </c>
      <c r="D363" s="2" t="s">
        <v>21</v>
      </c>
      <c r="E363" s="2" t="s">
        <v>1361</v>
      </c>
      <c r="F363" s="2">
        <v>3</v>
      </c>
      <c r="G363" s="2">
        <v>70</v>
      </c>
      <c r="H363" s="2">
        <v>3</v>
      </c>
      <c r="I363" s="2">
        <v>2</v>
      </c>
      <c r="J363" s="2">
        <v>1</v>
      </c>
      <c r="K363" s="2" t="s">
        <v>61</v>
      </c>
      <c r="L363" s="6" t="s">
        <v>75</v>
      </c>
      <c r="M363" s="5">
        <v>317000000</v>
      </c>
      <c r="N363" s="2">
        <v>0</v>
      </c>
      <c r="O363" s="2">
        <v>4.7473459240000002</v>
      </c>
      <c r="P363" s="2">
        <v>-74.087013240000005</v>
      </c>
      <c r="Q363" s="2" t="s">
        <v>1362</v>
      </c>
      <c r="R363" s="2">
        <v>4528571.4289999995</v>
      </c>
      <c r="S363" s="2">
        <v>0</v>
      </c>
      <c r="T363" s="2" t="s">
        <v>70</v>
      </c>
      <c r="U363" s="2" t="s">
        <v>738</v>
      </c>
      <c r="V363" s="2" t="s">
        <v>28</v>
      </c>
      <c r="W363" s="2" t="s">
        <v>70</v>
      </c>
      <c r="X363" s="2" t="s">
        <v>739</v>
      </c>
      <c r="Y363" s="2">
        <v>1.7048082314725099</v>
      </c>
      <c r="Z363" s="2">
        <v>4.7612472222222202</v>
      </c>
      <c r="AA363" s="2">
        <v>-74.093461111111097</v>
      </c>
      <c r="AB363" s="2">
        <v>2571</v>
      </c>
      <c r="AC363" s="2" t="s">
        <v>105</v>
      </c>
      <c r="AD363" s="2" t="s">
        <v>58</v>
      </c>
      <c r="AE363" s="2" t="s">
        <v>33</v>
      </c>
      <c r="AF363" s="2" t="s">
        <v>34</v>
      </c>
      <c r="AG363" s="2" t="s">
        <v>72</v>
      </c>
      <c r="AH363" s="2">
        <v>0.69603767867049604</v>
      </c>
      <c r="AI363" s="2">
        <v>3.35601559319469</v>
      </c>
      <c r="AJ363" s="2">
        <v>3.77478844544583</v>
      </c>
      <c r="AK363" s="2">
        <v>0.47390726826839202</v>
      </c>
      <c r="AL363" s="2">
        <v>3.8201005184814701E-2</v>
      </c>
      <c r="AM363" s="2">
        <v>15.3</v>
      </c>
      <c r="AN363" s="2">
        <v>9.8000000000000007</v>
      </c>
      <c r="AO363" s="2">
        <v>29.7</v>
      </c>
      <c r="AP363" s="2">
        <v>564</v>
      </c>
      <c r="AQ363" s="2">
        <v>68</v>
      </c>
      <c r="AR363" s="2">
        <v>1.8</v>
      </c>
      <c r="AS363" s="2">
        <v>43</v>
      </c>
      <c r="AT363" s="2">
        <v>25.4</v>
      </c>
      <c r="AU363" s="2">
        <v>162</v>
      </c>
      <c r="AV363" s="2">
        <v>9.1</v>
      </c>
      <c r="AW363" s="2">
        <v>9.1999999999999993</v>
      </c>
      <c r="AX363" s="2">
        <v>18.3</v>
      </c>
      <c r="AY363" s="2">
        <v>0.34</v>
      </c>
      <c r="AZ363" s="2">
        <v>7.3</v>
      </c>
      <c r="BA363" s="2">
        <v>0.9</v>
      </c>
      <c r="BB363" s="2">
        <v>7.5</v>
      </c>
      <c r="BC363" s="2">
        <v>2.9</v>
      </c>
      <c r="BD363" s="2">
        <f>+AN363*EXP(-0.0495*Y363)</f>
        <v>9.0069308752964528</v>
      </c>
      <c r="BE363" s="2">
        <f>+AO363*EXP(-0.024*Y363)</f>
        <v>28.509337017030933</v>
      </c>
    </row>
    <row r="364" spans="1:57" x14ac:dyDescent="0.2">
      <c r="A364" s="2" t="s">
        <v>1702</v>
      </c>
      <c r="B364" s="2" t="s">
        <v>19</v>
      </c>
      <c r="C364" s="2" t="s">
        <v>20</v>
      </c>
      <c r="D364" s="2" t="s">
        <v>21</v>
      </c>
      <c r="E364" s="2" t="s">
        <v>1703</v>
      </c>
      <c r="F364" s="2">
        <v>4</v>
      </c>
      <c r="G364" s="2">
        <v>69.510000000000005</v>
      </c>
      <c r="H364" s="2">
        <v>2</v>
      </c>
      <c r="I364" s="2">
        <v>2</v>
      </c>
      <c r="J364" s="2">
        <v>1</v>
      </c>
      <c r="K364" s="2" t="s">
        <v>23</v>
      </c>
      <c r="L364" s="6" t="s">
        <v>24</v>
      </c>
      <c r="M364" s="5">
        <v>891600000</v>
      </c>
      <c r="N364" s="2">
        <v>0</v>
      </c>
      <c r="O364" s="2">
        <v>4.7260323</v>
      </c>
      <c r="P364" s="2">
        <v>-74.050030000000007</v>
      </c>
      <c r="Q364" s="2" t="s">
        <v>1704</v>
      </c>
      <c r="R364" s="2">
        <v>12826931.380000001</v>
      </c>
      <c r="S364" s="2">
        <v>0</v>
      </c>
      <c r="T364" s="2" t="s">
        <v>68</v>
      </c>
      <c r="U364" s="2" t="s">
        <v>69</v>
      </c>
      <c r="V364" s="2" t="s">
        <v>28</v>
      </c>
      <c r="W364" s="2" t="s">
        <v>70</v>
      </c>
      <c r="X364" s="2" t="s">
        <v>71</v>
      </c>
      <c r="Y364" s="2">
        <v>2.48923283715119</v>
      </c>
      <c r="Z364" s="2">
        <v>4.73719444444444</v>
      </c>
      <c r="AA364" s="2">
        <v>-74.069472222222203</v>
      </c>
      <c r="AB364" s="2">
        <v>2555</v>
      </c>
      <c r="AC364" s="2" t="s">
        <v>31</v>
      </c>
      <c r="AD364" s="2" t="s">
        <v>58</v>
      </c>
      <c r="AE364" s="2" t="s">
        <v>33</v>
      </c>
      <c r="AF364" s="2" t="s">
        <v>34</v>
      </c>
      <c r="AG364" s="2" t="s">
        <v>59</v>
      </c>
      <c r="AH364" s="2">
        <v>0.104507746198367</v>
      </c>
      <c r="AI364" s="2">
        <v>3.0169697291412199</v>
      </c>
      <c r="AJ364" s="2">
        <v>1.34789688577975</v>
      </c>
      <c r="AK364" s="2">
        <v>0.110540604597802</v>
      </c>
      <c r="AL364" s="2">
        <v>0.11602629409213699</v>
      </c>
      <c r="AM364" s="2">
        <v>15.3</v>
      </c>
      <c r="AN364" s="2">
        <v>9.8000000000000007</v>
      </c>
      <c r="AO364" s="2">
        <v>29.7</v>
      </c>
      <c r="AP364" s="2">
        <v>564</v>
      </c>
      <c r="AQ364" s="2">
        <v>68</v>
      </c>
      <c r="AR364" s="2">
        <v>1.8</v>
      </c>
      <c r="AS364" s="2">
        <v>43</v>
      </c>
      <c r="AT364" s="2">
        <v>25.4</v>
      </c>
      <c r="AU364" s="2">
        <v>162</v>
      </c>
      <c r="AV364" s="2">
        <v>9.1</v>
      </c>
      <c r="AW364" s="2">
        <v>9.1999999999999993</v>
      </c>
      <c r="AX364" s="2">
        <v>18.3</v>
      </c>
      <c r="AY364" s="2">
        <v>0.34</v>
      </c>
      <c r="AZ364" s="2">
        <v>7.3</v>
      </c>
      <c r="BA364" s="2">
        <v>0.9</v>
      </c>
      <c r="BB364" s="2">
        <v>7.5</v>
      </c>
      <c r="BC364" s="2">
        <v>2.9</v>
      </c>
      <c r="BD364" s="2">
        <f>+AN364*EXP(-0.0495*Y364)</f>
        <v>8.6639034016071328</v>
      </c>
      <c r="BE364" s="2">
        <f>+AO364*EXP(-0.024*Y364)</f>
        <v>27.977635467578256</v>
      </c>
    </row>
    <row r="365" spans="1:57" x14ac:dyDescent="0.2">
      <c r="A365" s="2" t="s">
        <v>1803</v>
      </c>
      <c r="B365" s="2" t="s">
        <v>19</v>
      </c>
      <c r="C365" s="2" t="s">
        <v>20</v>
      </c>
      <c r="D365" s="2" t="s">
        <v>21</v>
      </c>
      <c r="E365" s="2" t="s">
        <v>241</v>
      </c>
      <c r="F365" s="2">
        <v>4</v>
      </c>
      <c r="G365" s="2">
        <v>69.03</v>
      </c>
      <c r="H365" s="2">
        <v>3</v>
      </c>
      <c r="I365" s="2">
        <v>2</v>
      </c>
      <c r="J365" s="2">
        <v>1</v>
      </c>
      <c r="K365" s="2" t="s">
        <v>61</v>
      </c>
      <c r="L365" s="6" t="s">
        <v>75</v>
      </c>
      <c r="M365" s="5">
        <v>395000000</v>
      </c>
      <c r="N365" s="2">
        <v>0</v>
      </c>
      <c r="O365" s="2">
        <v>4.7667760000000001</v>
      </c>
      <c r="P365" s="2">
        <v>-74.032539999999997</v>
      </c>
      <c r="Q365" s="2" t="s">
        <v>1804</v>
      </c>
      <c r="R365" s="2">
        <v>5722149.79</v>
      </c>
      <c r="S365" s="2">
        <v>0</v>
      </c>
      <c r="T365" s="2" t="s">
        <v>102</v>
      </c>
      <c r="U365" s="2" t="s">
        <v>103</v>
      </c>
      <c r="V365" s="2" t="s">
        <v>28</v>
      </c>
      <c r="W365" s="2" t="s">
        <v>70</v>
      </c>
      <c r="X365" s="2" t="s">
        <v>104</v>
      </c>
      <c r="Y365" s="2">
        <v>2.2860333694714701</v>
      </c>
      <c r="Z365" s="2">
        <v>4.7837500000000004</v>
      </c>
      <c r="AA365" s="2">
        <v>-74.044138888888895</v>
      </c>
      <c r="AB365" s="2">
        <v>2580</v>
      </c>
      <c r="AC365" s="2" t="s">
        <v>105</v>
      </c>
      <c r="AD365" s="2" t="s">
        <v>58</v>
      </c>
      <c r="AE365" s="2" t="s">
        <v>33</v>
      </c>
      <c r="AF365" s="2" t="s">
        <v>34</v>
      </c>
      <c r="AG365" s="2" t="s">
        <v>59</v>
      </c>
      <c r="AH365" s="2">
        <v>1.2437961440309999</v>
      </c>
      <c r="AI365" s="2">
        <v>1.0660400820682301</v>
      </c>
      <c r="AJ365" s="2">
        <v>1.7614109475876101</v>
      </c>
      <c r="AK365" s="2">
        <v>0.17587637779585</v>
      </c>
      <c r="AL365" s="2">
        <v>0.301588543305228</v>
      </c>
      <c r="AM365" s="2">
        <v>15.3</v>
      </c>
      <c r="AN365" s="2">
        <v>9.8000000000000007</v>
      </c>
      <c r="AO365" s="2">
        <v>29.7</v>
      </c>
      <c r="AP365" s="2">
        <v>564</v>
      </c>
      <c r="AQ365" s="2">
        <v>68</v>
      </c>
      <c r="AR365" s="2">
        <v>1.8</v>
      </c>
      <c r="AS365" s="2">
        <v>43</v>
      </c>
      <c r="AT365" s="2">
        <v>25.4</v>
      </c>
      <c r="AU365" s="2">
        <v>162</v>
      </c>
      <c r="AV365" s="2">
        <v>9.1</v>
      </c>
      <c r="AW365" s="2">
        <v>9.1999999999999993</v>
      </c>
      <c r="AX365" s="2">
        <v>18.3</v>
      </c>
      <c r="AY365" s="2">
        <v>0.34</v>
      </c>
      <c r="AZ365" s="2">
        <v>7.3</v>
      </c>
      <c r="BA365" s="2">
        <v>0.9</v>
      </c>
      <c r="BB365" s="2">
        <v>7.5</v>
      </c>
      <c r="BC365" s="2">
        <v>2.9</v>
      </c>
      <c r="BD365" s="2">
        <f>+AN365*EXP(-0.0495*Y365)</f>
        <v>8.7514879197784801</v>
      </c>
      <c r="BE365" s="2">
        <f>+AO365*EXP(-0.024*Y365)</f>
        <v>28.114409681085959</v>
      </c>
    </row>
    <row r="366" spans="1:57" x14ac:dyDescent="0.2">
      <c r="A366" s="2" t="s">
        <v>1880</v>
      </c>
      <c r="B366" s="2" t="s">
        <v>19</v>
      </c>
      <c r="C366" s="2" t="s">
        <v>20</v>
      </c>
      <c r="D366" s="2" t="s">
        <v>21</v>
      </c>
      <c r="E366" s="2" t="s">
        <v>125</v>
      </c>
      <c r="F366" s="2">
        <v>4</v>
      </c>
      <c r="G366" s="2">
        <v>68</v>
      </c>
      <c r="H366" s="2">
        <v>3</v>
      </c>
      <c r="I366" s="2">
        <v>2</v>
      </c>
      <c r="J366" s="2">
        <v>1</v>
      </c>
      <c r="K366" s="2" t="s">
        <v>61</v>
      </c>
      <c r="L366" s="6" t="s">
        <v>75</v>
      </c>
      <c r="M366" s="5">
        <v>485000000</v>
      </c>
      <c r="N366" s="2">
        <v>0</v>
      </c>
      <c r="O366" s="2">
        <v>4.7395277020000002</v>
      </c>
      <c r="P366" s="2">
        <v>-74.066337590000003</v>
      </c>
      <c r="Q366" s="2" t="s">
        <v>1881</v>
      </c>
      <c r="R366" s="2">
        <v>7132352.9409999996</v>
      </c>
      <c r="S366" s="2">
        <v>0</v>
      </c>
      <c r="T366" s="2" t="s">
        <v>68</v>
      </c>
      <c r="U366" s="2" t="s">
        <v>69</v>
      </c>
      <c r="V366" s="2" t="s">
        <v>28</v>
      </c>
      <c r="W366" s="2" t="s">
        <v>70</v>
      </c>
      <c r="X366" s="2" t="s">
        <v>71</v>
      </c>
      <c r="Y366" s="2">
        <v>0.43404554004761497</v>
      </c>
      <c r="Z366" s="2">
        <v>4.73719444444444</v>
      </c>
      <c r="AA366" s="2">
        <v>-74.069472222222203</v>
      </c>
      <c r="AB366" s="2">
        <v>2555</v>
      </c>
      <c r="AC366" s="2" t="s">
        <v>31</v>
      </c>
      <c r="AD366" s="2" t="s">
        <v>58</v>
      </c>
      <c r="AE366" s="2" t="s">
        <v>33</v>
      </c>
      <c r="AF366" s="2" t="s">
        <v>34</v>
      </c>
      <c r="AG366" s="2" t="s">
        <v>72</v>
      </c>
      <c r="AH366" s="2">
        <v>1.62611355275875</v>
      </c>
      <c r="AI366" s="2">
        <v>4.9741576658632303</v>
      </c>
      <c r="AJ366" s="2">
        <v>2.0899560013927299</v>
      </c>
      <c r="AK366" s="2">
        <v>0.17930700026262</v>
      </c>
      <c r="AL366" s="2">
        <v>5.5473599364051003E-2</v>
      </c>
      <c r="AM366" s="2">
        <v>15.3</v>
      </c>
      <c r="AN366" s="2">
        <v>9.8000000000000007</v>
      </c>
      <c r="AO366" s="2">
        <v>29.7</v>
      </c>
      <c r="AP366" s="2">
        <v>564</v>
      </c>
      <c r="AQ366" s="2">
        <v>68</v>
      </c>
      <c r="AR366" s="2">
        <v>1.8</v>
      </c>
      <c r="AS366" s="2">
        <v>43</v>
      </c>
      <c r="AT366" s="2">
        <v>25.4</v>
      </c>
      <c r="AU366" s="2">
        <v>162</v>
      </c>
      <c r="AV366" s="2">
        <v>9.1</v>
      </c>
      <c r="AW366" s="2">
        <v>9.1999999999999993</v>
      </c>
      <c r="AX366" s="2">
        <v>18.3</v>
      </c>
      <c r="AY366" s="2">
        <v>0.34</v>
      </c>
      <c r="AZ366" s="2">
        <v>7.3</v>
      </c>
      <c r="BA366" s="2">
        <v>0.9</v>
      </c>
      <c r="BB366" s="2">
        <v>7.5</v>
      </c>
      <c r="BC366" s="2">
        <v>2.9</v>
      </c>
      <c r="BD366" s="2">
        <f>+AN366*EXP(-0.0495*Y366)</f>
        <v>9.5916903149915438</v>
      </c>
      <c r="BE366" s="2">
        <f>+AO366*EXP(-0.024*Y366)</f>
        <v>29.392218218032461</v>
      </c>
    </row>
    <row r="367" spans="1:57" x14ac:dyDescent="0.2">
      <c r="A367" s="2" t="s">
        <v>1146</v>
      </c>
      <c r="B367" s="2" t="s">
        <v>19</v>
      </c>
      <c r="C367" s="2" t="s">
        <v>20</v>
      </c>
      <c r="D367" s="2" t="s">
        <v>21</v>
      </c>
      <c r="E367" s="2" t="s">
        <v>1147</v>
      </c>
      <c r="F367" s="2">
        <v>3</v>
      </c>
      <c r="G367" s="2">
        <v>68</v>
      </c>
      <c r="H367" s="2">
        <v>3</v>
      </c>
      <c r="I367" s="2">
        <v>2</v>
      </c>
      <c r="J367" s="2">
        <v>0</v>
      </c>
      <c r="K367" s="2" t="s">
        <v>61</v>
      </c>
      <c r="L367" s="6" t="s">
        <v>75</v>
      </c>
      <c r="M367" s="5">
        <v>450000000</v>
      </c>
      <c r="N367" s="2">
        <v>0</v>
      </c>
      <c r="O367" s="2">
        <v>4.7413164999999999</v>
      </c>
      <c r="P367" s="2">
        <v>-74.057515600000002</v>
      </c>
      <c r="Q367" s="2" t="s">
        <v>1148</v>
      </c>
      <c r="R367" s="2">
        <v>6617647.0590000004</v>
      </c>
      <c r="S367" s="2">
        <v>0</v>
      </c>
      <c r="T367" s="2" t="s">
        <v>68</v>
      </c>
      <c r="U367" s="2" t="s">
        <v>69</v>
      </c>
      <c r="V367" s="2" t="s">
        <v>28</v>
      </c>
      <c r="W367" s="2" t="s">
        <v>70</v>
      </c>
      <c r="X367" s="2" t="s">
        <v>71</v>
      </c>
      <c r="Y367" s="2">
        <v>1.4035806006431999</v>
      </c>
      <c r="Z367" s="2">
        <v>4.73719444444444</v>
      </c>
      <c r="AA367" s="2">
        <v>-74.069472222222203</v>
      </c>
      <c r="AB367" s="2">
        <v>2555</v>
      </c>
      <c r="AC367" s="2" t="s">
        <v>31</v>
      </c>
      <c r="AD367" s="2" t="s">
        <v>58</v>
      </c>
      <c r="AE367" s="2" t="s">
        <v>33</v>
      </c>
      <c r="AF367" s="2" t="s">
        <v>34</v>
      </c>
      <c r="AG367" s="2" t="s">
        <v>72</v>
      </c>
      <c r="AH367" s="2">
        <v>1.0570388323655</v>
      </c>
      <c r="AI367" s="2">
        <v>4.0521654571918599</v>
      </c>
      <c r="AJ367" s="2">
        <v>1.4051861958506999</v>
      </c>
      <c r="AK367" s="2">
        <v>0.30023088902522099</v>
      </c>
      <c r="AL367" s="2">
        <v>2.2920863346223799E-2</v>
      </c>
      <c r="AM367" s="2">
        <v>15.3</v>
      </c>
      <c r="AN367" s="2">
        <v>9.8000000000000007</v>
      </c>
      <c r="AO367" s="2">
        <v>29.7</v>
      </c>
      <c r="AP367" s="2">
        <v>564</v>
      </c>
      <c r="AQ367" s="2">
        <v>68</v>
      </c>
      <c r="AR367" s="2">
        <v>1.8</v>
      </c>
      <c r="AS367" s="2">
        <v>43</v>
      </c>
      <c r="AT367" s="2">
        <v>25.4</v>
      </c>
      <c r="AU367" s="2">
        <v>162</v>
      </c>
      <c r="AV367" s="2">
        <v>9.1</v>
      </c>
      <c r="AW367" s="2">
        <v>9.1999999999999993</v>
      </c>
      <c r="AX367" s="2">
        <v>18.3</v>
      </c>
      <c r="AY367" s="2">
        <v>0.34</v>
      </c>
      <c r="AZ367" s="2">
        <v>7.3</v>
      </c>
      <c r="BA367" s="2">
        <v>0.9</v>
      </c>
      <c r="BB367" s="2">
        <v>7.5</v>
      </c>
      <c r="BC367" s="2">
        <v>2.9</v>
      </c>
      <c r="BD367" s="2">
        <f>+AN367*EXP(-0.0495*Y367)</f>
        <v>9.1422373845751626</v>
      </c>
      <c r="BE367" s="2">
        <f>+AO367*EXP(-0.024*Y367)</f>
        <v>28.716191038965064</v>
      </c>
    </row>
    <row r="368" spans="1:57" x14ac:dyDescent="0.2">
      <c r="A368" s="2" t="s">
        <v>2474</v>
      </c>
      <c r="B368" s="2" t="s">
        <v>19</v>
      </c>
      <c r="C368" s="2" t="s">
        <v>1907</v>
      </c>
      <c r="D368" s="2" t="s">
        <v>21</v>
      </c>
      <c r="E368" s="2" t="s">
        <v>2475</v>
      </c>
      <c r="F368" s="2">
        <v>4</v>
      </c>
      <c r="G368" s="2">
        <v>67.069999999999993</v>
      </c>
      <c r="H368" s="2">
        <v>3</v>
      </c>
      <c r="I368" s="2">
        <v>3</v>
      </c>
      <c r="J368" s="2">
        <v>2</v>
      </c>
      <c r="K368" s="2" t="s">
        <v>61</v>
      </c>
      <c r="L368" s="6" t="s">
        <v>75</v>
      </c>
      <c r="M368" s="5">
        <v>430000000</v>
      </c>
      <c r="N368" s="2">
        <v>0</v>
      </c>
      <c r="O368" s="2">
        <v>4.7497170000000004</v>
      </c>
      <c r="P368" s="2">
        <v>-74.067949999999996</v>
      </c>
      <c r="Q368" s="2" t="s">
        <v>2476</v>
      </c>
      <c r="R368" s="2">
        <v>6411212.1660000002</v>
      </c>
      <c r="S368" s="2">
        <v>0</v>
      </c>
      <c r="T368" s="2" t="s">
        <v>68</v>
      </c>
      <c r="U368" s="2" t="s">
        <v>69</v>
      </c>
      <c r="V368" s="2" t="s">
        <v>28</v>
      </c>
      <c r="W368" s="2" t="s">
        <v>70</v>
      </c>
      <c r="X368" s="2" t="s">
        <v>71</v>
      </c>
      <c r="Y368" s="2">
        <v>1.40419604368316</v>
      </c>
      <c r="Z368" s="2">
        <v>4.73719444444444</v>
      </c>
      <c r="AA368" s="2">
        <v>-74.069472222222203</v>
      </c>
      <c r="AB368" s="2">
        <v>2555</v>
      </c>
      <c r="AC368" s="2" t="s">
        <v>31</v>
      </c>
      <c r="AD368" s="2" t="s">
        <v>58</v>
      </c>
      <c r="AE368" s="2" t="s">
        <v>33</v>
      </c>
      <c r="AF368" s="2" t="s">
        <v>34</v>
      </c>
      <c r="AG368" s="2" t="s">
        <v>72</v>
      </c>
      <c r="AH368" s="2">
        <v>2.1342106963142999</v>
      </c>
      <c r="AI368" s="2">
        <v>5.0222449902519797</v>
      </c>
      <c r="AJ368" s="2">
        <v>1.6522015381436199</v>
      </c>
      <c r="AK368" s="2">
        <v>0.28144012866962898</v>
      </c>
      <c r="AL368" s="2">
        <v>4.2702368428876297E-3</v>
      </c>
      <c r="AM368" s="2">
        <v>15.3</v>
      </c>
      <c r="AN368" s="2">
        <v>9.8000000000000007</v>
      </c>
      <c r="AO368" s="2">
        <v>29.7</v>
      </c>
      <c r="AP368" s="2">
        <v>564</v>
      </c>
      <c r="AQ368" s="2">
        <v>68</v>
      </c>
      <c r="AR368" s="2">
        <v>1.8</v>
      </c>
      <c r="AS368" s="2">
        <v>43</v>
      </c>
      <c r="AT368" s="2">
        <v>25.4</v>
      </c>
      <c r="AU368" s="2">
        <v>162</v>
      </c>
      <c r="AV368" s="2">
        <v>9.1</v>
      </c>
      <c r="AW368" s="2">
        <v>9.1999999999999993</v>
      </c>
      <c r="AX368" s="2">
        <v>18.3</v>
      </c>
      <c r="AY368" s="2">
        <v>0.34</v>
      </c>
      <c r="AZ368" s="2">
        <v>7.3</v>
      </c>
      <c r="BA368" s="2">
        <v>0.9</v>
      </c>
      <c r="BB368" s="2">
        <v>7.5</v>
      </c>
      <c r="BC368" s="2">
        <v>2.9</v>
      </c>
      <c r="BD368" s="2">
        <f>+AN368*EXP(-0.0495*Y368)</f>
        <v>9.1419588757622723</v>
      </c>
      <c r="BE368" s="2">
        <f>+AO368*EXP(-0.024*Y368)</f>
        <v>28.715766885779757</v>
      </c>
    </row>
    <row r="369" spans="1:57" x14ac:dyDescent="0.2">
      <c r="A369" s="2" t="s">
        <v>2259</v>
      </c>
      <c r="B369" s="2" t="s">
        <v>19</v>
      </c>
      <c r="C369" s="2" t="s">
        <v>1907</v>
      </c>
      <c r="D369" s="2" t="s">
        <v>21</v>
      </c>
      <c r="E369" s="2" t="s">
        <v>2260</v>
      </c>
      <c r="F369" s="2">
        <v>3</v>
      </c>
      <c r="G369" s="2">
        <v>67</v>
      </c>
      <c r="H369" s="2">
        <v>3</v>
      </c>
      <c r="I369" s="2">
        <v>2</v>
      </c>
      <c r="J369" s="2">
        <v>1</v>
      </c>
      <c r="K369" s="2" t="s">
        <v>61</v>
      </c>
      <c r="L369" s="6" t="s">
        <v>113</v>
      </c>
      <c r="M369" s="5">
        <v>380000000</v>
      </c>
      <c r="N369" s="2">
        <v>0</v>
      </c>
      <c r="O369" s="2">
        <v>4.7429981229999996</v>
      </c>
      <c r="P369" s="2">
        <v>-74.055717470000005</v>
      </c>
      <c r="Q369" s="2" t="s">
        <v>2261</v>
      </c>
      <c r="R369" s="2">
        <v>5671641.7910000002</v>
      </c>
      <c r="S369" s="2">
        <v>0</v>
      </c>
      <c r="T369" s="2" t="s">
        <v>68</v>
      </c>
      <c r="U369" s="2" t="s">
        <v>69</v>
      </c>
      <c r="V369" s="2" t="s">
        <v>28</v>
      </c>
      <c r="W369" s="2" t="s">
        <v>70</v>
      </c>
      <c r="X369" s="2" t="s">
        <v>71</v>
      </c>
      <c r="Y369" s="2">
        <v>1.65706811477821</v>
      </c>
      <c r="Z369" s="2">
        <v>4.73719444444444</v>
      </c>
      <c r="AA369" s="2">
        <v>-74.069472222222203</v>
      </c>
      <c r="AB369" s="2">
        <v>2555</v>
      </c>
      <c r="AC369" s="2" t="s">
        <v>31</v>
      </c>
      <c r="AD369" s="2" t="s">
        <v>58</v>
      </c>
      <c r="AE369" s="2" t="s">
        <v>33</v>
      </c>
      <c r="AF369" s="2" t="s">
        <v>34</v>
      </c>
      <c r="AG369" s="2" t="s">
        <v>72</v>
      </c>
      <c r="AH369" s="2">
        <v>0.86393131853077898</v>
      </c>
      <c r="AI369" s="2">
        <v>3.9088250190147402</v>
      </c>
      <c r="AJ369" s="2">
        <v>1.1730224823086499</v>
      </c>
      <c r="AK369" s="2">
        <v>0.47836981227622999</v>
      </c>
      <c r="AL369" s="2">
        <v>0.14701055877364899</v>
      </c>
      <c r="AM369" s="2">
        <v>15.3</v>
      </c>
      <c r="AN369" s="2">
        <v>9.8000000000000007</v>
      </c>
      <c r="AO369" s="2">
        <v>29.7</v>
      </c>
      <c r="AP369" s="2">
        <v>564</v>
      </c>
      <c r="AQ369" s="2">
        <v>68</v>
      </c>
      <c r="AR369" s="2">
        <v>1.8</v>
      </c>
      <c r="AS369" s="2">
        <v>43</v>
      </c>
      <c r="AT369" s="2">
        <v>25.4</v>
      </c>
      <c r="AU369" s="2">
        <v>162</v>
      </c>
      <c r="AV369" s="2">
        <v>9.1</v>
      </c>
      <c r="AW369" s="2">
        <v>9.1999999999999993</v>
      </c>
      <c r="AX369" s="2">
        <v>18.3</v>
      </c>
      <c r="AY369" s="2">
        <v>0.34</v>
      </c>
      <c r="AZ369" s="2">
        <v>7.3</v>
      </c>
      <c r="BA369" s="2">
        <v>0.9</v>
      </c>
      <c r="BB369" s="2">
        <v>7.5</v>
      </c>
      <c r="BC369" s="2">
        <v>2.9</v>
      </c>
      <c r="BD369" s="2">
        <f>+AN369*EXP(-0.0495*Y369)</f>
        <v>9.028240644905738</v>
      </c>
      <c r="BE369" s="2">
        <f>+AO369*EXP(-0.024*Y369)</f>
        <v>28.542020675140929</v>
      </c>
    </row>
    <row r="370" spans="1:57" x14ac:dyDescent="0.2">
      <c r="A370" s="2" t="s">
        <v>1279</v>
      </c>
      <c r="B370" s="2" t="s">
        <v>19</v>
      </c>
      <c r="C370" s="2" t="s">
        <v>20</v>
      </c>
      <c r="D370" s="2" t="s">
        <v>21</v>
      </c>
      <c r="E370" s="2" t="s">
        <v>1147</v>
      </c>
      <c r="F370" s="2">
        <v>3</v>
      </c>
      <c r="G370" s="2">
        <v>66</v>
      </c>
      <c r="H370" s="2">
        <v>3</v>
      </c>
      <c r="I370" s="2">
        <v>2</v>
      </c>
      <c r="J370" s="2">
        <v>1</v>
      </c>
      <c r="K370" s="2" t="s">
        <v>61</v>
      </c>
      <c r="L370" s="6" t="s">
        <v>113</v>
      </c>
      <c r="M370" s="5">
        <v>365000000</v>
      </c>
      <c r="N370" s="2">
        <v>0</v>
      </c>
      <c r="O370" s="2">
        <v>4.7470583</v>
      </c>
      <c r="P370" s="2">
        <v>-74.057769899999997</v>
      </c>
      <c r="Q370" s="2" t="s">
        <v>1280</v>
      </c>
      <c r="R370" s="2">
        <v>5530303.0300000003</v>
      </c>
      <c r="S370" s="2">
        <v>0</v>
      </c>
      <c r="T370" s="2" t="s">
        <v>68</v>
      </c>
      <c r="U370" s="2" t="s">
        <v>69</v>
      </c>
      <c r="V370" s="2" t="s">
        <v>28</v>
      </c>
      <c r="W370" s="2" t="s">
        <v>70</v>
      </c>
      <c r="X370" s="2" t="s">
        <v>71</v>
      </c>
      <c r="Y370" s="2">
        <v>1.7003265686789599</v>
      </c>
      <c r="Z370" s="2">
        <v>4.73719444444444</v>
      </c>
      <c r="AA370" s="2">
        <v>-74.069472222222203</v>
      </c>
      <c r="AB370" s="2">
        <v>2555</v>
      </c>
      <c r="AC370" s="2" t="s">
        <v>31</v>
      </c>
      <c r="AD370" s="2" t="s">
        <v>58</v>
      </c>
      <c r="AE370" s="2" t="s">
        <v>33</v>
      </c>
      <c r="AF370" s="2" t="s">
        <v>34</v>
      </c>
      <c r="AG370" s="2" t="s">
        <v>72</v>
      </c>
      <c r="AH370" s="2">
        <v>1.16979407274396</v>
      </c>
      <c r="AI370" s="2">
        <v>4.1170302245128401</v>
      </c>
      <c r="AJ370" s="2">
        <v>0.84356398554610501</v>
      </c>
      <c r="AK370" s="2">
        <v>0.22481910892767501</v>
      </c>
      <c r="AL370" s="2">
        <v>9.5183419289802701E-2</v>
      </c>
      <c r="AM370" s="2">
        <v>15.3</v>
      </c>
      <c r="AN370" s="2">
        <v>9.8000000000000007</v>
      </c>
      <c r="AO370" s="2">
        <v>29.7</v>
      </c>
      <c r="AP370" s="2">
        <v>564</v>
      </c>
      <c r="AQ370" s="2">
        <v>68</v>
      </c>
      <c r="AR370" s="2">
        <v>1.8</v>
      </c>
      <c r="AS370" s="2">
        <v>43</v>
      </c>
      <c r="AT370" s="2">
        <v>25.4</v>
      </c>
      <c r="AU370" s="2">
        <v>162</v>
      </c>
      <c r="AV370" s="2">
        <v>9.1</v>
      </c>
      <c r="AW370" s="2">
        <v>9.1999999999999993</v>
      </c>
      <c r="AX370" s="2">
        <v>18.3</v>
      </c>
      <c r="AY370" s="2">
        <v>0.34</v>
      </c>
      <c r="AZ370" s="2">
        <v>7.3</v>
      </c>
      <c r="BA370" s="2">
        <v>0.9</v>
      </c>
      <c r="BB370" s="2">
        <v>7.5</v>
      </c>
      <c r="BC370" s="2">
        <v>2.9</v>
      </c>
      <c r="BD370" s="2">
        <f>+AN370*EXP(-0.0495*Y370)</f>
        <v>9.0089292152823361</v>
      </c>
      <c r="BE370" s="2">
        <f>+AO370*EXP(-0.024*Y370)</f>
        <v>28.512403643590485</v>
      </c>
    </row>
    <row r="371" spans="1:57" x14ac:dyDescent="0.2">
      <c r="A371" s="2" t="s">
        <v>328</v>
      </c>
      <c r="B371" s="2" t="s">
        <v>19</v>
      </c>
      <c r="C371" s="2" t="s">
        <v>20</v>
      </c>
      <c r="D371" s="2" t="s">
        <v>21</v>
      </c>
      <c r="E371" s="2" t="s">
        <v>329</v>
      </c>
      <c r="F371" s="2">
        <v>3</v>
      </c>
      <c r="G371" s="2">
        <v>65</v>
      </c>
      <c r="H371" s="2">
        <v>3</v>
      </c>
      <c r="I371" s="2">
        <v>2</v>
      </c>
      <c r="J371" s="2">
        <v>1</v>
      </c>
      <c r="K371" s="2" t="s">
        <v>61</v>
      </c>
      <c r="L371" s="6" t="s">
        <v>62</v>
      </c>
      <c r="M371" s="5">
        <v>548000000</v>
      </c>
      <c r="N371" s="2">
        <v>0</v>
      </c>
      <c r="O371" s="2">
        <v>4.718644619</v>
      </c>
      <c r="P371" s="2">
        <v>-74.059188840000004</v>
      </c>
      <c r="Q371" s="2" t="s">
        <v>330</v>
      </c>
      <c r="R371" s="2">
        <v>8430769.2310000006</v>
      </c>
      <c r="S371" s="2">
        <v>0</v>
      </c>
      <c r="T371" s="2" t="s">
        <v>68</v>
      </c>
      <c r="U371" s="2" t="s">
        <v>69</v>
      </c>
      <c r="V371" s="2" t="s">
        <v>28</v>
      </c>
      <c r="W371" s="2" t="s">
        <v>70</v>
      </c>
      <c r="X371" s="2" t="s">
        <v>71</v>
      </c>
      <c r="Y371" s="2">
        <v>2.35914748170803</v>
      </c>
      <c r="Z371" s="2">
        <v>4.73719444444444</v>
      </c>
      <c r="AA371" s="2">
        <v>-74.069472222222203</v>
      </c>
      <c r="AB371" s="2">
        <v>2555</v>
      </c>
      <c r="AC371" s="2" t="s">
        <v>31</v>
      </c>
      <c r="AD371" s="2" t="s">
        <v>58</v>
      </c>
      <c r="AE371" s="2" t="s">
        <v>33</v>
      </c>
      <c r="AF371" s="2" t="s">
        <v>34</v>
      </c>
      <c r="AG371" s="2" t="s">
        <v>72</v>
      </c>
      <c r="AH371" s="2">
        <v>0.86277627739553098</v>
      </c>
      <c r="AI371" s="2">
        <v>3.8834574095717</v>
      </c>
      <c r="AJ371" s="2">
        <v>1.37016072752566</v>
      </c>
      <c r="AK371" s="2">
        <v>0.26859373077948701</v>
      </c>
      <c r="AL371" s="2">
        <v>0.16840829252593001</v>
      </c>
      <c r="AM371" s="2">
        <v>15.3</v>
      </c>
      <c r="AN371" s="2">
        <v>9.8000000000000007</v>
      </c>
      <c r="AO371" s="2">
        <v>29.7</v>
      </c>
      <c r="AP371" s="2">
        <v>564</v>
      </c>
      <c r="AQ371" s="2">
        <v>68</v>
      </c>
      <c r="AR371" s="2">
        <v>1.8</v>
      </c>
      <c r="AS371" s="2">
        <v>43</v>
      </c>
      <c r="AT371" s="2">
        <v>25.4</v>
      </c>
      <c r="AU371" s="2">
        <v>162</v>
      </c>
      <c r="AV371" s="2">
        <v>9.1</v>
      </c>
      <c r="AW371" s="2">
        <v>9.1999999999999993</v>
      </c>
      <c r="AX371" s="2">
        <v>18.3</v>
      </c>
      <c r="AY371" s="2">
        <v>0.34</v>
      </c>
      <c r="AZ371" s="2">
        <v>7.3</v>
      </c>
      <c r="BA371" s="2">
        <v>0.9</v>
      </c>
      <c r="BB371" s="2">
        <v>7.5</v>
      </c>
      <c r="BC371" s="2">
        <v>2.9</v>
      </c>
      <c r="BD371" s="2">
        <f>+AN371*EXP(-0.0495*Y371)</f>
        <v>8.7198722303607887</v>
      </c>
      <c r="BE371" s="2">
        <f>+AO371*EXP(-0.024*Y371)</f>
        <v>28.065119496912835</v>
      </c>
    </row>
    <row r="372" spans="1:57" x14ac:dyDescent="0.2">
      <c r="A372" s="2" t="s">
        <v>254</v>
      </c>
      <c r="B372" s="2" t="s">
        <v>19</v>
      </c>
      <c r="C372" s="2" t="s">
        <v>20</v>
      </c>
      <c r="D372" s="2" t="s">
        <v>21</v>
      </c>
      <c r="E372" s="2" t="s">
        <v>122</v>
      </c>
      <c r="F372" s="2">
        <v>3</v>
      </c>
      <c r="G372" s="2">
        <v>65</v>
      </c>
      <c r="H372" s="2">
        <v>3</v>
      </c>
      <c r="I372" s="2">
        <v>2</v>
      </c>
      <c r="J372" s="2">
        <v>1</v>
      </c>
      <c r="K372" s="2" t="s">
        <v>61</v>
      </c>
      <c r="L372" s="6" t="s">
        <v>75</v>
      </c>
      <c r="M372" s="5">
        <v>533000000</v>
      </c>
      <c r="N372" s="2">
        <v>0</v>
      </c>
      <c r="O372" s="2">
        <v>4.7109886000000003</v>
      </c>
      <c r="P372" s="2">
        <v>-74.072091999999998</v>
      </c>
      <c r="Q372" s="2" t="s">
        <v>255</v>
      </c>
      <c r="R372" s="2">
        <v>8200000</v>
      </c>
      <c r="S372" s="2">
        <v>0</v>
      </c>
      <c r="T372" s="2" t="s">
        <v>68</v>
      </c>
      <c r="U372" s="2" t="s">
        <v>69</v>
      </c>
      <c r="V372" s="2" t="s">
        <v>28</v>
      </c>
      <c r="W372" s="2" t="s">
        <v>70</v>
      </c>
      <c r="X372" s="2" t="s">
        <v>71</v>
      </c>
      <c r="Y372" s="2">
        <v>2.9316637629442299</v>
      </c>
      <c r="Z372" s="2">
        <v>4.73719444444444</v>
      </c>
      <c r="AA372" s="2">
        <v>-74.069472222222203</v>
      </c>
      <c r="AB372" s="2">
        <v>2555</v>
      </c>
      <c r="AC372" s="2" t="s">
        <v>31</v>
      </c>
      <c r="AD372" s="2" t="s">
        <v>58</v>
      </c>
      <c r="AE372" s="2" t="s">
        <v>33</v>
      </c>
      <c r="AF372" s="2" t="s">
        <v>34</v>
      </c>
      <c r="AG372" s="2" t="s">
        <v>72</v>
      </c>
      <c r="AH372" s="2">
        <v>0.114423975215871</v>
      </c>
      <c r="AI372" s="2">
        <v>5.21687536638394</v>
      </c>
      <c r="AJ372" s="2">
        <v>0.65226322587517005</v>
      </c>
      <c r="AK372" s="2">
        <v>0.14181817028282401</v>
      </c>
      <c r="AL372" s="2">
        <v>0.37112165119991802</v>
      </c>
      <c r="AM372" s="2">
        <v>15.3</v>
      </c>
      <c r="AN372" s="2">
        <v>9.8000000000000007</v>
      </c>
      <c r="AO372" s="2">
        <v>29.7</v>
      </c>
      <c r="AP372" s="2">
        <v>564</v>
      </c>
      <c r="AQ372" s="2">
        <v>68</v>
      </c>
      <c r="AR372" s="2">
        <v>1.8</v>
      </c>
      <c r="AS372" s="2">
        <v>43</v>
      </c>
      <c r="AT372" s="2">
        <v>25.4</v>
      </c>
      <c r="AU372" s="2">
        <v>162</v>
      </c>
      <c r="AV372" s="2">
        <v>9.1</v>
      </c>
      <c r="AW372" s="2">
        <v>9.1999999999999993</v>
      </c>
      <c r="AX372" s="2">
        <v>18.3</v>
      </c>
      <c r="AY372" s="2">
        <v>0.34</v>
      </c>
      <c r="AZ372" s="2">
        <v>7.3</v>
      </c>
      <c r="BA372" s="2">
        <v>0.9</v>
      </c>
      <c r="BB372" s="2">
        <v>7.5</v>
      </c>
      <c r="BC372" s="2">
        <v>2.9</v>
      </c>
      <c r="BD372" s="2">
        <f>+AN372*EXP(-0.0495*Y372)</f>
        <v>8.4762236761554099</v>
      </c>
      <c r="BE372" s="2">
        <f>+AO372*EXP(-0.024*Y372)</f>
        <v>27.682131019866095</v>
      </c>
    </row>
    <row r="373" spans="1:57" x14ac:dyDescent="0.2">
      <c r="A373" s="2" t="s">
        <v>492</v>
      </c>
      <c r="B373" s="2" t="s">
        <v>19</v>
      </c>
      <c r="C373" s="2" t="s">
        <v>20</v>
      </c>
      <c r="D373" s="2" t="s">
        <v>21</v>
      </c>
      <c r="E373" s="2" t="s">
        <v>493</v>
      </c>
      <c r="F373" s="2">
        <v>3</v>
      </c>
      <c r="G373" s="2">
        <v>65</v>
      </c>
      <c r="H373" s="2">
        <v>3</v>
      </c>
      <c r="I373" s="2">
        <v>1</v>
      </c>
      <c r="J373" s="2">
        <v>0</v>
      </c>
      <c r="K373" s="2" t="s">
        <v>61</v>
      </c>
      <c r="L373" s="6" t="s">
        <v>113</v>
      </c>
      <c r="M373" s="5">
        <v>272000000</v>
      </c>
      <c r="N373" s="2">
        <v>0</v>
      </c>
      <c r="O373" s="2">
        <v>4.7298412320000001</v>
      </c>
      <c r="P373" s="2">
        <v>-74.087104800000006</v>
      </c>
      <c r="Q373" s="2" t="s">
        <v>494</v>
      </c>
      <c r="R373" s="2">
        <v>4184615.3849999998</v>
      </c>
      <c r="S373" s="2">
        <v>0</v>
      </c>
      <c r="T373" s="2" t="s">
        <v>68</v>
      </c>
      <c r="U373" s="2" t="s">
        <v>69</v>
      </c>
      <c r="V373" s="2" t="s">
        <v>28</v>
      </c>
      <c r="W373" s="2" t="s">
        <v>70</v>
      </c>
      <c r="X373" s="2" t="s">
        <v>71</v>
      </c>
      <c r="Y373" s="2">
        <v>2.12051303046827</v>
      </c>
      <c r="Z373" s="2">
        <v>4.73719444444444</v>
      </c>
      <c r="AA373" s="2">
        <v>-74.069472222222203</v>
      </c>
      <c r="AB373" s="2">
        <v>2555</v>
      </c>
      <c r="AC373" s="2" t="s">
        <v>31</v>
      </c>
      <c r="AD373" s="2" t="s">
        <v>58</v>
      </c>
      <c r="AE373" s="2" t="s">
        <v>33</v>
      </c>
      <c r="AF373" s="2" t="s">
        <v>34</v>
      </c>
      <c r="AG373" s="2" t="s">
        <v>72</v>
      </c>
      <c r="AH373" s="2">
        <v>0.923240611124587</v>
      </c>
      <c r="AI373" s="2">
        <v>4.1927159984494002</v>
      </c>
      <c r="AJ373" s="2">
        <v>2.25527783253141</v>
      </c>
      <c r="AK373" s="2">
        <v>0.25155645768317197</v>
      </c>
      <c r="AL373" s="2">
        <v>4.4103008464132301E-2</v>
      </c>
      <c r="AM373" s="2">
        <v>15.3</v>
      </c>
      <c r="AN373" s="2">
        <v>9.8000000000000007</v>
      </c>
      <c r="AO373" s="2">
        <v>29.7</v>
      </c>
      <c r="AP373" s="2">
        <v>564</v>
      </c>
      <c r="AQ373" s="2">
        <v>68</v>
      </c>
      <c r="AR373" s="2">
        <v>1.8</v>
      </c>
      <c r="AS373" s="2">
        <v>43</v>
      </c>
      <c r="AT373" s="2">
        <v>25.4</v>
      </c>
      <c r="AU373" s="2">
        <v>162</v>
      </c>
      <c r="AV373" s="2">
        <v>9.1</v>
      </c>
      <c r="AW373" s="2">
        <v>9.1999999999999993</v>
      </c>
      <c r="AX373" s="2">
        <v>18.3</v>
      </c>
      <c r="AY373" s="2">
        <v>0.34</v>
      </c>
      <c r="AZ373" s="2">
        <v>7.3</v>
      </c>
      <c r="BA373" s="2">
        <v>0.9</v>
      </c>
      <c r="BB373" s="2">
        <v>7.5</v>
      </c>
      <c r="BC373" s="2">
        <v>2.9</v>
      </c>
      <c r="BD373" s="2">
        <f>+AN373*EXP(-0.0495*Y373)</f>
        <v>8.82348565271122</v>
      </c>
      <c r="BE373" s="2">
        <f>+AO373*EXP(-0.024*Y373)</f>
        <v>28.226315966028622</v>
      </c>
    </row>
    <row r="374" spans="1:57" x14ac:dyDescent="0.2">
      <c r="A374" s="2" t="s">
        <v>1338</v>
      </c>
      <c r="B374" s="2" t="s">
        <v>19</v>
      </c>
      <c r="C374" s="2" t="s">
        <v>20</v>
      </c>
      <c r="D374" s="2" t="s">
        <v>21</v>
      </c>
      <c r="E374" s="2" t="s">
        <v>1257</v>
      </c>
      <c r="F374" s="2">
        <v>4</v>
      </c>
      <c r="G374" s="2">
        <v>63</v>
      </c>
      <c r="H374" s="2">
        <v>3</v>
      </c>
      <c r="I374" s="2">
        <v>2</v>
      </c>
      <c r="J374" s="2">
        <v>1</v>
      </c>
      <c r="K374" s="2" t="s">
        <v>61</v>
      </c>
      <c r="L374" s="6" t="s">
        <v>113</v>
      </c>
      <c r="M374" s="5">
        <v>340000000</v>
      </c>
      <c r="N374" s="2">
        <v>0</v>
      </c>
      <c r="O374" s="2">
        <v>4.7390046000000003</v>
      </c>
      <c r="P374" s="2">
        <v>-74.044889999999995</v>
      </c>
      <c r="Q374" s="2" t="s">
        <v>1339</v>
      </c>
      <c r="R374" s="2">
        <v>5396825.3969999999</v>
      </c>
      <c r="S374" s="2">
        <v>0</v>
      </c>
      <c r="T374" s="2" t="s">
        <v>68</v>
      </c>
      <c r="U374" s="2" t="s">
        <v>69</v>
      </c>
      <c r="V374" s="2" t="s">
        <v>28</v>
      </c>
      <c r="W374" s="2" t="s">
        <v>70</v>
      </c>
      <c r="X374" s="2" t="s">
        <v>71</v>
      </c>
      <c r="Y374" s="2">
        <v>2.7345634499425802</v>
      </c>
      <c r="Z374" s="2">
        <v>4.73719444444444</v>
      </c>
      <c r="AA374" s="2">
        <v>-74.069472222222203</v>
      </c>
      <c r="AB374" s="2">
        <v>2555</v>
      </c>
      <c r="AC374" s="2" t="s">
        <v>31</v>
      </c>
      <c r="AD374" s="2" t="s">
        <v>58</v>
      </c>
      <c r="AE374" s="2" t="s">
        <v>33</v>
      </c>
      <c r="AF374" s="2" t="s">
        <v>34</v>
      </c>
      <c r="AG374" s="2" t="s">
        <v>59</v>
      </c>
      <c r="AH374" s="2">
        <v>0.47158161534314402</v>
      </c>
      <c r="AI374" s="2">
        <v>2.6328201193359799</v>
      </c>
      <c r="AJ374" s="2">
        <v>0.86877635425700295</v>
      </c>
      <c r="AK374" s="2">
        <v>0.238373210691844</v>
      </c>
      <c r="AL374" s="2">
        <v>0.279892664708834</v>
      </c>
      <c r="AM374" s="2">
        <v>15.3</v>
      </c>
      <c r="AN374" s="2">
        <v>9.8000000000000007</v>
      </c>
      <c r="AO374" s="2">
        <v>29.7</v>
      </c>
      <c r="AP374" s="2">
        <v>564</v>
      </c>
      <c r="AQ374" s="2">
        <v>68</v>
      </c>
      <c r="AR374" s="2">
        <v>1.8</v>
      </c>
      <c r="AS374" s="2">
        <v>43</v>
      </c>
      <c r="AT374" s="2">
        <v>25.4</v>
      </c>
      <c r="AU374" s="2">
        <v>162</v>
      </c>
      <c r="AV374" s="2">
        <v>9.1</v>
      </c>
      <c r="AW374" s="2">
        <v>9.1999999999999993</v>
      </c>
      <c r="AX374" s="2">
        <v>18.3</v>
      </c>
      <c r="AY374" s="2">
        <v>0.34</v>
      </c>
      <c r="AZ374" s="2">
        <v>7.3</v>
      </c>
      <c r="BA374" s="2">
        <v>0.9</v>
      </c>
      <c r="BB374" s="2">
        <v>7.5</v>
      </c>
      <c r="BC374" s="2">
        <v>2.9</v>
      </c>
      <c r="BD374" s="2">
        <f>+AN374*EXP(-0.0495*Y374)</f>
        <v>8.5593263951712419</v>
      </c>
      <c r="BE374" s="2">
        <f>+AO374*EXP(-0.024*Y374)</f>
        <v>27.813388987469189</v>
      </c>
    </row>
    <row r="375" spans="1:57" x14ac:dyDescent="0.2">
      <c r="A375" s="2" t="s">
        <v>1813</v>
      </c>
      <c r="B375" s="2" t="s">
        <v>19</v>
      </c>
      <c r="C375" s="2" t="s">
        <v>20</v>
      </c>
      <c r="D375" s="2" t="s">
        <v>21</v>
      </c>
      <c r="E375" s="2" t="s">
        <v>1703</v>
      </c>
      <c r="F375" s="2">
        <v>4</v>
      </c>
      <c r="G375" s="2">
        <v>62.89</v>
      </c>
      <c r="H375" s="2">
        <v>2</v>
      </c>
      <c r="I375" s="2">
        <v>2</v>
      </c>
      <c r="J375" s="2">
        <v>1</v>
      </c>
      <c r="K375" s="2" t="s">
        <v>23</v>
      </c>
      <c r="L375" s="6" t="s">
        <v>24</v>
      </c>
      <c r="M375" s="5">
        <v>811900000</v>
      </c>
      <c r="N375" s="2">
        <v>0</v>
      </c>
      <c r="O375" s="2">
        <v>4.7260323</v>
      </c>
      <c r="P375" s="2">
        <v>-74.050030000000007</v>
      </c>
      <c r="Q375" s="2" t="s">
        <v>1814</v>
      </c>
      <c r="R375" s="2">
        <v>12909842.58</v>
      </c>
      <c r="S375" s="2">
        <v>0</v>
      </c>
      <c r="T375" s="2" t="s">
        <v>68</v>
      </c>
      <c r="U375" s="2" t="s">
        <v>69</v>
      </c>
      <c r="V375" s="2" t="s">
        <v>28</v>
      </c>
      <c r="W375" s="2" t="s">
        <v>70</v>
      </c>
      <c r="X375" s="2" t="s">
        <v>71</v>
      </c>
      <c r="Y375" s="2">
        <v>2.48923283715119</v>
      </c>
      <c r="Z375" s="2">
        <v>4.73719444444444</v>
      </c>
      <c r="AA375" s="2">
        <v>-74.069472222222203</v>
      </c>
      <c r="AB375" s="2">
        <v>2555</v>
      </c>
      <c r="AC375" s="2" t="s">
        <v>31</v>
      </c>
      <c r="AD375" s="2" t="s">
        <v>58</v>
      </c>
      <c r="AE375" s="2" t="s">
        <v>33</v>
      </c>
      <c r="AF375" s="2" t="s">
        <v>34</v>
      </c>
      <c r="AG375" s="2" t="s">
        <v>59</v>
      </c>
      <c r="AH375" s="2">
        <v>0.104507746198367</v>
      </c>
      <c r="AI375" s="2">
        <v>3.0169697291412199</v>
      </c>
      <c r="AJ375" s="2">
        <v>1.34789688577975</v>
      </c>
      <c r="AK375" s="2">
        <v>0.110540604597802</v>
      </c>
      <c r="AL375" s="2">
        <v>0.11602629409213699</v>
      </c>
      <c r="AM375" s="2">
        <v>15.3</v>
      </c>
      <c r="AN375" s="2">
        <v>9.8000000000000007</v>
      </c>
      <c r="AO375" s="2">
        <v>29.7</v>
      </c>
      <c r="AP375" s="2">
        <v>564</v>
      </c>
      <c r="AQ375" s="2">
        <v>68</v>
      </c>
      <c r="AR375" s="2">
        <v>1.8</v>
      </c>
      <c r="AS375" s="2">
        <v>43</v>
      </c>
      <c r="AT375" s="2">
        <v>25.4</v>
      </c>
      <c r="AU375" s="2">
        <v>162</v>
      </c>
      <c r="AV375" s="2">
        <v>9.1</v>
      </c>
      <c r="AW375" s="2">
        <v>9.1999999999999993</v>
      </c>
      <c r="AX375" s="2">
        <v>18.3</v>
      </c>
      <c r="AY375" s="2">
        <v>0.34</v>
      </c>
      <c r="AZ375" s="2">
        <v>7.3</v>
      </c>
      <c r="BA375" s="2">
        <v>0.9</v>
      </c>
      <c r="BB375" s="2">
        <v>7.5</v>
      </c>
      <c r="BC375" s="2">
        <v>2.9</v>
      </c>
      <c r="BD375" s="2">
        <f>+AN375*EXP(-0.0495*Y375)</f>
        <v>8.6639034016071328</v>
      </c>
      <c r="BE375" s="2">
        <f>+AO375*EXP(-0.024*Y375)</f>
        <v>27.977635467578256</v>
      </c>
    </row>
    <row r="376" spans="1:57" x14ac:dyDescent="0.2">
      <c r="A376" s="2" t="s">
        <v>352</v>
      </c>
      <c r="B376" s="2" t="s">
        <v>19</v>
      </c>
      <c r="C376" s="2" t="s">
        <v>20</v>
      </c>
      <c r="D376" s="2" t="s">
        <v>21</v>
      </c>
      <c r="E376" s="2" t="s">
        <v>218</v>
      </c>
      <c r="F376" s="2">
        <v>4</v>
      </c>
      <c r="G376" s="2">
        <v>62.8</v>
      </c>
      <c r="H376" s="2">
        <v>3</v>
      </c>
      <c r="I376" s="2">
        <v>2</v>
      </c>
      <c r="J376" s="2">
        <v>1</v>
      </c>
      <c r="K376" s="2" t="s">
        <v>61</v>
      </c>
      <c r="L376" s="6" t="s">
        <v>62</v>
      </c>
      <c r="M376" s="5">
        <v>555000000</v>
      </c>
      <c r="N376" s="2">
        <v>0</v>
      </c>
      <c r="O376" s="2">
        <v>4.7761645320000001</v>
      </c>
      <c r="P376" s="2">
        <v>-74.048355099999995</v>
      </c>
      <c r="Q376" s="2" t="s">
        <v>353</v>
      </c>
      <c r="R376" s="2">
        <v>8837579.6180000007</v>
      </c>
      <c r="S376" s="2">
        <v>0</v>
      </c>
      <c r="T376" s="2" t="s">
        <v>102</v>
      </c>
      <c r="U376" s="2" t="s">
        <v>103</v>
      </c>
      <c r="V376" s="2" t="s">
        <v>28</v>
      </c>
      <c r="W376" s="2" t="s">
        <v>70</v>
      </c>
      <c r="X376" s="2" t="s">
        <v>104</v>
      </c>
      <c r="Y376" s="2">
        <v>0.96529036070602303</v>
      </c>
      <c r="Z376" s="2">
        <v>4.7837500000000004</v>
      </c>
      <c r="AA376" s="2">
        <v>-74.044138888888895</v>
      </c>
      <c r="AB376" s="2">
        <v>2580</v>
      </c>
      <c r="AC376" s="2" t="s">
        <v>105</v>
      </c>
      <c r="AD376" s="2" t="s">
        <v>58</v>
      </c>
      <c r="AE376" s="2" t="s">
        <v>33</v>
      </c>
      <c r="AF376" s="2" t="s">
        <v>34</v>
      </c>
      <c r="AG376" s="2" t="s">
        <v>72</v>
      </c>
      <c r="AH376" s="2">
        <v>0.96961107970469196</v>
      </c>
      <c r="AI376" s="2">
        <v>2.9584622455460399</v>
      </c>
      <c r="AJ376" s="2">
        <v>2.5821112313955799</v>
      </c>
      <c r="AK376" s="2">
        <v>0.50772592774554404</v>
      </c>
      <c r="AL376" s="2">
        <v>0.28956529369416401</v>
      </c>
      <c r="AM376" s="2">
        <v>15.3</v>
      </c>
      <c r="AN376" s="2">
        <v>9.8000000000000007</v>
      </c>
      <c r="AO376" s="2">
        <v>29.7</v>
      </c>
      <c r="AP376" s="2">
        <v>564</v>
      </c>
      <c r="AQ376" s="2">
        <v>68</v>
      </c>
      <c r="AR376" s="2">
        <v>1.8</v>
      </c>
      <c r="AS376" s="2">
        <v>43</v>
      </c>
      <c r="AT376" s="2">
        <v>25.4</v>
      </c>
      <c r="AU376" s="2">
        <v>162</v>
      </c>
      <c r="AV376" s="2">
        <v>9.1</v>
      </c>
      <c r="AW376" s="2">
        <v>9.1999999999999993</v>
      </c>
      <c r="AX376" s="2">
        <v>18.3</v>
      </c>
      <c r="AY376" s="2">
        <v>0.34</v>
      </c>
      <c r="AZ376" s="2">
        <v>7.3</v>
      </c>
      <c r="BA376" s="2">
        <v>0.9</v>
      </c>
      <c r="BB376" s="2">
        <v>7.5</v>
      </c>
      <c r="BC376" s="2">
        <v>2.9</v>
      </c>
      <c r="BD376" s="2">
        <f>+AN376*EXP(-0.0495*Y376)</f>
        <v>9.3427487982365705</v>
      </c>
      <c r="BE376" s="2">
        <f>+AO376*EXP(-0.024*Y376)</f>
        <v>29.019849958156154</v>
      </c>
    </row>
    <row r="377" spans="1:57" x14ac:dyDescent="0.2">
      <c r="A377" s="2" t="s">
        <v>495</v>
      </c>
      <c r="B377" s="2" t="s">
        <v>19</v>
      </c>
      <c r="C377" s="2" t="s">
        <v>20</v>
      </c>
      <c r="D377" s="2" t="s">
        <v>21</v>
      </c>
      <c r="E377" s="2" t="s">
        <v>496</v>
      </c>
      <c r="F377" s="2">
        <v>4</v>
      </c>
      <c r="G377" s="2">
        <v>62.04</v>
      </c>
      <c r="H377" s="2">
        <v>2</v>
      </c>
      <c r="I377" s="2">
        <v>2</v>
      </c>
      <c r="J377" s="2">
        <v>2</v>
      </c>
      <c r="K377" s="2" t="s">
        <v>61</v>
      </c>
      <c r="L377" s="6" t="s">
        <v>75</v>
      </c>
      <c r="M377" s="5">
        <v>560000000</v>
      </c>
      <c r="N377" s="2">
        <v>0</v>
      </c>
      <c r="O377" s="2">
        <v>4.7387921640000004</v>
      </c>
      <c r="P377" s="2">
        <v>-74.057488359999994</v>
      </c>
      <c r="Q377" s="2" t="s">
        <v>497</v>
      </c>
      <c r="R377" s="2">
        <v>9026434.5580000002</v>
      </c>
      <c r="S377" s="2">
        <v>0</v>
      </c>
      <c r="T377" s="2" t="s">
        <v>68</v>
      </c>
      <c r="U377" s="2" t="s">
        <v>69</v>
      </c>
      <c r="V377" s="2" t="s">
        <v>28</v>
      </c>
      <c r="W377" s="2" t="s">
        <v>70</v>
      </c>
      <c r="X377" s="2" t="s">
        <v>71</v>
      </c>
      <c r="Y377" s="2">
        <v>1.3413229071937001</v>
      </c>
      <c r="Z377" s="2">
        <v>4.73719444444444</v>
      </c>
      <c r="AA377" s="2">
        <v>-74.069472222222203</v>
      </c>
      <c r="AB377" s="2">
        <v>2555</v>
      </c>
      <c r="AC377" s="2" t="s">
        <v>31</v>
      </c>
      <c r="AD377" s="2" t="s">
        <v>58</v>
      </c>
      <c r="AE377" s="2" t="s">
        <v>33</v>
      </c>
      <c r="AF377" s="2" t="s">
        <v>34</v>
      </c>
      <c r="AG377" s="2" t="s">
        <v>72</v>
      </c>
      <c r="AH377" s="2">
        <v>1.02709756487527</v>
      </c>
      <c r="AI377" s="2">
        <v>3.9926796745159101</v>
      </c>
      <c r="AJ377" s="2">
        <v>1.6713282492086501</v>
      </c>
      <c r="AK377" s="2">
        <v>9.8788087787938197E-2</v>
      </c>
      <c r="AL377" s="2">
        <v>1.11427020762771E-2</v>
      </c>
      <c r="AM377" s="2">
        <v>15.3</v>
      </c>
      <c r="AN377" s="2">
        <v>9.8000000000000007</v>
      </c>
      <c r="AO377" s="2">
        <v>29.7</v>
      </c>
      <c r="AP377" s="2">
        <v>564</v>
      </c>
      <c r="AQ377" s="2">
        <v>68</v>
      </c>
      <c r="AR377" s="2">
        <v>1.8</v>
      </c>
      <c r="AS377" s="2">
        <v>43</v>
      </c>
      <c r="AT377" s="2">
        <v>25.4</v>
      </c>
      <c r="AU377" s="2">
        <v>162</v>
      </c>
      <c r="AV377" s="2">
        <v>9.1</v>
      </c>
      <c r="AW377" s="2">
        <v>9.1999999999999993</v>
      </c>
      <c r="AX377" s="2">
        <v>18.3</v>
      </c>
      <c r="AY377" s="2">
        <v>0.34</v>
      </c>
      <c r="AZ377" s="2">
        <v>7.3</v>
      </c>
      <c r="BA377" s="2">
        <v>0.9</v>
      </c>
      <c r="BB377" s="2">
        <v>7.5</v>
      </c>
      <c r="BC377" s="2">
        <v>2.9</v>
      </c>
      <c r="BD377" s="2">
        <f>+AN377*EXP(-0.0495*Y377)</f>
        <v>9.1704549854410047</v>
      </c>
      <c r="BE377" s="2">
        <f>+AO377*EXP(-0.024*Y377)</f>
        <v>28.759130402294659</v>
      </c>
    </row>
    <row r="378" spans="1:57" x14ac:dyDescent="0.2">
      <c r="A378" s="2" t="s">
        <v>1648</v>
      </c>
      <c r="B378" s="2" t="s">
        <v>19</v>
      </c>
      <c r="C378" s="2" t="s">
        <v>20</v>
      </c>
      <c r="D378" s="2" t="s">
        <v>21</v>
      </c>
      <c r="E378" s="2" t="s">
        <v>1649</v>
      </c>
      <c r="F378" s="2">
        <v>4</v>
      </c>
      <c r="G378" s="2">
        <v>61.79</v>
      </c>
      <c r="H378" s="2">
        <v>2</v>
      </c>
      <c r="I378" s="2">
        <v>2</v>
      </c>
      <c r="J378" s="2">
        <v>1</v>
      </c>
      <c r="K378" s="2" t="s">
        <v>61</v>
      </c>
      <c r="L378" s="6" t="s">
        <v>113</v>
      </c>
      <c r="M378" s="5">
        <v>325000000</v>
      </c>
      <c r="N378" s="2">
        <v>0</v>
      </c>
      <c r="O378" s="2">
        <v>4.7678742410000003</v>
      </c>
      <c r="P378" s="2">
        <v>-74.045318600000002</v>
      </c>
      <c r="Q378" s="2" t="s">
        <v>1650</v>
      </c>
      <c r="R378" s="2">
        <v>5259750.7690000003</v>
      </c>
      <c r="S378" s="2">
        <v>0</v>
      </c>
      <c r="T378" s="2" t="s">
        <v>102</v>
      </c>
      <c r="U378" s="2" t="s">
        <v>103</v>
      </c>
      <c r="V378" s="2" t="s">
        <v>28</v>
      </c>
      <c r="W378" s="2" t="s">
        <v>70</v>
      </c>
      <c r="X378" s="2" t="s">
        <v>104</v>
      </c>
      <c r="Y378" s="2">
        <v>1.7721202672228999</v>
      </c>
      <c r="Z378" s="2">
        <v>4.7837500000000004</v>
      </c>
      <c r="AA378" s="2">
        <v>-74.044138888888895</v>
      </c>
      <c r="AB378" s="2">
        <v>2580</v>
      </c>
      <c r="AC378" s="2" t="s">
        <v>105</v>
      </c>
      <c r="AD378" s="2" t="s">
        <v>58</v>
      </c>
      <c r="AE378" s="2" t="s">
        <v>33</v>
      </c>
      <c r="AF378" s="2" t="s">
        <v>34</v>
      </c>
      <c r="AG378" s="2" t="s">
        <v>72</v>
      </c>
      <c r="AH378" s="2">
        <v>0.219927367507463</v>
      </c>
      <c r="AI378" s="2">
        <v>2.4822662369404198</v>
      </c>
      <c r="AJ378" s="2">
        <v>1.84113138438178</v>
      </c>
      <c r="AK378" s="2">
        <v>0.50471805064644004</v>
      </c>
      <c r="AL378" s="2">
        <v>0.158988383984172</v>
      </c>
      <c r="AM378" s="2">
        <v>15.3</v>
      </c>
      <c r="AN378" s="2">
        <v>9.8000000000000007</v>
      </c>
      <c r="AO378" s="2">
        <v>29.7</v>
      </c>
      <c r="AP378" s="2">
        <v>564</v>
      </c>
      <c r="AQ378" s="2">
        <v>68</v>
      </c>
      <c r="AR378" s="2">
        <v>1.8</v>
      </c>
      <c r="AS378" s="2">
        <v>43</v>
      </c>
      <c r="AT378" s="2">
        <v>25.4</v>
      </c>
      <c r="AU378" s="2">
        <v>162</v>
      </c>
      <c r="AV378" s="2">
        <v>9.1</v>
      </c>
      <c r="AW378" s="2">
        <v>9.1999999999999993</v>
      </c>
      <c r="AX378" s="2">
        <v>18.3</v>
      </c>
      <c r="AY378" s="2">
        <v>0.34</v>
      </c>
      <c r="AZ378" s="2">
        <v>7.3</v>
      </c>
      <c r="BA378" s="2">
        <v>0.9</v>
      </c>
      <c r="BB378" s="2">
        <v>7.5</v>
      </c>
      <c r="BC378" s="2">
        <v>2.9</v>
      </c>
      <c r="BD378" s="2">
        <f>+AN378*EXP(-0.0495*Y378)</f>
        <v>8.976970211440884</v>
      </c>
      <c r="BE378" s="2">
        <f>+AO378*EXP(-0.024*Y378)</f>
        <v>28.463317682600152</v>
      </c>
    </row>
    <row r="379" spans="1:57" x14ac:dyDescent="0.2">
      <c r="A379" s="2" t="s">
        <v>90</v>
      </c>
      <c r="B379" s="2" t="s">
        <v>19</v>
      </c>
      <c r="C379" s="2" t="s">
        <v>20</v>
      </c>
      <c r="D379" s="2" t="s">
        <v>21</v>
      </c>
      <c r="E379" s="2" t="s">
        <v>91</v>
      </c>
      <c r="F379" s="2">
        <v>5</v>
      </c>
      <c r="G379" s="2">
        <v>61.22</v>
      </c>
      <c r="H379" s="2">
        <v>2</v>
      </c>
      <c r="I379" s="2">
        <v>2</v>
      </c>
      <c r="J379" s="2">
        <v>1</v>
      </c>
      <c r="K379" s="2" t="s">
        <v>61</v>
      </c>
      <c r="L379" s="6" t="s">
        <v>62</v>
      </c>
      <c r="M379" s="5">
        <v>520000000</v>
      </c>
      <c r="N379" s="2">
        <v>0</v>
      </c>
      <c r="O379" s="2">
        <v>4.7406854999999997</v>
      </c>
      <c r="P379" s="2">
        <v>-74.055430000000001</v>
      </c>
      <c r="Q379" s="2" t="s">
        <v>92</v>
      </c>
      <c r="R379" s="2">
        <v>8493956.2229999993</v>
      </c>
      <c r="S379" s="2">
        <v>0</v>
      </c>
      <c r="T379" s="2" t="s">
        <v>68</v>
      </c>
      <c r="U379" s="2" t="s">
        <v>69</v>
      </c>
      <c r="V379" s="2" t="s">
        <v>28</v>
      </c>
      <c r="W379" s="2" t="s">
        <v>70</v>
      </c>
      <c r="X379" s="2" t="s">
        <v>71</v>
      </c>
      <c r="Y379" s="2">
        <v>1.60557139567109</v>
      </c>
      <c r="Z379" s="2">
        <v>4.73719444444444</v>
      </c>
      <c r="AA379" s="2">
        <v>-74.069472222222203</v>
      </c>
      <c r="AB379" s="2">
        <v>2555</v>
      </c>
      <c r="AC379" s="2" t="s">
        <v>31</v>
      </c>
      <c r="AD379" s="2" t="s">
        <v>58</v>
      </c>
      <c r="AE379" s="2" t="s">
        <v>33</v>
      </c>
      <c r="AF379" s="2" t="s">
        <v>34</v>
      </c>
      <c r="AG379" s="2" t="s">
        <v>72</v>
      </c>
      <c r="AH379" s="2">
        <v>0.83486934524760104</v>
      </c>
      <c r="AI379" s="2">
        <v>3.8110359956991902</v>
      </c>
      <c r="AJ379" s="2">
        <v>1.41878004583305</v>
      </c>
      <c r="AK379" s="2">
        <v>0.22324231015778501</v>
      </c>
      <c r="AL379" s="2">
        <v>0.13446172554651201</v>
      </c>
      <c r="AM379" s="2">
        <v>15.3</v>
      </c>
      <c r="AN379" s="2">
        <v>9.8000000000000007</v>
      </c>
      <c r="AO379" s="2">
        <v>29.7</v>
      </c>
      <c r="AP379" s="2">
        <v>564</v>
      </c>
      <c r="AQ379" s="2">
        <v>68</v>
      </c>
      <c r="AR379" s="2">
        <v>1.8</v>
      </c>
      <c r="AS379" s="2">
        <v>43</v>
      </c>
      <c r="AT379" s="2">
        <v>25.4</v>
      </c>
      <c r="AU379" s="2">
        <v>162</v>
      </c>
      <c r="AV379" s="2">
        <v>9.1</v>
      </c>
      <c r="AW379" s="2">
        <v>9.1999999999999993</v>
      </c>
      <c r="AX379" s="2">
        <v>18.3</v>
      </c>
      <c r="AY379" s="2">
        <v>0.34</v>
      </c>
      <c r="AZ379" s="2">
        <v>7.3</v>
      </c>
      <c r="BA379" s="2">
        <v>0.9</v>
      </c>
      <c r="BB379" s="2">
        <v>7.5</v>
      </c>
      <c r="BC379" s="2">
        <v>2.9</v>
      </c>
      <c r="BD379" s="2">
        <f>+AN379*EXP(-0.0495*Y379)</f>
        <v>9.0512837781505855</v>
      </c>
      <c r="BE379" s="2">
        <f>+AO379*EXP(-0.024*Y379)</f>
        <v>28.577318173226953</v>
      </c>
    </row>
    <row r="380" spans="1:57" x14ac:dyDescent="0.2">
      <c r="A380" s="2" t="s">
        <v>462</v>
      </c>
      <c r="B380" s="2" t="s">
        <v>19</v>
      </c>
      <c r="C380" s="2" t="s">
        <v>20</v>
      </c>
      <c r="D380" s="2" t="s">
        <v>21</v>
      </c>
      <c r="E380" s="2" t="s">
        <v>125</v>
      </c>
      <c r="F380" s="2">
        <v>4</v>
      </c>
      <c r="G380" s="2">
        <v>61</v>
      </c>
      <c r="H380" s="2">
        <v>3</v>
      </c>
      <c r="I380" s="2">
        <v>2</v>
      </c>
      <c r="J380" s="2">
        <v>1</v>
      </c>
      <c r="K380" s="2" t="s">
        <v>61</v>
      </c>
      <c r="L380" s="6" t="s">
        <v>84</v>
      </c>
      <c r="M380" s="5">
        <v>610000000</v>
      </c>
      <c r="N380" s="2">
        <v>0</v>
      </c>
      <c r="O380" s="2">
        <v>4.7409587000000002</v>
      </c>
      <c r="P380" s="2">
        <v>-74.067824999999999</v>
      </c>
      <c r="Q380" s="2" t="s">
        <v>463</v>
      </c>
      <c r="R380" s="2">
        <v>10000000</v>
      </c>
      <c r="S380" s="2">
        <v>0</v>
      </c>
      <c r="T380" s="2" t="s">
        <v>68</v>
      </c>
      <c r="U380" s="2" t="s">
        <v>69</v>
      </c>
      <c r="V380" s="2" t="s">
        <v>28</v>
      </c>
      <c r="W380" s="2" t="s">
        <v>70</v>
      </c>
      <c r="X380" s="2" t="s">
        <v>71</v>
      </c>
      <c r="Y380" s="2">
        <v>0.45714837169843803</v>
      </c>
      <c r="Z380" s="2">
        <v>4.73719444444444</v>
      </c>
      <c r="AA380" s="2">
        <v>-74.069472222222203</v>
      </c>
      <c r="AB380" s="2">
        <v>2555</v>
      </c>
      <c r="AC380" s="2" t="s">
        <v>31</v>
      </c>
      <c r="AD380" s="2" t="s">
        <v>58</v>
      </c>
      <c r="AE380" s="2" t="s">
        <v>33</v>
      </c>
      <c r="AF380" s="2" t="s">
        <v>34</v>
      </c>
      <c r="AG380" s="2" t="s">
        <v>72</v>
      </c>
      <c r="AH380" s="2">
        <v>1.5786842516519599</v>
      </c>
      <c r="AI380" s="2">
        <v>5.1628789563456197</v>
      </c>
      <c r="AJ380" s="2">
        <v>2.0989098477356101</v>
      </c>
      <c r="AK380" s="2">
        <v>0.40696984049770601</v>
      </c>
      <c r="AL380" s="2">
        <v>4.1814280695361701E-2</v>
      </c>
      <c r="AM380" s="2">
        <v>15.3</v>
      </c>
      <c r="AN380" s="2">
        <v>9.8000000000000007</v>
      </c>
      <c r="AO380" s="2">
        <v>29.7</v>
      </c>
      <c r="AP380" s="2">
        <v>564</v>
      </c>
      <c r="AQ380" s="2">
        <v>68</v>
      </c>
      <c r="AR380" s="2">
        <v>1.8</v>
      </c>
      <c r="AS380" s="2">
        <v>43</v>
      </c>
      <c r="AT380" s="2">
        <v>25.4</v>
      </c>
      <c r="AU380" s="2">
        <v>162</v>
      </c>
      <c r="AV380" s="2">
        <v>9.1</v>
      </c>
      <c r="AW380" s="2">
        <v>9.1999999999999993</v>
      </c>
      <c r="AX380" s="2">
        <v>18.3</v>
      </c>
      <c r="AY380" s="2">
        <v>0.34</v>
      </c>
      <c r="AZ380" s="2">
        <v>7.3</v>
      </c>
      <c r="BA380" s="2">
        <v>0.9</v>
      </c>
      <c r="BB380" s="2">
        <v>7.5</v>
      </c>
      <c r="BC380" s="2">
        <v>2.9</v>
      </c>
      <c r="BD380" s="2">
        <f>+AN380*EXP(-0.0495*Y380)</f>
        <v>9.5807276218739119</v>
      </c>
      <c r="BE380" s="2">
        <f>+AO380*EXP(-0.024*Y380)</f>
        <v>29.375925692027643</v>
      </c>
    </row>
    <row r="381" spans="1:57" x14ac:dyDescent="0.2">
      <c r="A381" s="2" t="s">
        <v>611</v>
      </c>
      <c r="B381" s="2" t="s">
        <v>19</v>
      </c>
      <c r="C381" s="2" t="s">
        <v>20</v>
      </c>
      <c r="D381" s="2" t="s">
        <v>21</v>
      </c>
      <c r="E381" s="2" t="s">
        <v>612</v>
      </c>
      <c r="F381" s="2">
        <v>4</v>
      </c>
      <c r="G381" s="2">
        <v>61</v>
      </c>
      <c r="H381" s="2">
        <v>3</v>
      </c>
      <c r="I381" s="2">
        <v>2</v>
      </c>
      <c r="J381" s="2">
        <v>1</v>
      </c>
      <c r="K381" s="2" t="s">
        <v>61</v>
      </c>
      <c r="L381" s="6" t="s">
        <v>113</v>
      </c>
      <c r="M381" s="5">
        <v>350000000</v>
      </c>
      <c r="N381" s="2">
        <v>0</v>
      </c>
      <c r="O381" s="2">
        <v>4.7469720000000004</v>
      </c>
      <c r="P381" s="2">
        <v>-74.063890000000001</v>
      </c>
      <c r="Q381" s="2" t="s">
        <v>613</v>
      </c>
      <c r="R381" s="2">
        <v>5737704.9179999996</v>
      </c>
      <c r="S381" s="2">
        <v>0</v>
      </c>
      <c r="T381" s="2" t="s">
        <v>68</v>
      </c>
      <c r="U381" s="2" t="s">
        <v>69</v>
      </c>
      <c r="V381" s="2" t="s">
        <v>28</v>
      </c>
      <c r="W381" s="2" t="s">
        <v>70</v>
      </c>
      <c r="X381" s="2" t="s">
        <v>71</v>
      </c>
      <c r="Y381" s="2">
        <v>1.2522766317046301</v>
      </c>
      <c r="Z381" s="2">
        <v>4.73719444444444</v>
      </c>
      <c r="AA381" s="2">
        <v>-74.069472222222203</v>
      </c>
      <c r="AB381" s="2">
        <v>2555</v>
      </c>
      <c r="AC381" s="2" t="s">
        <v>31</v>
      </c>
      <c r="AD381" s="2" t="s">
        <v>58</v>
      </c>
      <c r="AE381" s="2" t="s">
        <v>33</v>
      </c>
      <c r="AF381" s="2" t="s">
        <v>34</v>
      </c>
      <c r="AG381" s="2" t="s">
        <v>72</v>
      </c>
      <c r="AH381" s="2">
        <v>1.8463942425740101</v>
      </c>
      <c r="AI381" s="2">
        <v>4.7763187402043599</v>
      </c>
      <c r="AJ381" s="2">
        <v>1.35191310032228</v>
      </c>
      <c r="AK381" s="2">
        <v>0.38922228643564399</v>
      </c>
      <c r="AL381" s="2">
        <v>0.13266746313852801</v>
      </c>
      <c r="AM381" s="2">
        <v>15.3</v>
      </c>
      <c r="AN381" s="2">
        <v>9.8000000000000007</v>
      </c>
      <c r="AO381" s="2">
        <v>29.7</v>
      </c>
      <c r="AP381" s="2">
        <v>564</v>
      </c>
      <c r="AQ381" s="2">
        <v>68</v>
      </c>
      <c r="AR381" s="2">
        <v>1.8</v>
      </c>
      <c r="AS381" s="2">
        <v>43</v>
      </c>
      <c r="AT381" s="2">
        <v>25.4</v>
      </c>
      <c r="AU381" s="2">
        <v>162</v>
      </c>
      <c r="AV381" s="2">
        <v>9.1</v>
      </c>
      <c r="AW381" s="2">
        <v>9.1999999999999993</v>
      </c>
      <c r="AX381" s="2">
        <v>18.3</v>
      </c>
      <c r="AY381" s="2">
        <v>0.34</v>
      </c>
      <c r="AZ381" s="2">
        <v>7.3</v>
      </c>
      <c r="BA381" s="2">
        <v>0.9</v>
      </c>
      <c r="BB381" s="2">
        <v>7.5</v>
      </c>
      <c r="BC381" s="2">
        <v>2.9</v>
      </c>
      <c r="BD381" s="2">
        <f>+AN381*EXP(-0.0495*Y381)</f>
        <v>9.2109656467281216</v>
      </c>
      <c r="BE381" s="2">
        <f>+AO381*EXP(-0.024*Y381)</f>
        <v>28.820657566822408</v>
      </c>
    </row>
    <row r="382" spans="1:57" x14ac:dyDescent="0.2">
      <c r="A382" s="2" t="s">
        <v>2951</v>
      </c>
      <c r="B382" s="2" t="s">
        <v>19</v>
      </c>
      <c r="C382" s="2" t="s">
        <v>1907</v>
      </c>
      <c r="D382" s="2" t="s">
        <v>21</v>
      </c>
      <c r="E382" s="2" t="s">
        <v>72</v>
      </c>
      <c r="F382" s="2">
        <v>3</v>
      </c>
      <c r="G382" s="2">
        <v>61</v>
      </c>
      <c r="H382" s="2">
        <v>3</v>
      </c>
      <c r="I382" s="2">
        <v>2</v>
      </c>
      <c r="J382" s="2">
        <v>0</v>
      </c>
      <c r="K382" s="2" t="s">
        <v>61</v>
      </c>
      <c r="L382" s="6" t="s">
        <v>113</v>
      </c>
      <c r="M382" s="5">
        <v>235000000</v>
      </c>
      <c r="N382" s="2">
        <v>0</v>
      </c>
      <c r="O382" s="2">
        <v>4.7307600000000001</v>
      </c>
      <c r="P382" s="2">
        <v>-74.085949999999997</v>
      </c>
      <c r="Q382" s="2" t="s">
        <v>2952</v>
      </c>
      <c r="R382" s="2">
        <v>3852459.0159999998</v>
      </c>
      <c r="S382" s="2">
        <v>0</v>
      </c>
      <c r="T382" s="2" t="s">
        <v>68</v>
      </c>
      <c r="U382" s="2" t="s">
        <v>69</v>
      </c>
      <c r="V382" s="2" t="s">
        <v>28</v>
      </c>
      <c r="W382" s="2" t="s">
        <v>70</v>
      </c>
      <c r="X382" s="2" t="s">
        <v>71</v>
      </c>
      <c r="Y382" s="2">
        <v>1.9633612054362699</v>
      </c>
      <c r="Z382" s="2">
        <v>4.73719444444444</v>
      </c>
      <c r="AA382" s="2">
        <v>-74.069472222222203</v>
      </c>
      <c r="AB382" s="2">
        <v>2555</v>
      </c>
      <c r="AC382" s="2" t="s">
        <v>31</v>
      </c>
      <c r="AD382" s="2" t="s">
        <v>58</v>
      </c>
      <c r="AE382" s="2" t="s">
        <v>33</v>
      </c>
      <c r="AF382" s="2" t="s">
        <v>34</v>
      </c>
      <c r="AG382" s="2" t="s">
        <v>72</v>
      </c>
      <c r="AH382" s="2">
        <v>0.76038805144350796</v>
      </c>
      <c r="AI382" s="2">
        <v>4.3232551920124802</v>
      </c>
      <c r="AJ382" s="2">
        <v>2.22689493334458</v>
      </c>
      <c r="AK382" s="2">
        <v>0.16447988786342499</v>
      </c>
      <c r="AL382" s="2">
        <v>0.11116454089945201</v>
      </c>
      <c r="AM382" s="2">
        <v>15.3</v>
      </c>
      <c r="AN382" s="2">
        <v>9.8000000000000007</v>
      </c>
      <c r="AO382" s="2">
        <v>29.7</v>
      </c>
      <c r="AP382" s="2">
        <v>564</v>
      </c>
      <c r="AQ382" s="2">
        <v>68</v>
      </c>
      <c r="AR382" s="2">
        <v>1.8</v>
      </c>
      <c r="AS382" s="2">
        <v>43</v>
      </c>
      <c r="AT382" s="2">
        <v>25.4</v>
      </c>
      <c r="AU382" s="2">
        <v>162</v>
      </c>
      <c r="AV382" s="2">
        <v>9.1</v>
      </c>
      <c r="AW382" s="2">
        <v>9.1999999999999993</v>
      </c>
      <c r="AX382" s="2">
        <v>18.3</v>
      </c>
      <c r="AY382" s="2">
        <v>0.34</v>
      </c>
      <c r="AZ382" s="2">
        <v>7.3</v>
      </c>
      <c r="BA382" s="2">
        <v>0.9</v>
      </c>
      <c r="BB382" s="2">
        <v>7.5</v>
      </c>
      <c r="BC382" s="2">
        <v>2.9</v>
      </c>
      <c r="BD382" s="2">
        <f>+AN382*EXP(-0.0495*Y382)</f>
        <v>8.8923913446909939</v>
      </c>
      <c r="BE382" s="2">
        <f>+AO382*EXP(-0.024*Y382)</f>
        <v>28.332976592165199</v>
      </c>
    </row>
    <row r="383" spans="1:57" x14ac:dyDescent="0.2">
      <c r="A383" s="2" t="s">
        <v>564</v>
      </c>
      <c r="B383" s="2" t="s">
        <v>19</v>
      </c>
      <c r="C383" s="2" t="s">
        <v>20</v>
      </c>
      <c r="D383" s="2" t="s">
        <v>21</v>
      </c>
      <c r="E383" s="2" t="s">
        <v>228</v>
      </c>
      <c r="F383" s="2">
        <v>4</v>
      </c>
      <c r="G383" s="2">
        <v>60</v>
      </c>
      <c r="H383" s="2">
        <v>3</v>
      </c>
      <c r="I383" s="2">
        <v>2</v>
      </c>
      <c r="J383" s="2">
        <v>1</v>
      </c>
      <c r="K383" s="2" t="s">
        <v>61</v>
      </c>
      <c r="L383" s="6" t="s">
        <v>66</v>
      </c>
      <c r="M383" s="5">
        <v>450000000</v>
      </c>
      <c r="N383" s="2">
        <v>0</v>
      </c>
      <c r="O383" s="2">
        <v>4.7253608700000003</v>
      </c>
      <c r="P383" s="2">
        <v>-74.059112549999995</v>
      </c>
      <c r="Q383" s="2" t="s">
        <v>565</v>
      </c>
      <c r="R383" s="2">
        <v>7500000</v>
      </c>
      <c r="S383" s="2">
        <v>0</v>
      </c>
      <c r="T383" s="2" t="s">
        <v>68</v>
      </c>
      <c r="U383" s="2" t="s">
        <v>69</v>
      </c>
      <c r="V383" s="2" t="s">
        <v>28</v>
      </c>
      <c r="W383" s="2" t="s">
        <v>70</v>
      </c>
      <c r="X383" s="2" t="s">
        <v>71</v>
      </c>
      <c r="Y383" s="2">
        <v>1.74819856643515</v>
      </c>
      <c r="Z383" s="2">
        <v>4.73719444444444</v>
      </c>
      <c r="AA383" s="2">
        <v>-74.069472222222203</v>
      </c>
      <c r="AB383" s="2">
        <v>2555</v>
      </c>
      <c r="AC383" s="2" t="s">
        <v>31</v>
      </c>
      <c r="AD383" s="2" t="s">
        <v>58</v>
      </c>
      <c r="AE383" s="2" t="s">
        <v>33</v>
      </c>
      <c r="AF383" s="2" t="s">
        <v>34</v>
      </c>
      <c r="AG383" s="2" t="s">
        <v>72</v>
      </c>
      <c r="AH383" s="2">
        <v>0.967350627147052</v>
      </c>
      <c r="AI383" s="2">
        <v>3.9913434883689098</v>
      </c>
      <c r="AJ383" s="2">
        <v>1.6569123990122401</v>
      </c>
      <c r="AK383" s="2">
        <v>0.33531631448747001</v>
      </c>
      <c r="AL383" s="2">
        <v>0.10699048293482</v>
      </c>
      <c r="AM383" s="2">
        <v>15.3</v>
      </c>
      <c r="AN383" s="2">
        <v>9.8000000000000007</v>
      </c>
      <c r="AO383" s="2">
        <v>29.7</v>
      </c>
      <c r="AP383" s="2">
        <v>564</v>
      </c>
      <c r="AQ383" s="2">
        <v>68</v>
      </c>
      <c r="AR383" s="2">
        <v>1.8</v>
      </c>
      <c r="AS383" s="2">
        <v>43</v>
      </c>
      <c r="AT383" s="2">
        <v>25.4</v>
      </c>
      <c r="AU383" s="2">
        <v>162</v>
      </c>
      <c r="AV383" s="2">
        <v>9.1</v>
      </c>
      <c r="AW383" s="2">
        <v>9.1999999999999993</v>
      </c>
      <c r="AX383" s="2">
        <v>18.3</v>
      </c>
      <c r="AY383" s="2">
        <v>0.34</v>
      </c>
      <c r="AZ383" s="2">
        <v>7.3</v>
      </c>
      <c r="BA383" s="2">
        <v>0.9</v>
      </c>
      <c r="BB383" s="2">
        <v>7.5</v>
      </c>
      <c r="BC383" s="2">
        <v>2.9</v>
      </c>
      <c r="BD383" s="2">
        <f>+AN383*EXP(-0.0495*Y383)</f>
        <v>8.9876063550267862</v>
      </c>
      <c r="BE383" s="2">
        <f>+AO383*EXP(-0.024*Y383)</f>
        <v>28.479663757718896</v>
      </c>
    </row>
    <row r="384" spans="1:57" x14ac:dyDescent="0.2">
      <c r="A384" s="2" t="s">
        <v>99</v>
      </c>
      <c r="B384" s="2" t="s">
        <v>19</v>
      </c>
      <c r="C384" s="2" t="s">
        <v>20</v>
      </c>
      <c r="D384" s="2" t="s">
        <v>21</v>
      </c>
      <c r="E384" s="2" t="s">
        <v>100</v>
      </c>
      <c r="F384" s="2">
        <v>3</v>
      </c>
      <c r="G384" s="2">
        <v>60</v>
      </c>
      <c r="H384" s="2">
        <v>3</v>
      </c>
      <c r="I384" s="2">
        <v>2</v>
      </c>
      <c r="J384" s="2">
        <v>1</v>
      </c>
      <c r="K384" s="2" t="s">
        <v>61</v>
      </c>
      <c r="L384" s="6" t="s">
        <v>62</v>
      </c>
      <c r="M384" s="5">
        <v>419000000</v>
      </c>
      <c r="N384" s="2">
        <v>0</v>
      </c>
      <c r="O384" s="2">
        <v>4.7604502000000002</v>
      </c>
      <c r="P384" s="2">
        <v>-74.029292499999997</v>
      </c>
      <c r="Q384" s="2" t="s">
        <v>101</v>
      </c>
      <c r="R384" s="2">
        <v>6983333.3329999996</v>
      </c>
      <c r="S384" s="2">
        <v>0</v>
      </c>
      <c r="T384" s="2" t="s">
        <v>102</v>
      </c>
      <c r="U384" s="2" t="s">
        <v>103</v>
      </c>
      <c r="V384" s="2" t="s">
        <v>28</v>
      </c>
      <c r="W384" s="2" t="s">
        <v>70</v>
      </c>
      <c r="X384" s="2" t="s">
        <v>104</v>
      </c>
      <c r="Y384" s="2">
        <v>3.0724390081611199</v>
      </c>
      <c r="Z384" s="2">
        <v>4.7837500000000004</v>
      </c>
      <c r="AA384" s="2">
        <v>-74.044138888888895</v>
      </c>
      <c r="AB384" s="2">
        <v>2580</v>
      </c>
      <c r="AC384" s="2" t="s">
        <v>105</v>
      </c>
      <c r="AD384" s="2" t="s">
        <v>58</v>
      </c>
      <c r="AE384" s="2" t="s">
        <v>33</v>
      </c>
      <c r="AF384" s="2" t="s">
        <v>34</v>
      </c>
      <c r="AG384" s="2" t="s">
        <v>59</v>
      </c>
      <c r="AH384" s="2">
        <v>1.7097887313476601</v>
      </c>
      <c r="AI384" s="2">
        <v>0.86086234884032697</v>
      </c>
      <c r="AJ384" s="2">
        <v>1.05883188151751</v>
      </c>
      <c r="AK384" s="2">
        <v>0.26892262333745198</v>
      </c>
      <c r="AL384" s="2">
        <v>0.26782450332876301</v>
      </c>
      <c r="AM384" s="2">
        <v>15.3</v>
      </c>
      <c r="AN384" s="2">
        <v>9.8000000000000007</v>
      </c>
      <c r="AO384" s="2">
        <v>29.7</v>
      </c>
      <c r="AP384" s="2">
        <v>564</v>
      </c>
      <c r="AQ384" s="2">
        <v>68</v>
      </c>
      <c r="AR384" s="2">
        <v>1.8</v>
      </c>
      <c r="AS384" s="2">
        <v>43</v>
      </c>
      <c r="AT384" s="2">
        <v>25.4</v>
      </c>
      <c r="AU384" s="2">
        <v>162</v>
      </c>
      <c r="AV384" s="2">
        <v>9.1</v>
      </c>
      <c r="AW384" s="2">
        <v>9.1999999999999993</v>
      </c>
      <c r="AX384" s="2">
        <v>18.3</v>
      </c>
      <c r="AY384" s="2">
        <v>0.34</v>
      </c>
      <c r="AZ384" s="2">
        <v>7.3</v>
      </c>
      <c r="BA384" s="2">
        <v>0.9</v>
      </c>
      <c r="BB384" s="2">
        <v>7.5</v>
      </c>
      <c r="BC384" s="2">
        <v>2.9</v>
      </c>
      <c r="BD384" s="2">
        <f>+AN384*EXP(-0.0495*Y384)</f>
        <v>8.4173634921479366</v>
      </c>
      <c r="BE384" s="2">
        <f>+AO384*EXP(-0.024*Y384)</f>
        <v>27.588761826757271</v>
      </c>
    </row>
    <row r="385" spans="1:57" x14ac:dyDescent="0.2">
      <c r="A385" s="2" t="s">
        <v>878</v>
      </c>
      <c r="B385" s="2" t="s">
        <v>19</v>
      </c>
      <c r="C385" s="2" t="s">
        <v>20</v>
      </c>
      <c r="D385" s="2" t="s">
        <v>21</v>
      </c>
      <c r="E385" s="2" t="s">
        <v>879</v>
      </c>
      <c r="F385" s="2">
        <v>4</v>
      </c>
      <c r="G385" s="2">
        <v>60</v>
      </c>
      <c r="H385" s="2">
        <v>2</v>
      </c>
      <c r="I385" s="2">
        <v>2</v>
      </c>
      <c r="J385" s="2">
        <v>1</v>
      </c>
      <c r="K385" s="2" t="s">
        <v>61</v>
      </c>
      <c r="L385" s="6" t="s">
        <v>113</v>
      </c>
      <c r="M385" s="5">
        <v>390000000</v>
      </c>
      <c r="N385" s="2">
        <v>0</v>
      </c>
      <c r="O385" s="2">
        <v>4.7326689999999996</v>
      </c>
      <c r="P385" s="2">
        <v>-74.053470000000004</v>
      </c>
      <c r="Q385" s="2" t="s">
        <v>880</v>
      </c>
      <c r="R385" s="2">
        <v>6500000</v>
      </c>
      <c r="S385" s="2">
        <v>0</v>
      </c>
      <c r="T385" s="2" t="s">
        <v>68</v>
      </c>
      <c r="U385" s="2" t="s">
        <v>69</v>
      </c>
      <c r="V385" s="2" t="s">
        <v>28</v>
      </c>
      <c r="W385" s="2" t="s">
        <v>70</v>
      </c>
      <c r="X385" s="2" t="s">
        <v>71</v>
      </c>
      <c r="Y385" s="2">
        <v>1.84537342159693</v>
      </c>
      <c r="Z385" s="2">
        <v>4.73719444444444</v>
      </c>
      <c r="AA385" s="2">
        <v>-74.069472222222203</v>
      </c>
      <c r="AB385" s="2">
        <v>2555</v>
      </c>
      <c r="AC385" s="2" t="s">
        <v>31</v>
      </c>
      <c r="AD385" s="2" t="s">
        <v>58</v>
      </c>
      <c r="AE385" s="2" t="s">
        <v>33</v>
      </c>
      <c r="AF385" s="2" t="s">
        <v>34</v>
      </c>
      <c r="AG385" s="2" t="s">
        <v>72</v>
      </c>
      <c r="AH385" s="2">
        <v>0.450736584758752</v>
      </c>
      <c r="AI385" s="2">
        <v>3.4895767829312301</v>
      </c>
      <c r="AJ385" s="2">
        <v>1.49669676106771</v>
      </c>
      <c r="AK385" s="2">
        <v>0.290912202887673</v>
      </c>
      <c r="AL385" s="2">
        <v>7.20392882584708E-3</v>
      </c>
      <c r="AM385" s="2">
        <v>15.3</v>
      </c>
      <c r="AN385" s="2">
        <v>9.8000000000000007</v>
      </c>
      <c r="AO385" s="2">
        <v>29.7</v>
      </c>
      <c r="AP385" s="2">
        <v>564</v>
      </c>
      <c r="AQ385" s="2">
        <v>68</v>
      </c>
      <c r="AR385" s="2">
        <v>1.8</v>
      </c>
      <c r="AS385" s="2">
        <v>43</v>
      </c>
      <c r="AT385" s="2">
        <v>25.4</v>
      </c>
      <c r="AU385" s="2">
        <v>162</v>
      </c>
      <c r="AV385" s="2">
        <v>9.1</v>
      </c>
      <c r="AW385" s="2">
        <v>9.1999999999999993</v>
      </c>
      <c r="AX385" s="2">
        <v>18.3</v>
      </c>
      <c r="AY385" s="2">
        <v>0.34</v>
      </c>
      <c r="AZ385" s="2">
        <v>7.3</v>
      </c>
      <c r="BA385" s="2">
        <v>0.9</v>
      </c>
      <c r="BB385" s="2">
        <v>7.5</v>
      </c>
      <c r="BC385" s="2">
        <v>2.9</v>
      </c>
      <c r="BD385" s="2">
        <f>+AN385*EXP(-0.0495*Y385)</f>
        <v>8.9444783816914928</v>
      </c>
      <c r="BE385" s="2">
        <f>+AO385*EXP(-0.024*Y385)</f>
        <v>28.41332097717352</v>
      </c>
    </row>
    <row r="386" spans="1:57" x14ac:dyDescent="0.2">
      <c r="A386" s="2" t="s">
        <v>1372</v>
      </c>
      <c r="B386" s="2" t="s">
        <v>19</v>
      </c>
      <c r="C386" s="2" t="s">
        <v>20</v>
      </c>
      <c r="D386" s="2" t="s">
        <v>21</v>
      </c>
      <c r="E386" s="2" t="s">
        <v>135</v>
      </c>
      <c r="F386" s="2">
        <v>3</v>
      </c>
      <c r="G386" s="2">
        <v>60</v>
      </c>
      <c r="H386" s="2">
        <v>3</v>
      </c>
      <c r="I386" s="2">
        <v>2</v>
      </c>
      <c r="J386" s="2">
        <v>0</v>
      </c>
      <c r="K386" s="2" t="s">
        <v>61</v>
      </c>
      <c r="L386" s="6" t="s">
        <v>75</v>
      </c>
      <c r="M386" s="5">
        <v>334000000</v>
      </c>
      <c r="N386" s="2">
        <v>0</v>
      </c>
      <c r="O386" s="2">
        <v>4.7515528529999997</v>
      </c>
      <c r="P386" s="2">
        <v>-74.057262919999999</v>
      </c>
      <c r="Q386" s="2" t="s">
        <v>1373</v>
      </c>
      <c r="R386" s="2">
        <v>5566666.6670000004</v>
      </c>
      <c r="S386" s="2">
        <v>0</v>
      </c>
      <c r="T386" s="2" t="s">
        <v>68</v>
      </c>
      <c r="U386" s="2" t="s">
        <v>69</v>
      </c>
      <c r="V386" s="2" t="s">
        <v>28</v>
      </c>
      <c r="W386" s="2" t="s">
        <v>70</v>
      </c>
      <c r="X386" s="2" t="s">
        <v>71</v>
      </c>
      <c r="Y386" s="2">
        <v>2.09508838182354</v>
      </c>
      <c r="Z386" s="2">
        <v>4.73719444444444</v>
      </c>
      <c r="AA386" s="2">
        <v>-74.069472222222203</v>
      </c>
      <c r="AB386" s="2">
        <v>2555</v>
      </c>
      <c r="AC386" s="2" t="s">
        <v>31</v>
      </c>
      <c r="AD386" s="2" t="s">
        <v>58</v>
      </c>
      <c r="AE386" s="2" t="s">
        <v>33</v>
      </c>
      <c r="AF386" s="2" t="s">
        <v>34</v>
      </c>
      <c r="AG386" s="2" t="s">
        <v>72</v>
      </c>
      <c r="AH386" s="2">
        <v>1.25821344078652</v>
      </c>
      <c r="AI386" s="2">
        <v>3.9566572563237701</v>
      </c>
      <c r="AJ386" s="2">
        <v>0.46322003280162499</v>
      </c>
      <c r="AK386" s="2">
        <v>0.17988501901595499</v>
      </c>
      <c r="AL386" s="2">
        <v>0.14300163075528599</v>
      </c>
      <c r="AM386" s="2">
        <v>15.3</v>
      </c>
      <c r="AN386" s="2">
        <v>9.8000000000000007</v>
      </c>
      <c r="AO386" s="2">
        <v>29.7</v>
      </c>
      <c r="AP386" s="2">
        <v>564</v>
      </c>
      <c r="AQ386" s="2">
        <v>68</v>
      </c>
      <c r="AR386" s="2">
        <v>1.8</v>
      </c>
      <c r="AS386" s="2">
        <v>43</v>
      </c>
      <c r="AT386" s="2">
        <v>25.4</v>
      </c>
      <c r="AU386" s="2">
        <v>162</v>
      </c>
      <c r="AV386" s="2">
        <v>9.1</v>
      </c>
      <c r="AW386" s="2">
        <v>9.1999999999999993</v>
      </c>
      <c r="AX386" s="2">
        <v>18.3</v>
      </c>
      <c r="AY386" s="2">
        <v>0.34</v>
      </c>
      <c r="AZ386" s="2">
        <v>7.3</v>
      </c>
      <c r="BA386" s="2">
        <v>0.9</v>
      </c>
      <c r="BB386" s="2">
        <v>7.5</v>
      </c>
      <c r="BC386" s="2">
        <v>2.9</v>
      </c>
      <c r="BD386" s="2">
        <f>+AN386*EXP(-0.0495*Y386)</f>
        <v>8.8345971773990701</v>
      </c>
      <c r="BE386" s="2">
        <f>+AO386*EXP(-0.024*Y386)</f>
        <v>28.243544681885936</v>
      </c>
    </row>
    <row r="387" spans="1:57" x14ac:dyDescent="0.2">
      <c r="A387" s="2" t="s">
        <v>1110</v>
      </c>
      <c r="B387" s="2" t="s">
        <v>19</v>
      </c>
      <c r="C387" s="2" t="s">
        <v>20</v>
      </c>
      <c r="D387" s="2" t="s">
        <v>21</v>
      </c>
      <c r="E387" s="2" t="s">
        <v>1111</v>
      </c>
      <c r="F387" s="2">
        <v>5</v>
      </c>
      <c r="G387" s="2">
        <v>59.45</v>
      </c>
      <c r="H387" s="2">
        <v>3</v>
      </c>
      <c r="I387" s="2">
        <v>2</v>
      </c>
      <c r="J387" s="2">
        <v>1</v>
      </c>
      <c r="K387" s="2" t="s">
        <v>61</v>
      </c>
      <c r="L387" s="6" t="s">
        <v>113</v>
      </c>
      <c r="M387" s="5">
        <v>400000000</v>
      </c>
      <c r="N387" s="2">
        <v>0</v>
      </c>
      <c r="O387" s="2">
        <v>4.7306618690000004</v>
      </c>
      <c r="P387" s="2">
        <v>-74.064567569999994</v>
      </c>
      <c r="Q387" s="2" t="s">
        <v>1112</v>
      </c>
      <c r="R387" s="2">
        <v>6728343.1459999997</v>
      </c>
      <c r="S387" s="2">
        <v>0</v>
      </c>
      <c r="T387" s="2" t="s">
        <v>68</v>
      </c>
      <c r="U387" s="2" t="s">
        <v>69</v>
      </c>
      <c r="V387" s="2" t="s">
        <v>28</v>
      </c>
      <c r="W387" s="2" t="s">
        <v>70</v>
      </c>
      <c r="X387" s="2" t="s">
        <v>71</v>
      </c>
      <c r="Y387" s="2">
        <v>0.90823547802808202</v>
      </c>
      <c r="Z387" s="2">
        <v>4.73719444444444</v>
      </c>
      <c r="AA387" s="2">
        <v>-74.069472222222203</v>
      </c>
      <c r="AB387" s="2">
        <v>2555</v>
      </c>
      <c r="AC387" s="2" t="s">
        <v>31</v>
      </c>
      <c r="AD387" s="2" t="s">
        <v>58</v>
      </c>
      <c r="AE387" s="2" t="s">
        <v>33</v>
      </c>
      <c r="AF387" s="2" t="s">
        <v>34</v>
      </c>
      <c r="AG387" s="2" t="s">
        <v>72</v>
      </c>
      <c r="AH387" s="2">
        <v>1.18043396738387</v>
      </c>
      <c r="AI387" s="2">
        <v>4.7050339113512898</v>
      </c>
      <c r="AJ387" s="2">
        <v>1.7046790361592199</v>
      </c>
      <c r="AK387" s="2">
        <v>0.23477985747296601</v>
      </c>
      <c r="AL387" s="2">
        <v>2.8441186525626799E-2</v>
      </c>
      <c r="AM387" s="2">
        <v>15.3</v>
      </c>
      <c r="AN387" s="2">
        <v>9.8000000000000007</v>
      </c>
      <c r="AO387" s="2">
        <v>29.7</v>
      </c>
      <c r="AP387" s="2">
        <v>564</v>
      </c>
      <c r="AQ387" s="2">
        <v>68</v>
      </c>
      <c r="AR387" s="2">
        <v>1.8</v>
      </c>
      <c r="AS387" s="2">
        <v>43</v>
      </c>
      <c r="AT387" s="2">
        <v>25.4</v>
      </c>
      <c r="AU387" s="2">
        <v>162</v>
      </c>
      <c r="AV387" s="2">
        <v>9.1</v>
      </c>
      <c r="AW387" s="2">
        <v>9.1999999999999993</v>
      </c>
      <c r="AX387" s="2">
        <v>18.3</v>
      </c>
      <c r="AY387" s="2">
        <v>0.34</v>
      </c>
      <c r="AZ387" s="2">
        <v>7.3</v>
      </c>
      <c r="BA387" s="2">
        <v>0.9</v>
      </c>
      <c r="BB387" s="2">
        <v>7.5</v>
      </c>
      <c r="BC387" s="2">
        <v>2.9</v>
      </c>
      <c r="BD387" s="2">
        <f>+AN387*EXP(-0.0495*Y387)</f>
        <v>9.3691720402644449</v>
      </c>
      <c r="BE387" s="2">
        <f>+AO387*EXP(-0.024*Y387)</f>
        <v>29.059614556349313</v>
      </c>
    </row>
    <row r="388" spans="1:57" x14ac:dyDescent="0.2">
      <c r="A388" s="2" t="s">
        <v>1738</v>
      </c>
      <c r="B388" s="2" t="s">
        <v>19</v>
      </c>
      <c r="C388" s="2" t="s">
        <v>20</v>
      </c>
      <c r="D388" s="2" t="s">
        <v>21</v>
      </c>
      <c r="E388" s="2" t="s">
        <v>91</v>
      </c>
      <c r="F388" s="2">
        <v>3</v>
      </c>
      <c r="G388" s="2">
        <v>59</v>
      </c>
      <c r="H388" s="2">
        <v>3</v>
      </c>
      <c r="I388" s="2">
        <v>2</v>
      </c>
      <c r="J388" s="2">
        <v>1</v>
      </c>
      <c r="K388" s="2" t="s">
        <v>61</v>
      </c>
      <c r="L388" s="6" t="s">
        <v>75</v>
      </c>
      <c r="M388" s="5">
        <v>433000000</v>
      </c>
      <c r="N388" s="2">
        <v>0</v>
      </c>
      <c r="O388" s="2">
        <v>4.7413163190000001</v>
      </c>
      <c r="P388" s="2">
        <v>-74.057518009999995</v>
      </c>
      <c r="Q388" s="2" t="s">
        <v>1739</v>
      </c>
      <c r="R388" s="2">
        <v>7338983.051</v>
      </c>
      <c r="S388" s="2">
        <v>0</v>
      </c>
      <c r="T388" s="2" t="s">
        <v>68</v>
      </c>
      <c r="U388" s="2" t="s">
        <v>69</v>
      </c>
      <c r="V388" s="2" t="s">
        <v>28</v>
      </c>
      <c r="W388" s="2" t="s">
        <v>70</v>
      </c>
      <c r="X388" s="2" t="s">
        <v>71</v>
      </c>
      <c r="Y388" s="2">
        <v>1.4033213440718999</v>
      </c>
      <c r="Z388" s="2">
        <v>4.73719444444444</v>
      </c>
      <c r="AA388" s="2">
        <v>-74.069472222222203</v>
      </c>
      <c r="AB388" s="2">
        <v>2555</v>
      </c>
      <c r="AC388" s="2" t="s">
        <v>31</v>
      </c>
      <c r="AD388" s="2" t="s">
        <v>58</v>
      </c>
      <c r="AE388" s="2" t="s">
        <v>33</v>
      </c>
      <c r="AF388" s="2" t="s">
        <v>34</v>
      </c>
      <c r="AG388" s="2" t="s">
        <v>72</v>
      </c>
      <c r="AH388" s="2">
        <v>1.0573067601671</v>
      </c>
      <c r="AI388" s="2">
        <v>4.0524204256817598</v>
      </c>
      <c r="AJ388" s="2">
        <v>1.40528982097299</v>
      </c>
      <c r="AK388" s="2">
        <v>0.30030273337540198</v>
      </c>
      <c r="AL388" s="2">
        <v>2.31631681787942E-2</v>
      </c>
      <c r="AM388" s="2">
        <v>15.3</v>
      </c>
      <c r="AN388" s="2">
        <v>9.8000000000000007</v>
      </c>
      <c r="AO388" s="2">
        <v>29.7</v>
      </c>
      <c r="AP388" s="2">
        <v>564</v>
      </c>
      <c r="AQ388" s="2">
        <v>68</v>
      </c>
      <c r="AR388" s="2">
        <v>1.8</v>
      </c>
      <c r="AS388" s="2">
        <v>43</v>
      </c>
      <c r="AT388" s="2">
        <v>25.4</v>
      </c>
      <c r="AU388" s="2">
        <v>162</v>
      </c>
      <c r="AV388" s="2">
        <v>9.1</v>
      </c>
      <c r="AW388" s="2">
        <v>9.1999999999999993</v>
      </c>
      <c r="AX388" s="2">
        <v>18.3</v>
      </c>
      <c r="AY388" s="2">
        <v>0.34</v>
      </c>
      <c r="AZ388" s="2">
        <v>7.3</v>
      </c>
      <c r="BA388" s="2">
        <v>0.9</v>
      </c>
      <c r="BB388" s="2">
        <v>7.5</v>
      </c>
      <c r="BC388" s="2">
        <v>2.9</v>
      </c>
      <c r="BD388" s="2">
        <f>+AN388*EXP(-0.0495*Y388)</f>
        <v>9.1423547094913449</v>
      </c>
      <c r="BE388" s="2">
        <f>+AO388*EXP(-0.024*Y388)</f>
        <v>28.716369716190453</v>
      </c>
    </row>
    <row r="389" spans="1:57" x14ac:dyDescent="0.2">
      <c r="A389" s="2" t="s">
        <v>106</v>
      </c>
      <c r="B389" s="2" t="s">
        <v>19</v>
      </c>
      <c r="C389" s="2" t="s">
        <v>20</v>
      </c>
      <c r="D389" s="2" t="s">
        <v>21</v>
      </c>
      <c r="E389" s="2" t="s">
        <v>107</v>
      </c>
      <c r="F389" s="2">
        <v>3</v>
      </c>
      <c r="G389" s="2">
        <v>59</v>
      </c>
      <c r="H389" s="2">
        <v>2</v>
      </c>
      <c r="I389" s="2">
        <v>2</v>
      </c>
      <c r="J389" s="2">
        <v>1</v>
      </c>
      <c r="K389" s="2" t="s">
        <v>61</v>
      </c>
      <c r="L389" s="6" t="s">
        <v>62</v>
      </c>
      <c r="M389" s="5">
        <v>385000000</v>
      </c>
      <c r="N389" s="2">
        <v>0</v>
      </c>
      <c r="O389" s="2">
        <v>4.7629349999999997</v>
      </c>
      <c r="P389" s="2">
        <v>-74.029071999999999</v>
      </c>
      <c r="Q389" s="2" t="s">
        <v>108</v>
      </c>
      <c r="R389" s="2">
        <v>6525423.7290000003</v>
      </c>
      <c r="S389" s="2">
        <v>0</v>
      </c>
      <c r="T389" s="2" t="s">
        <v>102</v>
      </c>
      <c r="U389" s="2" t="s">
        <v>103</v>
      </c>
      <c r="V389" s="2" t="s">
        <v>28</v>
      </c>
      <c r="W389" s="2" t="s">
        <v>70</v>
      </c>
      <c r="X389" s="2" t="s">
        <v>104</v>
      </c>
      <c r="Y389" s="2">
        <v>2.85703896856741</v>
      </c>
      <c r="Z389" s="2">
        <v>4.7837500000000004</v>
      </c>
      <c r="AA389" s="2">
        <v>-74.044138888888895</v>
      </c>
      <c r="AB389" s="2">
        <v>2580</v>
      </c>
      <c r="AC389" s="2" t="s">
        <v>105</v>
      </c>
      <c r="AD389" s="2" t="s">
        <v>58</v>
      </c>
      <c r="AE389" s="2" t="s">
        <v>33</v>
      </c>
      <c r="AF389" s="2" t="s">
        <v>34</v>
      </c>
      <c r="AG389" s="2" t="s">
        <v>59</v>
      </c>
      <c r="AH389" s="2">
        <v>1.70479232774987</v>
      </c>
      <c r="AI389" s="2">
        <v>0.74397525041034696</v>
      </c>
      <c r="AJ389" s="2">
        <v>1.3342699217149601</v>
      </c>
      <c r="AK389" s="2">
        <v>1.27721936378329E-2</v>
      </c>
      <c r="AL389" s="2">
        <v>7.5070334429215898E-3</v>
      </c>
      <c r="AM389" s="2">
        <v>15.3</v>
      </c>
      <c r="AN389" s="2">
        <v>9.8000000000000007</v>
      </c>
      <c r="AO389" s="2">
        <v>29.7</v>
      </c>
      <c r="AP389" s="2">
        <v>564</v>
      </c>
      <c r="AQ389" s="2">
        <v>68</v>
      </c>
      <c r="AR389" s="2">
        <v>1.8</v>
      </c>
      <c r="AS389" s="2">
        <v>43</v>
      </c>
      <c r="AT389" s="2">
        <v>25.4</v>
      </c>
      <c r="AU389" s="2">
        <v>162</v>
      </c>
      <c r="AV389" s="2">
        <v>9.1</v>
      </c>
      <c r="AW389" s="2">
        <v>9.1999999999999993</v>
      </c>
      <c r="AX389" s="2">
        <v>18.3</v>
      </c>
      <c r="AY389" s="2">
        <v>0.34</v>
      </c>
      <c r="AZ389" s="2">
        <v>7.3</v>
      </c>
      <c r="BA389" s="2">
        <v>0.9</v>
      </c>
      <c r="BB389" s="2">
        <v>7.5</v>
      </c>
      <c r="BC389" s="2">
        <v>2.9</v>
      </c>
      <c r="BD389" s="2">
        <f>+AN389*EXP(-0.0495*Y389)</f>
        <v>8.50759213110479</v>
      </c>
      <c r="BE389" s="2">
        <f>+AO389*EXP(-0.024*Y389)</f>
        <v>27.731754003907845</v>
      </c>
    </row>
    <row r="390" spans="1:57" x14ac:dyDescent="0.2">
      <c r="A390" s="2" t="s">
        <v>920</v>
      </c>
      <c r="B390" s="2" t="s">
        <v>19</v>
      </c>
      <c r="C390" s="2" t="s">
        <v>20</v>
      </c>
      <c r="D390" s="2" t="s">
        <v>21</v>
      </c>
      <c r="E390" s="2" t="s">
        <v>921</v>
      </c>
      <c r="F390" s="2">
        <v>4</v>
      </c>
      <c r="G390" s="2">
        <v>59</v>
      </c>
      <c r="H390" s="2">
        <v>3</v>
      </c>
      <c r="I390" s="2">
        <v>2</v>
      </c>
      <c r="J390" s="2">
        <v>1</v>
      </c>
      <c r="K390" s="2" t="s">
        <v>61</v>
      </c>
      <c r="L390" s="6" t="s">
        <v>84</v>
      </c>
      <c r="M390" s="5">
        <v>340000000</v>
      </c>
      <c r="N390" s="2">
        <v>0</v>
      </c>
      <c r="O390" s="2">
        <v>4.7503886</v>
      </c>
      <c r="P390" s="2">
        <v>-74.081370000000007</v>
      </c>
      <c r="Q390" s="2" t="s">
        <v>922</v>
      </c>
      <c r="R390" s="2">
        <v>5762711.8640000001</v>
      </c>
      <c r="S390" s="2">
        <v>0</v>
      </c>
      <c r="T390" s="2" t="s">
        <v>70</v>
      </c>
      <c r="U390" s="2" t="s">
        <v>738</v>
      </c>
      <c r="V390" s="2" t="s">
        <v>28</v>
      </c>
      <c r="W390" s="2" t="s">
        <v>70</v>
      </c>
      <c r="X390" s="2" t="s">
        <v>739</v>
      </c>
      <c r="Y390" s="2">
        <v>1.8056409318593201</v>
      </c>
      <c r="Z390" s="2">
        <v>4.7612472222222202</v>
      </c>
      <c r="AA390" s="2">
        <v>-74.093461111111097</v>
      </c>
      <c r="AB390" s="2">
        <v>2571</v>
      </c>
      <c r="AC390" s="2" t="s">
        <v>105</v>
      </c>
      <c r="AD390" s="2" t="s">
        <v>58</v>
      </c>
      <c r="AE390" s="2" t="s">
        <v>33</v>
      </c>
      <c r="AF390" s="2" t="s">
        <v>34</v>
      </c>
      <c r="AG390" s="2" t="s">
        <v>72</v>
      </c>
      <c r="AH390" s="2">
        <v>1.3851833774159701</v>
      </c>
      <c r="AI390" s="2">
        <v>3.7935764793566502</v>
      </c>
      <c r="AJ390" s="2">
        <v>3.1074020923172698</v>
      </c>
      <c r="AK390" s="2">
        <v>0.39350431495030602</v>
      </c>
      <c r="AL390" s="2">
        <v>0.11425693811050699</v>
      </c>
      <c r="AM390" s="2">
        <v>15.3</v>
      </c>
      <c r="AN390" s="2">
        <v>9.8000000000000007</v>
      </c>
      <c r="AO390" s="2">
        <v>29.7</v>
      </c>
      <c r="AP390" s="2">
        <v>564</v>
      </c>
      <c r="AQ390" s="2">
        <v>68</v>
      </c>
      <c r="AR390" s="2">
        <v>1.8</v>
      </c>
      <c r="AS390" s="2">
        <v>43</v>
      </c>
      <c r="AT390" s="2">
        <v>25.4</v>
      </c>
      <c r="AU390" s="2">
        <v>162</v>
      </c>
      <c r="AV390" s="2">
        <v>9.1</v>
      </c>
      <c r="AW390" s="2">
        <v>9.1999999999999993</v>
      </c>
      <c r="AX390" s="2">
        <v>18.3</v>
      </c>
      <c r="AY390" s="2">
        <v>0.34</v>
      </c>
      <c r="AZ390" s="2">
        <v>7.3</v>
      </c>
      <c r="BA390" s="2">
        <v>0.9</v>
      </c>
      <c r="BB390" s="2">
        <v>7.5</v>
      </c>
      <c r="BC390" s="2">
        <v>2.9</v>
      </c>
      <c r="BD390" s="2">
        <f>+AN390*EXP(-0.0495*Y390)</f>
        <v>8.962087318854179</v>
      </c>
      <c r="BE390" s="2">
        <f>+AO390*EXP(-0.024*Y390)</f>
        <v>28.440428267220206</v>
      </c>
    </row>
    <row r="391" spans="1:57" x14ac:dyDescent="0.2">
      <c r="A391" s="2" t="s">
        <v>3355</v>
      </c>
      <c r="B391" s="2" t="s">
        <v>19</v>
      </c>
      <c r="C391" s="2" t="s">
        <v>3245</v>
      </c>
      <c r="D391" s="2" t="s">
        <v>21</v>
      </c>
      <c r="E391" s="2" t="s">
        <v>3356</v>
      </c>
      <c r="F391" s="2">
        <v>6</v>
      </c>
      <c r="G391" s="2">
        <v>58</v>
      </c>
      <c r="H391" s="2">
        <v>1</v>
      </c>
      <c r="I391" s="2">
        <v>2</v>
      </c>
      <c r="J391" s="2">
        <v>1</v>
      </c>
      <c r="K391" s="2" t="s">
        <v>61</v>
      </c>
      <c r="L391" s="6" t="s">
        <v>75</v>
      </c>
      <c r="M391" s="5">
        <v>410000000</v>
      </c>
      <c r="N391" s="2">
        <v>0</v>
      </c>
      <c r="O391" s="2">
        <v>4.7134</v>
      </c>
      <c r="P391" s="2">
        <v>-74.089230000000001</v>
      </c>
      <c r="Q391" s="2" t="s">
        <v>3357</v>
      </c>
      <c r="R391" s="2">
        <v>7068965.517</v>
      </c>
      <c r="S391" s="2">
        <v>0</v>
      </c>
      <c r="T391" s="2" t="s">
        <v>68</v>
      </c>
      <c r="U391" s="2" t="s">
        <v>69</v>
      </c>
      <c r="V391" s="2" t="s">
        <v>28</v>
      </c>
      <c r="W391" s="2" t="s">
        <v>70</v>
      </c>
      <c r="X391" s="2" t="s">
        <v>71</v>
      </c>
      <c r="Y391" s="2">
        <v>3.4381259047030102</v>
      </c>
      <c r="Z391" s="2">
        <v>4.73719444444444</v>
      </c>
      <c r="AA391" s="2">
        <v>-74.069472222222203</v>
      </c>
      <c r="AB391" s="2">
        <v>2555</v>
      </c>
      <c r="AC391" s="2" t="s">
        <v>31</v>
      </c>
      <c r="AD391" s="2" t="s">
        <v>58</v>
      </c>
      <c r="AE391" s="2" t="s">
        <v>33</v>
      </c>
      <c r="AF391" s="2" t="s">
        <v>34</v>
      </c>
      <c r="AG391" s="2" t="s">
        <v>72</v>
      </c>
      <c r="AH391" s="2">
        <v>1.72027938896185</v>
      </c>
      <c r="AI391" s="2">
        <v>4.2587390013365702</v>
      </c>
      <c r="AJ391" s="2">
        <v>1.3298445349067201</v>
      </c>
      <c r="AK391" s="2">
        <v>0.72316548149699</v>
      </c>
      <c r="AL391" s="2">
        <v>0.41672877561411797</v>
      </c>
      <c r="AM391" s="2">
        <v>15.3</v>
      </c>
      <c r="AN391" s="2">
        <v>9.8000000000000007</v>
      </c>
      <c r="AO391" s="2">
        <v>29.7</v>
      </c>
      <c r="AP391" s="2">
        <v>564</v>
      </c>
      <c r="AQ391" s="2">
        <v>68</v>
      </c>
      <c r="AR391" s="2">
        <v>1.8</v>
      </c>
      <c r="AS391" s="2">
        <v>43</v>
      </c>
      <c r="AT391" s="2">
        <v>25.4</v>
      </c>
      <c r="AU391" s="2">
        <v>162</v>
      </c>
      <c r="AV391" s="2">
        <v>9.1</v>
      </c>
      <c r="AW391" s="2">
        <v>9.1999999999999993</v>
      </c>
      <c r="AX391" s="2">
        <v>18.3</v>
      </c>
      <c r="AY391" s="2">
        <v>0.34</v>
      </c>
      <c r="AZ391" s="2">
        <v>7.3</v>
      </c>
      <c r="BA391" s="2">
        <v>0.9</v>
      </c>
      <c r="BB391" s="2">
        <v>7.5</v>
      </c>
      <c r="BC391" s="2">
        <v>2.9</v>
      </c>
      <c r="BD391" s="2">
        <f>+AN391*EXP(-0.0495*Y391)</f>
        <v>8.2663673269178553</v>
      </c>
      <c r="BE391" s="2">
        <f>+AO391*EXP(-0.024*Y391)</f>
        <v>27.347688892131295</v>
      </c>
    </row>
    <row r="392" spans="1:57" x14ac:dyDescent="0.2">
      <c r="A392" s="2" t="s">
        <v>4143</v>
      </c>
      <c r="B392" s="2" t="s">
        <v>19</v>
      </c>
      <c r="C392" s="2" t="s">
        <v>3245</v>
      </c>
      <c r="D392" s="2" t="s">
        <v>21</v>
      </c>
      <c r="E392" s="2" t="s">
        <v>630</v>
      </c>
      <c r="F392" s="2">
        <v>6</v>
      </c>
      <c r="G392" s="2">
        <v>58</v>
      </c>
      <c r="H392" s="2">
        <v>1</v>
      </c>
      <c r="I392" s="2">
        <v>2</v>
      </c>
      <c r="J392" s="2">
        <v>1</v>
      </c>
      <c r="K392" s="2" t="s">
        <v>61</v>
      </c>
      <c r="L392" s="6" t="s">
        <v>84</v>
      </c>
      <c r="M392" s="5">
        <v>410000000</v>
      </c>
      <c r="N392" s="2">
        <v>0</v>
      </c>
      <c r="O392" s="2">
        <v>4.7135777470000004</v>
      </c>
      <c r="P392" s="2">
        <v>-74.088577270000002</v>
      </c>
      <c r="Q392" s="2" t="s">
        <v>4144</v>
      </c>
      <c r="R392" s="2">
        <v>7068965.517</v>
      </c>
      <c r="S392" s="2">
        <v>0</v>
      </c>
      <c r="T392" s="2" t="s">
        <v>68</v>
      </c>
      <c r="U392" s="2" t="s">
        <v>69</v>
      </c>
      <c r="V392" s="2" t="s">
        <v>28</v>
      </c>
      <c r="W392" s="2" t="s">
        <v>70</v>
      </c>
      <c r="X392" s="2" t="s">
        <v>71</v>
      </c>
      <c r="Y392" s="2">
        <v>3.3769903914034098</v>
      </c>
      <c r="Z392" s="2">
        <v>4.73719444444444</v>
      </c>
      <c r="AA392" s="2">
        <v>-74.069472222222203</v>
      </c>
      <c r="AB392" s="2">
        <v>2555</v>
      </c>
      <c r="AC392" s="2" t="s">
        <v>31</v>
      </c>
      <c r="AD392" s="2" t="s">
        <v>58</v>
      </c>
      <c r="AE392" s="2" t="s">
        <v>33</v>
      </c>
      <c r="AF392" s="2" t="s">
        <v>34</v>
      </c>
      <c r="AG392" s="2" t="s">
        <v>72</v>
      </c>
      <c r="AH392" s="2">
        <v>1.75659236260079</v>
      </c>
      <c r="AI392" s="2">
        <v>4.3213659124531203</v>
      </c>
      <c r="AJ392" s="2">
        <v>1.3552660412259301</v>
      </c>
      <c r="AK392" s="2">
        <v>0.79594529752069498</v>
      </c>
      <c r="AL392" s="2">
        <v>0.394001584479439</v>
      </c>
      <c r="AM392" s="2">
        <v>15.3</v>
      </c>
      <c r="AN392" s="2">
        <v>9.8000000000000007</v>
      </c>
      <c r="AO392" s="2">
        <v>29.7</v>
      </c>
      <c r="AP392" s="2">
        <v>564</v>
      </c>
      <c r="AQ392" s="2">
        <v>68</v>
      </c>
      <c r="AR392" s="2">
        <v>1.8</v>
      </c>
      <c r="AS392" s="2">
        <v>43</v>
      </c>
      <c r="AT392" s="2">
        <v>25.4</v>
      </c>
      <c r="AU392" s="2">
        <v>162</v>
      </c>
      <c r="AV392" s="2">
        <v>9.1</v>
      </c>
      <c r="AW392" s="2">
        <v>9.1999999999999993</v>
      </c>
      <c r="AX392" s="2">
        <v>18.3</v>
      </c>
      <c r="AY392" s="2">
        <v>0.34</v>
      </c>
      <c r="AZ392" s="2">
        <v>7.3</v>
      </c>
      <c r="BA392" s="2">
        <v>0.9</v>
      </c>
      <c r="BB392" s="2">
        <v>7.5</v>
      </c>
      <c r="BC392" s="2">
        <v>2.9</v>
      </c>
      <c r="BD392" s="2">
        <f>+AN392*EXP(-0.0495*Y392)</f>
        <v>8.291420962731193</v>
      </c>
      <c r="BE392" s="2">
        <f>+AO392*EXP(-0.024*Y392)</f>
        <v>27.387844303939342</v>
      </c>
    </row>
    <row r="393" spans="1:57" x14ac:dyDescent="0.2">
      <c r="A393" s="2" t="s">
        <v>857</v>
      </c>
      <c r="B393" s="2" t="s">
        <v>19</v>
      </c>
      <c r="C393" s="2" t="s">
        <v>20</v>
      </c>
      <c r="D393" s="2" t="s">
        <v>21</v>
      </c>
      <c r="E393" s="2" t="s">
        <v>170</v>
      </c>
      <c r="F393" s="2">
        <v>3</v>
      </c>
      <c r="G393" s="2">
        <v>57.37</v>
      </c>
      <c r="H393" s="2">
        <v>3</v>
      </c>
      <c r="I393" s="2">
        <v>2</v>
      </c>
      <c r="J393" s="2">
        <v>1</v>
      </c>
      <c r="K393" s="2" t="s">
        <v>61</v>
      </c>
      <c r="L393" s="6" t="s">
        <v>84</v>
      </c>
      <c r="M393" s="5">
        <v>310000000</v>
      </c>
      <c r="N393" s="2">
        <v>0</v>
      </c>
      <c r="O393" s="2">
        <v>4.7562131880000003</v>
      </c>
      <c r="P393" s="2">
        <v>-74.093818659999997</v>
      </c>
      <c r="Q393" s="2" t="s">
        <v>858</v>
      </c>
      <c r="R393" s="2">
        <v>5403521.0039999997</v>
      </c>
      <c r="S393" s="2">
        <v>0</v>
      </c>
      <c r="T393" s="2" t="s">
        <v>70</v>
      </c>
      <c r="U393" s="2" t="s">
        <v>738</v>
      </c>
      <c r="V393" s="2" t="s">
        <v>28</v>
      </c>
      <c r="W393" s="2" t="s">
        <v>70</v>
      </c>
      <c r="X393" s="2" t="s">
        <v>739</v>
      </c>
      <c r="Y393" s="2">
        <v>0.56178814451966097</v>
      </c>
      <c r="Z393" s="2">
        <v>4.7612472222222202</v>
      </c>
      <c r="AA393" s="2">
        <v>-74.093461111111097</v>
      </c>
      <c r="AB393" s="2">
        <v>2571</v>
      </c>
      <c r="AC393" s="2" t="s">
        <v>105</v>
      </c>
      <c r="AD393" s="2" t="s">
        <v>58</v>
      </c>
      <c r="AE393" s="2" t="s">
        <v>33</v>
      </c>
      <c r="AF393" s="2" t="s">
        <v>34</v>
      </c>
      <c r="AG393" s="2" t="s">
        <v>72</v>
      </c>
      <c r="AH393" s="2">
        <v>1.03987220887647</v>
      </c>
      <c r="AI393" s="2">
        <v>2.28296034023063</v>
      </c>
      <c r="AJ393" s="2">
        <v>4.4809485081178</v>
      </c>
      <c r="AK393" s="2">
        <v>0.14377236652689801</v>
      </c>
      <c r="AL393" s="2">
        <v>0.28798512608738702</v>
      </c>
      <c r="AM393" s="2">
        <v>15.3</v>
      </c>
      <c r="AN393" s="2">
        <v>9.8000000000000007</v>
      </c>
      <c r="AO393" s="2">
        <v>29.7</v>
      </c>
      <c r="AP393" s="2">
        <v>564</v>
      </c>
      <c r="AQ393" s="2">
        <v>68</v>
      </c>
      <c r="AR393" s="2">
        <v>1.8</v>
      </c>
      <c r="AS393" s="2">
        <v>43</v>
      </c>
      <c r="AT393" s="2">
        <v>25.4</v>
      </c>
      <c r="AU393" s="2">
        <v>162</v>
      </c>
      <c r="AV393" s="2">
        <v>9.1</v>
      </c>
      <c r="AW393" s="2">
        <v>9.1999999999999993</v>
      </c>
      <c r="AX393" s="2">
        <v>18.3</v>
      </c>
      <c r="AY393" s="2">
        <v>0.34</v>
      </c>
      <c r="AZ393" s="2">
        <v>7.3</v>
      </c>
      <c r="BA393" s="2">
        <v>0.9</v>
      </c>
      <c r="BB393" s="2">
        <v>7.5</v>
      </c>
      <c r="BC393" s="2">
        <v>2.9</v>
      </c>
      <c r="BD393" s="2">
        <f>+AN393*EXP(-0.0495*Y393)</f>
        <v>9.5312309252725562</v>
      </c>
      <c r="BE393" s="2">
        <f>+AO393*EXP(-0.024*Y393)</f>
        <v>29.302244885486886</v>
      </c>
    </row>
    <row r="394" spans="1:57" x14ac:dyDescent="0.2">
      <c r="A394" s="2" t="s">
        <v>440</v>
      </c>
      <c r="B394" s="2" t="s">
        <v>19</v>
      </c>
      <c r="C394" s="2" t="s">
        <v>20</v>
      </c>
      <c r="D394" s="2" t="s">
        <v>21</v>
      </c>
      <c r="E394" s="2" t="s">
        <v>228</v>
      </c>
      <c r="F394" s="2">
        <v>3</v>
      </c>
      <c r="G394" s="2">
        <v>57.35</v>
      </c>
      <c r="H394" s="2">
        <v>3</v>
      </c>
      <c r="I394" s="2">
        <v>2</v>
      </c>
      <c r="J394" s="2">
        <v>1</v>
      </c>
      <c r="K394" s="2" t="s">
        <v>61</v>
      </c>
      <c r="L394" s="6" t="s">
        <v>113</v>
      </c>
      <c r="M394" s="5">
        <v>330000000</v>
      </c>
      <c r="N394" s="2">
        <v>0</v>
      </c>
      <c r="O394" s="2">
        <v>4.7217712399999998</v>
      </c>
      <c r="P394" s="2">
        <v>-74.053047179999993</v>
      </c>
      <c r="Q394" s="2" t="s">
        <v>441</v>
      </c>
      <c r="R394" s="2">
        <v>5754141.2379999999</v>
      </c>
      <c r="S394" s="2">
        <v>0</v>
      </c>
      <c r="T394" s="2" t="s">
        <v>68</v>
      </c>
      <c r="U394" s="2" t="s">
        <v>69</v>
      </c>
      <c r="V394" s="2" t="s">
        <v>28</v>
      </c>
      <c r="W394" s="2" t="s">
        <v>70</v>
      </c>
      <c r="X394" s="2" t="s">
        <v>71</v>
      </c>
      <c r="Y394" s="2">
        <v>2.50363253467633</v>
      </c>
      <c r="Z394" s="2">
        <v>4.73719444444444</v>
      </c>
      <c r="AA394" s="2">
        <v>-74.069472222222203</v>
      </c>
      <c r="AB394" s="2">
        <v>2555</v>
      </c>
      <c r="AC394" s="2" t="s">
        <v>31</v>
      </c>
      <c r="AD394" s="2" t="s">
        <v>58</v>
      </c>
      <c r="AE394" s="2" t="s">
        <v>33</v>
      </c>
      <c r="AF394" s="2" t="s">
        <v>34</v>
      </c>
      <c r="AG394" s="2" t="s">
        <v>72</v>
      </c>
      <c r="AH394" s="2">
        <v>0.18865455931424099</v>
      </c>
      <c r="AI394" s="2">
        <v>3.27786634312847</v>
      </c>
      <c r="AJ394" s="2">
        <v>1.89991540293508</v>
      </c>
      <c r="AK394" s="2">
        <v>0.22515192730698699</v>
      </c>
      <c r="AL394" s="2">
        <v>0.108760116591058</v>
      </c>
      <c r="AM394" s="2">
        <v>15.3</v>
      </c>
      <c r="AN394" s="2">
        <v>9.8000000000000007</v>
      </c>
      <c r="AO394" s="2">
        <v>29.7</v>
      </c>
      <c r="AP394" s="2">
        <v>564</v>
      </c>
      <c r="AQ394" s="2">
        <v>68</v>
      </c>
      <c r="AR394" s="2">
        <v>1.8</v>
      </c>
      <c r="AS394" s="2">
        <v>43</v>
      </c>
      <c r="AT394" s="2">
        <v>25.4</v>
      </c>
      <c r="AU394" s="2">
        <v>162</v>
      </c>
      <c r="AV394" s="2">
        <v>9.1</v>
      </c>
      <c r="AW394" s="2">
        <v>9.1999999999999993</v>
      </c>
      <c r="AX394" s="2">
        <v>18.3</v>
      </c>
      <c r="AY394" s="2">
        <v>0.34</v>
      </c>
      <c r="AZ394" s="2">
        <v>7.3</v>
      </c>
      <c r="BA394" s="2">
        <v>0.9</v>
      </c>
      <c r="BB394" s="2">
        <v>7.5</v>
      </c>
      <c r="BC394" s="2">
        <v>2.9</v>
      </c>
      <c r="BD394" s="2">
        <f>+AN394*EXP(-0.0495*Y394)</f>
        <v>8.657730101362171</v>
      </c>
      <c r="BE394" s="2">
        <f>+AO394*EXP(-0.024*Y394)</f>
        <v>27.967968270414211</v>
      </c>
    </row>
    <row r="395" spans="1:57" x14ac:dyDescent="0.2">
      <c r="A395" s="2" t="s">
        <v>397</v>
      </c>
      <c r="B395" s="2" t="s">
        <v>19</v>
      </c>
      <c r="C395" s="2" t="s">
        <v>20</v>
      </c>
      <c r="D395" s="2" t="s">
        <v>21</v>
      </c>
      <c r="E395" s="2" t="s">
        <v>135</v>
      </c>
      <c r="F395" s="2">
        <v>3</v>
      </c>
      <c r="G395" s="2">
        <v>57.1</v>
      </c>
      <c r="H395" s="2">
        <v>2</v>
      </c>
      <c r="I395" s="2">
        <v>2</v>
      </c>
      <c r="J395" s="2">
        <v>1</v>
      </c>
      <c r="K395" s="2" t="s">
        <v>61</v>
      </c>
      <c r="L395" s="6" t="s">
        <v>84</v>
      </c>
      <c r="M395" s="5">
        <v>390000000</v>
      </c>
      <c r="N395" s="2">
        <v>0</v>
      </c>
      <c r="O395" s="2">
        <v>4.7461490629999998</v>
      </c>
      <c r="P395" s="2">
        <v>-74.058074950000005</v>
      </c>
      <c r="Q395" s="2" t="s">
        <v>398</v>
      </c>
      <c r="R395" s="2">
        <v>6830122.5920000002</v>
      </c>
      <c r="S395" s="2">
        <v>0</v>
      </c>
      <c r="T395" s="2" t="s">
        <v>68</v>
      </c>
      <c r="U395" s="2" t="s">
        <v>69</v>
      </c>
      <c r="V395" s="2" t="s">
        <v>28</v>
      </c>
      <c r="W395" s="2" t="s">
        <v>70</v>
      </c>
      <c r="X395" s="2" t="s">
        <v>71</v>
      </c>
      <c r="Y395" s="2">
        <v>1.6100792816041001</v>
      </c>
      <c r="Z395" s="2">
        <v>4.73719444444444</v>
      </c>
      <c r="AA395" s="2">
        <v>-74.069472222222203</v>
      </c>
      <c r="AB395" s="2">
        <v>2555</v>
      </c>
      <c r="AC395" s="2" t="s">
        <v>31</v>
      </c>
      <c r="AD395" s="2" t="s">
        <v>58</v>
      </c>
      <c r="AE395" s="2" t="s">
        <v>33</v>
      </c>
      <c r="AF395" s="2" t="s">
        <v>34</v>
      </c>
      <c r="AG395" s="2" t="s">
        <v>72</v>
      </c>
      <c r="AH395" s="2">
        <v>1.1996343126992299</v>
      </c>
      <c r="AI395" s="2">
        <v>4.17752562416785</v>
      </c>
      <c r="AJ395" s="2">
        <v>0.94614282944586303</v>
      </c>
      <c r="AK395" s="2">
        <v>0.32912923501288899</v>
      </c>
      <c r="AL395" s="2">
        <v>0.109729911888269</v>
      </c>
      <c r="AM395" s="2">
        <v>15.3</v>
      </c>
      <c r="AN395" s="2">
        <v>9.8000000000000007</v>
      </c>
      <c r="AO395" s="2">
        <v>29.7</v>
      </c>
      <c r="AP395" s="2">
        <v>564</v>
      </c>
      <c r="AQ395" s="2">
        <v>68</v>
      </c>
      <c r="AR395" s="2">
        <v>1.8</v>
      </c>
      <c r="AS395" s="2">
        <v>43</v>
      </c>
      <c r="AT395" s="2">
        <v>25.4</v>
      </c>
      <c r="AU395" s="2">
        <v>162</v>
      </c>
      <c r="AV395" s="2">
        <v>9.1</v>
      </c>
      <c r="AW395" s="2">
        <v>9.1999999999999993</v>
      </c>
      <c r="AX395" s="2">
        <v>18.3</v>
      </c>
      <c r="AY395" s="2">
        <v>0.34</v>
      </c>
      <c r="AZ395" s="2">
        <v>7.3</v>
      </c>
      <c r="BA395" s="2">
        <v>0.9</v>
      </c>
      <c r="BB395" s="2">
        <v>7.5</v>
      </c>
      <c r="BC395" s="2">
        <v>2.9</v>
      </c>
      <c r="BD395" s="2">
        <f>+AN395*EXP(-0.0495*Y395)</f>
        <v>9.0492642968093051</v>
      </c>
      <c r="BE395" s="2">
        <f>+AO395*EXP(-0.024*Y395)</f>
        <v>28.574226581494173</v>
      </c>
    </row>
    <row r="396" spans="1:57" x14ac:dyDescent="0.2">
      <c r="A396" s="2" t="s">
        <v>1877</v>
      </c>
      <c r="B396" s="2" t="s">
        <v>19</v>
      </c>
      <c r="C396" s="2" t="s">
        <v>20</v>
      </c>
      <c r="D396" s="2" t="s">
        <v>21</v>
      </c>
      <c r="E396" s="2" t="s">
        <v>1878</v>
      </c>
      <c r="F396" s="2">
        <v>3</v>
      </c>
      <c r="G396" s="2">
        <v>56</v>
      </c>
      <c r="H396" s="2">
        <v>2</v>
      </c>
      <c r="I396" s="2">
        <v>1</v>
      </c>
      <c r="J396" s="2">
        <v>1</v>
      </c>
      <c r="K396" s="2" t="s">
        <v>61</v>
      </c>
      <c r="L396" s="6" t="s">
        <v>113</v>
      </c>
      <c r="M396" s="5">
        <v>235000000</v>
      </c>
      <c r="N396" s="2">
        <v>0</v>
      </c>
      <c r="O396" s="2">
        <v>4.7364587780000003</v>
      </c>
      <c r="P396" s="2">
        <v>-74.089111329999994</v>
      </c>
      <c r="Q396" s="2" t="s">
        <v>1879</v>
      </c>
      <c r="R396" s="2">
        <v>4196428.5710000005</v>
      </c>
      <c r="S396" s="2">
        <v>0</v>
      </c>
      <c r="T396" s="2" t="s">
        <v>68</v>
      </c>
      <c r="U396" s="2" t="s">
        <v>69</v>
      </c>
      <c r="V396" s="2" t="s">
        <v>28</v>
      </c>
      <c r="W396" s="2" t="s">
        <v>70</v>
      </c>
      <c r="X396" s="2" t="s">
        <v>71</v>
      </c>
      <c r="Y396" s="2">
        <v>2.1802870500563798</v>
      </c>
      <c r="Z396" s="2">
        <v>4.73719444444444</v>
      </c>
      <c r="AA396" s="2">
        <v>-74.069472222222203</v>
      </c>
      <c r="AB396" s="2">
        <v>2555</v>
      </c>
      <c r="AC396" s="2" t="s">
        <v>31</v>
      </c>
      <c r="AD396" s="2" t="s">
        <v>58</v>
      </c>
      <c r="AE396" s="2" t="s">
        <v>33</v>
      </c>
      <c r="AF396" s="2" t="s">
        <v>34</v>
      </c>
      <c r="AG396" s="2" t="s">
        <v>72</v>
      </c>
      <c r="AH396" s="2">
        <v>0.36082470245794901</v>
      </c>
      <c r="AI396" s="2">
        <v>3.84053021876348</v>
      </c>
      <c r="AJ396" s="2">
        <v>2.9230419434442498</v>
      </c>
      <c r="AK396" s="2">
        <v>0.21970973853911099</v>
      </c>
      <c r="AL396" s="2">
        <v>5.5258397788991401E-2</v>
      </c>
      <c r="AM396" s="2">
        <v>15.3</v>
      </c>
      <c r="AN396" s="2">
        <v>9.8000000000000007</v>
      </c>
      <c r="AO396" s="2">
        <v>29.7</v>
      </c>
      <c r="AP396" s="2">
        <v>564</v>
      </c>
      <c r="AQ396" s="2">
        <v>68</v>
      </c>
      <c r="AR396" s="2">
        <v>1.8</v>
      </c>
      <c r="AS396" s="2">
        <v>43</v>
      </c>
      <c r="AT396" s="2">
        <v>25.4</v>
      </c>
      <c r="AU396" s="2">
        <v>162</v>
      </c>
      <c r="AV396" s="2">
        <v>9.1</v>
      </c>
      <c r="AW396" s="2">
        <v>9.1999999999999993</v>
      </c>
      <c r="AX396" s="2">
        <v>18.3</v>
      </c>
      <c r="AY396" s="2">
        <v>0.34</v>
      </c>
      <c r="AZ396" s="2">
        <v>7.3</v>
      </c>
      <c r="BA396" s="2">
        <v>0.9</v>
      </c>
      <c r="BB396" s="2">
        <v>7.5</v>
      </c>
      <c r="BC396" s="2">
        <v>2.9</v>
      </c>
      <c r="BD396" s="2">
        <f>+AN396*EXP(-0.0495*Y396)</f>
        <v>8.7974171849927423</v>
      </c>
      <c r="BE396" s="2">
        <f>+AO396*EXP(-0.024*Y396)</f>
        <v>28.185852188436922</v>
      </c>
    </row>
    <row r="397" spans="1:57" x14ac:dyDescent="0.2">
      <c r="A397" s="2" t="s">
        <v>1757</v>
      </c>
      <c r="B397" s="2" t="s">
        <v>19</v>
      </c>
      <c r="C397" s="2" t="s">
        <v>20</v>
      </c>
      <c r="D397" s="2" t="s">
        <v>21</v>
      </c>
      <c r="E397" s="2" t="s">
        <v>1758</v>
      </c>
      <c r="F397" s="2">
        <v>3</v>
      </c>
      <c r="G397" s="2">
        <v>55</v>
      </c>
      <c r="H397" s="2">
        <v>2</v>
      </c>
      <c r="I397" s="2">
        <v>2</v>
      </c>
      <c r="J397" s="2">
        <v>1</v>
      </c>
      <c r="K397" s="2" t="s">
        <v>61</v>
      </c>
      <c r="L397" s="6" t="s">
        <v>62</v>
      </c>
      <c r="M397" s="5">
        <v>300000000</v>
      </c>
      <c r="N397" s="2">
        <v>0</v>
      </c>
      <c r="O397" s="2">
        <v>4.7671511999999998</v>
      </c>
      <c r="P397" s="2">
        <v>-74.028700700000002</v>
      </c>
      <c r="Q397" s="2" t="s">
        <v>1759</v>
      </c>
      <c r="R397" s="2">
        <v>5454545.4550000001</v>
      </c>
      <c r="S397" s="2">
        <v>0</v>
      </c>
      <c r="T397" s="2" t="s">
        <v>102</v>
      </c>
      <c r="U397" s="2" t="s">
        <v>103</v>
      </c>
      <c r="V397" s="2" t="s">
        <v>28</v>
      </c>
      <c r="W397" s="2" t="s">
        <v>70</v>
      </c>
      <c r="X397" s="2" t="s">
        <v>104</v>
      </c>
      <c r="Y397" s="2">
        <v>2.5193791820621598</v>
      </c>
      <c r="Z397" s="2">
        <v>4.7837500000000004</v>
      </c>
      <c r="AA397" s="2">
        <v>-74.044138888888895</v>
      </c>
      <c r="AB397" s="2">
        <v>2580</v>
      </c>
      <c r="AC397" s="2" t="s">
        <v>105</v>
      </c>
      <c r="AD397" s="2" t="s">
        <v>58</v>
      </c>
      <c r="AE397" s="2" t="s">
        <v>33</v>
      </c>
      <c r="AF397" s="2" t="s">
        <v>34</v>
      </c>
      <c r="AG397" s="2" t="s">
        <v>59</v>
      </c>
      <c r="AH397" s="2">
        <v>1.6590522074945999</v>
      </c>
      <c r="AI397" s="2">
        <v>0.63913163759187497</v>
      </c>
      <c r="AJ397" s="2">
        <v>1.80176799856317</v>
      </c>
      <c r="AK397" s="2">
        <v>0.39066913099238099</v>
      </c>
      <c r="AL397" s="2">
        <v>0.184782619280213</v>
      </c>
      <c r="AM397" s="2">
        <v>15.3</v>
      </c>
      <c r="AN397" s="2">
        <v>9.8000000000000007</v>
      </c>
      <c r="AO397" s="2">
        <v>29.7</v>
      </c>
      <c r="AP397" s="2">
        <v>564</v>
      </c>
      <c r="AQ397" s="2">
        <v>68</v>
      </c>
      <c r="AR397" s="2">
        <v>1.8</v>
      </c>
      <c r="AS397" s="2">
        <v>43</v>
      </c>
      <c r="AT397" s="2">
        <v>25.4</v>
      </c>
      <c r="AU397" s="2">
        <v>162</v>
      </c>
      <c r="AV397" s="2">
        <v>9.1</v>
      </c>
      <c r="AW397" s="2">
        <v>9.1999999999999993</v>
      </c>
      <c r="AX397" s="2">
        <v>18.3</v>
      </c>
      <c r="AY397" s="2">
        <v>0.34</v>
      </c>
      <c r="AZ397" s="2">
        <v>7.3</v>
      </c>
      <c r="BA397" s="2">
        <v>0.9</v>
      </c>
      <c r="BB397" s="2">
        <v>7.5</v>
      </c>
      <c r="BC397" s="2">
        <v>2.9</v>
      </c>
      <c r="BD397" s="2">
        <f>+AN397*EXP(-0.0495*Y397)</f>
        <v>8.6509843846667938</v>
      </c>
      <c r="BE397" s="2">
        <f>+AO397*EXP(-0.024*Y397)</f>
        <v>27.957400625772816</v>
      </c>
    </row>
    <row r="398" spans="1:57" x14ac:dyDescent="0.2">
      <c r="A398" s="2" t="s">
        <v>1254</v>
      </c>
      <c r="B398" s="2" t="s">
        <v>19</v>
      </c>
      <c r="C398" s="2" t="s">
        <v>20</v>
      </c>
      <c r="D398" s="2" t="s">
        <v>21</v>
      </c>
      <c r="E398" s="2" t="s">
        <v>736</v>
      </c>
      <c r="F398" s="2">
        <v>3</v>
      </c>
      <c r="G398" s="2">
        <v>55</v>
      </c>
      <c r="H398" s="2">
        <v>3</v>
      </c>
      <c r="I398" s="2">
        <v>2</v>
      </c>
      <c r="J398" s="2">
        <v>0</v>
      </c>
      <c r="K398" s="2" t="s">
        <v>61</v>
      </c>
      <c r="L398" s="6" t="s">
        <v>75</v>
      </c>
      <c r="M398" s="5">
        <v>253000000</v>
      </c>
      <c r="N398" s="2">
        <v>0</v>
      </c>
      <c r="O398" s="2">
        <v>4.7383740919999999</v>
      </c>
      <c r="P398" s="2">
        <v>-74.088528830000001</v>
      </c>
      <c r="Q398" s="2" t="s">
        <v>1255</v>
      </c>
      <c r="R398" s="2">
        <v>4600000</v>
      </c>
      <c r="S398" s="2">
        <v>0</v>
      </c>
      <c r="T398" s="2" t="s">
        <v>68</v>
      </c>
      <c r="U398" s="2" t="s">
        <v>69</v>
      </c>
      <c r="V398" s="2" t="s">
        <v>28</v>
      </c>
      <c r="W398" s="2" t="s">
        <v>70</v>
      </c>
      <c r="X398" s="2" t="s">
        <v>71</v>
      </c>
      <c r="Y398" s="2">
        <v>2.1181978763840501</v>
      </c>
      <c r="Z398" s="2">
        <v>4.73719444444444</v>
      </c>
      <c r="AA398" s="2">
        <v>-74.069472222222203</v>
      </c>
      <c r="AB398" s="2">
        <v>2555</v>
      </c>
      <c r="AC398" s="2" t="s">
        <v>31</v>
      </c>
      <c r="AD398" s="2" t="s">
        <v>58</v>
      </c>
      <c r="AE398" s="2" t="s">
        <v>33</v>
      </c>
      <c r="AF398" s="2" t="s">
        <v>34</v>
      </c>
      <c r="AG398" s="2" t="s">
        <v>72</v>
      </c>
      <c r="AH398" s="2">
        <v>0.181355729411696</v>
      </c>
      <c r="AI398" s="2">
        <v>3.8000871428898502</v>
      </c>
      <c r="AJ398" s="2">
        <v>3.0425345884331398</v>
      </c>
      <c r="AK398" s="2">
        <v>0.160156340775086</v>
      </c>
      <c r="AL398" s="2">
        <v>9.3733106526474597E-3</v>
      </c>
      <c r="AM398" s="2">
        <v>15.3</v>
      </c>
      <c r="AN398" s="2">
        <v>9.8000000000000007</v>
      </c>
      <c r="AO398" s="2">
        <v>29.7</v>
      </c>
      <c r="AP398" s="2">
        <v>564</v>
      </c>
      <c r="AQ398" s="2">
        <v>68</v>
      </c>
      <c r="AR398" s="2">
        <v>1.8</v>
      </c>
      <c r="AS398" s="2">
        <v>43</v>
      </c>
      <c r="AT398" s="2">
        <v>25.4</v>
      </c>
      <c r="AU398" s="2">
        <v>162</v>
      </c>
      <c r="AV398" s="2">
        <v>9.1</v>
      </c>
      <c r="AW398" s="2">
        <v>9.1999999999999993</v>
      </c>
      <c r="AX398" s="2">
        <v>18.3</v>
      </c>
      <c r="AY398" s="2">
        <v>0.34</v>
      </c>
      <c r="AZ398" s="2">
        <v>7.3</v>
      </c>
      <c r="BA398" s="2">
        <v>0.9</v>
      </c>
      <c r="BB398" s="2">
        <v>7.5</v>
      </c>
      <c r="BC398" s="2">
        <v>2.9</v>
      </c>
      <c r="BD398" s="2">
        <f>+AN398*EXP(-0.0495*Y398)</f>
        <v>8.8244968832315607</v>
      </c>
      <c r="BE398" s="2">
        <f>+AO398*EXP(-0.024*Y398)</f>
        <v>28.227884368097918</v>
      </c>
    </row>
    <row r="399" spans="1:57" x14ac:dyDescent="0.2">
      <c r="A399" s="2" t="s">
        <v>4388</v>
      </c>
      <c r="B399" s="2" t="s">
        <v>19</v>
      </c>
      <c r="C399" s="2" t="s">
        <v>3245</v>
      </c>
      <c r="D399" s="2" t="s">
        <v>21</v>
      </c>
      <c r="E399" s="2" t="s">
        <v>24</v>
      </c>
      <c r="F399" s="2">
        <v>4</v>
      </c>
      <c r="G399" s="2">
        <v>54.54</v>
      </c>
      <c r="H399" s="2">
        <v>1</v>
      </c>
      <c r="I399" s="2">
        <v>2</v>
      </c>
      <c r="J399" s="2">
        <v>2</v>
      </c>
      <c r="K399" s="2" t="s">
        <v>61</v>
      </c>
      <c r="L399" s="6" t="s">
        <v>75</v>
      </c>
      <c r="M399" s="5">
        <v>560000000</v>
      </c>
      <c r="N399" s="2">
        <v>0</v>
      </c>
      <c r="O399" s="2">
        <v>4.7388925549999996</v>
      </c>
      <c r="P399" s="2">
        <v>-74.060836789999996</v>
      </c>
      <c r="Q399" s="2" t="s">
        <v>4389</v>
      </c>
      <c r="R399" s="2">
        <v>10267693.439999999</v>
      </c>
      <c r="S399" s="2">
        <v>0</v>
      </c>
      <c r="T399" s="2" t="s">
        <v>68</v>
      </c>
      <c r="U399" s="2" t="s">
        <v>69</v>
      </c>
      <c r="V399" s="2" t="s">
        <v>28</v>
      </c>
      <c r="W399" s="2" t="s">
        <v>70</v>
      </c>
      <c r="X399" s="2" t="s">
        <v>71</v>
      </c>
      <c r="Y399" s="2">
        <v>0.97647873695868503</v>
      </c>
      <c r="Z399" s="2">
        <v>4.73719444444444</v>
      </c>
      <c r="AA399" s="2">
        <v>-74.069472222222203</v>
      </c>
      <c r="AB399" s="2">
        <v>2555</v>
      </c>
      <c r="AC399" s="2" t="s">
        <v>31</v>
      </c>
      <c r="AD399" s="2" t="s">
        <v>58</v>
      </c>
      <c r="AE399" s="2" t="s">
        <v>33</v>
      </c>
      <c r="AF399" s="2" t="s">
        <v>34</v>
      </c>
      <c r="AG399" s="2" t="s">
        <v>72</v>
      </c>
      <c r="AH399" s="2">
        <v>1.3723472139392601</v>
      </c>
      <c r="AI399" s="2">
        <v>4.3607582812677297</v>
      </c>
      <c r="AJ399" s="2">
        <v>1.79547614378135</v>
      </c>
      <c r="AK399" s="2">
        <v>0.43791235941239798</v>
      </c>
      <c r="AL399" s="2">
        <v>0.29198930718934202</v>
      </c>
      <c r="AM399" s="2">
        <v>15.3</v>
      </c>
      <c r="AN399" s="2">
        <v>9.8000000000000007</v>
      </c>
      <c r="AO399" s="2">
        <v>29.7</v>
      </c>
      <c r="AP399" s="2">
        <v>564</v>
      </c>
      <c r="AQ399" s="2">
        <v>68</v>
      </c>
      <c r="AR399" s="2">
        <v>1.8</v>
      </c>
      <c r="AS399" s="2">
        <v>43</v>
      </c>
      <c r="AT399" s="2">
        <v>25.4</v>
      </c>
      <c r="AU399" s="2">
        <v>162</v>
      </c>
      <c r="AV399" s="2">
        <v>9.1</v>
      </c>
      <c r="AW399" s="2">
        <v>9.1999999999999993</v>
      </c>
      <c r="AX399" s="2">
        <v>18.3</v>
      </c>
      <c r="AY399" s="2">
        <v>0.34</v>
      </c>
      <c r="AZ399" s="2">
        <v>7.3</v>
      </c>
      <c r="BA399" s="2">
        <v>0.9</v>
      </c>
      <c r="BB399" s="2">
        <v>7.5</v>
      </c>
      <c r="BC399" s="2">
        <v>2.9</v>
      </c>
      <c r="BD399" s="2">
        <f>+AN399*EXP(-0.0495*Y399)</f>
        <v>9.3375759864390204</v>
      </c>
      <c r="BE399" s="2">
        <f>+AO399*EXP(-0.024*Y399)</f>
        <v>29.012058564276462</v>
      </c>
    </row>
    <row r="400" spans="1:57" x14ac:dyDescent="0.2">
      <c r="A400" s="2" t="s">
        <v>109</v>
      </c>
      <c r="B400" s="2" t="s">
        <v>19</v>
      </c>
      <c r="C400" s="2" t="s">
        <v>20</v>
      </c>
      <c r="D400" s="2" t="s">
        <v>21</v>
      </c>
      <c r="E400" s="2" t="s">
        <v>107</v>
      </c>
      <c r="F400" s="2">
        <v>3</v>
      </c>
      <c r="G400" s="2">
        <v>54</v>
      </c>
      <c r="H400" s="2">
        <v>2</v>
      </c>
      <c r="I400" s="2">
        <v>2</v>
      </c>
      <c r="J400" s="2">
        <v>1</v>
      </c>
      <c r="K400" s="2" t="s">
        <v>61</v>
      </c>
      <c r="L400" s="6" t="s">
        <v>62</v>
      </c>
      <c r="M400" s="5">
        <v>354000000</v>
      </c>
      <c r="N400" s="2">
        <v>0</v>
      </c>
      <c r="O400" s="2">
        <v>4.7629349999999997</v>
      </c>
      <c r="P400" s="2">
        <v>-74.029071999999999</v>
      </c>
      <c r="Q400" s="2" t="s">
        <v>110</v>
      </c>
      <c r="R400" s="2">
        <v>6555555.5559999999</v>
      </c>
      <c r="S400" s="2">
        <v>0</v>
      </c>
      <c r="T400" s="2" t="s">
        <v>102</v>
      </c>
      <c r="U400" s="2" t="s">
        <v>103</v>
      </c>
      <c r="V400" s="2" t="s">
        <v>28</v>
      </c>
      <c r="W400" s="2" t="s">
        <v>70</v>
      </c>
      <c r="X400" s="2" t="s">
        <v>104</v>
      </c>
      <c r="Y400" s="2">
        <v>2.85703896856741</v>
      </c>
      <c r="Z400" s="2">
        <v>4.7837500000000004</v>
      </c>
      <c r="AA400" s="2">
        <v>-74.044138888888895</v>
      </c>
      <c r="AB400" s="2">
        <v>2580</v>
      </c>
      <c r="AC400" s="2" t="s">
        <v>105</v>
      </c>
      <c r="AD400" s="2" t="s">
        <v>58</v>
      </c>
      <c r="AE400" s="2" t="s">
        <v>33</v>
      </c>
      <c r="AF400" s="2" t="s">
        <v>34</v>
      </c>
      <c r="AG400" s="2" t="s">
        <v>59</v>
      </c>
      <c r="AH400" s="2">
        <v>1.70479232774987</v>
      </c>
      <c r="AI400" s="2">
        <v>0.74397525041034696</v>
      </c>
      <c r="AJ400" s="2">
        <v>1.3342699217149601</v>
      </c>
      <c r="AK400" s="2">
        <v>1.27721936378329E-2</v>
      </c>
      <c r="AL400" s="2">
        <v>7.5070334429215898E-3</v>
      </c>
      <c r="AM400" s="2">
        <v>15.3</v>
      </c>
      <c r="AN400" s="2">
        <v>9.8000000000000007</v>
      </c>
      <c r="AO400" s="2">
        <v>29.7</v>
      </c>
      <c r="AP400" s="2">
        <v>564</v>
      </c>
      <c r="AQ400" s="2">
        <v>68</v>
      </c>
      <c r="AR400" s="2">
        <v>1.8</v>
      </c>
      <c r="AS400" s="2">
        <v>43</v>
      </c>
      <c r="AT400" s="2">
        <v>25.4</v>
      </c>
      <c r="AU400" s="2">
        <v>162</v>
      </c>
      <c r="AV400" s="2">
        <v>9.1</v>
      </c>
      <c r="AW400" s="2">
        <v>9.1999999999999993</v>
      </c>
      <c r="AX400" s="2">
        <v>18.3</v>
      </c>
      <c r="AY400" s="2">
        <v>0.34</v>
      </c>
      <c r="AZ400" s="2">
        <v>7.3</v>
      </c>
      <c r="BA400" s="2">
        <v>0.9</v>
      </c>
      <c r="BB400" s="2">
        <v>7.5</v>
      </c>
      <c r="BC400" s="2">
        <v>2.9</v>
      </c>
      <c r="BD400" s="2">
        <f>+AN400*EXP(-0.0495*Y400)</f>
        <v>8.50759213110479</v>
      </c>
      <c r="BE400" s="2">
        <f>+AO400*EXP(-0.024*Y400)</f>
        <v>27.731754003907845</v>
      </c>
    </row>
    <row r="401" spans="1:57" x14ac:dyDescent="0.2">
      <c r="A401" s="2" t="s">
        <v>1072</v>
      </c>
      <c r="B401" s="2" t="s">
        <v>19</v>
      </c>
      <c r="C401" s="2" t="s">
        <v>20</v>
      </c>
      <c r="D401" s="2" t="s">
        <v>21</v>
      </c>
      <c r="E401" s="2" t="s">
        <v>1073</v>
      </c>
      <c r="F401" s="2">
        <v>4</v>
      </c>
      <c r="G401" s="2">
        <v>53</v>
      </c>
      <c r="H401" s="2">
        <v>1</v>
      </c>
      <c r="I401" s="2">
        <v>1</v>
      </c>
      <c r="J401" s="2">
        <v>1</v>
      </c>
      <c r="K401" s="2" t="s">
        <v>61</v>
      </c>
      <c r="L401" s="6" t="s">
        <v>62</v>
      </c>
      <c r="M401" s="5">
        <v>445000000</v>
      </c>
      <c r="N401" s="2">
        <v>0</v>
      </c>
      <c r="O401" s="2">
        <v>4.7385010000000003</v>
      </c>
      <c r="P401" s="2">
        <v>-74.067154000000002</v>
      </c>
      <c r="Q401" s="2" t="s">
        <v>1074</v>
      </c>
      <c r="R401" s="2">
        <v>8396226.4149999991</v>
      </c>
      <c r="S401" s="2">
        <v>0</v>
      </c>
      <c r="T401" s="2" t="s">
        <v>68</v>
      </c>
      <c r="U401" s="2" t="s">
        <v>69</v>
      </c>
      <c r="V401" s="2" t="s">
        <v>28</v>
      </c>
      <c r="W401" s="2" t="s">
        <v>70</v>
      </c>
      <c r="X401" s="2" t="s">
        <v>71</v>
      </c>
      <c r="Y401" s="2">
        <v>0.29546000452207699</v>
      </c>
      <c r="Z401" s="2">
        <v>4.73719444444444</v>
      </c>
      <c r="AA401" s="2">
        <v>-74.069472222222203</v>
      </c>
      <c r="AB401" s="2">
        <v>2555</v>
      </c>
      <c r="AC401" s="2" t="s">
        <v>31</v>
      </c>
      <c r="AD401" s="2" t="s">
        <v>58</v>
      </c>
      <c r="AE401" s="2" t="s">
        <v>33</v>
      </c>
      <c r="AF401" s="2" t="s">
        <v>34</v>
      </c>
      <c r="AG401" s="2" t="s">
        <v>72</v>
      </c>
      <c r="AH401" s="2">
        <v>1.48130146463921</v>
      </c>
      <c r="AI401" s="2">
        <v>5.0479273578566701</v>
      </c>
      <c r="AJ401" s="2">
        <v>2.2347131362632302</v>
      </c>
      <c r="AK401" s="2">
        <v>0.204720092373325</v>
      </c>
      <c r="AL401" s="2">
        <v>0.118739559216227</v>
      </c>
      <c r="AM401" s="2">
        <v>15.3</v>
      </c>
      <c r="AN401" s="2">
        <v>9.8000000000000007</v>
      </c>
      <c r="AO401" s="2">
        <v>29.7</v>
      </c>
      <c r="AP401" s="2">
        <v>564</v>
      </c>
      <c r="AQ401" s="2">
        <v>68</v>
      </c>
      <c r="AR401" s="2">
        <v>1.8</v>
      </c>
      <c r="AS401" s="2">
        <v>43</v>
      </c>
      <c r="AT401" s="2">
        <v>25.4</v>
      </c>
      <c r="AU401" s="2">
        <v>162</v>
      </c>
      <c r="AV401" s="2">
        <v>9.1</v>
      </c>
      <c r="AW401" s="2">
        <v>9.1999999999999993</v>
      </c>
      <c r="AX401" s="2">
        <v>18.3</v>
      </c>
      <c r="AY401" s="2">
        <v>0.34</v>
      </c>
      <c r="AZ401" s="2">
        <v>7.3</v>
      </c>
      <c r="BA401" s="2">
        <v>0.9</v>
      </c>
      <c r="BB401" s="2">
        <v>7.5</v>
      </c>
      <c r="BC401" s="2">
        <v>2.9</v>
      </c>
      <c r="BD401" s="2">
        <f>+AN401*EXP(-0.0495*Y401)</f>
        <v>9.6577153636312989</v>
      </c>
      <c r="BE401" s="2">
        <f>+AO401*EXP(-0.024*Y401)</f>
        <v>29.490141047260281</v>
      </c>
    </row>
    <row r="402" spans="1:57" x14ac:dyDescent="0.2">
      <c r="A402" s="2" t="s">
        <v>111</v>
      </c>
      <c r="B402" s="2" t="s">
        <v>19</v>
      </c>
      <c r="C402" s="2" t="s">
        <v>20</v>
      </c>
      <c r="D402" s="2" t="s">
        <v>21</v>
      </c>
      <c r="E402" s="2" t="s">
        <v>112</v>
      </c>
      <c r="F402" s="2">
        <v>3</v>
      </c>
      <c r="G402" s="2">
        <v>52</v>
      </c>
      <c r="H402" s="2">
        <v>2</v>
      </c>
      <c r="I402" s="2">
        <v>2</v>
      </c>
      <c r="J402" s="2">
        <v>1</v>
      </c>
      <c r="K402" s="2" t="s">
        <v>61</v>
      </c>
      <c r="L402" s="6" t="s">
        <v>113</v>
      </c>
      <c r="M402" s="5">
        <v>340000000</v>
      </c>
      <c r="N402" s="2">
        <v>0</v>
      </c>
      <c r="O402" s="2">
        <v>4.7188536000000001</v>
      </c>
      <c r="P402" s="2">
        <v>-74.061131200000005</v>
      </c>
      <c r="Q402" s="2" t="s">
        <v>114</v>
      </c>
      <c r="R402" s="2">
        <v>6538461.5379999997</v>
      </c>
      <c r="S402" s="2">
        <v>0</v>
      </c>
      <c r="T402" s="2" t="s">
        <v>68</v>
      </c>
      <c r="U402" s="2" t="s">
        <v>69</v>
      </c>
      <c r="V402" s="2" t="s">
        <v>28</v>
      </c>
      <c r="W402" s="2" t="s">
        <v>70</v>
      </c>
      <c r="X402" s="2" t="s">
        <v>71</v>
      </c>
      <c r="Y402" s="2">
        <v>2.2416068027008</v>
      </c>
      <c r="Z402" s="2">
        <v>4.73719444444444</v>
      </c>
      <c r="AA402" s="2">
        <v>-74.069472222222203</v>
      </c>
      <c r="AB402" s="2">
        <v>2555</v>
      </c>
      <c r="AC402" s="2" t="s">
        <v>31</v>
      </c>
      <c r="AD402" s="2" t="s">
        <v>58</v>
      </c>
      <c r="AE402" s="2" t="s">
        <v>33</v>
      </c>
      <c r="AF402" s="2" t="s">
        <v>34</v>
      </c>
      <c r="AG402" s="2" t="s">
        <v>72</v>
      </c>
      <c r="AH402" s="2">
        <v>1.06245131389201</v>
      </c>
      <c r="AI402" s="2">
        <v>4.0996083039081803</v>
      </c>
      <c r="AJ402" s="2">
        <v>1.16166016243165</v>
      </c>
      <c r="AK402" s="2">
        <v>0.45296033678883102</v>
      </c>
      <c r="AL402" s="2">
        <v>2.19531486655563E-2</v>
      </c>
      <c r="AM402" s="2">
        <v>15.3</v>
      </c>
      <c r="AN402" s="2">
        <v>9.8000000000000007</v>
      </c>
      <c r="AO402" s="2">
        <v>29.7</v>
      </c>
      <c r="AP402" s="2">
        <v>564</v>
      </c>
      <c r="AQ402" s="2">
        <v>68</v>
      </c>
      <c r="AR402" s="2">
        <v>1.8</v>
      </c>
      <c r="AS402" s="2">
        <v>43</v>
      </c>
      <c r="AT402" s="2">
        <v>25.4</v>
      </c>
      <c r="AU402" s="2">
        <v>162</v>
      </c>
      <c r="AV402" s="2">
        <v>9.1</v>
      </c>
      <c r="AW402" s="2">
        <v>9.1999999999999993</v>
      </c>
      <c r="AX402" s="2">
        <v>18.3</v>
      </c>
      <c r="AY402" s="2">
        <v>0.34</v>
      </c>
      <c r="AZ402" s="2">
        <v>7.3</v>
      </c>
      <c r="BA402" s="2">
        <v>0.9</v>
      </c>
      <c r="BB402" s="2">
        <v>7.5</v>
      </c>
      <c r="BC402" s="2">
        <v>2.9</v>
      </c>
      <c r="BD402" s="2">
        <f>+AN402*EXP(-0.0495*Y402)</f>
        <v>8.7707546257046918</v>
      </c>
      <c r="BE402" s="2">
        <f>+AO402*EXP(-0.024*Y402)</f>
        <v>28.144402308652111</v>
      </c>
    </row>
    <row r="403" spans="1:57" x14ac:dyDescent="0.2">
      <c r="A403" s="2" t="s">
        <v>1288</v>
      </c>
      <c r="B403" s="2" t="s">
        <v>19</v>
      </c>
      <c r="C403" s="2" t="s">
        <v>20</v>
      </c>
      <c r="D403" s="2" t="s">
        <v>21</v>
      </c>
      <c r="E403" s="2" t="s">
        <v>1289</v>
      </c>
      <c r="F403" s="2">
        <v>4</v>
      </c>
      <c r="G403" s="2">
        <v>52</v>
      </c>
      <c r="H403" s="2">
        <v>3</v>
      </c>
      <c r="I403" s="2">
        <v>2</v>
      </c>
      <c r="J403" s="2">
        <v>0</v>
      </c>
      <c r="K403" s="2" t="s">
        <v>61</v>
      </c>
      <c r="L403" s="6" t="s">
        <v>75</v>
      </c>
      <c r="M403" s="5">
        <v>241500000</v>
      </c>
      <c r="N403" s="2">
        <v>0</v>
      </c>
      <c r="O403" s="2">
        <v>4.7672324000000001</v>
      </c>
      <c r="P403" s="2">
        <v>-74.032026200000004</v>
      </c>
      <c r="Q403" s="2" t="s">
        <v>1290</v>
      </c>
      <c r="R403" s="2">
        <v>4644230.7690000003</v>
      </c>
      <c r="S403" s="2">
        <v>0</v>
      </c>
      <c r="T403" s="2" t="s">
        <v>102</v>
      </c>
      <c r="U403" s="2" t="s">
        <v>103</v>
      </c>
      <c r="V403" s="2" t="s">
        <v>28</v>
      </c>
      <c r="W403" s="2" t="s">
        <v>70</v>
      </c>
      <c r="X403" s="2" t="s">
        <v>104</v>
      </c>
      <c r="Y403" s="2">
        <v>2.2773787824497602</v>
      </c>
      <c r="Z403" s="2">
        <v>4.7837500000000004</v>
      </c>
      <c r="AA403" s="2">
        <v>-74.044138888888895</v>
      </c>
      <c r="AB403" s="2">
        <v>2580</v>
      </c>
      <c r="AC403" s="2" t="s">
        <v>105</v>
      </c>
      <c r="AD403" s="2" t="s">
        <v>58</v>
      </c>
      <c r="AE403" s="2" t="s">
        <v>33</v>
      </c>
      <c r="AF403" s="2" t="s">
        <v>34</v>
      </c>
      <c r="AG403" s="2" t="s">
        <v>59</v>
      </c>
      <c r="AH403" s="2">
        <v>1.2920492412919999</v>
      </c>
      <c r="AI403" s="2">
        <v>1.00769279014179</v>
      </c>
      <c r="AJ403" s="2">
        <v>1.8055643667735699</v>
      </c>
      <c r="AK403" s="2">
        <v>0.20557958589952199</v>
      </c>
      <c r="AL403" s="2">
        <v>0.265267075013772</v>
      </c>
      <c r="AM403" s="2">
        <v>15.3</v>
      </c>
      <c r="AN403" s="2">
        <v>9.8000000000000007</v>
      </c>
      <c r="AO403" s="2">
        <v>29.7</v>
      </c>
      <c r="AP403" s="2">
        <v>564</v>
      </c>
      <c r="AQ403" s="2">
        <v>68</v>
      </c>
      <c r="AR403" s="2">
        <v>1.8</v>
      </c>
      <c r="AS403" s="2">
        <v>43</v>
      </c>
      <c r="AT403" s="2">
        <v>25.4</v>
      </c>
      <c r="AU403" s="2">
        <v>162</v>
      </c>
      <c r="AV403" s="2">
        <v>9.1</v>
      </c>
      <c r="AW403" s="2">
        <v>9.1999999999999993</v>
      </c>
      <c r="AX403" s="2">
        <v>18.3</v>
      </c>
      <c r="AY403" s="2">
        <v>0.34</v>
      </c>
      <c r="AZ403" s="2">
        <v>7.3</v>
      </c>
      <c r="BA403" s="2">
        <v>0.9</v>
      </c>
      <c r="BB403" s="2">
        <v>7.5</v>
      </c>
      <c r="BC403" s="2">
        <v>2.9</v>
      </c>
      <c r="BD403" s="2">
        <f>+AN403*EXP(-0.0495*Y403)</f>
        <v>8.7552378783977947</v>
      </c>
      <c r="BE403" s="2">
        <f>+AO403*EXP(-0.024*Y403)</f>
        <v>28.120249934128278</v>
      </c>
    </row>
    <row r="404" spans="1:57" x14ac:dyDescent="0.2">
      <c r="A404" s="2" t="s">
        <v>1376</v>
      </c>
      <c r="B404" s="2" t="s">
        <v>19</v>
      </c>
      <c r="C404" s="2" t="s">
        <v>20</v>
      </c>
      <c r="D404" s="2" t="s">
        <v>21</v>
      </c>
      <c r="E404" s="2" t="s">
        <v>1377</v>
      </c>
      <c r="F404" s="2">
        <v>3</v>
      </c>
      <c r="G404" s="2">
        <v>52</v>
      </c>
      <c r="H404" s="2">
        <v>3</v>
      </c>
      <c r="I404" s="2">
        <v>2</v>
      </c>
      <c r="J404" s="2">
        <v>0</v>
      </c>
      <c r="K404" s="2" t="s">
        <v>61</v>
      </c>
      <c r="L404" s="6" t="s">
        <v>113</v>
      </c>
      <c r="M404" s="5">
        <v>240000000</v>
      </c>
      <c r="N404" s="2">
        <v>0</v>
      </c>
      <c r="O404" s="2">
        <v>4.759172038</v>
      </c>
      <c r="P404" s="2">
        <v>-74.037833539999994</v>
      </c>
      <c r="Q404" s="2" t="s">
        <v>1378</v>
      </c>
      <c r="R404" s="2">
        <v>4615384.6150000002</v>
      </c>
      <c r="S404" s="2">
        <v>0</v>
      </c>
      <c r="T404" s="2" t="s">
        <v>102</v>
      </c>
      <c r="U404" s="2" t="s">
        <v>103</v>
      </c>
      <c r="V404" s="2" t="s">
        <v>28</v>
      </c>
      <c r="W404" s="2" t="s">
        <v>70</v>
      </c>
      <c r="X404" s="2" t="s">
        <v>104</v>
      </c>
      <c r="Y404" s="2">
        <v>2.8240035872593698</v>
      </c>
      <c r="Z404" s="2">
        <v>4.7837500000000004</v>
      </c>
      <c r="AA404" s="2">
        <v>-74.044138888888895</v>
      </c>
      <c r="AB404" s="2">
        <v>2580</v>
      </c>
      <c r="AC404" s="2" t="s">
        <v>105</v>
      </c>
      <c r="AD404" s="2" t="s">
        <v>58</v>
      </c>
      <c r="AE404" s="2" t="s">
        <v>33</v>
      </c>
      <c r="AF404" s="2" t="s">
        <v>34</v>
      </c>
      <c r="AG404" s="2" t="s">
        <v>59</v>
      </c>
      <c r="AH404" s="2">
        <v>0.865379137601473</v>
      </c>
      <c r="AI404" s="2">
        <v>1.77068040874538</v>
      </c>
      <c r="AJ404" s="2">
        <v>1.21202618176668</v>
      </c>
      <c r="AK404" s="2">
        <v>0.787099444675742</v>
      </c>
      <c r="AL404" s="2">
        <v>0.14214680796952001</v>
      </c>
      <c r="AM404" s="2">
        <v>15.3</v>
      </c>
      <c r="AN404" s="2">
        <v>9.8000000000000007</v>
      </c>
      <c r="AO404" s="2">
        <v>29.7</v>
      </c>
      <c r="AP404" s="2">
        <v>564</v>
      </c>
      <c r="AQ404" s="2">
        <v>68</v>
      </c>
      <c r="AR404" s="2">
        <v>1.8</v>
      </c>
      <c r="AS404" s="2">
        <v>43</v>
      </c>
      <c r="AT404" s="2">
        <v>25.4</v>
      </c>
      <c r="AU404" s="2">
        <v>162</v>
      </c>
      <c r="AV404" s="2">
        <v>9.1</v>
      </c>
      <c r="AW404" s="2">
        <v>9.1999999999999993</v>
      </c>
      <c r="AX404" s="2">
        <v>18.3</v>
      </c>
      <c r="AY404" s="2">
        <v>0.34</v>
      </c>
      <c r="AZ404" s="2">
        <v>7.3</v>
      </c>
      <c r="BA404" s="2">
        <v>0.9</v>
      </c>
      <c r="BB404" s="2">
        <v>7.5</v>
      </c>
      <c r="BC404" s="2">
        <v>2.9</v>
      </c>
      <c r="BD404" s="2">
        <f>+AN404*EXP(-0.0495*Y404)</f>
        <v>8.5215155638866129</v>
      </c>
      <c r="BE404" s="2">
        <f>+AO404*EXP(-0.024*Y404)</f>
        <v>27.753749820066339</v>
      </c>
    </row>
    <row r="405" spans="1:57" x14ac:dyDescent="0.2">
      <c r="A405" s="2" t="s">
        <v>3997</v>
      </c>
      <c r="B405" s="2" t="s">
        <v>19</v>
      </c>
      <c r="C405" s="2" t="s">
        <v>3245</v>
      </c>
      <c r="D405" s="2" t="s">
        <v>21</v>
      </c>
      <c r="E405" s="2" t="s">
        <v>3998</v>
      </c>
      <c r="F405" s="2">
        <v>4</v>
      </c>
      <c r="G405" s="2">
        <v>50</v>
      </c>
      <c r="H405" s="2">
        <v>2</v>
      </c>
      <c r="I405" s="2">
        <v>1</v>
      </c>
      <c r="J405" s="2">
        <v>2</v>
      </c>
      <c r="K405" s="2" t="s">
        <v>61</v>
      </c>
      <c r="L405" s="6" t="s">
        <v>113</v>
      </c>
      <c r="M405" s="5">
        <v>249500000</v>
      </c>
      <c r="N405" s="2">
        <v>0</v>
      </c>
      <c r="O405" s="2">
        <v>4.732259</v>
      </c>
      <c r="P405" s="2">
        <v>-74.052040000000005</v>
      </c>
      <c r="Q405" s="2" t="s">
        <v>3999</v>
      </c>
      <c r="R405" s="2">
        <v>4990000</v>
      </c>
      <c r="S405" s="2">
        <v>0</v>
      </c>
      <c r="T405" s="2" t="s">
        <v>68</v>
      </c>
      <c r="U405" s="2" t="s">
        <v>69</v>
      </c>
      <c r="V405" s="2" t="s">
        <v>28</v>
      </c>
      <c r="W405" s="2" t="s">
        <v>70</v>
      </c>
      <c r="X405" s="2" t="s">
        <v>71</v>
      </c>
      <c r="Y405" s="2">
        <v>2.0104514223891301</v>
      </c>
      <c r="Z405" s="2">
        <v>4.73719444444444</v>
      </c>
      <c r="AA405" s="2">
        <v>-74.069472222222203</v>
      </c>
      <c r="AB405" s="2">
        <v>2555</v>
      </c>
      <c r="AC405" s="2" t="s">
        <v>31</v>
      </c>
      <c r="AD405" s="2" t="s">
        <v>58</v>
      </c>
      <c r="AE405" s="2" t="s">
        <v>33</v>
      </c>
      <c r="AF405" s="2" t="s">
        <v>34</v>
      </c>
      <c r="AG405" s="2" t="s">
        <v>72</v>
      </c>
      <c r="AH405" s="2">
        <v>0.28968342720957502</v>
      </c>
      <c r="AI405" s="2">
        <v>3.3313514099702299</v>
      </c>
      <c r="AJ405" s="2">
        <v>1.3397428169348</v>
      </c>
      <c r="AK405" s="2">
        <v>0.317655199080697</v>
      </c>
      <c r="AL405" s="2">
        <v>1.0568525483469799E-2</v>
      </c>
      <c r="AM405" s="2">
        <v>15.3</v>
      </c>
      <c r="AN405" s="2">
        <v>9.8000000000000007</v>
      </c>
      <c r="AO405" s="2">
        <v>29.7</v>
      </c>
      <c r="AP405" s="2">
        <v>564</v>
      </c>
      <c r="AQ405" s="2">
        <v>68</v>
      </c>
      <c r="AR405" s="2">
        <v>1.8</v>
      </c>
      <c r="AS405" s="2">
        <v>43</v>
      </c>
      <c r="AT405" s="2">
        <v>25.4</v>
      </c>
      <c r="AU405" s="2">
        <v>162</v>
      </c>
      <c r="AV405" s="2">
        <v>9.1</v>
      </c>
      <c r="AW405" s="2">
        <v>9.1999999999999993</v>
      </c>
      <c r="AX405" s="2">
        <v>18.3</v>
      </c>
      <c r="AY405" s="2">
        <v>0.34</v>
      </c>
      <c r="AZ405" s="2">
        <v>7.3</v>
      </c>
      <c r="BA405" s="2">
        <v>0.9</v>
      </c>
      <c r="BB405" s="2">
        <v>7.5</v>
      </c>
      <c r="BC405" s="2">
        <v>2.9</v>
      </c>
      <c r="BD405" s="2">
        <f>+AN405*EXP(-0.0495*Y405)</f>
        <v>8.8716876243329725</v>
      </c>
      <c r="BE405" s="2">
        <f>+AO405*EXP(-0.024*Y405)</f>
        <v>28.300973735477648</v>
      </c>
    </row>
    <row r="406" spans="1:57" x14ac:dyDescent="0.2">
      <c r="A406" s="2" t="s">
        <v>1090</v>
      </c>
      <c r="B406" s="2" t="s">
        <v>19</v>
      </c>
      <c r="C406" s="2" t="s">
        <v>20</v>
      </c>
      <c r="D406" s="2" t="s">
        <v>21</v>
      </c>
      <c r="E406" s="2" t="s">
        <v>374</v>
      </c>
      <c r="F406" s="2">
        <v>3</v>
      </c>
      <c r="G406" s="2">
        <v>48.4</v>
      </c>
      <c r="H406" s="2">
        <v>3</v>
      </c>
      <c r="I406" s="2">
        <v>2</v>
      </c>
      <c r="J406" s="2">
        <v>0</v>
      </c>
      <c r="K406" s="2" t="s">
        <v>61</v>
      </c>
      <c r="L406" s="6" t="s">
        <v>113</v>
      </c>
      <c r="M406" s="5">
        <v>210000000</v>
      </c>
      <c r="N406" s="2">
        <v>0</v>
      </c>
      <c r="O406" s="2">
        <v>4.7585040000000003</v>
      </c>
      <c r="P406" s="2">
        <v>-74.036339999999996</v>
      </c>
      <c r="Q406" s="2" t="s">
        <v>1091</v>
      </c>
      <c r="R406" s="2">
        <v>4338842.9749999996</v>
      </c>
      <c r="S406" s="2">
        <v>0</v>
      </c>
      <c r="T406" s="2" t="s">
        <v>102</v>
      </c>
      <c r="U406" s="2" t="s">
        <v>103</v>
      </c>
      <c r="V406" s="2" t="s">
        <v>28</v>
      </c>
      <c r="W406" s="2" t="s">
        <v>70</v>
      </c>
      <c r="X406" s="2" t="s">
        <v>104</v>
      </c>
      <c r="Y406" s="2">
        <v>2.94052578922039</v>
      </c>
      <c r="Z406" s="2">
        <v>4.7837500000000004</v>
      </c>
      <c r="AA406" s="2">
        <v>-74.044138888888895</v>
      </c>
      <c r="AB406" s="2">
        <v>2580</v>
      </c>
      <c r="AC406" s="2" t="s">
        <v>105</v>
      </c>
      <c r="AD406" s="2" t="s">
        <v>58</v>
      </c>
      <c r="AE406" s="2" t="s">
        <v>33</v>
      </c>
      <c r="AF406" s="2" t="s">
        <v>34</v>
      </c>
      <c r="AG406" s="2" t="s">
        <v>59</v>
      </c>
      <c r="AH406" s="2">
        <v>1.04518037578616</v>
      </c>
      <c r="AI406" s="2">
        <v>1.5976592782679799</v>
      </c>
      <c r="AJ406" s="2">
        <v>1.0497043874280501</v>
      </c>
      <c r="AK406" s="2">
        <v>0.91212559968347195</v>
      </c>
      <c r="AL406" s="2">
        <v>0.18910840016316699</v>
      </c>
      <c r="AM406" s="2">
        <v>15.3</v>
      </c>
      <c r="AN406" s="2">
        <v>9.8000000000000007</v>
      </c>
      <c r="AO406" s="2">
        <v>29.7</v>
      </c>
      <c r="AP406" s="2">
        <v>564</v>
      </c>
      <c r="AQ406" s="2">
        <v>68</v>
      </c>
      <c r="AR406" s="2">
        <v>1.8</v>
      </c>
      <c r="AS406" s="2">
        <v>43</v>
      </c>
      <c r="AT406" s="2">
        <v>25.4</v>
      </c>
      <c r="AU406" s="2">
        <v>162</v>
      </c>
      <c r="AV406" s="2">
        <v>9.1</v>
      </c>
      <c r="AW406" s="2">
        <v>9.1999999999999993</v>
      </c>
      <c r="AX406" s="2">
        <v>18.3</v>
      </c>
      <c r="AY406" s="2">
        <v>0.34</v>
      </c>
      <c r="AZ406" s="2">
        <v>7.3</v>
      </c>
      <c r="BA406" s="2">
        <v>0.9</v>
      </c>
      <c r="BB406" s="2">
        <v>7.5</v>
      </c>
      <c r="BC406" s="2">
        <v>2.9</v>
      </c>
      <c r="BD406" s="2">
        <f>+AN406*EXP(-0.0495*Y406)</f>
        <v>8.4725062239943867</v>
      </c>
      <c r="BE406" s="2">
        <f>+AO406*EXP(-0.024*Y406)</f>
        <v>27.676243971402947</v>
      </c>
    </row>
    <row r="407" spans="1:57" x14ac:dyDescent="0.2">
      <c r="A407" s="2" t="s">
        <v>1262</v>
      </c>
      <c r="B407" s="2" t="s">
        <v>19</v>
      </c>
      <c r="C407" s="2" t="s">
        <v>20</v>
      </c>
      <c r="D407" s="2" t="s">
        <v>21</v>
      </c>
      <c r="E407" s="2" t="s">
        <v>1263</v>
      </c>
      <c r="F407" s="2">
        <v>4</v>
      </c>
      <c r="G407" s="2">
        <v>47</v>
      </c>
      <c r="H407" s="2">
        <v>2</v>
      </c>
      <c r="I407" s="2">
        <v>1</v>
      </c>
      <c r="J407" s="2">
        <v>0</v>
      </c>
      <c r="K407" s="2" t="s">
        <v>61</v>
      </c>
      <c r="L407" s="6" t="s">
        <v>113</v>
      </c>
      <c r="M407" s="5">
        <v>222000000</v>
      </c>
      <c r="N407" s="2">
        <v>0</v>
      </c>
      <c r="O407" s="2">
        <v>4.7440768179999999</v>
      </c>
      <c r="P407" s="2">
        <v>-74.042153049999996</v>
      </c>
      <c r="Q407" s="2" t="s">
        <v>1264</v>
      </c>
      <c r="R407" s="2">
        <v>4723404.2549999999</v>
      </c>
      <c r="S407" s="2">
        <v>0</v>
      </c>
      <c r="T407" s="2" t="s">
        <v>68</v>
      </c>
      <c r="U407" s="2" t="s">
        <v>69</v>
      </c>
      <c r="V407" s="2" t="s">
        <v>28</v>
      </c>
      <c r="W407" s="2" t="s">
        <v>70</v>
      </c>
      <c r="X407" s="2" t="s">
        <v>71</v>
      </c>
      <c r="Y407" s="2">
        <v>3.1260894834772301</v>
      </c>
      <c r="Z407" s="2">
        <v>4.73719444444444</v>
      </c>
      <c r="AA407" s="2">
        <v>-74.069472222222203</v>
      </c>
      <c r="AB407" s="2">
        <v>2555</v>
      </c>
      <c r="AC407" s="2" t="s">
        <v>31</v>
      </c>
      <c r="AD407" s="2" t="s">
        <v>58</v>
      </c>
      <c r="AE407" s="2" t="s">
        <v>33</v>
      </c>
      <c r="AF407" s="2" t="s">
        <v>34</v>
      </c>
      <c r="AG407" s="2" t="s">
        <v>59</v>
      </c>
      <c r="AH407" s="2">
        <v>0.61173808117706996</v>
      </c>
      <c r="AI407" s="2">
        <v>2.4651814160045</v>
      </c>
      <c r="AJ407" s="2">
        <v>1.2603375111456201</v>
      </c>
      <c r="AK407" s="2">
        <v>0.181546171651258</v>
      </c>
      <c r="AL407" s="2">
        <v>9.2706663581013204E-2</v>
      </c>
      <c r="AM407" s="2">
        <v>15.3</v>
      </c>
      <c r="AN407" s="2">
        <v>9.8000000000000007</v>
      </c>
      <c r="AO407" s="2">
        <v>29.7</v>
      </c>
      <c r="AP407" s="2">
        <v>564</v>
      </c>
      <c r="AQ407" s="2">
        <v>68</v>
      </c>
      <c r="AR407" s="2">
        <v>1.8</v>
      </c>
      <c r="AS407" s="2">
        <v>43</v>
      </c>
      <c r="AT407" s="2">
        <v>25.4</v>
      </c>
      <c r="AU407" s="2">
        <v>162</v>
      </c>
      <c r="AV407" s="2">
        <v>9.1</v>
      </c>
      <c r="AW407" s="2">
        <v>9.1999999999999993</v>
      </c>
      <c r="AX407" s="2">
        <v>18.3</v>
      </c>
      <c r="AY407" s="2">
        <v>0.34</v>
      </c>
      <c r="AZ407" s="2">
        <v>7.3</v>
      </c>
      <c r="BA407" s="2">
        <v>0.9</v>
      </c>
      <c r="BB407" s="2">
        <v>7.5</v>
      </c>
      <c r="BC407" s="2">
        <v>2.9</v>
      </c>
      <c r="BD407" s="2">
        <f>+AN407*EXP(-0.0495*Y407)</f>
        <v>8.3950391687679549</v>
      </c>
      <c r="BE407" s="2">
        <f>+AO407*EXP(-0.024*Y407)</f>
        <v>27.553261082794251</v>
      </c>
    </row>
    <row r="408" spans="1:57" x14ac:dyDescent="0.2">
      <c r="A408" s="2" t="s">
        <v>1500</v>
      </c>
      <c r="B408" s="2" t="s">
        <v>19</v>
      </c>
      <c r="C408" s="2" t="s">
        <v>20</v>
      </c>
      <c r="D408" s="2" t="s">
        <v>21</v>
      </c>
      <c r="E408" s="2" t="s">
        <v>1501</v>
      </c>
      <c r="F408" s="2">
        <v>3</v>
      </c>
      <c r="G408" s="2">
        <v>47</v>
      </c>
      <c r="H408" s="2">
        <v>3</v>
      </c>
      <c r="I408" s="2">
        <v>1</v>
      </c>
      <c r="J408" s="2">
        <v>0</v>
      </c>
      <c r="K408" s="2" t="s">
        <v>61</v>
      </c>
      <c r="L408" s="6" t="s">
        <v>113</v>
      </c>
      <c r="M408" s="5">
        <v>214000000</v>
      </c>
      <c r="N408" s="2">
        <v>0</v>
      </c>
      <c r="O408" s="2">
        <v>4.753699685</v>
      </c>
      <c r="P408" s="2">
        <v>-74.102633249999997</v>
      </c>
      <c r="Q408" s="2" t="s">
        <v>1502</v>
      </c>
      <c r="R408" s="2">
        <v>4553191.4890000001</v>
      </c>
      <c r="S408" s="2">
        <v>0</v>
      </c>
      <c r="T408" s="2" t="s">
        <v>70</v>
      </c>
      <c r="U408" s="2" t="s">
        <v>738</v>
      </c>
      <c r="V408" s="2" t="s">
        <v>28</v>
      </c>
      <c r="W408" s="2" t="s">
        <v>70</v>
      </c>
      <c r="X408" s="2" t="s">
        <v>739</v>
      </c>
      <c r="Y408" s="2">
        <v>1.3195692135871</v>
      </c>
      <c r="Z408" s="2">
        <v>4.7612472222222202</v>
      </c>
      <c r="AA408" s="2">
        <v>-74.093461111111097</v>
      </c>
      <c r="AB408" s="2">
        <v>2571</v>
      </c>
      <c r="AC408" s="2" t="s">
        <v>105</v>
      </c>
      <c r="AD408" s="2" t="s">
        <v>58</v>
      </c>
      <c r="AE408" s="2" t="s">
        <v>33</v>
      </c>
      <c r="AF408" s="2" t="s">
        <v>34</v>
      </c>
      <c r="AG408" s="2" t="s">
        <v>72</v>
      </c>
      <c r="AH408" s="2">
        <v>1.1986811285207</v>
      </c>
      <c r="AI408" s="2">
        <v>1.5122752400607</v>
      </c>
      <c r="AJ408" s="2">
        <v>5.34432812356334</v>
      </c>
      <c r="AK408" s="2">
        <v>0.59632149020973402</v>
      </c>
      <c r="AL408" s="2">
        <v>1.39573463240951E-2</v>
      </c>
      <c r="AM408" s="2">
        <v>15.3</v>
      </c>
      <c r="AN408" s="2">
        <v>9.8000000000000007</v>
      </c>
      <c r="AO408" s="2">
        <v>29.7</v>
      </c>
      <c r="AP408" s="2">
        <v>564</v>
      </c>
      <c r="AQ408" s="2">
        <v>68</v>
      </c>
      <c r="AR408" s="2">
        <v>1.8</v>
      </c>
      <c r="AS408" s="2">
        <v>43</v>
      </c>
      <c r="AT408" s="2">
        <v>25.4</v>
      </c>
      <c r="AU408" s="2">
        <v>162</v>
      </c>
      <c r="AV408" s="2">
        <v>9.1</v>
      </c>
      <c r="AW408" s="2">
        <v>9.1999999999999993</v>
      </c>
      <c r="AX408" s="2">
        <v>18.3</v>
      </c>
      <c r="AY408" s="2">
        <v>0.34</v>
      </c>
      <c r="AZ408" s="2">
        <v>7.3</v>
      </c>
      <c r="BA408" s="2">
        <v>0.9</v>
      </c>
      <c r="BB408" s="2">
        <v>7.5</v>
      </c>
      <c r="BC408" s="2">
        <v>2.9</v>
      </c>
      <c r="BD408" s="2">
        <f>+AN408*EXP(-0.0495*Y408)</f>
        <v>9.180335121755741</v>
      </c>
      <c r="BE408" s="2">
        <f>+AO408*EXP(-0.024*Y408)</f>
        <v>28.774149137977133</v>
      </c>
    </row>
    <row r="409" spans="1:57" x14ac:dyDescent="0.2">
      <c r="A409" s="2" t="s">
        <v>735</v>
      </c>
      <c r="B409" s="2" t="s">
        <v>19</v>
      </c>
      <c r="C409" s="2" t="s">
        <v>20</v>
      </c>
      <c r="D409" s="2" t="s">
        <v>21</v>
      </c>
      <c r="E409" s="2" t="s">
        <v>736</v>
      </c>
      <c r="F409" s="2">
        <v>4</v>
      </c>
      <c r="G409" s="2">
        <v>45</v>
      </c>
      <c r="H409" s="2">
        <v>2</v>
      </c>
      <c r="I409" s="2">
        <v>1</v>
      </c>
      <c r="J409" s="2">
        <v>1</v>
      </c>
      <c r="K409" s="2" t="s">
        <v>61</v>
      </c>
      <c r="L409" s="6" t="s">
        <v>75</v>
      </c>
      <c r="M409" s="5">
        <v>285000000</v>
      </c>
      <c r="N409" s="2">
        <v>0</v>
      </c>
      <c r="O409" s="2">
        <v>4.7426579999999996</v>
      </c>
      <c r="P409" s="2">
        <v>-74.091909999999999</v>
      </c>
      <c r="Q409" s="2" t="s">
        <v>737</v>
      </c>
      <c r="R409" s="2">
        <v>6333333.3329999996</v>
      </c>
      <c r="S409" s="2">
        <v>0</v>
      </c>
      <c r="T409" s="2" t="s">
        <v>70</v>
      </c>
      <c r="U409" s="2" t="s">
        <v>738</v>
      </c>
      <c r="V409" s="2" t="s">
        <v>28</v>
      </c>
      <c r="W409" s="2" t="s">
        <v>70</v>
      </c>
      <c r="X409" s="2" t="s">
        <v>739</v>
      </c>
      <c r="Y409" s="2">
        <v>2.0764848570944499</v>
      </c>
      <c r="Z409" s="2">
        <v>4.7612472222222202</v>
      </c>
      <c r="AA409" s="2">
        <v>-74.093461111111097</v>
      </c>
      <c r="AB409" s="2">
        <v>2571</v>
      </c>
      <c r="AC409" s="2" t="s">
        <v>105</v>
      </c>
      <c r="AD409" s="2" t="s">
        <v>58</v>
      </c>
      <c r="AE409" s="2" t="s">
        <v>33</v>
      </c>
      <c r="AF409" s="2" t="s">
        <v>34</v>
      </c>
      <c r="AG409" s="2" t="s">
        <v>72</v>
      </c>
      <c r="AH409" s="2">
        <v>7.8614015242118696E-2</v>
      </c>
      <c r="AI409" s="2">
        <v>3.2045942425606699</v>
      </c>
      <c r="AJ409" s="2">
        <v>3.6464099613228802</v>
      </c>
      <c r="AK409" s="2">
        <v>5.85637816404957E-2</v>
      </c>
      <c r="AL409" s="2">
        <v>0.22234802376437701</v>
      </c>
      <c r="AM409" s="2">
        <v>15.3</v>
      </c>
      <c r="AN409" s="2">
        <v>9.8000000000000007</v>
      </c>
      <c r="AO409" s="2">
        <v>29.7</v>
      </c>
      <c r="AP409" s="2">
        <v>564</v>
      </c>
      <c r="AQ409" s="2">
        <v>68</v>
      </c>
      <c r="AR409" s="2">
        <v>1.8</v>
      </c>
      <c r="AS409" s="2">
        <v>43</v>
      </c>
      <c r="AT409" s="2">
        <v>25.4</v>
      </c>
      <c r="AU409" s="2">
        <v>162</v>
      </c>
      <c r="AV409" s="2">
        <v>9.1</v>
      </c>
      <c r="AW409" s="2">
        <v>9.1999999999999993</v>
      </c>
      <c r="AX409" s="2">
        <v>18.3</v>
      </c>
      <c r="AY409" s="2">
        <v>0.34</v>
      </c>
      <c r="AZ409" s="2">
        <v>7.3</v>
      </c>
      <c r="BA409" s="2">
        <v>0.9</v>
      </c>
      <c r="BB409" s="2">
        <v>7.5</v>
      </c>
      <c r="BC409" s="2">
        <v>2.9</v>
      </c>
      <c r="BD409" s="2">
        <f>+AN409*EXP(-0.0495*Y409)</f>
        <v>8.8427364794911867</v>
      </c>
      <c r="BE409" s="2">
        <f>+AO409*EXP(-0.024*Y409)</f>
        <v>28.256157805025218</v>
      </c>
    </row>
    <row r="410" spans="1:57" x14ac:dyDescent="0.2">
      <c r="A410" s="2" t="s">
        <v>2285</v>
      </c>
      <c r="B410" s="2" t="s">
        <v>19</v>
      </c>
      <c r="C410" s="2" t="s">
        <v>1907</v>
      </c>
      <c r="D410" s="2" t="s">
        <v>21</v>
      </c>
      <c r="E410" s="2" t="s">
        <v>2286</v>
      </c>
      <c r="F410" s="2">
        <v>3</v>
      </c>
      <c r="G410" s="2">
        <v>44</v>
      </c>
      <c r="H410" s="2">
        <v>3</v>
      </c>
      <c r="I410" s="2">
        <v>2</v>
      </c>
      <c r="J410" s="2">
        <v>0</v>
      </c>
      <c r="K410" s="2" t="s">
        <v>61</v>
      </c>
      <c r="L410" s="6" t="s">
        <v>75</v>
      </c>
      <c r="M410" s="5">
        <v>270000000</v>
      </c>
      <c r="N410" s="2">
        <v>0</v>
      </c>
      <c r="O410" s="2">
        <v>4.750227894</v>
      </c>
      <c r="P410" s="2">
        <v>-74.088519559999995</v>
      </c>
      <c r="Q410" s="2" t="s">
        <v>2287</v>
      </c>
      <c r="R410" s="2">
        <v>6136363.6359999999</v>
      </c>
      <c r="S410" s="2">
        <v>0</v>
      </c>
      <c r="T410" s="2" t="s">
        <v>70</v>
      </c>
      <c r="U410" s="2" t="s">
        <v>738</v>
      </c>
      <c r="V410" s="2" t="s">
        <v>28</v>
      </c>
      <c r="W410" s="2" t="s">
        <v>70</v>
      </c>
      <c r="X410" s="2" t="s">
        <v>739</v>
      </c>
      <c r="Y410" s="2">
        <v>1.34358831292186</v>
      </c>
      <c r="Z410" s="2">
        <v>4.7612472222222202</v>
      </c>
      <c r="AA410" s="2">
        <v>-74.093461111111097</v>
      </c>
      <c r="AB410" s="2">
        <v>2571</v>
      </c>
      <c r="AC410" s="2" t="s">
        <v>105</v>
      </c>
      <c r="AD410" s="2" t="s">
        <v>58</v>
      </c>
      <c r="AE410" s="2" t="s">
        <v>33</v>
      </c>
      <c r="AF410" s="2" t="s">
        <v>34</v>
      </c>
      <c r="AG410" s="2" t="s">
        <v>72</v>
      </c>
      <c r="AH410" s="2">
        <v>0.74161496748303601</v>
      </c>
      <c r="AI410" s="2">
        <v>3.0643898147884601</v>
      </c>
      <c r="AJ410" s="2">
        <v>3.89804469141079</v>
      </c>
      <c r="AK410" s="2">
        <v>0.49200707238084701</v>
      </c>
      <c r="AL410" s="2">
        <v>8.0551219252900097E-2</v>
      </c>
      <c r="AM410" s="2">
        <v>15.3</v>
      </c>
      <c r="AN410" s="2">
        <v>9.8000000000000007</v>
      </c>
      <c r="AO410" s="2">
        <v>29.7</v>
      </c>
      <c r="AP410" s="2">
        <v>564</v>
      </c>
      <c r="AQ410" s="2">
        <v>68</v>
      </c>
      <c r="AR410" s="2">
        <v>1.8</v>
      </c>
      <c r="AS410" s="2">
        <v>43</v>
      </c>
      <c r="AT410" s="2">
        <v>25.4</v>
      </c>
      <c r="AU410" s="2">
        <v>162</v>
      </c>
      <c r="AV410" s="2">
        <v>9.1</v>
      </c>
      <c r="AW410" s="2">
        <v>9.1999999999999993</v>
      </c>
      <c r="AX410" s="2">
        <v>18.3</v>
      </c>
      <c r="AY410" s="2">
        <v>0.34</v>
      </c>
      <c r="AZ410" s="2">
        <v>7.3</v>
      </c>
      <c r="BA410" s="2">
        <v>0.9</v>
      </c>
      <c r="BB410" s="2">
        <v>7.5</v>
      </c>
      <c r="BC410" s="2">
        <v>2.9</v>
      </c>
      <c r="BD410" s="2">
        <f>+AN410*EXP(-0.0495*Y410)</f>
        <v>9.1694266904352748</v>
      </c>
      <c r="BE410" s="2">
        <f>+AO410*EXP(-0.024*Y410)</f>
        <v>28.75756681843086</v>
      </c>
    </row>
    <row r="411" spans="1:57" x14ac:dyDescent="0.2">
      <c r="A411" s="2" t="s">
        <v>749</v>
      </c>
      <c r="B411" s="2" t="s">
        <v>19</v>
      </c>
      <c r="C411" s="2" t="s">
        <v>20</v>
      </c>
      <c r="D411" s="2" t="s">
        <v>21</v>
      </c>
      <c r="E411" s="2" t="s">
        <v>493</v>
      </c>
      <c r="F411" s="2">
        <v>3</v>
      </c>
      <c r="G411" s="2">
        <v>44</v>
      </c>
      <c r="H411" s="2">
        <v>2</v>
      </c>
      <c r="I411" s="2">
        <v>1</v>
      </c>
      <c r="J411" s="2">
        <v>0</v>
      </c>
      <c r="K411" s="2" t="s">
        <v>61</v>
      </c>
      <c r="L411" s="6" t="s">
        <v>75</v>
      </c>
      <c r="M411" s="5">
        <v>215000000</v>
      </c>
      <c r="N411" s="2">
        <v>0</v>
      </c>
      <c r="O411" s="2">
        <v>4.7309313</v>
      </c>
      <c r="P411" s="2">
        <v>-74.086555000000004</v>
      </c>
      <c r="Q411" s="2" t="s">
        <v>750</v>
      </c>
      <c r="R411" s="2">
        <v>4886363.6359999999</v>
      </c>
      <c r="S411" s="2">
        <v>0</v>
      </c>
      <c r="T411" s="2" t="s">
        <v>68</v>
      </c>
      <c r="U411" s="2" t="s">
        <v>69</v>
      </c>
      <c r="V411" s="2" t="s">
        <v>28</v>
      </c>
      <c r="W411" s="2" t="s">
        <v>70</v>
      </c>
      <c r="X411" s="2" t="s">
        <v>71</v>
      </c>
      <c r="Y411" s="2">
        <v>2.01933854779546</v>
      </c>
      <c r="Z411" s="2">
        <v>4.73719444444444</v>
      </c>
      <c r="AA411" s="2">
        <v>-74.069472222222203</v>
      </c>
      <c r="AB411" s="2">
        <v>2555</v>
      </c>
      <c r="AC411" s="2" t="s">
        <v>31</v>
      </c>
      <c r="AD411" s="2" t="s">
        <v>58</v>
      </c>
      <c r="AE411" s="2" t="s">
        <v>33</v>
      </c>
      <c r="AF411" s="2" t="s">
        <v>34</v>
      </c>
      <c r="AG411" s="2" t="s">
        <v>72</v>
      </c>
      <c r="AH411" s="2">
        <v>0.79812887166351598</v>
      </c>
      <c r="AI411" s="2">
        <v>4.2569654499351604</v>
      </c>
      <c r="AJ411" s="2">
        <v>2.2887322690801502</v>
      </c>
      <c r="AK411" s="2">
        <v>0.12646318150873001</v>
      </c>
      <c r="AL411" s="2">
        <v>4.1828335790849602E-2</v>
      </c>
      <c r="AM411" s="2">
        <v>15.3</v>
      </c>
      <c r="AN411" s="2">
        <v>9.8000000000000007</v>
      </c>
      <c r="AO411" s="2">
        <v>29.7</v>
      </c>
      <c r="AP411" s="2">
        <v>564</v>
      </c>
      <c r="AQ411" s="2">
        <v>68</v>
      </c>
      <c r="AR411" s="2">
        <v>1.8</v>
      </c>
      <c r="AS411" s="2">
        <v>43</v>
      </c>
      <c r="AT411" s="2">
        <v>25.4</v>
      </c>
      <c r="AU411" s="2">
        <v>162</v>
      </c>
      <c r="AV411" s="2">
        <v>9.1</v>
      </c>
      <c r="AW411" s="2">
        <v>9.1999999999999993</v>
      </c>
      <c r="AX411" s="2">
        <v>18.3</v>
      </c>
      <c r="AY411" s="2">
        <v>0.34</v>
      </c>
      <c r="AZ411" s="2">
        <v>7.3</v>
      </c>
      <c r="BA411" s="2">
        <v>0.9</v>
      </c>
      <c r="BB411" s="2">
        <v>7.5</v>
      </c>
      <c r="BC411" s="2">
        <v>2.9</v>
      </c>
      <c r="BD411" s="2">
        <f>+AN411*EXP(-0.0495*Y411)</f>
        <v>8.8677857145218333</v>
      </c>
      <c r="BE411" s="2">
        <f>+AO411*EXP(-0.024*Y411)</f>
        <v>28.294938035915756</v>
      </c>
    </row>
    <row r="412" spans="1:57" x14ac:dyDescent="0.2">
      <c r="A412" s="2" t="s">
        <v>1252</v>
      </c>
      <c r="B412" s="2" t="s">
        <v>19</v>
      </c>
      <c r="C412" s="2" t="s">
        <v>20</v>
      </c>
      <c r="D412" s="2" t="s">
        <v>21</v>
      </c>
      <c r="E412" s="2" t="s">
        <v>374</v>
      </c>
      <c r="F412" s="2">
        <v>3</v>
      </c>
      <c r="G412" s="2">
        <v>43</v>
      </c>
      <c r="H412" s="2">
        <v>2</v>
      </c>
      <c r="I412" s="2">
        <v>1</v>
      </c>
      <c r="J412" s="2">
        <v>0</v>
      </c>
      <c r="K412" s="2" t="s">
        <v>61</v>
      </c>
      <c r="L412" s="6" t="s">
        <v>75</v>
      </c>
      <c r="M412" s="5">
        <v>247000000</v>
      </c>
      <c r="N412" s="2">
        <v>0</v>
      </c>
      <c r="O412" s="2">
        <v>4.7586973180000003</v>
      </c>
      <c r="P412" s="2">
        <v>-74.035372870000003</v>
      </c>
      <c r="Q412" s="2" t="s">
        <v>1253</v>
      </c>
      <c r="R412" s="2">
        <v>5744186.0470000003</v>
      </c>
      <c r="S412" s="2">
        <v>0</v>
      </c>
      <c r="T412" s="2" t="s">
        <v>102</v>
      </c>
      <c r="U412" s="2" t="s">
        <v>103</v>
      </c>
      <c r="V412" s="2" t="s">
        <v>28</v>
      </c>
      <c r="W412" s="2" t="s">
        <v>70</v>
      </c>
      <c r="X412" s="2" t="s">
        <v>104</v>
      </c>
      <c r="Y412" s="2">
        <v>2.9535314581034098</v>
      </c>
      <c r="Z412" s="2">
        <v>4.7837500000000004</v>
      </c>
      <c r="AA412" s="2">
        <v>-74.044138888888895</v>
      </c>
      <c r="AB412" s="2">
        <v>2580</v>
      </c>
      <c r="AC412" s="2" t="s">
        <v>105</v>
      </c>
      <c r="AD412" s="2" t="s">
        <v>58</v>
      </c>
      <c r="AE412" s="2" t="s">
        <v>33</v>
      </c>
      <c r="AF412" s="2" t="s">
        <v>34</v>
      </c>
      <c r="AG412" s="2" t="s">
        <v>59</v>
      </c>
      <c r="AH412" s="2">
        <v>1.1288057583688</v>
      </c>
      <c r="AI412" s="2">
        <v>1.49343140874338</v>
      </c>
      <c r="AJ412" s="2">
        <v>1.0063555804734501</v>
      </c>
      <c r="AK412" s="2">
        <v>0.84144687010309704</v>
      </c>
      <c r="AL412" s="2">
        <v>0.21761684505832099</v>
      </c>
      <c r="AM412" s="2">
        <v>15.3</v>
      </c>
      <c r="AN412" s="2">
        <v>9.8000000000000007</v>
      </c>
      <c r="AO412" s="2">
        <v>29.7</v>
      </c>
      <c r="AP412" s="2">
        <v>564</v>
      </c>
      <c r="AQ412" s="2">
        <v>68</v>
      </c>
      <c r="AR412" s="2">
        <v>1.8</v>
      </c>
      <c r="AS412" s="2">
        <v>43</v>
      </c>
      <c r="AT412" s="2">
        <v>25.4</v>
      </c>
      <c r="AU412" s="2">
        <v>162</v>
      </c>
      <c r="AV412" s="2">
        <v>9.1</v>
      </c>
      <c r="AW412" s="2">
        <v>9.1999999999999993</v>
      </c>
      <c r="AX412" s="2">
        <v>18.3</v>
      </c>
      <c r="AY412" s="2">
        <v>0.34</v>
      </c>
      <c r="AZ412" s="2">
        <v>7.3</v>
      </c>
      <c r="BA412" s="2">
        <v>0.9</v>
      </c>
      <c r="BB412" s="2">
        <v>7.5</v>
      </c>
      <c r="BC412" s="2">
        <v>2.9</v>
      </c>
      <c r="BD412" s="2">
        <f>+AN412*EXP(-0.0495*Y412)</f>
        <v>8.4670535441248447</v>
      </c>
      <c r="BE412" s="2">
        <f>+AO412*EXP(-0.024*Y412)</f>
        <v>27.667606565935476</v>
      </c>
    </row>
    <row r="413" spans="1:57" x14ac:dyDescent="0.2">
      <c r="A413" s="2" t="s">
        <v>445</v>
      </c>
      <c r="B413" s="2" t="s">
        <v>19</v>
      </c>
      <c r="C413" s="2" t="s">
        <v>20</v>
      </c>
      <c r="D413" s="2" t="s">
        <v>21</v>
      </c>
      <c r="E413" s="2" t="s">
        <v>446</v>
      </c>
      <c r="F413" s="2">
        <v>3</v>
      </c>
      <c r="G413" s="2">
        <v>42.14</v>
      </c>
      <c r="H413" s="2">
        <v>2</v>
      </c>
      <c r="I413" s="2">
        <v>2</v>
      </c>
      <c r="J413" s="2">
        <v>1</v>
      </c>
      <c r="K413" s="2" t="s">
        <v>61</v>
      </c>
      <c r="L413" s="6" t="s">
        <v>113</v>
      </c>
      <c r="M413" s="5">
        <v>285000000</v>
      </c>
      <c r="N413" s="2">
        <v>0</v>
      </c>
      <c r="O413" s="2">
        <v>4.726764202</v>
      </c>
      <c r="P413" s="2">
        <v>-74.055717470000005</v>
      </c>
      <c r="Q413" s="2" t="s">
        <v>447</v>
      </c>
      <c r="R413" s="2">
        <v>6763170.3839999996</v>
      </c>
      <c r="S413" s="2">
        <v>0</v>
      </c>
      <c r="T413" s="2" t="s">
        <v>68</v>
      </c>
      <c r="U413" s="2" t="s">
        <v>69</v>
      </c>
      <c r="V413" s="2" t="s">
        <v>28</v>
      </c>
      <c r="W413" s="2" t="s">
        <v>70</v>
      </c>
      <c r="X413" s="2" t="s">
        <v>71</v>
      </c>
      <c r="Y413" s="2">
        <v>1.9174620973571199</v>
      </c>
      <c r="Z413" s="2">
        <v>4.73719444444444</v>
      </c>
      <c r="AA413" s="2">
        <v>-74.069472222222203</v>
      </c>
      <c r="AB413" s="2">
        <v>2555</v>
      </c>
      <c r="AC413" s="2" t="s">
        <v>31</v>
      </c>
      <c r="AD413" s="2" t="s">
        <v>58</v>
      </c>
      <c r="AE413" s="2" t="s">
        <v>33</v>
      </c>
      <c r="AF413" s="2" t="s">
        <v>34</v>
      </c>
      <c r="AG413" s="2" t="s">
        <v>72</v>
      </c>
      <c r="AH413" s="2">
        <v>0.57818702194752503</v>
      </c>
      <c r="AI413" s="2">
        <v>3.64982140573226</v>
      </c>
      <c r="AJ413" s="2">
        <v>1.8721284229415101</v>
      </c>
      <c r="AK413" s="2">
        <v>0.37638006368314197</v>
      </c>
      <c r="AL413" s="2">
        <v>2.3685467903279401E-2</v>
      </c>
      <c r="AM413" s="2">
        <v>15.3</v>
      </c>
      <c r="AN413" s="2">
        <v>9.8000000000000007</v>
      </c>
      <c r="AO413" s="2">
        <v>29.7</v>
      </c>
      <c r="AP413" s="2">
        <v>564</v>
      </c>
      <c r="AQ413" s="2">
        <v>68</v>
      </c>
      <c r="AR413" s="2">
        <v>1.8</v>
      </c>
      <c r="AS413" s="2">
        <v>43</v>
      </c>
      <c r="AT413" s="2">
        <v>25.4</v>
      </c>
      <c r="AU413" s="2">
        <v>162</v>
      </c>
      <c r="AV413" s="2">
        <v>9.1</v>
      </c>
      <c r="AW413" s="2">
        <v>9.1999999999999993</v>
      </c>
      <c r="AX413" s="2">
        <v>18.3</v>
      </c>
      <c r="AY413" s="2">
        <v>0.34</v>
      </c>
      <c r="AZ413" s="2">
        <v>7.3</v>
      </c>
      <c r="BA413" s="2">
        <v>0.9</v>
      </c>
      <c r="BB413" s="2">
        <v>7.5</v>
      </c>
      <c r="BC413" s="2">
        <v>2.9</v>
      </c>
      <c r="BD413" s="2">
        <f>+AN413*EXP(-0.0495*Y413)</f>
        <v>8.9126178785467154</v>
      </c>
      <c r="BE413" s="2">
        <f>+AO413*EXP(-0.024*Y413)</f>
        <v>28.364204789679651</v>
      </c>
    </row>
    <row r="414" spans="1:57" x14ac:dyDescent="0.2">
      <c r="A414" s="2" t="s">
        <v>3471</v>
      </c>
      <c r="B414" s="2" t="s">
        <v>19</v>
      </c>
      <c r="C414" s="2" t="s">
        <v>3245</v>
      </c>
      <c r="D414" s="2" t="s">
        <v>21</v>
      </c>
      <c r="E414" s="2" t="s">
        <v>1073</v>
      </c>
      <c r="F414" s="2">
        <v>4</v>
      </c>
      <c r="G414" s="2">
        <v>42</v>
      </c>
      <c r="H414" s="2">
        <v>1</v>
      </c>
      <c r="I414" s="2">
        <v>1</v>
      </c>
      <c r="J414" s="2">
        <v>1</v>
      </c>
      <c r="K414" s="2" t="s">
        <v>61</v>
      </c>
      <c r="L414" s="6" t="s">
        <v>84</v>
      </c>
      <c r="M414" s="5">
        <v>440000000</v>
      </c>
      <c r="N414" s="2">
        <v>0</v>
      </c>
      <c r="O414" s="2">
        <v>4.7385010000000003</v>
      </c>
      <c r="P414" s="2">
        <v>-74.067154000000002</v>
      </c>
      <c r="Q414" s="2" t="s">
        <v>3472</v>
      </c>
      <c r="R414" s="2">
        <v>10476190.48</v>
      </c>
      <c r="S414" s="2">
        <v>0</v>
      </c>
      <c r="T414" s="2" t="s">
        <v>68</v>
      </c>
      <c r="U414" s="2" t="s">
        <v>69</v>
      </c>
      <c r="V414" s="2" t="s">
        <v>28</v>
      </c>
      <c r="W414" s="2" t="s">
        <v>70</v>
      </c>
      <c r="X414" s="2" t="s">
        <v>71</v>
      </c>
      <c r="Y414" s="2">
        <v>0.29546000452207699</v>
      </c>
      <c r="Z414" s="2">
        <v>4.73719444444444</v>
      </c>
      <c r="AA414" s="2">
        <v>-74.069472222222203</v>
      </c>
      <c r="AB414" s="2">
        <v>2555</v>
      </c>
      <c r="AC414" s="2" t="s">
        <v>31</v>
      </c>
      <c r="AD414" s="2" t="s">
        <v>58</v>
      </c>
      <c r="AE414" s="2" t="s">
        <v>33</v>
      </c>
      <c r="AF414" s="2" t="s">
        <v>34</v>
      </c>
      <c r="AG414" s="2" t="s">
        <v>72</v>
      </c>
      <c r="AH414" s="2">
        <v>1.48130146463921</v>
      </c>
      <c r="AI414" s="2">
        <v>5.0479273578566701</v>
      </c>
      <c r="AJ414" s="2">
        <v>2.2347131362632302</v>
      </c>
      <c r="AK414" s="2">
        <v>0.204720092373325</v>
      </c>
      <c r="AL414" s="2">
        <v>0.118739559216227</v>
      </c>
      <c r="AM414" s="2">
        <v>15.3</v>
      </c>
      <c r="AN414" s="2">
        <v>9.8000000000000007</v>
      </c>
      <c r="AO414" s="2">
        <v>29.7</v>
      </c>
      <c r="AP414" s="2">
        <v>564</v>
      </c>
      <c r="AQ414" s="2">
        <v>68</v>
      </c>
      <c r="AR414" s="2">
        <v>1.8</v>
      </c>
      <c r="AS414" s="2">
        <v>43</v>
      </c>
      <c r="AT414" s="2">
        <v>25.4</v>
      </c>
      <c r="AU414" s="2">
        <v>162</v>
      </c>
      <c r="AV414" s="2">
        <v>9.1</v>
      </c>
      <c r="AW414" s="2">
        <v>9.1999999999999993</v>
      </c>
      <c r="AX414" s="2">
        <v>18.3</v>
      </c>
      <c r="AY414" s="2">
        <v>0.34</v>
      </c>
      <c r="AZ414" s="2">
        <v>7.3</v>
      </c>
      <c r="BA414" s="2">
        <v>0.9</v>
      </c>
      <c r="BB414" s="2">
        <v>7.5</v>
      </c>
      <c r="BC414" s="2">
        <v>2.9</v>
      </c>
      <c r="BD414" s="2">
        <f>+AN414*EXP(-0.0495*Y414)</f>
        <v>9.6577153636312989</v>
      </c>
      <c r="BE414" s="2">
        <f>+AO414*EXP(-0.024*Y414)</f>
        <v>29.490141047260281</v>
      </c>
    </row>
    <row r="415" spans="1:57" x14ac:dyDescent="0.2">
      <c r="A415" s="2" t="s">
        <v>3424</v>
      </c>
      <c r="B415" s="2" t="s">
        <v>19</v>
      </c>
      <c r="C415" s="2" t="s">
        <v>3245</v>
      </c>
      <c r="D415" s="2" t="s">
        <v>21</v>
      </c>
      <c r="E415" s="2" t="s">
        <v>496</v>
      </c>
      <c r="F415" s="2">
        <v>4</v>
      </c>
      <c r="G415" s="2">
        <v>42</v>
      </c>
      <c r="H415" s="2">
        <v>1</v>
      </c>
      <c r="I415" s="2">
        <v>1</v>
      </c>
      <c r="J415" s="2">
        <v>1</v>
      </c>
      <c r="K415" s="2" t="s">
        <v>61</v>
      </c>
      <c r="L415" s="6" t="s">
        <v>84</v>
      </c>
      <c r="M415" s="5">
        <v>420000000</v>
      </c>
      <c r="N415" s="2">
        <v>0</v>
      </c>
      <c r="O415" s="2">
        <v>4.7388925549999996</v>
      </c>
      <c r="P415" s="2">
        <v>-74.060836789999996</v>
      </c>
      <c r="Q415" s="2" t="s">
        <v>3425</v>
      </c>
      <c r="R415" s="2">
        <v>10000000</v>
      </c>
      <c r="S415" s="2">
        <v>0</v>
      </c>
      <c r="T415" s="2" t="s">
        <v>68</v>
      </c>
      <c r="U415" s="2" t="s">
        <v>69</v>
      </c>
      <c r="V415" s="2" t="s">
        <v>28</v>
      </c>
      <c r="W415" s="2" t="s">
        <v>70</v>
      </c>
      <c r="X415" s="2" t="s">
        <v>71</v>
      </c>
      <c r="Y415" s="2">
        <v>0.97647873695868503</v>
      </c>
      <c r="Z415" s="2">
        <v>4.73719444444444</v>
      </c>
      <c r="AA415" s="2">
        <v>-74.069472222222203</v>
      </c>
      <c r="AB415" s="2">
        <v>2555</v>
      </c>
      <c r="AC415" s="2" t="s">
        <v>31</v>
      </c>
      <c r="AD415" s="2" t="s">
        <v>58</v>
      </c>
      <c r="AE415" s="2" t="s">
        <v>33</v>
      </c>
      <c r="AF415" s="2" t="s">
        <v>34</v>
      </c>
      <c r="AG415" s="2" t="s">
        <v>72</v>
      </c>
      <c r="AH415" s="2">
        <v>1.3723472139392601</v>
      </c>
      <c r="AI415" s="2">
        <v>4.3607582812677297</v>
      </c>
      <c r="AJ415" s="2">
        <v>1.79547614378135</v>
      </c>
      <c r="AK415" s="2">
        <v>0.43791235941239798</v>
      </c>
      <c r="AL415" s="2">
        <v>0.29198930718934202</v>
      </c>
      <c r="AM415" s="2">
        <v>15.3</v>
      </c>
      <c r="AN415" s="2">
        <v>9.8000000000000007</v>
      </c>
      <c r="AO415" s="2">
        <v>29.7</v>
      </c>
      <c r="AP415" s="2">
        <v>564</v>
      </c>
      <c r="AQ415" s="2">
        <v>68</v>
      </c>
      <c r="AR415" s="2">
        <v>1.8</v>
      </c>
      <c r="AS415" s="2">
        <v>43</v>
      </c>
      <c r="AT415" s="2">
        <v>25.4</v>
      </c>
      <c r="AU415" s="2">
        <v>162</v>
      </c>
      <c r="AV415" s="2">
        <v>9.1</v>
      </c>
      <c r="AW415" s="2">
        <v>9.1999999999999993</v>
      </c>
      <c r="AX415" s="2">
        <v>18.3</v>
      </c>
      <c r="AY415" s="2">
        <v>0.34</v>
      </c>
      <c r="AZ415" s="2">
        <v>7.3</v>
      </c>
      <c r="BA415" s="2">
        <v>0.9</v>
      </c>
      <c r="BB415" s="2">
        <v>7.5</v>
      </c>
      <c r="BC415" s="2">
        <v>2.9</v>
      </c>
      <c r="BD415" s="2">
        <f>+AN415*EXP(-0.0495*Y415)</f>
        <v>9.3375759864390204</v>
      </c>
      <c r="BE415" s="2">
        <f>+AO415*EXP(-0.024*Y415)</f>
        <v>29.012058564276462</v>
      </c>
    </row>
    <row r="416" spans="1:57" x14ac:dyDescent="0.2">
      <c r="A416" s="2" t="s">
        <v>3439</v>
      </c>
      <c r="B416" s="2" t="s">
        <v>19</v>
      </c>
      <c r="C416" s="2" t="s">
        <v>3245</v>
      </c>
      <c r="D416" s="2" t="s">
        <v>21</v>
      </c>
      <c r="E416" s="2" t="s">
        <v>496</v>
      </c>
      <c r="F416" s="2">
        <v>4</v>
      </c>
      <c r="G416" s="2">
        <v>42</v>
      </c>
      <c r="H416" s="2">
        <v>1</v>
      </c>
      <c r="I416" s="2">
        <v>1</v>
      </c>
      <c r="J416" s="2">
        <v>1</v>
      </c>
      <c r="K416" s="2" t="s">
        <v>61</v>
      </c>
      <c r="L416" s="6" t="s">
        <v>84</v>
      </c>
      <c r="M416" s="5">
        <v>390000000</v>
      </c>
      <c r="N416" s="2">
        <v>0</v>
      </c>
      <c r="O416" s="2">
        <v>4.7388925549999996</v>
      </c>
      <c r="P416" s="2">
        <v>-74.060836789999996</v>
      </c>
      <c r="Q416" s="2" t="s">
        <v>3440</v>
      </c>
      <c r="R416" s="2">
        <v>9285714.2860000003</v>
      </c>
      <c r="S416" s="2">
        <v>0</v>
      </c>
      <c r="T416" s="2" t="s">
        <v>68</v>
      </c>
      <c r="U416" s="2" t="s">
        <v>69</v>
      </c>
      <c r="V416" s="2" t="s">
        <v>28</v>
      </c>
      <c r="W416" s="2" t="s">
        <v>70</v>
      </c>
      <c r="X416" s="2" t="s">
        <v>71</v>
      </c>
      <c r="Y416" s="2">
        <v>0.97647873695868503</v>
      </c>
      <c r="Z416" s="2">
        <v>4.73719444444444</v>
      </c>
      <c r="AA416" s="2">
        <v>-74.069472222222203</v>
      </c>
      <c r="AB416" s="2">
        <v>2555</v>
      </c>
      <c r="AC416" s="2" t="s">
        <v>31</v>
      </c>
      <c r="AD416" s="2" t="s">
        <v>58</v>
      </c>
      <c r="AE416" s="2" t="s">
        <v>33</v>
      </c>
      <c r="AF416" s="2" t="s">
        <v>34</v>
      </c>
      <c r="AG416" s="2" t="s">
        <v>72</v>
      </c>
      <c r="AH416" s="2">
        <v>1.3723472139392601</v>
      </c>
      <c r="AI416" s="2">
        <v>4.3607582812677297</v>
      </c>
      <c r="AJ416" s="2">
        <v>1.79547614378135</v>
      </c>
      <c r="AK416" s="2">
        <v>0.43791235941239798</v>
      </c>
      <c r="AL416" s="2">
        <v>0.29198930718934202</v>
      </c>
      <c r="AM416" s="2">
        <v>15.3</v>
      </c>
      <c r="AN416" s="2">
        <v>9.8000000000000007</v>
      </c>
      <c r="AO416" s="2">
        <v>29.7</v>
      </c>
      <c r="AP416" s="2">
        <v>564</v>
      </c>
      <c r="AQ416" s="2">
        <v>68</v>
      </c>
      <c r="AR416" s="2">
        <v>1.8</v>
      </c>
      <c r="AS416" s="2">
        <v>43</v>
      </c>
      <c r="AT416" s="2">
        <v>25.4</v>
      </c>
      <c r="AU416" s="2">
        <v>162</v>
      </c>
      <c r="AV416" s="2">
        <v>9.1</v>
      </c>
      <c r="AW416" s="2">
        <v>9.1999999999999993</v>
      </c>
      <c r="AX416" s="2">
        <v>18.3</v>
      </c>
      <c r="AY416" s="2">
        <v>0.34</v>
      </c>
      <c r="AZ416" s="2">
        <v>7.3</v>
      </c>
      <c r="BA416" s="2">
        <v>0.9</v>
      </c>
      <c r="BB416" s="2">
        <v>7.5</v>
      </c>
      <c r="BC416" s="2">
        <v>2.9</v>
      </c>
      <c r="BD416" s="2">
        <f>+AN416*EXP(-0.0495*Y416)</f>
        <v>9.3375759864390204</v>
      </c>
      <c r="BE416" s="2">
        <f>+AO416*EXP(-0.024*Y416)</f>
        <v>29.012058564276462</v>
      </c>
    </row>
    <row r="417" spans="1:57" x14ac:dyDescent="0.2">
      <c r="A417" s="2" t="s">
        <v>3310</v>
      </c>
      <c r="B417" s="2" t="s">
        <v>19</v>
      </c>
      <c r="C417" s="2" t="s">
        <v>3245</v>
      </c>
      <c r="D417" s="2" t="s">
        <v>21</v>
      </c>
      <c r="E417" s="2" t="s">
        <v>116</v>
      </c>
      <c r="F417" s="2">
        <v>4</v>
      </c>
      <c r="G417" s="2">
        <v>41.53</v>
      </c>
      <c r="H417" s="2">
        <v>1</v>
      </c>
      <c r="I417" s="2">
        <v>1</v>
      </c>
      <c r="J417" s="2">
        <v>0</v>
      </c>
      <c r="K417" s="2" t="s">
        <v>61</v>
      </c>
      <c r="L417" s="6" t="s">
        <v>62</v>
      </c>
      <c r="M417" s="5">
        <v>255000000</v>
      </c>
      <c r="N417" s="2">
        <v>0</v>
      </c>
      <c r="O417" s="2">
        <v>4.7578100000000001</v>
      </c>
      <c r="P417" s="2">
        <v>-74.05283</v>
      </c>
      <c r="Q417" s="2" t="s">
        <v>3311</v>
      </c>
      <c r="R417" s="2">
        <v>6140139.6579999998</v>
      </c>
      <c r="S417" s="2">
        <v>0</v>
      </c>
      <c r="T417" s="2" t="s">
        <v>68</v>
      </c>
      <c r="U417" s="2" t="s">
        <v>69</v>
      </c>
      <c r="V417" s="2" t="s">
        <v>28</v>
      </c>
      <c r="W417" s="2" t="s">
        <v>70</v>
      </c>
      <c r="X417" s="2" t="s">
        <v>71</v>
      </c>
      <c r="Y417" s="2">
        <v>2.9453788573394801</v>
      </c>
      <c r="Z417" s="2">
        <v>4.73719444444444</v>
      </c>
      <c r="AA417" s="2">
        <v>-74.069472222222203</v>
      </c>
      <c r="AB417" s="2">
        <v>2555</v>
      </c>
      <c r="AC417" s="2" t="s">
        <v>31</v>
      </c>
      <c r="AD417" s="2" t="s">
        <v>58</v>
      </c>
      <c r="AE417" s="2" t="s">
        <v>33</v>
      </c>
      <c r="AF417" s="2" t="s">
        <v>34</v>
      </c>
      <c r="AG417" s="2" t="s">
        <v>72</v>
      </c>
      <c r="AH417" s="2">
        <v>0.83065346914868698</v>
      </c>
      <c r="AI417" s="2">
        <v>3.41894942102024</v>
      </c>
      <c r="AJ417" s="2">
        <v>0.49551304324711998</v>
      </c>
      <c r="AK417" s="2">
        <v>0.14731434021786599</v>
      </c>
      <c r="AL417" s="2">
        <v>9.8542177686970794E-2</v>
      </c>
      <c r="AM417" s="2">
        <v>15.3</v>
      </c>
      <c r="AN417" s="2">
        <v>9.8000000000000007</v>
      </c>
      <c r="AO417" s="2">
        <v>29.7</v>
      </c>
      <c r="AP417" s="2">
        <v>564</v>
      </c>
      <c r="AQ417" s="2">
        <v>68</v>
      </c>
      <c r="AR417" s="2">
        <v>1.8</v>
      </c>
      <c r="AS417" s="2">
        <v>43</v>
      </c>
      <c r="AT417" s="2">
        <v>25.4</v>
      </c>
      <c r="AU417" s="2">
        <v>162</v>
      </c>
      <c r="AV417" s="2">
        <v>9.1</v>
      </c>
      <c r="AW417" s="2">
        <v>9.1999999999999993</v>
      </c>
      <c r="AX417" s="2">
        <v>18.3</v>
      </c>
      <c r="AY417" s="2">
        <v>0.34</v>
      </c>
      <c r="AZ417" s="2">
        <v>7.3</v>
      </c>
      <c r="BA417" s="2">
        <v>0.9</v>
      </c>
      <c r="BB417" s="2">
        <v>7.5</v>
      </c>
      <c r="BC417" s="2">
        <v>2.9</v>
      </c>
      <c r="BD417" s="2">
        <f>+AN417*EXP(-0.0495*Y417)</f>
        <v>8.4704711447772318</v>
      </c>
      <c r="BE417" s="2">
        <f>+AO417*EXP(-0.024*Y417)</f>
        <v>27.673020606390544</v>
      </c>
    </row>
    <row r="418" spans="1:57" x14ac:dyDescent="0.2">
      <c r="A418" s="2" t="s">
        <v>3300</v>
      </c>
      <c r="B418" s="2" t="s">
        <v>19</v>
      </c>
      <c r="C418" s="2" t="s">
        <v>3245</v>
      </c>
      <c r="D418" s="2" t="s">
        <v>21</v>
      </c>
      <c r="E418" s="2" t="s">
        <v>116</v>
      </c>
      <c r="F418" s="2">
        <v>4</v>
      </c>
      <c r="G418" s="2">
        <v>41.53</v>
      </c>
      <c r="H418" s="2">
        <v>1</v>
      </c>
      <c r="I418" s="2">
        <v>1</v>
      </c>
      <c r="J418" s="2">
        <v>0</v>
      </c>
      <c r="K418" s="2" t="s">
        <v>61</v>
      </c>
      <c r="L418" s="6" t="s">
        <v>62</v>
      </c>
      <c r="M418" s="5">
        <v>245000000</v>
      </c>
      <c r="N418" s="2">
        <v>0</v>
      </c>
      <c r="O418" s="2">
        <v>4.7578100000000001</v>
      </c>
      <c r="P418" s="2">
        <v>-74.05283</v>
      </c>
      <c r="Q418" s="2" t="s">
        <v>3301</v>
      </c>
      <c r="R418" s="2">
        <v>5899349.8679999998</v>
      </c>
      <c r="S418" s="2">
        <v>0</v>
      </c>
      <c r="T418" s="2" t="s">
        <v>68</v>
      </c>
      <c r="U418" s="2" t="s">
        <v>69</v>
      </c>
      <c r="V418" s="2" t="s">
        <v>28</v>
      </c>
      <c r="W418" s="2" t="s">
        <v>70</v>
      </c>
      <c r="X418" s="2" t="s">
        <v>71</v>
      </c>
      <c r="Y418" s="2">
        <v>2.9453788573394801</v>
      </c>
      <c r="Z418" s="2">
        <v>4.73719444444444</v>
      </c>
      <c r="AA418" s="2">
        <v>-74.069472222222203</v>
      </c>
      <c r="AB418" s="2">
        <v>2555</v>
      </c>
      <c r="AC418" s="2" t="s">
        <v>31</v>
      </c>
      <c r="AD418" s="2" t="s">
        <v>58</v>
      </c>
      <c r="AE418" s="2" t="s">
        <v>33</v>
      </c>
      <c r="AF418" s="2" t="s">
        <v>34</v>
      </c>
      <c r="AG418" s="2" t="s">
        <v>72</v>
      </c>
      <c r="AH418" s="2">
        <v>0.83065346914868698</v>
      </c>
      <c r="AI418" s="2">
        <v>3.41894942102024</v>
      </c>
      <c r="AJ418" s="2">
        <v>0.49551304324711998</v>
      </c>
      <c r="AK418" s="2">
        <v>0.14731434021786599</v>
      </c>
      <c r="AL418" s="2">
        <v>9.8542177686970794E-2</v>
      </c>
      <c r="AM418" s="2">
        <v>15.3</v>
      </c>
      <c r="AN418" s="2">
        <v>9.8000000000000007</v>
      </c>
      <c r="AO418" s="2">
        <v>29.7</v>
      </c>
      <c r="AP418" s="2">
        <v>564</v>
      </c>
      <c r="AQ418" s="2">
        <v>68</v>
      </c>
      <c r="AR418" s="2">
        <v>1.8</v>
      </c>
      <c r="AS418" s="2">
        <v>43</v>
      </c>
      <c r="AT418" s="2">
        <v>25.4</v>
      </c>
      <c r="AU418" s="2">
        <v>162</v>
      </c>
      <c r="AV418" s="2">
        <v>9.1</v>
      </c>
      <c r="AW418" s="2">
        <v>9.1999999999999993</v>
      </c>
      <c r="AX418" s="2">
        <v>18.3</v>
      </c>
      <c r="AY418" s="2">
        <v>0.34</v>
      </c>
      <c r="AZ418" s="2">
        <v>7.3</v>
      </c>
      <c r="BA418" s="2">
        <v>0.9</v>
      </c>
      <c r="BB418" s="2">
        <v>7.5</v>
      </c>
      <c r="BC418" s="2">
        <v>2.9</v>
      </c>
      <c r="BD418" s="2">
        <f>+AN418*EXP(-0.0495*Y418)</f>
        <v>8.4704711447772318</v>
      </c>
      <c r="BE418" s="2">
        <f>+AO418*EXP(-0.024*Y418)</f>
        <v>27.673020606390544</v>
      </c>
    </row>
    <row r="419" spans="1:57" x14ac:dyDescent="0.2">
      <c r="A419" s="2" t="s">
        <v>812</v>
      </c>
      <c r="B419" s="2" t="s">
        <v>19</v>
      </c>
      <c r="C419" s="2" t="s">
        <v>20</v>
      </c>
      <c r="D419" s="2" t="s">
        <v>21</v>
      </c>
      <c r="E419" s="2" t="s">
        <v>813</v>
      </c>
      <c r="F419" s="2">
        <v>3</v>
      </c>
      <c r="G419" s="2">
        <v>40</v>
      </c>
      <c r="H419" s="2">
        <v>2</v>
      </c>
      <c r="I419" s="2">
        <v>1</v>
      </c>
      <c r="J419" s="2">
        <v>0</v>
      </c>
      <c r="K419" s="2" t="s">
        <v>61</v>
      </c>
      <c r="L419" s="6" t="s">
        <v>62</v>
      </c>
      <c r="M419" s="5">
        <v>215000000</v>
      </c>
      <c r="N419" s="2">
        <v>0</v>
      </c>
      <c r="O419" s="2">
        <v>4.7587423319999997</v>
      </c>
      <c r="P419" s="2">
        <v>-74.101730349999997</v>
      </c>
      <c r="Q419" s="2" t="s">
        <v>814</v>
      </c>
      <c r="R419" s="2">
        <v>5375000</v>
      </c>
      <c r="S419" s="2">
        <v>0</v>
      </c>
      <c r="T419" s="2" t="s">
        <v>70</v>
      </c>
      <c r="U419" s="2" t="s">
        <v>738</v>
      </c>
      <c r="V419" s="2" t="s">
        <v>28</v>
      </c>
      <c r="W419" s="2" t="s">
        <v>70</v>
      </c>
      <c r="X419" s="2" t="s">
        <v>739</v>
      </c>
      <c r="Y419" s="2">
        <v>0.95879574089763198</v>
      </c>
      <c r="Z419" s="2">
        <v>4.7612472222222202</v>
      </c>
      <c r="AA419" s="2">
        <v>-74.093461111111097</v>
      </c>
      <c r="AB419" s="2">
        <v>2571</v>
      </c>
      <c r="AC419" s="2" t="s">
        <v>105</v>
      </c>
      <c r="AD419" s="2" t="s">
        <v>58</v>
      </c>
      <c r="AE419" s="2" t="s">
        <v>33</v>
      </c>
      <c r="AF419" s="2" t="s">
        <v>34</v>
      </c>
      <c r="AG419" s="2" t="s">
        <v>72</v>
      </c>
      <c r="AH419" s="2">
        <v>1.5556275875410099</v>
      </c>
      <c r="AI419" s="2">
        <v>1.3633469452149201</v>
      </c>
      <c r="AJ419" s="2">
        <v>5.3799109250006998</v>
      </c>
      <c r="AK419" s="2">
        <v>1.03693334964354</v>
      </c>
      <c r="AL419" s="2">
        <v>0.20505178951971001</v>
      </c>
      <c r="AM419" s="2">
        <v>15.3</v>
      </c>
      <c r="AN419" s="2">
        <v>9.8000000000000007</v>
      </c>
      <c r="AO419" s="2">
        <v>29.7</v>
      </c>
      <c r="AP419" s="2">
        <v>564</v>
      </c>
      <c r="AQ419" s="2">
        <v>68</v>
      </c>
      <c r="AR419" s="2">
        <v>1.8</v>
      </c>
      <c r="AS419" s="2">
        <v>43</v>
      </c>
      <c r="AT419" s="2">
        <v>25.4</v>
      </c>
      <c r="AU419" s="2">
        <v>162</v>
      </c>
      <c r="AV419" s="2">
        <v>9.1</v>
      </c>
      <c r="AW419" s="2">
        <v>9.1999999999999993</v>
      </c>
      <c r="AX419" s="2">
        <v>18.3</v>
      </c>
      <c r="AY419" s="2">
        <v>0.34</v>
      </c>
      <c r="AZ419" s="2">
        <v>7.3</v>
      </c>
      <c r="BA419" s="2">
        <v>0.9</v>
      </c>
      <c r="BB419" s="2">
        <v>7.5</v>
      </c>
      <c r="BC419" s="2">
        <v>2.9</v>
      </c>
      <c r="BD419" s="2">
        <f>+AN419*EXP(-0.0495*Y419)</f>
        <v>9.3457528223528517</v>
      </c>
      <c r="BE419" s="2">
        <f>+AO419*EXP(-0.024*Y419)</f>
        <v>29.024373660120681</v>
      </c>
    </row>
    <row r="420" spans="1:57" x14ac:dyDescent="0.2">
      <c r="A420" s="2" t="s">
        <v>1291</v>
      </c>
      <c r="B420" s="2" t="s">
        <v>19</v>
      </c>
      <c r="C420" s="2" t="s">
        <v>20</v>
      </c>
      <c r="D420" s="2" t="s">
        <v>21</v>
      </c>
      <c r="E420" s="2" t="s">
        <v>813</v>
      </c>
      <c r="F420" s="2">
        <v>3</v>
      </c>
      <c r="G420" s="2">
        <v>40</v>
      </c>
      <c r="H420" s="2">
        <v>2</v>
      </c>
      <c r="I420" s="2">
        <v>1</v>
      </c>
      <c r="J420" s="2">
        <v>0</v>
      </c>
      <c r="K420" s="2" t="s">
        <v>61</v>
      </c>
      <c r="L420" s="6" t="s">
        <v>62</v>
      </c>
      <c r="M420" s="5">
        <v>215000000</v>
      </c>
      <c r="N420" s="2">
        <v>0</v>
      </c>
      <c r="O420" s="2">
        <v>4.7590995500000002</v>
      </c>
      <c r="P420" s="2">
        <v>-74.101642999999996</v>
      </c>
      <c r="Q420" s="2" t="s">
        <v>1292</v>
      </c>
      <c r="R420" s="2">
        <v>5375000</v>
      </c>
      <c r="S420" s="2">
        <v>0</v>
      </c>
      <c r="T420" s="2" t="s">
        <v>70</v>
      </c>
      <c r="U420" s="2" t="s">
        <v>738</v>
      </c>
      <c r="V420" s="2" t="s">
        <v>28</v>
      </c>
      <c r="W420" s="2" t="s">
        <v>70</v>
      </c>
      <c r="X420" s="2" t="s">
        <v>739</v>
      </c>
      <c r="Y420" s="2">
        <v>0.93862066591695004</v>
      </c>
      <c r="Z420" s="2">
        <v>4.7612472222222202</v>
      </c>
      <c r="AA420" s="2">
        <v>-74.093461111111097</v>
      </c>
      <c r="AB420" s="2">
        <v>2571</v>
      </c>
      <c r="AC420" s="2" t="s">
        <v>105</v>
      </c>
      <c r="AD420" s="2" t="s">
        <v>58</v>
      </c>
      <c r="AE420" s="2" t="s">
        <v>33</v>
      </c>
      <c r="AF420" s="2" t="s">
        <v>34</v>
      </c>
      <c r="AG420" s="2" t="s">
        <v>72</v>
      </c>
      <c r="AH420" s="2">
        <v>1.5842032336546501</v>
      </c>
      <c r="AI420" s="2">
        <v>1.3636592126773801</v>
      </c>
      <c r="AJ420" s="2">
        <v>5.3747859995353302</v>
      </c>
      <c r="AK420" s="2">
        <v>1.01961182599466</v>
      </c>
      <c r="AL420" s="2">
        <v>0.21731965303816</v>
      </c>
      <c r="AM420" s="2">
        <v>15.3</v>
      </c>
      <c r="AN420" s="2">
        <v>9.8000000000000007</v>
      </c>
      <c r="AO420" s="2">
        <v>29.7</v>
      </c>
      <c r="AP420" s="2">
        <v>564</v>
      </c>
      <c r="AQ420" s="2">
        <v>68</v>
      </c>
      <c r="AR420" s="2">
        <v>1.8</v>
      </c>
      <c r="AS420" s="2">
        <v>43</v>
      </c>
      <c r="AT420" s="2">
        <v>25.4</v>
      </c>
      <c r="AU420" s="2">
        <v>162</v>
      </c>
      <c r="AV420" s="2">
        <v>9.1</v>
      </c>
      <c r="AW420" s="2">
        <v>9.1999999999999993</v>
      </c>
      <c r="AX420" s="2">
        <v>18.3</v>
      </c>
      <c r="AY420" s="2">
        <v>0.34</v>
      </c>
      <c r="AZ420" s="2">
        <v>7.3</v>
      </c>
      <c r="BA420" s="2">
        <v>0.9</v>
      </c>
      <c r="BB420" s="2">
        <v>7.5</v>
      </c>
      <c r="BC420" s="2">
        <v>2.9</v>
      </c>
      <c r="BD420" s="2">
        <f>+AN420*EXP(-0.0495*Y420)</f>
        <v>9.3550907718892304</v>
      </c>
      <c r="BE420" s="2">
        <f>+AO420*EXP(-0.024*Y420)</f>
        <v>29.038430717028813</v>
      </c>
    </row>
    <row r="421" spans="1:57" x14ac:dyDescent="0.2">
      <c r="A421" s="2" t="s">
        <v>4324</v>
      </c>
      <c r="B421" s="2" t="s">
        <v>19</v>
      </c>
      <c r="C421" s="2" t="s">
        <v>3245</v>
      </c>
      <c r="D421" s="2" t="s">
        <v>21</v>
      </c>
      <c r="E421" s="2" t="s">
        <v>72</v>
      </c>
      <c r="F421" s="2">
        <v>3</v>
      </c>
      <c r="G421" s="2">
        <v>40</v>
      </c>
      <c r="H421" s="2">
        <v>1</v>
      </c>
      <c r="I421" s="2">
        <v>1</v>
      </c>
      <c r="J421" s="2">
        <v>0</v>
      </c>
      <c r="K421" s="2" t="s">
        <v>61</v>
      </c>
      <c r="L421" s="6" t="s">
        <v>113</v>
      </c>
      <c r="M421" s="5">
        <v>175000000</v>
      </c>
      <c r="N421" s="2">
        <v>0</v>
      </c>
      <c r="O421" s="2">
        <v>4.7351299999999998</v>
      </c>
      <c r="P421" s="2">
        <v>-74.083690000000004</v>
      </c>
      <c r="Q421" s="2" t="s">
        <v>4325</v>
      </c>
      <c r="R421" s="2">
        <v>4375000</v>
      </c>
      <c r="S421" s="2">
        <v>0</v>
      </c>
      <c r="T421" s="2" t="s">
        <v>68</v>
      </c>
      <c r="U421" s="2" t="s">
        <v>69</v>
      </c>
      <c r="V421" s="2" t="s">
        <v>28</v>
      </c>
      <c r="W421" s="2" t="s">
        <v>70</v>
      </c>
      <c r="X421" s="2" t="s">
        <v>71</v>
      </c>
      <c r="Y421" s="2">
        <v>1.5939654063411399</v>
      </c>
      <c r="Z421" s="2">
        <v>4.73719444444444</v>
      </c>
      <c r="AA421" s="2">
        <v>-74.069472222222203</v>
      </c>
      <c r="AB421" s="2">
        <v>2555</v>
      </c>
      <c r="AC421" s="2" t="s">
        <v>31</v>
      </c>
      <c r="AD421" s="2" t="s">
        <v>58</v>
      </c>
      <c r="AE421" s="2" t="s">
        <v>33</v>
      </c>
      <c r="AF421" s="2" t="s">
        <v>34</v>
      </c>
      <c r="AG421" s="2" t="s">
        <v>72</v>
      </c>
      <c r="AH421" s="2">
        <v>0.302641478422007</v>
      </c>
      <c r="AI421" s="2">
        <v>4.4383951939188702</v>
      </c>
      <c r="AJ421" s="2">
        <v>2.4355941233068901</v>
      </c>
      <c r="AK421" s="2">
        <v>0.26146974131853801</v>
      </c>
      <c r="AL421" s="2">
        <v>1.7263803628133099E-2</v>
      </c>
      <c r="AM421" s="2">
        <v>15.3</v>
      </c>
      <c r="AN421" s="2">
        <v>9.8000000000000007</v>
      </c>
      <c r="AO421" s="2">
        <v>29.7</v>
      </c>
      <c r="AP421" s="2">
        <v>564</v>
      </c>
      <c r="AQ421" s="2">
        <v>68</v>
      </c>
      <c r="AR421" s="2">
        <v>1.8</v>
      </c>
      <c r="AS421" s="2">
        <v>43</v>
      </c>
      <c r="AT421" s="2">
        <v>25.4</v>
      </c>
      <c r="AU421" s="2">
        <v>162</v>
      </c>
      <c r="AV421" s="2">
        <v>9.1</v>
      </c>
      <c r="AW421" s="2">
        <v>9.1999999999999993</v>
      </c>
      <c r="AX421" s="2">
        <v>18.3</v>
      </c>
      <c r="AY421" s="2">
        <v>0.34</v>
      </c>
      <c r="AZ421" s="2">
        <v>7.3</v>
      </c>
      <c r="BA421" s="2">
        <v>0.9</v>
      </c>
      <c r="BB421" s="2">
        <v>7.5</v>
      </c>
      <c r="BC421" s="2">
        <v>2.9</v>
      </c>
      <c r="BD421" s="2">
        <f>+AN421*EXP(-0.0495*Y421)</f>
        <v>9.0564852027036569</v>
      </c>
      <c r="BE421" s="2">
        <f>+AO421*EXP(-0.024*Y421)</f>
        <v>28.585279315133747</v>
      </c>
    </row>
    <row r="422" spans="1:57" x14ac:dyDescent="0.2">
      <c r="A422" s="2" t="s">
        <v>3772</v>
      </c>
      <c r="B422" s="2" t="s">
        <v>19</v>
      </c>
      <c r="C422" s="2" t="s">
        <v>3245</v>
      </c>
      <c r="D422" s="2" t="s">
        <v>21</v>
      </c>
      <c r="E422" s="2" t="s">
        <v>1718</v>
      </c>
      <c r="F422" s="2">
        <v>4</v>
      </c>
      <c r="G422" s="2">
        <v>39</v>
      </c>
      <c r="H422" s="2">
        <v>2</v>
      </c>
      <c r="I422" s="2">
        <v>1</v>
      </c>
      <c r="J422" s="2">
        <v>0</v>
      </c>
      <c r="K422" s="2" t="s">
        <v>61</v>
      </c>
      <c r="L422" s="6" t="s">
        <v>62</v>
      </c>
      <c r="M422" s="5">
        <v>260000000</v>
      </c>
      <c r="N422" s="2">
        <v>0</v>
      </c>
      <c r="O422" s="2">
        <v>4.7436600000000002</v>
      </c>
      <c r="P422" s="2">
        <v>-74.068110000000004</v>
      </c>
      <c r="Q422" s="2" t="s">
        <v>3773</v>
      </c>
      <c r="R422" s="2">
        <v>6666666.6670000004</v>
      </c>
      <c r="S422" s="2">
        <v>0</v>
      </c>
      <c r="T422" s="2" t="s">
        <v>68</v>
      </c>
      <c r="U422" s="2" t="s">
        <v>69</v>
      </c>
      <c r="V422" s="2" t="s">
        <v>28</v>
      </c>
      <c r="W422" s="2" t="s">
        <v>70</v>
      </c>
      <c r="X422" s="2" t="s">
        <v>71</v>
      </c>
      <c r="Y422" s="2">
        <v>0.73543678507976795</v>
      </c>
      <c r="Z422" s="2">
        <v>4.73719444444444</v>
      </c>
      <c r="AA422" s="2">
        <v>-74.069472222222203</v>
      </c>
      <c r="AB422" s="2">
        <v>2555</v>
      </c>
      <c r="AC422" s="2" t="s">
        <v>31</v>
      </c>
      <c r="AD422" s="2" t="s">
        <v>58</v>
      </c>
      <c r="AE422" s="2" t="s">
        <v>33</v>
      </c>
      <c r="AF422" s="2" t="s">
        <v>34</v>
      </c>
      <c r="AG422" s="2" t="s">
        <v>72</v>
      </c>
      <c r="AH422" s="2">
        <v>1.68812807298878</v>
      </c>
      <c r="AI422" s="2">
        <v>5.2547917688862302</v>
      </c>
      <c r="AJ422" s="2">
        <v>1.9433225892663999</v>
      </c>
      <c r="AK422" s="2">
        <v>0.52636933281906395</v>
      </c>
      <c r="AL422" s="2">
        <v>0.14863607771602599</v>
      </c>
      <c r="AM422" s="2">
        <v>15.3</v>
      </c>
      <c r="AN422" s="2">
        <v>9.8000000000000007</v>
      </c>
      <c r="AO422" s="2">
        <v>29.7</v>
      </c>
      <c r="AP422" s="2">
        <v>564</v>
      </c>
      <c r="AQ422" s="2">
        <v>68</v>
      </c>
      <c r="AR422" s="2">
        <v>1.8</v>
      </c>
      <c r="AS422" s="2">
        <v>43</v>
      </c>
      <c r="AT422" s="2">
        <v>25.4</v>
      </c>
      <c r="AU422" s="2">
        <v>162</v>
      </c>
      <c r="AV422" s="2">
        <v>9.1</v>
      </c>
      <c r="AW422" s="2">
        <v>9.1999999999999993</v>
      </c>
      <c r="AX422" s="2">
        <v>18.3</v>
      </c>
      <c r="AY422" s="2">
        <v>0.34</v>
      </c>
      <c r="AZ422" s="2">
        <v>7.3</v>
      </c>
      <c r="BA422" s="2">
        <v>0.9</v>
      </c>
      <c r="BB422" s="2">
        <v>7.5</v>
      </c>
      <c r="BC422" s="2">
        <v>2.9</v>
      </c>
      <c r="BD422" s="2">
        <f>+AN422*EXP(-0.0495*Y422)</f>
        <v>9.4496553015608473</v>
      </c>
      <c r="BE422" s="2">
        <f>+AO422*EXP(-0.024*Y422)</f>
        <v>29.180379922341139</v>
      </c>
    </row>
    <row r="423" spans="1:57" x14ac:dyDescent="0.2">
      <c r="A423" s="2" t="s">
        <v>4120</v>
      </c>
      <c r="B423" s="2" t="s">
        <v>19</v>
      </c>
      <c r="C423" s="2" t="s">
        <v>3245</v>
      </c>
      <c r="D423" s="2" t="s">
        <v>21</v>
      </c>
      <c r="E423" s="2" t="s">
        <v>116</v>
      </c>
      <c r="F423" s="2">
        <v>3</v>
      </c>
      <c r="G423" s="2">
        <v>39</v>
      </c>
      <c r="H423" s="2">
        <v>1</v>
      </c>
      <c r="I423" s="2">
        <v>1</v>
      </c>
      <c r="J423" s="2">
        <v>0</v>
      </c>
      <c r="K423" s="2" t="s">
        <v>61</v>
      </c>
      <c r="L423" s="6" t="s">
        <v>62</v>
      </c>
      <c r="M423" s="5">
        <v>253000000</v>
      </c>
      <c r="N423" s="2">
        <v>0</v>
      </c>
      <c r="O423" s="2">
        <v>4.7586389000000002</v>
      </c>
      <c r="P423" s="2">
        <v>-74.052098999999998</v>
      </c>
      <c r="Q423" s="2" t="s">
        <v>4121</v>
      </c>
      <c r="R423" s="2">
        <v>6487179.4869999997</v>
      </c>
      <c r="S423" s="2">
        <v>0</v>
      </c>
      <c r="T423" s="2" t="s">
        <v>102</v>
      </c>
      <c r="U423" s="2" t="s">
        <v>103</v>
      </c>
      <c r="V423" s="2" t="s">
        <v>28</v>
      </c>
      <c r="W423" s="2" t="s">
        <v>70</v>
      </c>
      <c r="X423" s="2" t="s">
        <v>104</v>
      </c>
      <c r="Y423" s="2">
        <v>2.93151448813936</v>
      </c>
      <c r="Z423" s="2">
        <v>4.7837500000000004</v>
      </c>
      <c r="AA423" s="2">
        <v>-74.044138888888895</v>
      </c>
      <c r="AB423" s="2">
        <v>2580</v>
      </c>
      <c r="AC423" s="2" t="s">
        <v>105</v>
      </c>
      <c r="AD423" s="2" t="s">
        <v>58</v>
      </c>
      <c r="AE423" s="2" t="s">
        <v>33</v>
      </c>
      <c r="AF423" s="2" t="s">
        <v>34</v>
      </c>
      <c r="AG423" s="2" t="s">
        <v>72</v>
      </c>
      <c r="AH423" s="2">
        <v>0.80469574464798099</v>
      </c>
      <c r="AI423" s="2">
        <v>3.3377924904015401</v>
      </c>
      <c r="AJ423" s="2">
        <v>0.60192000328283901</v>
      </c>
      <c r="AK423" s="2">
        <v>0.25306577116061901</v>
      </c>
      <c r="AL423" s="2">
        <v>1.3387194689739999E-2</v>
      </c>
      <c r="AM423" s="2">
        <v>15.3</v>
      </c>
      <c r="AN423" s="2">
        <v>9.8000000000000007</v>
      </c>
      <c r="AO423" s="2">
        <v>29.7</v>
      </c>
      <c r="AP423" s="2">
        <v>564</v>
      </c>
      <c r="AQ423" s="2">
        <v>68</v>
      </c>
      <c r="AR423" s="2">
        <v>1.8</v>
      </c>
      <c r="AS423" s="2">
        <v>43</v>
      </c>
      <c r="AT423" s="2">
        <v>25.4</v>
      </c>
      <c r="AU423" s="2">
        <v>162</v>
      </c>
      <c r="AV423" s="2">
        <v>9.1</v>
      </c>
      <c r="AW423" s="2">
        <v>9.1999999999999993</v>
      </c>
      <c r="AX423" s="2">
        <v>18.3</v>
      </c>
      <c r="AY423" s="2">
        <v>0.34</v>
      </c>
      <c r="AZ423" s="2">
        <v>7.3</v>
      </c>
      <c r="BA423" s="2">
        <v>0.9</v>
      </c>
      <c r="BB423" s="2">
        <v>7.5</v>
      </c>
      <c r="BC423" s="2">
        <v>2.9</v>
      </c>
      <c r="BD423" s="2">
        <f>+AN423*EXP(-0.0495*Y423)</f>
        <v>8.4762863080752542</v>
      </c>
      <c r="BE423" s="2">
        <f>+AO423*EXP(-0.024*Y423)</f>
        <v>27.682230193916698</v>
      </c>
    </row>
    <row r="424" spans="1:57" x14ac:dyDescent="0.2">
      <c r="A424" s="2" t="s">
        <v>4161</v>
      </c>
      <c r="B424" s="2" t="s">
        <v>19</v>
      </c>
      <c r="C424" s="2" t="s">
        <v>3245</v>
      </c>
      <c r="D424" s="2" t="s">
        <v>21</v>
      </c>
      <c r="E424" s="2" t="s">
        <v>116</v>
      </c>
      <c r="F424" s="2">
        <v>3</v>
      </c>
      <c r="G424" s="2">
        <v>39</v>
      </c>
      <c r="H424" s="2">
        <v>2</v>
      </c>
      <c r="I424" s="2">
        <v>1</v>
      </c>
      <c r="J424" s="2">
        <v>0</v>
      </c>
      <c r="K424" s="2" t="s">
        <v>61</v>
      </c>
      <c r="L424" s="6" t="s">
        <v>62</v>
      </c>
      <c r="M424" s="5">
        <v>241000000</v>
      </c>
      <c r="N424" s="2">
        <v>0</v>
      </c>
      <c r="O424" s="2">
        <v>4.7207926000000002</v>
      </c>
      <c r="P424" s="2">
        <v>-74.074768000000006</v>
      </c>
      <c r="Q424" s="2" t="s">
        <v>4162</v>
      </c>
      <c r="R424" s="2">
        <v>6179487.1789999995</v>
      </c>
      <c r="S424" s="2">
        <v>0</v>
      </c>
      <c r="T424" s="2" t="s">
        <v>68</v>
      </c>
      <c r="U424" s="2" t="s">
        <v>69</v>
      </c>
      <c r="V424" s="2" t="s">
        <v>28</v>
      </c>
      <c r="W424" s="2" t="s">
        <v>70</v>
      </c>
      <c r="X424" s="2" t="s">
        <v>71</v>
      </c>
      <c r="Y424" s="2">
        <v>1.91804207748638</v>
      </c>
      <c r="Z424" s="2">
        <v>4.73719444444444</v>
      </c>
      <c r="AA424" s="2">
        <v>-74.069472222222203</v>
      </c>
      <c r="AB424" s="2">
        <v>2555</v>
      </c>
      <c r="AC424" s="2" t="s">
        <v>31</v>
      </c>
      <c r="AD424" s="2" t="s">
        <v>58</v>
      </c>
      <c r="AE424" s="2" t="s">
        <v>33</v>
      </c>
      <c r="AF424" s="2" t="s">
        <v>34</v>
      </c>
      <c r="AG424" s="2" t="s">
        <v>72</v>
      </c>
      <c r="AH424" s="2">
        <v>5.2815802702927503E-2</v>
      </c>
      <c r="AI424" s="2">
        <v>5.6262528370061196</v>
      </c>
      <c r="AJ424" s="2">
        <v>0.57249370046869297</v>
      </c>
      <c r="AK424" s="2">
        <v>0.28036028106592198</v>
      </c>
      <c r="AL424" s="2">
        <v>0.120358298935377</v>
      </c>
      <c r="AM424" s="2">
        <v>15.3</v>
      </c>
      <c r="AN424" s="2">
        <v>9.8000000000000007</v>
      </c>
      <c r="AO424" s="2">
        <v>29.7</v>
      </c>
      <c r="AP424" s="2">
        <v>564</v>
      </c>
      <c r="AQ424" s="2">
        <v>68</v>
      </c>
      <c r="AR424" s="2">
        <v>1.8</v>
      </c>
      <c r="AS424" s="2">
        <v>43</v>
      </c>
      <c r="AT424" s="2">
        <v>25.4</v>
      </c>
      <c r="AU424" s="2">
        <v>162</v>
      </c>
      <c r="AV424" s="2">
        <v>9.1</v>
      </c>
      <c r="AW424" s="2">
        <v>9.1999999999999993</v>
      </c>
      <c r="AX424" s="2">
        <v>18.3</v>
      </c>
      <c r="AY424" s="2">
        <v>0.34</v>
      </c>
      <c r="AZ424" s="2">
        <v>7.3</v>
      </c>
      <c r="BA424" s="2">
        <v>0.9</v>
      </c>
      <c r="BB424" s="2">
        <v>7.5</v>
      </c>
      <c r="BC424" s="2">
        <v>2.9</v>
      </c>
      <c r="BD424" s="2">
        <f>+AN424*EXP(-0.0495*Y424)</f>
        <v>8.9123620097267757</v>
      </c>
      <c r="BE424" s="2">
        <f>+AO424*EXP(-0.024*Y424)</f>
        <v>28.363809976223617</v>
      </c>
    </row>
    <row r="425" spans="1:57" x14ac:dyDescent="0.2">
      <c r="A425" s="2" t="s">
        <v>3742</v>
      </c>
      <c r="B425" s="2" t="s">
        <v>19</v>
      </c>
      <c r="C425" s="2" t="s">
        <v>3245</v>
      </c>
      <c r="D425" s="2" t="s">
        <v>21</v>
      </c>
      <c r="E425" s="2" t="s">
        <v>3743</v>
      </c>
      <c r="F425" s="2">
        <v>4</v>
      </c>
      <c r="G425" s="2">
        <v>39</v>
      </c>
      <c r="H425" s="2">
        <v>1</v>
      </c>
      <c r="I425" s="2">
        <v>1</v>
      </c>
      <c r="J425" s="2">
        <v>0</v>
      </c>
      <c r="K425" s="2" t="s">
        <v>61</v>
      </c>
      <c r="L425" s="6" t="s">
        <v>62</v>
      </c>
      <c r="M425" s="5">
        <v>215000000</v>
      </c>
      <c r="N425" s="2">
        <v>0</v>
      </c>
      <c r="O425" s="2">
        <v>4.7582000000000004</v>
      </c>
      <c r="P425" s="2">
        <v>-74.052109999999999</v>
      </c>
      <c r="Q425" s="2" t="s">
        <v>3744</v>
      </c>
      <c r="R425" s="2">
        <v>5512820.5130000003</v>
      </c>
      <c r="S425" s="2">
        <v>0</v>
      </c>
      <c r="T425" s="2" t="s">
        <v>102</v>
      </c>
      <c r="U425" s="2" t="s">
        <v>103</v>
      </c>
      <c r="V425" s="2" t="s">
        <v>28</v>
      </c>
      <c r="W425" s="2" t="s">
        <v>70</v>
      </c>
      <c r="X425" s="2" t="s">
        <v>104</v>
      </c>
      <c r="Y425" s="2">
        <v>2.97850180456228</v>
      </c>
      <c r="Z425" s="2">
        <v>4.7837500000000004</v>
      </c>
      <c r="AA425" s="2">
        <v>-74.044138888888895</v>
      </c>
      <c r="AB425" s="2">
        <v>2580</v>
      </c>
      <c r="AC425" s="2" t="s">
        <v>105</v>
      </c>
      <c r="AD425" s="2" t="s">
        <v>58</v>
      </c>
      <c r="AE425" s="2" t="s">
        <v>33</v>
      </c>
      <c r="AF425" s="2" t="s">
        <v>34</v>
      </c>
      <c r="AG425" s="2" t="s">
        <v>72</v>
      </c>
      <c r="AH425" s="2">
        <v>0.78004677605407502</v>
      </c>
      <c r="AI425" s="2">
        <v>3.3404846752127901</v>
      </c>
      <c r="AJ425" s="2">
        <v>0.554863200125848</v>
      </c>
      <c r="AK425" s="2">
        <v>0.234478549037034</v>
      </c>
      <c r="AL425" s="2">
        <v>3.2033839239975E-2</v>
      </c>
      <c r="AM425" s="2">
        <v>15.3</v>
      </c>
      <c r="AN425" s="2">
        <v>9.8000000000000007</v>
      </c>
      <c r="AO425" s="2">
        <v>29.7</v>
      </c>
      <c r="AP425" s="2">
        <v>564</v>
      </c>
      <c r="AQ425" s="2">
        <v>68</v>
      </c>
      <c r="AR425" s="2">
        <v>1.8</v>
      </c>
      <c r="AS425" s="2">
        <v>43</v>
      </c>
      <c r="AT425" s="2">
        <v>25.4</v>
      </c>
      <c r="AU425" s="2">
        <v>162</v>
      </c>
      <c r="AV425" s="2">
        <v>9.1</v>
      </c>
      <c r="AW425" s="2">
        <v>9.1999999999999993</v>
      </c>
      <c r="AX425" s="2">
        <v>18.3</v>
      </c>
      <c r="AY425" s="2">
        <v>0.34</v>
      </c>
      <c r="AZ425" s="2">
        <v>7.3</v>
      </c>
      <c r="BA425" s="2">
        <v>0.9</v>
      </c>
      <c r="BB425" s="2">
        <v>7.5</v>
      </c>
      <c r="BC425" s="2">
        <v>2.9</v>
      </c>
      <c r="BD425" s="2">
        <f>+AN425*EXP(-0.0495*Y425)</f>
        <v>8.4565944589453199</v>
      </c>
      <c r="BE425" s="2">
        <f>+AO425*EXP(-0.024*Y425)</f>
        <v>27.651030659985608</v>
      </c>
    </row>
    <row r="426" spans="1:57" x14ac:dyDescent="0.2">
      <c r="A426" s="2" t="s">
        <v>3716</v>
      </c>
      <c r="B426" s="2" t="s">
        <v>19</v>
      </c>
      <c r="C426" s="2" t="s">
        <v>3245</v>
      </c>
      <c r="D426" s="2" t="s">
        <v>21</v>
      </c>
      <c r="E426" s="2" t="s">
        <v>446</v>
      </c>
      <c r="F426" s="2">
        <v>3</v>
      </c>
      <c r="G426" s="2">
        <v>38.6</v>
      </c>
      <c r="H426" s="2">
        <v>1</v>
      </c>
      <c r="I426" s="2">
        <v>1</v>
      </c>
      <c r="J426" s="2">
        <v>0</v>
      </c>
      <c r="K426" s="2" t="s">
        <v>61</v>
      </c>
      <c r="L426" s="6" t="s">
        <v>62</v>
      </c>
      <c r="M426" s="5">
        <v>245000000</v>
      </c>
      <c r="N426" s="2">
        <v>0</v>
      </c>
      <c r="O426" s="2">
        <v>4.7275443079999997</v>
      </c>
      <c r="P426" s="2">
        <v>-74.053276060000002</v>
      </c>
      <c r="Q426" s="2" t="s">
        <v>3717</v>
      </c>
      <c r="R426" s="2">
        <v>6347150.2589999996</v>
      </c>
      <c r="S426" s="2">
        <v>0</v>
      </c>
      <c r="T426" s="2" t="s">
        <v>68</v>
      </c>
      <c r="U426" s="2" t="s">
        <v>69</v>
      </c>
      <c r="V426" s="2" t="s">
        <v>28</v>
      </c>
      <c r="W426" s="2" t="s">
        <v>70</v>
      </c>
      <c r="X426" s="2" t="s">
        <v>71</v>
      </c>
      <c r="Y426" s="2">
        <v>2.0934439016960198</v>
      </c>
      <c r="Z426" s="2">
        <v>4.73719444444444</v>
      </c>
      <c r="AA426" s="2">
        <v>-74.069472222222203</v>
      </c>
      <c r="AB426" s="2">
        <v>2555</v>
      </c>
      <c r="AC426" s="2" t="s">
        <v>31</v>
      </c>
      <c r="AD426" s="2" t="s">
        <v>58</v>
      </c>
      <c r="AE426" s="2" t="s">
        <v>33</v>
      </c>
      <c r="AF426" s="2" t="s">
        <v>34</v>
      </c>
      <c r="AG426" s="2" t="s">
        <v>72</v>
      </c>
      <c r="AH426" s="2">
        <v>0.31684982994232103</v>
      </c>
      <c r="AI426" s="2">
        <v>3.4066387008022501</v>
      </c>
      <c r="AJ426" s="2">
        <v>1.5886726239842599</v>
      </c>
      <c r="AK426" s="2">
        <v>0.23904603732339999</v>
      </c>
      <c r="AL426" s="2">
        <v>1.34537550046637E-2</v>
      </c>
      <c r="AM426" s="2">
        <v>15.3</v>
      </c>
      <c r="AN426" s="2">
        <v>9.8000000000000007</v>
      </c>
      <c r="AO426" s="2">
        <v>29.7</v>
      </c>
      <c r="AP426" s="2">
        <v>564</v>
      </c>
      <c r="AQ426" s="2">
        <v>68</v>
      </c>
      <c r="AR426" s="2">
        <v>1.8</v>
      </c>
      <c r="AS426" s="2">
        <v>43</v>
      </c>
      <c r="AT426" s="2">
        <v>25.4</v>
      </c>
      <c r="AU426" s="2">
        <v>162</v>
      </c>
      <c r="AV426" s="2">
        <v>9.1</v>
      </c>
      <c r="AW426" s="2">
        <v>9.1999999999999993</v>
      </c>
      <c r="AX426" s="2">
        <v>18.3</v>
      </c>
      <c r="AY426" s="2">
        <v>0.34</v>
      </c>
      <c r="AZ426" s="2">
        <v>7.3</v>
      </c>
      <c r="BA426" s="2">
        <v>0.9</v>
      </c>
      <c r="BB426" s="2">
        <v>7.5</v>
      </c>
      <c r="BC426" s="2">
        <v>2.9</v>
      </c>
      <c r="BD426" s="2">
        <f>+AN426*EXP(-0.0495*Y426)</f>
        <v>8.8353163584848762</v>
      </c>
      <c r="BE426" s="2">
        <f>+AO426*EXP(-0.024*Y426)</f>
        <v>28.244659406634543</v>
      </c>
    </row>
    <row r="427" spans="1:57" x14ac:dyDescent="0.2">
      <c r="A427" s="2" t="s">
        <v>3849</v>
      </c>
      <c r="B427" s="2" t="s">
        <v>19</v>
      </c>
      <c r="C427" s="2" t="s">
        <v>3245</v>
      </c>
      <c r="D427" s="2" t="s">
        <v>21</v>
      </c>
      <c r="E427" s="2" t="s">
        <v>380</v>
      </c>
      <c r="F427" s="2">
        <v>5</v>
      </c>
      <c r="G427" s="2">
        <v>38.5</v>
      </c>
      <c r="H427" s="2">
        <v>1</v>
      </c>
      <c r="I427" s="2">
        <v>1</v>
      </c>
      <c r="J427" s="2">
        <v>1</v>
      </c>
      <c r="K427" s="2" t="s">
        <v>61</v>
      </c>
      <c r="L427" s="6" t="s">
        <v>62</v>
      </c>
      <c r="M427" s="5">
        <v>414800000</v>
      </c>
      <c r="N427" s="2">
        <v>0</v>
      </c>
      <c r="O427" s="2">
        <v>4.7248058320000004</v>
      </c>
      <c r="P427" s="2">
        <v>-74.049438480000006</v>
      </c>
      <c r="Q427" s="2" t="s">
        <v>3850</v>
      </c>
      <c r="R427" s="2">
        <v>10774025.970000001</v>
      </c>
      <c r="S427" s="2">
        <v>0</v>
      </c>
      <c r="T427" s="2" t="s">
        <v>68</v>
      </c>
      <c r="U427" s="2" t="s">
        <v>69</v>
      </c>
      <c r="V427" s="2" t="s">
        <v>28</v>
      </c>
      <c r="W427" s="2" t="s">
        <v>70</v>
      </c>
      <c r="X427" s="2" t="s">
        <v>71</v>
      </c>
      <c r="Y427" s="2">
        <v>2.6156487656109002</v>
      </c>
      <c r="Z427" s="2">
        <v>4.73719444444444</v>
      </c>
      <c r="AA427" s="2">
        <v>-74.069472222222203</v>
      </c>
      <c r="AB427" s="2">
        <v>2555</v>
      </c>
      <c r="AC427" s="2" t="s">
        <v>31</v>
      </c>
      <c r="AD427" s="2" t="s">
        <v>58</v>
      </c>
      <c r="AE427" s="2" t="s">
        <v>33</v>
      </c>
      <c r="AF427" s="2" t="s">
        <v>34</v>
      </c>
      <c r="AG427" s="2" t="s">
        <v>59</v>
      </c>
      <c r="AH427" s="2">
        <v>0.25490498305667603</v>
      </c>
      <c r="AI427" s="2">
        <v>2.9242209060889399</v>
      </c>
      <c r="AJ427" s="2">
        <v>1.37785849747266</v>
      </c>
      <c r="AK427" s="2">
        <v>8.3370456925129399E-2</v>
      </c>
      <c r="AL427" s="2">
        <v>1.43609813866763E-2</v>
      </c>
      <c r="AM427" s="2">
        <v>15.3</v>
      </c>
      <c r="AN427" s="2">
        <v>9.8000000000000007</v>
      </c>
      <c r="AO427" s="2">
        <v>29.7</v>
      </c>
      <c r="AP427" s="2">
        <v>564</v>
      </c>
      <c r="AQ427" s="2">
        <v>68</v>
      </c>
      <c r="AR427" s="2">
        <v>1.8</v>
      </c>
      <c r="AS427" s="2">
        <v>43</v>
      </c>
      <c r="AT427" s="2">
        <v>25.4</v>
      </c>
      <c r="AU427" s="2">
        <v>162</v>
      </c>
      <c r="AV427" s="2">
        <v>9.1</v>
      </c>
      <c r="AW427" s="2">
        <v>9.1999999999999993</v>
      </c>
      <c r="AX427" s="2">
        <v>18.3</v>
      </c>
      <c r="AY427" s="2">
        <v>0.34</v>
      </c>
      <c r="AZ427" s="2">
        <v>7.3</v>
      </c>
      <c r="BA427" s="2">
        <v>0.9</v>
      </c>
      <c r="BB427" s="2">
        <v>7.5</v>
      </c>
      <c r="BC427" s="2">
        <v>2.9</v>
      </c>
      <c r="BD427" s="2">
        <f>+AN427*EXP(-0.0495*Y427)</f>
        <v>8.6098575344287269</v>
      </c>
      <c r="BE427" s="2">
        <f>+AO427*EXP(-0.024*Y427)</f>
        <v>27.892880454866436</v>
      </c>
    </row>
    <row r="428" spans="1:57" x14ac:dyDescent="0.2">
      <c r="A428" s="2" t="s">
        <v>3677</v>
      </c>
      <c r="B428" s="2" t="s">
        <v>19</v>
      </c>
      <c r="C428" s="2" t="s">
        <v>3245</v>
      </c>
      <c r="D428" s="2" t="s">
        <v>21</v>
      </c>
      <c r="E428" s="2" t="s">
        <v>3678</v>
      </c>
      <c r="F428" s="2">
        <v>3</v>
      </c>
      <c r="G428" s="2">
        <v>38</v>
      </c>
      <c r="H428" s="2">
        <v>1</v>
      </c>
      <c r="I428" s="2">
        <v>1</v>
      </c>
      <c r="J428" s="2">
        <v>2</v>
      </c>
      <c r="K428" s="2" t="s">
        <v>61</v>
      </c>
      <c r="L428" s="6" t="s">
        <v>84</v>
      </c>
      <c r="M428" s="5">
        <v>320000000</v>
      </c>
      <c r="N428" s="2">
        <v>0</v>
      </c>
      <c r="O428" s="2">
        <v>4.7472410199999997</v>
      </c>
      <c r="P428" s="2">
        <v>-74.053718570000001</v>
      </c>
      <c r="Q428" s="2" t="s">
        <v>3679</v>
      </c>
      <c r="R428" s="2">
        <v>8421052.6319999993</v>
      </c>
      <c r="S428" s="2">
        <v>0</v>
      </c>
      <c r="T428" s="2" t="s">
        <v>68</v>
      </c>
      <c r="U428" s="2" t="s">
        <v>69</v>
      </c>
      <c r="V428" s="2" t="s">
        <v>28</v>
      </c>
      <c r="W428" s="2" t="s">
        <v>70</v>
      </c>
      <c r="X428" s="2" t="s">
        <v>71</v>
      </c>
      <c r="Y428" s="2">
        <v>2.0748919715582801</v>
      </c>
      <c r="Z428" s="2">
        <v>4.73719444444444</v>
      </c>
      <c r="AA428" s="2">
        <v>-74.069472222222203</v>
      </c>
      <c r="AB428" s="2">
        <v>2555</v>
      </c>
      <c r="AC428" s="2" t="s">
        <v>31</v>
      </c>
      <c r="AD428" s="2" t="s">
        <v>58</v>
      </c>
      <c r="AE428" s="2" t="s">
        <v>33</v>
      </c>
      <c r="AF428" s="2" t="s">
        <v>34</v>
      </c>
      <c r="AG428" s="2" t="s">
        <v>72</v>
      </c>
      <c r="AH428" s="2">
        <v>0.72607427024721904</v>
      </c>
      <c r="AI428" s="2">
        <v>3.6803412742991499</v>
      </c>
      <c r="AJ428" s="2">
        <v>0.67853603146525598</v>
      </c>
      <c r="AK428" s="2">
        <v>0.471371194228005</v>
      </c>
      <c r="AL428" s="2">
        <v>4.4339473583280701E-3</v>
      </c>
      <c r="AM428" s="2">
        <v>15.3</v>
      </c>
      <c r="AN428" s="2">
        <v>9.8000000000000007</v>
      </c>
      <c r="AO428" s="2">
        <v>29.7</v>
      </c>
      <c r="AP428" s="2">
        <v>564</v>
      </c>
      <c r="AQ428" s="2">
        <v>68</v>
      </c>
      <c r="AR428" s="2">
        <v>1.8</v>
      </c>
      <c r="AS428" s="2">
        <v>43</v>
      </c>
      <c r="AT428" s="2">
        <v>25.4</v>
      </c>
      <c r="AU428" s="2">
        <v>162</v>
      </c>
      <c r="AV428" s="2">
        <v>9.1</v>
      </c>
      <c r="AW428" s="2">
        <v>9.1999999999999993</v>
      </c>
      <c r="AX428" s="2">
        <v>18.3</v>
      </c>
      <c r="AY428" s="2">
        <v>0.34</v>
      </c>
      <c r="AZ428" s="2">
        <v>7.3</v>
      </c>
      <c r="BA428" s="2">
        <v>0.9</v>
      </c>
      <c r="BB428" s="2">
        <v>7.5</v>
      </c>
      <c r="BC428" s="2">
        <v>2.9</v>
      </c>
      <c r="BD428" s="2">
        <f>+AN428*EXP(-0.0495*Y428)</f>
        <v>8.84343373759787</v>
      </c>
      <c r="BE428" s="2">
        <f>+AO428*EXP(-0.024*Y428)</f>
        <v>28.257238037475137</v>
      </c>
    </row>
    <row r="429" spans="1:57" x14ac:dyDescent="0.2">
      <c r="A429" s="2" t="s">
        <v>3974</v>
      </c>
      <c r="B429" s="2" t="s">
        <v>19</v>
      </c>
      <c r="C429" s="2" t="s">
        <v>3245</v>
      </c>
      <c r="D429" s="2" t="s">
        <v>21</v>
      </c>
      <c r="E429" s="2" t="s">
        <v>91</v>
      </c>
      <c r="F429" s="2">
        <v>4</v>
      </c>
      <c r="G429" s="2">
        <v>38</v>
      </c>
      <c r="H429" s="2">
        <v>1</v>
      </c>
      <c r="I429" s="2">
        <v>1</v>
      </c>
      <c r="J429" s="2">
        <v>1</v>
      </c>
      <c r="K429" s="2" t="s">
        <v>61</v>
      </c>
      <c r="L429" s="6" t="s">
        <v>75</v>
      </c>
      <c r="M429" s="5">
        <v>280000000</v>
      </c>
      <c r="N429" s="2">
        <v>0</v>
      </c>
      <c r="O429" s="2">
        <v>4.7416770000000001</v>
      </c>
      <c r="P429" s="2">
        <v>-74.060261999999994</v>
      </c>
      <c r="Q429" s="2" t="s">
        <v>3975</v>
      </c>
      <c r="R429" s="2">
        <v>7368421.0530000003</v>
      </c>
      <c r="S429" s="2">
        <v>0</v>
      </c>
      <c r="T429" s="2" t="s">
        <v>68</v>
      </c>
      <c r="U429" s="2" t="s">
        <v>69</v>
      </c>
      <c r="V429" s="2" t="s">
        <v>28</v>
      </c>
      <c r="W429" s="2" t="s">
        <v>70</v>
      </c>
      <c r="X429" s="2" t="s">
        <v>71</v>
      </c>
      <c r="Y429" s="2">
        <v>1.13710771535105</v>
      </c>
      <c r="Z429" s="2">
        <v>4.73719444444444</v>
      </c>
      <c r="AA429" s="2">
        <v>-74.069472222222203</v>
      </c>
      <c r="AB429" s="2">
        <v>2555</v>
      </c>
      <c r="AC429" s="2" t="s">
        <v>31</v>
      </c>
      <c r="AD429" s="2" t="s">
        <v>58</v>
      </c>
      <c r="AE429" s="2" t="s">
        <v>33</v>
      </c>
      <c r="AF429" s="2" t="s">
        <v>34</v>
      </c>
      <c r="AG429" s="2" t="s">
        <v>72</v>
      </c>
      <c r="AH429" s="2">
        <v>1.3597168495501699</v>
      </c>
      <c r="AI429" s="2">
        <v>4.3576029510064496</v>
      </c>
      <c r="AJ429" s="2">
        <v>1.49455506562768</v>
      </c>
      <c r="AK429" s="2">
        <v>0.420685265647261</v>
      </c>
      <c r="AL429" s="2">
        <v>0.15900331649439001</v>
      </c>
      <c r="AM429" s="2">
        <v>15.3</v>
      </c>
      <c r="AN429" s="2">
        <v>9.8000000000000007</v>
      </c>
      <c r="AO429" s="2">
        <v>29.7</v>
      </c>
      <c r="AP429" s="2">
        <v>564</v>
      </c>
      <c r="AQ429" s="2">
        <v>68</v>
      </c>
      <c r="AR429" s="2">
        <v>1.8</v>
      </c>
      <c r="AS429" s="2">
        <v>43</v>
      </c>
      <c r="AT429" s="2">
        <v>25.4</v>
      </c>
      <c r="AU429" s="2">
        <v>162</v>
      </c>
      <c r="AV429" s="2">
        <v>9.1</v>
      </c>
      <c r="AW429" s="2">
        <v>9.1999999999999993</v>
      </c>
      <c r="AX429" s="2">
        <v>18.3</v>
      </c>
      <c r="AY429" s="2">
        <v>0.34</v>
      </c>
      <c r="AZ429" s="2">
        <v>7.3</v>
      </c>
      <c r="BA429" s="2">
        <v>0.9</v>
      </c>
      <c r="BB429" s="2">
        <v>7.5</v>
      </c>
      <c r="BC429" s="2">
        <v>2.9</v>
      </c>
      <c r="BD429" s="2">
        <f>+AN429*EXP(-0.0495*Y429)</f>
        <v>9.2636260470669374</v>
      </c>
      <c r="BE429" s="2">
        <f>+AO429*EXP(-0.024*Y429)</f>
        <v>28.900429616774471</v>
      </c>
    </row>
    <row r="430" spans="1:57" x14ac:dyDescent="0.2">
      <c r="A430" s="2" t="s">
        <v>4261</v>
      </c>
      <c r="B430" s="2" t="s">
        <v>19</v>
      </c>
      <c r="C430" s="2" t="s">
        <v>3245</v>
      </c>
      <c r="D430" s="2" t="s">
        <v>21</v>
      </c>
      <c r="E430" s="2" t="s">
        <v>493</v>
      </c>
      <c r="F430" s="2">
        <v>3</v>
      </c>
      <c r="G430" s="2">
        <v>38</v>
      </c>
      <c r="H430" s="2">
        <v>2</v>
      </c>
      <c r="I430" s="2">
        <v>1</v>
      </c>
      <c r="J430" s="2">
        <v>0</v>
      </c>
      <c r="K430" s="2" t="s">
        <v>61</v>
      </c>
      <c r="L430" s="6" t="s">
        <v>84</v>
      </c>
      <c r="M430" s="5">
        <v>222000000</v>
      </c>
      <c r="N430" s="2">
        <v>0</v>
      </c>
      <c r="O430" s="2">
        <v>4.7371258999999997</v>
      </c>
      <c r="P430" s="2">
        <v>-74.0841195</v>
      </c>
      <c r="Q430" s="2" t="s">
        <v>4262</v>
      </c>
      <c r="R430" s="2">
        <v>5842105.2630000003</v>
      </c>
      <c r="S430" s="2">
        <v>0</v>
      </c>
      <c r="T430" s="2" t="s">
        <v>68</v>
      </c>
      <c r="U430" s="2" t="s">
        <v>69</v>
      </c>
      <c r="V430" s="2" t="s">
        <v>28</v>
      </c>
      <c r="W430" s="2" t="s">
        <v>70</v>
      </c>
      <c r="X430" s="2" t="s">
        <v>71</v>
      </c>
      <c r="Y430" s="2">
        <v>1.62497559293198</v>
      </c>
      <c r="Z430" s="2">
        <v>4.73719444444444</v>
      </c>
      <c r="AA430" s="2">
        <v>-74.069472222222203</v>
      </c>
      <c r="AB430" s="2">
        <v>2555</v>
      </c>
      <c r="AC430" s="2" t="s">
        <v>31</v>
      </c>
      <c r="AD430" s="2" t="s">
        <v>58</v>
      </c>
      <c r="AE430" s="2" t="s">
        <v>33</v>
      </c>
      <c r="AF430" s="2" t="s">
        <v>34</v>
      </c>
      <c r="AG430" s="2" t="s">
        <v>72</v>
      </c>
      <c r="AH430" s="2">
        <v>0.37616697786118702</v>
      </c>
      <c r="AI430" s="2">
        <v>4.2585791598971596</v>
      </c>
      <c r="AJ430" s="2">
        <v>2.6464589888157599</v>
      </c>
      <c r="AK430" s="2">
        <v>5.42106217479578E-2</v>
      </c>
      <c r="AL430" s="2">
        <v>9.4736722488307806E-2</v>
      </c>
      <c r="AM430" s="2">
        <v>15.3</v>
      </c>
      <c r="AN430" s="2">
        <v>9.8000000000000007</v>
      </c>
      <c r="AO430" s="2">
        <v>29.7</v>
      </c>
      <c r="AP430" s="2">
        <v>564</v>
      </c>
      <c r="AQ430" s="2">
        <v>68</v>
      </c>
      <c r="AR430" s="2">
        <v>1.8</v>
      </c>
      <c r="AS430" s="2">
        <v>43</v>
      </c>
      <c r="AT430" s="2">
        <v>25.4</v>
      </c>
      <c r="AU430" s="2">
        <v>162</v>
      </c>
      <c r="AV430" s="2">
        <v>9.1</v>
      </c>
      <c r="AW430" s="2">
        <v>9.1999999999999993</v>
      </c>
      <c r="AX430" s="2">
        <v>18.3</v>
      </c>
      <c r="AY430" s="2">
        <v>0.34</v>
      </c>
      <c r="AZ430" s="2">
        <v>7.3</v>
      </c>
      <c r="BA430" s="2">
        <v>0.9</v>
      </c>
      <c r="BB430" s="2">
        <v>7.5</v>
      </c>
      <c r="BC430" s="2">
        <v>2.9</v>
      </c>
      <c r="BD430" s="2">
        <f>+AN430*EXP(-0.0495*Y430)</f>
        <v>9.0425941237121084</v>
      </c>
      <c r="BE430" s="2">
        <f>+AO430*EXP(-0.024*Y430)</f>
        <v>28.564012793573468</v>
      </c>
    </row>
    <row r="431" spans="1:57" x14ac:dyDescent="0.2">
      <c r="A431" s="2" t="s">
        <v>3585</v>
      </c>
      <c r="B431" s="2" t="s">
        <v>19</v>
      </c>
      <c r="C431" s="2" t="s">
        <v>3245</v>
      </c>
      <c r="D431" s="2" t="s">
        <v>21</v>
      </c>
      <c r="E431" s="2" t="s">
        <v>156</v>
      </c>
      <c r="F431" s="2">
        <v>4</v>
      </c>
      <c r="G431" s="2">
        <v>37.31</v>
      </c>
      <c r="H431" s="2">
        <v>1</v>
      </c>
      <c r="I431" s="2">
        <v>1</v>
      </c>
      <c r="J431" s="2">
        <v>1</v>
      </c>
      <c r="K431" s="2" t="s">
        <v>61</v>
      </c>
      <c r="L431" s="6" t="s">
        <v>75</v>
      </c>
      <c r="M431" s="5">
        <v>265000000</v>
      </c>
      <c r="N431" s="2">
        <v>0</v>
      </c>
      <c r="O431" s="2">
        <v>4.72776</v>
      </c>
      <c r="P431" s="2">
        <v>-74.048850000000002</v>
      </c>
      <c r="Q431" s="2" t="s">
        <v>3586</v>
      </c>
      <c r="R431" s="2">
        <v>7102653.4440000001</v>
      </c>
      <c r="S431" s="2">
        <v>0</v>
      </c>
      <c r="T431" s="2" t="s">
        <v>68</v>
      </c>
      <c r="U431" s="2" t="s">
        <v>69</v>
      </c>
      <c r="V431" s="2" t="s">
        <v>28</v>
      </c>
      <c r="W431" s="2" t="s">
        <v>70</v>
      </c>
      <c r="X431" s="2" t="s">
        <v>71</v>
      </c>
      <c r="Y431" s="2">
        <v>2.51737162762387</v>
      </c>
      <c r="Z431" s="2">
        <v>4.73719444444444</v>
      </c>
      <c r="AA431" s="2">
        <v>-74.069472222222203</v>
      </c>
      <c r="AB431" s="2">
        <v>2555</v>
      </c>
      <c r="AC431" s="2" t="s">
        <v>31</v>
      </c>
      <c r="AD431" s="2" t="s">
        <v>58</v>
      </c>
      <c r="AE431" s="2" t="s">
        <v>33</v>
      </c>
      <c r="AF431" s="2" t="s">
        <v>34</v>
      </c>
      <c r="AG431" s="2" t="s">
        <v>59</v>
      </c>
      <c r="AH431" s="2">
        <v>0.20907919069931399</v>
      </c>
      <c r="AI431" s="2">
        <v>2.9416487823632802</v>
      </c>
      <c r="AJ431" s="2">
        <v>1.13554778850088</v>
      </c>
      <c r="AK431" s="2">
        <v>7.7452555628140393E-2</v>
      </c>
      <c r="AL431" s="2">
        <v>8.4507960315511499E-2</v>
      </c>
      <c r="AM431" s="2">
        <v>15.3</v>
      </c>
      <c r="AN431" s="2">
        <v>9.8000000000000007</v>
      </c>
      <c r="AO431" s="2">
        <v>29.7</v>
      </c>
      <c r="AP431" s="2">
        <v>564</v>
      </c>
      <c r="AQ431" s="2">
        <v>68</v>
      </c>
      <c r="AR431" s="2">
        <v>1.8</v>
      </c>
      <c r="AS431" s="2">
        <v>43</v>
      </c>
      <c r="AT431" s="2">
        <v>25.4</v>
      </c>
      <c r="AU431" s="2">
        <v>162</v>
      </c>
      <c r="AV431" s="2">
        <v>9.1</v>
      </c>
      <c r="AW431" s="2">
        <v>9.1999999999999993</v>
      </c>
      <c r="AX431" s="2">
        <v>18.3</v>
      </c>
      <c r="AY431" s="2">
        <v>0.34</v>
      </c>
      <c r="AZ431" s="2">
        <v>7.3</v>
      </c>
      <c r="BA431" s="2">
        <v>0.9</v>
      </c>
      <c r="BB431" s="2">
        <v>7.5</v>
      </c>
      <c r="BC431" s="2">
        <v>2.9</v>
      </c>
      <c r="BD431" s="2">
        <f>+AN431*EXP(-0.0495*Y431)</f>
        <v>8.651844109827028</v>
      </c>
      <c r="BE431" s="2">
        <f>+AO431*EXP(-0.024*Y431)</f>
        <v>27.958747682313049</v>
      </c>
    </row>
    <row r="432" spans="1:57" x14ac:dyDescent="0.2">
      <c r="A432" s="2" t="s">
        <v>115</v>
      </c>
      <c r="B432" s="2" t="s">
        <v>19</v>
      </c>
      <c r="C432" s="2" t="s">
        <v>20</v>
      </c>
      <c r="D432" s="2" t="s">
        <v>21</v>
      </c>
      <c r="E432" s="2" t="s">
        <v>116</v>
      </c>
      <c r="F432" s="2">
        <v>4</v>
      </c>
      <c r="G432" s="2">
        <v>37</v>
      </c>
      <c r="H432" s="2">
        <v>2</v>
      </c>
      <c r="I432" s="2">
        <v>1</v>
      </c>
      <c r="J432" s="2">
        <v>0</v>
      </c>
      <c r="K432" s="2" t="s">
        <v>61</v>
      </c>
      <c r="L432" s="6" t="s">
        <v>62</v>
      </c>
      <c r="M432" s="5">
        <v>270000000</v>
      </c>
      <c r="N432" s="2">
        <v>0</v>
      </c>
      <c r="O432" s="2">
        <v>4.7571954999999999</v>
      </c>
      <c r="P432" s="2">
        <v>-74.052574000000007</v>
      </c>
      <c r="Q432" s="2" t="s">
        <v>117</v>
      </c>
      <c r="R432" s="2">
        <v>7297297.2970000003</v>
      </c>
      <c r="S432" s="2">
        <v>0</v>
      </c>
      <c r="T432" s="2" t="s">
        <v>68</v>
      </c>
      <c r="U432" s="2" t="s">
        <v>69</v>
      </c>
      <c r="V432" s="2" t="s">
        <v>28</v>
      </c>
      <c r="W432" s="2" t="s">
        <v>70</v>
      </c>
      <c r="X432" s="2" t="s">
        <v>71</v>
      </c>
      <c r="Y432" s="2">
        <v>2.9106084804418102</v>
      </c>
      <c r="Z432" s="2">
        <v>4.73719444444444</v>
      </c>
      <c r="AA432" s="2">
        <v>-74.069472222222203</v>
      </c>
      <c r="AB432" s="2">
        <v>2555</v>
      </c>
      <c r="AC432" s="2" t="s">
        <v>31</v>
      </c>
      <c r="AD432" s="2" t="s">
        <v>58</v>
      </c>
      <c r="AE432" s="2" t="s">
        <v>33</v>
      </c>
      <c r="AF432" s="2" t="s">
        <v>34</v>
      </c>
      <c r="AG432" s="2" t="s">
        <v>72</v>
      </c>
      <c r="AH432" s="2">
        <v>0.77772871359934703</v>
      </c>
      <c r="AI432" s="2">
        <v>3.3896119000015701</v>
      </c>
      <c r="AJ432" s="2">
        <v>0.43432513631529801</v>
      </c>
      <c r="AK432" s="2">
        <v>0.180647385569949</v>
      </c>
      <c r="AL432" s="2">
        <v>7.6180792166303302E-2</v>
      </c>
      <c r="AM432" s="2">
        <v>15.3</v>
      </c>
      <c r="AN432" s="2">
        <v>9.8000000000000007</v>
      </c>
      <c r="AO432" s="2">
        <v>29.7</v>
      </c>
      <c r="AP432" s="2">
        <v>564</v>
      </c>
      <c r="AQ432" s="2">
        <v>68</v>
      </c>
      <c r="AR432" s="2">
        <v>1.8</v>
      </c>
      <c r="AS432" s="2">
        <v>43</v>
      </c>
      <c r="AT432" s="2">
        <v>25.4</v>
      </c>
      <c r="AU432" s="2">
        <v>162</v>
      </c>
      <c r="AV432" s="2">
        <v>9.1</v>
      </c>
      <c r="AW432" s="2">
        <v>9.1999999999999993</v>
      </c>
      <c r="AX432" s="2">
        <v>18.3</v>
      </c>
      <c r="AY432" s="2">
        <v>0.34</v>
      </c>
      <c r="AZ432" s="2">
        <v>7.3</v>
      </c>
      <c r="BA432" s="2">
        <v>0.9</v>
      </c>
      <c r="BB432" s="2">
        <v>7.5</v>
      </c>
      <c r="BC432" s="2">
        <v>2.9</v>
      </c>
      <c r="BD432" s="2">
        <f>+AN432*EXP(-0.0495*Y432)</f>
        <v>8.4850625109941085</v>
      </c>
      <c r="BE432" s="2">
        <f>+AO432*EXP(-0.024*Y432)</f>
        <v>27.696123076982349</v>
      </c>
    </row>
    <row r="433" spans="1:57" x14ac:dyDescent="0.2">
      <c r="A433" s="2" t="s">
        <v>909</v>
      </c>
      <c r="B433" s="2" t="s">
        <v>19</v>
      </c>
      <c r="C433" s="2" t="s">
        <v>20</v>
      </c>
      <c r="D433" s="2" t="s">
        <v>21</v>
      </c>
      <c r="E433" s="2" t="s">
        <v>910</v>
      </c>
      <c r="F433" s="2">
        <v>4</v>
      </c>
      <c r="G433" s="2">
        <v>37</v>
      </c>
      <c r="H433" s="2">
        <v>1</v>
      </c>
      <c r="I433" s="2">
        <v>1</v>
      </c>
      <c r="J433" s="2">
        <v>0</v>
      </c>
      <c r="K433" s="2" t="s">
        <v>61</v>
      </c>
      <c r="L433" s="6" t="s">
        <v>62</v>
      </c>
      <c r="M433" s="5">
        <v>260000000</v>
      </c>
      <c r="N433" s="2">
        <v>0</v>
      </c>
      <c r="O433" s="2">
        <v>4.7584169999999997</v>
      </c>
      <c r="P433" s="2">
        <v>-74.052120000000002</v>
      </c>
      <c r="Q433" s="2" t="s">
        <v>911</v>
      </c>
      <c r="R433" s="2">
        <v>7027027.0269999998</v>
      </c>
      <c r="S433" s="2">
        <v>0</v>
      </c>
      <c r="T433" s="2" t="s">
        <v>102</v>
      </c>
      <c r="U433" s="2" t="s">
        <v>103</v>
      </c>
      <c r="V433" s="2" t="s">
        <v>28</v>
      </c>
      <c r="W433" s="2" t="s">
        <v>70</v>
      </c>
      <c r="X433" s="2" t="s">
        <v>104</v>
      </c>
      <c r="Y433" s="2">
        <v>2.9557753495646102</v>
      </c>
      <c r="Z433" s="2">
        <v>4.7837500000000004</v>
      </c>
      <c r="AA433" s="2">
        <v>-74.044138888888895</v>
      </c>
      <c r="AB433" s="2">
        <v>2580</v>
      </c>
      <c r="AC433" s="2" t="s">
        <v>105</v>
      </c>
      <c r="AD433" s="2" t="s">
        <v>58</v>
      </c>
      <c r="AE433" s="2" t="s">
        <v>33</v>
      </c>
      <c r="AF433" s="2" t="s">
        <v>34</v>
      </c>
      <c r="AG433" s="2" t="s">
        <v>72</v>
      </c>
      <c r="AH433" s="2">
        <v>0.79341067480966898</v>
      </c>
      <c r="AI433" s="2">
        <v>3.34257664552822</v>
      </c>
      <c r="AJ433" s="2">
        <v>0.577642569756319</v>
      </c>
      <c r="AK433" s="2">
        <v>0.24104012890625601</v>
      </c>
      <c r="AL433" s="2">
        <v>1.02187826009662E-2</v>
      </c>
      <c r="AM433" s="2">
        <v>15.3</v>
      </c>
      <c r="AN433" s="2">
        <v>9.8000000000000007</v>
      </c>
      <c r="AO433" s="2">
        <v>29.7</v>
      </c>
      <c r="AP433" s="2">
        <v>564</v>
      </c>
      <c r="AQ433" s="2">
        <v>68</v>
      </c>
      <c r="AR433" s="2">
        <v>1.8</v>
      </c>
      <c r="AS433" s="2">
        <v>43</v>
      </c>
      <c r="AT433" s="2">
        <v>25.4</v>
      </c>
      <c r="AU433" s="2">
        <v>162</v>
      </c>
      <c r="AV433" s="2">
        <v>9.1</v>
      </c>
      <c r="AW433" s="2">
        <v>9.1999999999999993</v>
      </c>
      <c r="AX433" s="2">
        <v>18.3</v>
      </c>
      <c r="AY433" s="2">
        <v>0.34</v>
      </c>
      <c r="AZ433" s="2">
        <v>7.3</v>
      </c>
      <c r="BA433" s="2">
        <v>0.9</v>
      </c>
      <c r="BB433" s="2">
        <v>7.5</v>
      </c>
      <c r="BC433" s="2">
        <v>2.9</v>
      </c>
      <c r="BD433" s="2">
        <f>+AN433*EXP(-0.0495*Y433)</f>
        <v>8.4661131384695913</v>
      </c>
      <c r="BE433" s="2">
        <f>+AO433*EXP(-0.024*Y433)</f>
        <v>27.666116611508386</v>
      </c>
    </row>
    <row r="434" spans="1:57" x14ac:dyDescent="0.2">
      <c r="A434" s="2" t="s">
        <v>3827</v>
      </c>
      <c r="B434" s="2" t="s">
        <v>19</v>
      </c>
      <c r="C434" s="2" t="s">
        <v>3245</v>
      </c>
      <c r="D434" s="2" t="s">
        <v>21</v>
      </c>
      <c r="E434" s="2" t="s">
        <v>3418</v>
      </c>
      <c r="F434" s="2">
        <v>3</v>
      </c>
      <c r="G434" s="2">
        <v>37</v>
      </c>
      <c r="H434" s="2">
        <v>1</v>
      </c>
      <c r="I434" s="2">
        <v>1</v>
      </c>
      <c r="J434" s="2">
        <v>0</v>
      </c>
      <c r="K434" s="2" t="s">
        <v>61</v>
      </c>
      <c r="L434" s="6" t="s">
        <v>62</v>
      </c>
      <c r="M434" s="5">
        <v>250000000</v>
      </c>
      <c r="N434" s="2">
        <v>0</v>
      </c>
      <c r="O434" s="2">
        <v>4.7292500000000004</v>
      </c>
      <c r="P434" s="2">
        <v>-74.094999999999999</v>
      </c>
      <c r="Q434" s="2" t="s">
        <v>3828</v>
      </c>
      <c r="R434" s="2">
        <v>6756756.7570000002</v>
      </c>
      <c r="S434" s="2">
        <v>0</v>
      </c>
      <c r="T434" s="2" t="s">
        <v>68</v>
      </c>
      <c r="U434" s="2" t="s">
        <v>69</v>
      </c>
      <c r="V434" s="2" t="s">
        <v>28</v>
      </c>
      <c r="W434" s="2" t="s">
        <v>70</v>
      </c>
      <c r="X434" s="2" t="s">
        <v>71</v>
      </c>
      <c r="Y434" s="2">
        <v>2.9669191408723501</v>
      </c>
      <c r="Z434" s="2">
        <v>4.73719444444444</v>
      </c>
      <c r="AA434" s="2">
        <v>-74.069472222222203</v>
      </c>
      <c r="AB434" s="2">
        <v>2555</v>
      </c>
      <c r="AC434" s="2" t="s">
        <v>31</v>
      </c>
      <c r="AD434" s="2" t="s">
        <v>58</v>
      </c>
      <c r="AE434" s="2" t="s">
        <v>33</v>
      </c>
      <c r="AF434" s="2" t="s">
        <v>34</v>
      </c>
      <c r="AG434" s="2" t="s">
        <v>72</v>
      </c>
      <c r="AH434" s="2">
        <v>1.3907839109820599</v>
      </c>
      <c r="AI434" s="2">
        <v>3.3169765508328299</v>
      </c>
      <c r="AJ434" s="2">
        <v>2.95204803820784</v>
      </c>
      <c r="AK434" s="2">
        <v>0.40884095948704502</v>
      </c>
      <c r="AL434" s="2">
        <v>0.104993462424654</v>
      </c>
      <c r="AM434" s="2">
        <v>15.3</v>
      </c>
      <c r="AN434" s="2">
        <v>9.8000000000000007</v>
      </c>
      <c r="AO434" s="2">
        <v>29.7</v>
      </c>
      <c r="AP434" s="2">
        <v>564</v>
      </c>
      <c r="AQ434" s="2">
        <v>68</v>
      </c>
      <c r="AR434" s="2">
        <v>1.8</v>
      </c>
      <c r="AS434" s="2">
        <v>43</v>
      </c>
      <c r="AT434" s="2">
        <v>25.4</v>
      </c>
      <c r="AU434" s="2">
        <v>162</v>
      </c>
      <c r="AV434" s="2">
        <v>9.1</v>
      </c>
      <c r="AW434" s="2">
        <v>9.1999999999999993</v>
      </c>
      <c r="AX434" s="2">
        <v>18.3</v>
      </c>
      <c r="AY434" s="2">
        <v>0.34</v>
      </c>
      <c r="AZ434" s="2">
        <v>7.3</v>
      </c>
      <c r="BA434" s="2">
        <v>0.9</v>
      </c>
      <c r="BB434" s="2">
        <v>7.5</v>
      </c>
      <c r="BC434" s="2">
        <v>2.9</v>
      </c>
      <c r="BD434" s="2">
        <f>+AN434*EXP(-0.0495*Y434)</f>
        <v>8.461444368674794</v>
      </c>
      <c r="BE434" s="2">
        <f>+AO434*EXP(-0.024*Y434)</f>
        <v>27.658718270583751</v>
      </c>
    </row>
    <row r="435" spans="1:57" x14ac:dyDescent="0.2">
      <c r="A435" s="2" t="s">
        <v>4317</v>
      </c>
      <c r="B435" s="2" t="s">
        <v>19</v>
      </c>
      <c r="C435" s="2" t="s">
        <v>3245</v>
      </c>
      <c r="D435" s="2" t="s">
        <v>21</v>
      </c>
      <c r="E435" s="2" t="s">
        <v>4318</v>
      </c>
      <c r="F435" s="2">
        <v>3</v>
      </c>
      <c r="G435" s="2">
        <v>35.799999999999997</v>
      </c>
      <c r="H435" s="2">
        <v>1</v>
      </c>
      <c r="I435" s="2">
        <v>1</v>
      </c>
      <c r="J435" s="2">
        <v>0</v>
      </c>
      <c r="K435" s="2" t="s">
        <v>61</v>
      </c>
      <c r="L435" s="6" t="s">
        <v>62</v>
      </c>
      <c r="M435" s="5">
        <v>234999999</v>
      </c>
      <c r="N435" s="2">
        <v>0</v>
      </c>
      <c r="O435" s="2">
        <v>4.7491199999999996</v>
      </c>
      <c r="P435" s="2">
        <v>-74.027289999999994</v>
      </c>
      <c r="Q435" s="2" t="s">
        <v>4319</v>
      </c>
      <c r="R435" s="2">
        <v>6564245.7819999997</v>
      </c>
      <c r="S435" s="2">
        <v>0</v>
      </c>
      <c r="T435" s="2" t="s">
        <v>102</v>
      </c>
      <c r="U435" s="2" t="s">
        <v>103</v>
      </c>
      <c r="V435" s="2" t="s">
        <v>28</v>
      </c>
      <c r="W435" s="2" t="s">
        <v>70</v>
      </c>
      <c r="X435" s="2" t="s">
        <v>104</v>
      </c>
      <c r="Y435" s="2">
        <v>4.2842269289581703</v>
      </c>
      <c r="Z435" s="2">
        <v>4.7837500000000004</v>
      </c>
      <c r="AA435" s="2">
        <v>-74.044138888888895</v>
      </c>
      <c r="AB435" s="2">
        <v>2580</v>
      </c>
      <c r="AC435" s="2" t="s">
        <v>105</v>
      </c>
      <c r="AD435" s="2" t="s">
        <v>58</v>
      </c>
      <c r="AE435" s="2" t="s">
        <v>33</v>
      </c>
      <c r="AF435" s="2" t="s">
        <v>34</v>
      </c>
      <c r="AG435" s="2" t="s">
        <v>59</v>
      </c>
      <c r="AH435" s="2">
        <v>2.1664101264058</v>
      </c>
      <c r="AI435" s="2">
        <v>0.75417960171493903</v>
      </c>
      <c r="AJ435" s="2">
        <v>0.204282584578339</v>
      </c>
      <c r="AK435" s="2">
        <v>0.83323687237800903</v>
      </c>
      <c r="AL435" s="2">
        <v>0.206693226844124</v>
      </c>
      <c r="AM435" s="2">
        <v>15.3</v>
      </c>
      <c r="AN435" s="2">
        <v>9.8000000000000007</v>
      </c>
      <c r="AO435" s="2">
        <v>29.7</v>
      </c>
      <c r="AP435" s="2">
        <v>564</v>
      </c>
      <c r="AQ435" s="2">
        <v>68</v>
      </c>
      <c r="AR435" s="2">
        <v>1.8</v>
      </c>
      <c r="AS435" s="2">
        <v>43</v>
      </c>
      <c r="AT435" s="2">
        <v>25.4</v>
      </c>
      <c r="AU435" s="2">
        <v>162</v>
      </c>
      <c r="AV435" s="2">
        <v>9.1</v>
      </c>
      <c r="AW435" s="2">
        <v>9.1999999999999993</v>
      </c>
      <c r="AX435" s="2">
        <v>18.3</v>
      </c>
      <c r="AY435" s="2">
        <v>0.34</v>
      </c>
      <c r="AZ435" s="2">
        <v>7.3</v>
      </c>
      <c r="BA435" s="2">
        <v>0.9</v>
      </c>
      <c r="BB435" s="2">
        <v>7.5</v>
      </c>
      <c r="BC435" s="2">
        <v>2.9</v>
      </c>
      <c r="BD435" s="2">
        <f>+AN435*EXP(-0.0495*Y435)</f>
        <v>7.9273051861640633</v>
      </c>
      <c r="BE435" s="2">
        <f>+AO435*EXP(-0.024*Y435)</f>
        <v>26.797955559499627</v>
      </c>
    </row>
    <row r="436" spans="1:57" x14ac:dyDescent="0.2">
      <c r="A436" s="2" t="s">
        <v>3323</v>
      </c>
      <c r="B436" s="2" t="s">
        <v>19</v>
      </c>
      <c r="C436" s="2" t="s">
        <v>3245</v>
      </c>
      <c r="D436" s="2" t="s">
        <v>21</v>
      </c>
      <c r="E436" s="2" t="s">
        <v>819</v>
      </c>
      <c r="F436" s="2">
        <v>4</v>
      </c>
      <c r="G436" s="2">
        <v>35.39</v>
      </c>
      <c r="H436" s="2">
        <v>1</v>
      </c>
      <c r="I436" s="2">
        <v>1</v>
      </c>
      <c r="J436" s="2">
        <v>1</v>
      </c>
      <c r="K436" s="2" t="s">
        <v>61</v>
      </c>
      <c r="L436" s="6" t="s">
        <v>75</v>
      </c>
      <c r="M436" s="5">
        <v>235000000</v>
      </c>
      <c r="N436" s="2">
        <v>0</v>
      </c>
      <c r="O436" s="2">
        <v>4.7434345000000002</v>
      </c>
      <c r="P436" s="2">
        <v>-74.037704500000004</v>
      </c>
      <c r="Q436" s="2" t="s">
        <v>3324</v>
      </c>
      <c r="R436" s="2">
        <v>6640293.8679999998</v>
      </c>
      <c r="S436" s="2">
        <v>0</v>
      </c>
      <c r="T436" s="2" t="s">
        <v>68</v>
      </c>
      <c r="U436" s="2" t="s">
        <v>69</v>
      </c>
      <c r="V436" s="2" t="s">
        <v>28</v>
      </c>
      <c r="W436" s="2" t="s">
        <v>70</v>
      </c>
      <c r="X436" s="2" t="s">
        <v>71</v>
      </c>
      <c r="Y436" s="2">
        <v>3.5920755565124298</v>
      </c>
      <c r="Z436" s="2">
        <v>4.73719444444444</v>
      </c>
      <c r="AA436" s="2">
        <v>-74.069472222222203</v>
      </c>
      <c r="AB436" s="2">
        <v>2555</v>
      </c>
      <c r="AC436" s="2" t="s">
        <v>31</v>
      </c>
      <c r="AD436" s="2" t="s">
        <v>58</v>
      </c>
      <c r="AE436" s="2" t="s">
        <v>33</v>
      </c>
      <c r="AF436" s="2" t="s">
        <v>34</v>
      </c>
      <c r="AG436" s="2" t="s">
        <v>59</v>
      </c>
      <c r="AH436" s="2">
        <v>1.1016131624496499</v>
      </c>
      <c r="AI436" s="2">
        <v>1.9691601124040099</v>
      </c>
      <c r="AJ436" s="2">
        <v>0.98788575613187601</v>
      </c>
      <c r="AK436" s="2">
        <v>0.24362193765677101</v>
      </c>
      <c r="AL436" s="2">
        <v>0.135442760742119</v>
      </c>
      <c r="AM436" s="2">
        <v>15.3</v>
      </c>
      <c r="AN436" s="2">
        <v>9.8000000000000007</v>
      </c>
      <c r="AO436" s="2">
        <v>29.7</v>
      </c>
      <c r="AP436" s="2">
        <v>564</v>
      </c>
      <c r="AQ436" s="2">
        <v>68</v>
      </c>
      <c r="AR436" s="2">
        <v>1.8</v>
      </c>
      <c r="AS436" s="2">
        <v>43</v>
      </c>
      <c r="AT436" s="2">
        <v>25.4</v>
      </c>
      <c r="AU436" s="2">
        <v>162</v>
      </c>
      <c r="AV436" s="2">
        <v>9.1</v>
      </c>
      <c r="AW436" s="2">
        <v>9.1999999999999993</v>
      </c>
      <c r="AX436" s="2">
        <v>18.3</v>
      </c>
      <c r="AY436" s="2">
        <v>0.34</v>
      </c>
      <c r="AZ436" s="2">
        <v>7.3</v>
      </c>
      <c r="BA436" s="2">
        <v>0.9</v>
      </c>
      <c r="BB436" s="2">
        <v>7.5</v>
      </c>
      <c r="BC436" s="2">
        <v>2.9</v>
      </c>
      <c r="BD436" s="2">
        <f>+AN436*EXP(-0.0495*Y436)</f>
        <v>8.2036128247940532</v>
      </c>
      <c r="BE436" s="2">
        <f>+AO436*EXP(-0.024*Y436)</f>
        <v>27.246831318343983</v>
      </c>
    </row>
    <row r="437" spans="1:57" x14ac:dyDescent="0.2">
      <c r="A437" s="2" t="s">
        <v>1062</v>
      </c>
      <c r="B437" s="2" t="s">
        <v>19</v>
      </c>
      <c r="C437" s="2" t="s">
        <v>20</v>
      </c>
      <c r="D437" s="2" t="s">
        <v>21</v>
      </c>
      <c r="E437" s="2" t="s">
        <v>374</v>
      </c>
      <c r="F437" s="2">
        <v>4</v>
      </c>
      <c r="G437" s="2">
        <v>35.17</v>
      </c>
      <c r="H437" s="2">
        <v>2</v>
      </c>
      <c r="I437" s="2">
        <v>1</v>
      </c>
      <c r="J437" s="2">
        <v>0</v>
      </c>
      <c r="K437" s="2" t="s">
        <v>61</v>
      </c>
      <c r="L437" s="6" t="s">
        <v>62</v>
      </c>
      <c r="M437" s="5">
        <v>295000000</v>
      </c>
      <c r="N437" s="2">
        <v>0</v>
      </c>
      <c r="O437" s="2">
        <v>4.7523999999999997</v>
      </c>
      <c r="P437" s="2">
        <v>-74.031739999999999</v>
      </c>
      <c r="Q437" s="2" t="s">
        <v>1063</v>
      </c>
      <c r="R437" s="2">
        <v>8387830.5369999995</v>
      </c>
      <c r="S437" s="2">
        <v>0</v>
      </c>
      <c r="T437" s="2" t="s">
        <v>102</v>
      </c>
      <c r="U437" s="2" t="s">
        <v>103</v>
      </c>
      <c r="V437" s="2" t="s">
        <v>28</v>
      </c>
      <c r="W437" s="2" t="s">
        <v>70</v>
      </c>
      <c r="X437" s="2" t="s">
        <v>104</v>
      </c>
      <c r="Y437" s="2">
        <v>3.7511410397782901</v>
      </c>
      <c r="Z437" s="2">
        <v>4.7837500000000004</v>
      </c>
      <c r="AA437" s="2">
        <v>-74.044138888888895</v>
      </c>
      <c r="AB437" s="2">
        <v>2580</v>
      </c>
      <c r="AC437" s="2" t="s">
        <v>105</v>
      </c>
      <c r="AD437" s="2" t="s">
        <v>58</v>
      </c>
      <c r="AE437" s="2" t="s">
        <v>33</v>
      </c>
      <c r="AF437" s="2" t="s">
        <v>34</v>
      </c>
      <c r="AG437" s="2" t="s">
        <v>59</v>
      </c>
      <c r="AH437" s="2">
        <v>1.6048489219597999</v>
      </c>
      <c r="AI437" s="2">
        <v>1.1966062195442799</v>
      </c>
      <c r="AJ437" s="2">
        <v>0.20411455915511101</v>
      </c>
      <c r="AK437" s="2">
        <v>1.01936209298696</v>
      </c>
      <c r="AL437" s="2">
        <v>8.1972117926907298E-2</v>
      </c>
      <c r="AM437" s="2">
        <v>15.3</v>
      </c>
      <c r="AN437" s="2">
        <v>9.8000000000000007</v>
      </c>
      <c r="AO437" s="2">
        <v>29.7</v>
      </c>
      <c r="AP437" s="2">
        <v>564</v>
      </c>
      <c r="AQ437" s="2">
        <v>68</v>
      </c>
      <c r="AR437" s="2">
        <v>1.8</v>
      </c>
      <c r="AS437" s="2">
        <v>43</v>
      </c>
      <c r="AT437" s="2">
        <v>25.4</v>
      </c>
      <c r="AU437" s="2">
        <v>162</v>
      </c>
      <c r="AV437" s="2">
        <v>9.1</v>
      </c>
      <c r="AW437" s="2">
        <v>9.1999999999999993</v>
      </c>
      <c r="AX437" s="2">
        <v>18.3</v>
      </c>
      <c r="AY437" s="2">
        <v>0.34</v>
      </c>
      <c r="AZ437" s="2">
        <v>7.3</v>
      </c>
      <c r="BA437" s="2">
        <v>0.9</v>
      </c>
      <c r="BB437" s="2">
        <v>7.5</v>
      </c>
      <c r="BC437" s="2">
        <v>2.9</v>
      </c>
      <c r="BD437" s="2">
        <f>+AN437*EXP(-0.0495*Y437)</f>
        <v>8.1392733273690698</v>
      </c>
      <c r="BE437" s="2">
        <f>+AO437*EXP(-0.024*Y437)</f>
        <v>27.143012882199997</v>
      </c>
    </row>
    <row r="438" spans="1:57" x14ac:dyDescent="0.2">
      <c r="A438" s="2" t="s">
        <v>373</v>
      </c>
      <c r="B438" s="2" t="s">
        <v>19</v>
      </c>
      <c r="C438" s="2" t="s">
        <v>20</v>
      </c>
      <c r="D438" s="2" t="s">
        <v>21</v>
      </c>
      <c r="E438" s="2" t="s">
        <v>374</v>
      </c>
      <c r="F438" s="2">
        <v>3</v>
      </c>
      <c r="G438" s="2">
        <v>35.15</v>
      </c>
      <c r="H438" s="2">
        <v>2</v>
      </c>
      <c r="I438" s="2">
        <v>1</v>
      </c>
      <c r="J438" s="2">
        <v>0</v>
      </c>
      <c r="K438" s="2" t="s">
        <v>61</v>
      </c>
      <c r="L438" s="6" t="s">
        <v>62</v>
      </c>
      <c r="M438" s="5">
        <v>320000000</v>
      </c>
      <c r="N438" s="2">
        <v>0</v>
      </c>
      <c r="O438" s="2">
        <v>4.7531566620000003</v>
      </c>
      <c r="P438" s="2">
        <v>-74.036033630000006</v>
      </c>
      <c r="Q438" s="2" t="s">
        <v>375</v>
      </c>
      <c r="R438" s="2">
        <v>9103840.6830000002</v>
      </c>
      <c r="S438" s="2">
        <v>0</v>
      </c>
      <c r="T438" s="2" t="s">
        <v>102</v>
      </c>
      <c r="U438" s="2" t="s">
        <v>103</v>
      </c>
      <c r="V438" s="2" t="s">
        <v>28</v>
      </c>
      <c r="W438" s="2" t="s">
        <v>70</v>
      </c>
      <c r="X438" s="2" t="s">
        <v>104</v>
      </c>
      <c r="Y438" s="2">
        <v>3.5223315764246901</v>
      </c>
      <c r="Z438" s="2">
        <v>4.7837500000000004</v>
      </c>
      <c r="AA438" s="2">
        <v>-74.044138888888895</v>
      </c>
      <c r="AB438" s="2">
        <v>2580</v>
      </c>
      <c r="AC438" s="2" t="s">
        <v>105</v>
      </c>
      <c r="AD438" s="2" t="s">
        <v>58</v>
      </c>
      <c r="AE438" s="2" t="s">
        <v>33</v>
      </c>
      <c r="AF438" s="2" t="s">
        <v>34</v>
      </c>
      <c r="AG438" s="2" t="s">
        <v>59</v>
      </c>
      <c r="AH438" s="2">
        <v>1.12167294787781</v>
      </c>
      <c r="AI438" s="2">
        <v>1.61468119685348</v>
      </c>
      <c r="AJ438" s="2">
        <v>0.65062909330373897</v>
      </c>
      <c r="AK438" s="2">
        <v>0.83602913175073501</v>
      </c>
      <c r="AL438" s="2">
        <v>0.17382242837807901</v>
      </c>
      <c r="AM438" s="2">
        <v>15.3</v>
      </c>
      <c r="AN438" s="2">
        <v>9.8000000000000007</v>
      </c>
      <c r="AO438" s="2">
        <v>29.7</v>
      </c>
      <c r="AP438" s="2">
        <v>564</v>
      </c>
      <c r="AQ438" s="2">
        <v>68</v>
      </c>
      <c r="AR438" s="2">
        <v>1.8</v>
      </c>
      <c r="AS438" s="2">
        <v>43</v>
      </c>
      <c r="AT438" s="2">
        <v>25.4</v>
      </c>
      <c r="AU438" s="2">
        <v>162</v>
      </c>
      <c r="AV438" s="2">
        <v>9.1</v>
      </c>
      <c r="AW438" s="2">
        <v>9.1999999999999993</v>
      </c>
      <c r="AX438" s="2">
        <v>18.3</v>
      </c>
      <c r="AY438" s="2">
        <v>0.34</v>
      </c>
      <c r="AZ438" s="2">
        <v>7.3</v>
      </c>
      <c r="BA438" s="2">
        <v>0.9</v>
      </c>
      <c r="BB438" s="2">
        <v>7.5</v>
      </c>
      <c r="BC438" s="2">
        <v>2.9</v>
      </c>
      <c r="BD438" s="2">
        <f>+AN438*EXP(-0.0495*Y438)</f>
        <v>8.2319833229048651</v>
      </c>
      <c r="BE438" s="2">
        <f>+AO438*EXP(-0.024*Y438)</f>
        <v>27.292476768693216</v>
      </c>
    </row>
    <row r="439" spans="1:57" x14ac:dyDescent="0.2">
      <c r="A439" s="2" t="s">
        <v>3640</v>
      </c>
      <c r="B439" s="2" t="s">
        <v>19</v>
      </c>
      <c r="C439" s="2" t="s">
        <v>3245</v>
      </c>
      <c r="D439" s="2" t="s">
        <v>21</v>
      </c>
      <c r="E439" s="2" t="s">
        <v>125</v>
      </c>
      <c r="F439" s="2">
        <v>4</v>
      </c>
      <c r="G439" s="2">
        <v>35</v>
      </c>
      <c r="H439" s="2">
        <v>1</v>
      </c>
      <c r="I439" s="2">
        <v>1</v>
      </c>
      <c r="J439" s="2">
        <v>0</v>
      </c>
      <c r="K439" s="2" t="s">
        <v>61</v>
      </c>
      <c r="L439" s="6" t="s">
        <v>84</v>
      </c>
      <c r="M439" s="5">
        <v>290000000</v>
      </c>
      <c r="N439" s="2">
        <v>0</v>
      </c>
      <c r="O439" s="2">
        <v>4.7412805560000004</v>
      </c>
      <c r="P439" s="2">
        <v>-74.069435119999994</v>
      </c>
      <c r="Q439" s="2" t="s">
        <v>3641</v>
      </c>
      <c r="R439" s="2">
        <v>8285714.2860000003</v>
      </c>
      <c r="S439" s="2">
        <v>0</v>
      </c>
      <c r="T439" s="2" t="s">
        <v>68</v>
      </c>
      <c r="U439" s="2" t="s">
        <v>69</v>
      </c>
      <c r="V439" s="2" t="s">
        <v>28</v>
      </c>
      <c r="W439" s="2" t="s">
        <v>70</v>
      </c>
      <c r="X439" s="2" t="s">
        <v>71</v>
      </c>
      <c r="Y439" s="2">
        <v>0.45488248058387398</v>
      </c>
      <c r="Z439" s="2">
        <v>4.73719444444444</v>
      </c>
      <c r="AA439" s="2">
        <v>-74.069472222222203</v>
      </c>
      <c r="AB439" s="2">
        <v>2555</v>
      </c>
      <c r="AC439" s="2" t="s">
        <v>31</v>
      </c>
      <c r="AD439" s="2" t="s">
        <v>58</v>
      </c>
      <c r="AE439" s="2" t="s">
        <v>33</v>
      </c>
      <c r="AF439" s="2" t="s">
        <v>34</v>
      </c>
      <c r="AG439" s="2" t="s">
        <v>72</v>
      </c>
      <c r="AH439" s="2">
        <v>1.43081285123753</v>
      </c>
      <c r="AI439" s="2">
        <v>5.3448745604625199</v>
      </c>
      <c r="AJ439" s="2">
        <v>2.2153819593696502</v>
      </c>
      <c r="AK439" s="2">
        <v>0.56479574971640201</v>
      </c>
      <c r="AL439" s="2">
        <v>1.7404830127152E-2</v>
      </c>
      <c r="AM439" s="2">
        <v>15.3</v>
      </c>
      <c r="AN439" s="2">
        <v>9.8000000000000007</v>
      </c>
      <c r="AO439" s="2">
        <v>29.7</v>
      </c>
      <c r="AP439" s="2">
        <v>564</v>
      </c>
      <c r="AQ439" s="2">
        <v>68</v>
      </c>
      <c r="AR439" s="2">
        <v>1.8</v>
      </c>
      <c r="AS439" s="2">
        <v>43</v>
      </c>
      <c r="AT439" s="2">
        <v>25.4</v>
      </c>
      <c r="AU439" s="2">
        <v>162</v>
      </c>
      <c r="AV439" s="2">
        <v>9.1</v>
      </c>
      <c r="AW439" s="2">
        <v>9.1999999999999993</v>
      </c>
      <c r="AX439" s="2">
        <v>18.3</v>
      </c>
      <c r="AY439" s="2">
        <v>0.34</v>
      </c>
      <c r="AZ439" s="2">
        <v>7.3</v>
      </c>
      <c r="BA439" s="2">
        <v>0.9</v>
      </c>
      <c r="BB439" s="2">
        <v>7.5</v>
      </c>
      <c r="BC439" s="2">
        <v>2.9</v>
      </c>
      <c r="BD439" s="2">
        <f>+AN439*EXP(-0.0495*Y439)</f>
        <v>9.5818022719767058</v>
      </c>
      <c r="BE439" s="2">
        <f>+AO439*EXP(-0.024*Y439)</f>
        <v>29.377523239041846</v>
      </c>
    </row>
    <row r="440" spans="1:57" x14ac:dyDescent="0.2">
      <c r="A440" s="2" t="s">
        <v>1284</v>
      </c>
      <c r="B440" s="2" t="s">
        <v>19</v>
      </c>
      <c r="C440" s="2" t="s">
        <v>20</v>
      </c>
      <c r="D440" s="2" t="s">
        <v>21</v>
      </c>
      <c r="E440" s="2" t="s">
        <v>277</v>
      </c>
      <c r="F440" s="2">
        <v>3</v>
      </c>
      <c r="G440" s="2">
        <v>35</v>
      </c>
      <c r="H440" s="2">
        <v>2</v>
      </c>
      <c r="I440" s="2">
        <v>1</v>
      </c>
      <c r="J440" s="2">
        <v>0</v>
      </c>
      <c r="K440" s="2" t="s">
        <v>61</v>
      </c>
      <c r="L440" s="6" t="s">
        <v>62</v>
      </c>
      <c r="M440" s="5">
        <v>224000000</v>
      </c>
      <c r="N440" s="2">
        <v>0</v>
      </c>
      <c r="O440" s="2">
        <v>4.7492532729999999</v>
      </c>
      <c r="P440" s="2">
        <v>-74.027328490000002</v>
      </c>
      <c r="Q440" s="2" t="s">
        <v>1285</v>
      </c>
      <c r="R440" s="2">
        <v>6400000</v>
      </c>
      <c r="S440" s="2">
        <v>0</v>
      </c>
      <c r="T440" s="2" t="s">
        <v>102</v>
      </c>
      <c r="U440" s="2" t="s">
        <v>103</v>
      </c>
      <c r="V440" s="2" t="s">
        <v>28</v>
      </c>
      <c r="W440" s="2" t="s">
        <v>70</v>
      </c>
      <c r="X440" s="2" t="s">
        <v>104</v>
      </c>
      <c r="Y440" s="2">
        <v>4.2690153127430897</v>
      </c>
      <c r="Z440" s="2">
        <v>4.7837500000000004</v>
      </c>
      <c r="AA440" s="2">
        <v>-74.044138888888895</v>
      </c>
      <c r="AB440" s="2">
        <v>2580</v>
      </c>
      <c r="AC440" s="2" t="s">
        <v>105</v>
      </c>
      <c r="AD440" s="2" t="s">
        <v>58</v>
      </c>
      <c r="AE440" s="2" t="s">
        <v>33</v>
      </c>
      <c r="AF440" s="2" t="s">
        <v>34</v>
      </c>
      <c r="AG440" s="2" t="s">
        <v>59</v>
      </c>
      <c r="AH440" s="2">
        <v>2.1582186365918501</v>
      </c>
      <c r="AI440" s="2">
        <v>0.758483946383672</v>
      </c>
      <c r="AJ440" s="2">
        <v>0.21922052646498499</v>
      </c>
      <c r="AK440" s="2">
        <v>0.8441796074172</v>
      </c>
      <c r="AL440" s="2">
        <v>0.20120353646577199</v>
      </c>
      <c r="AM440" s="2">
        <v>15.3</v>
      </c>
      <c r="AN440" s="2">
        <v>9.8000000000000007</v>
      </c>
      <c r="AO440" s="2">
        <v>29.7</v>
      </c>
      <c r="AP440" s="2">
        <v>564</v>
      </c>
      <c r="AQ440" s="2">
        <v>68</v>
      </c>
      <c r="AR440" s="2">
        <v>1.8</v>
      </c>
      <c r="AS440" s="2">
        <v>43</v>
      </c>
      <c r="AT440" s="2">
        <v>25.4</v>
      </c>
      <c r="AU440" s="2">
        <v>162</v>
      </c>
      <c r="AV440" s="2">
        <v>9.1</v>
      </c>
      <c r="AW440" s="2">
        <v>9.1999999999999993</v>
      </c>
      <c r="AX440" s="2">
        <v>18.3</v>
      </c>
      <c r="AY440" s="2">
        <v>0.34</v>
      </c>
      <c r="AZ440" s="2">
        <v>7.3</v>
      </c>
      <c r="BA440" s="2">
        <v>0.9</v>
      </c>
      <c r="BB440" s="2">
        <v>7.5</v>
      </c>
      <c r="BC440" s="2">
        <v>2.9</v>
      </c>
      <c r="BD440" s="2">
        <f>+AN440*EXP(-0.0495*Y440)</f>
        <v>7.9332764966492286</v>
      </c>
      <c r="BE440" s="2">
        <f>+AO440*EXP(-0.024*Y440)</f>
        <v>26.807740710734205</v>
      </c>
    </row>
    <row r="441" spans="1:57" x14ac:dyDescent="0.2">
      <c r="A441" s="2" t="s">
        <v>1369</v>
      </c>
      <c r="B441" s="2" t="s">
        <v>19</v>
      </c>
      <c r="C441" s="2" t="s">
        <v>20</v>
      </c>
      <c r="D441" s="2" t="s">
        <v>21</v>
      </c>
      <c r="E441" s="2" t="s">
        <v>1370</v>
      </c>
      <c r="F441" s="2">
        <v>3</v>
      </c>
      <c r="G441" s="2">
        <v>34.700000000000003</v>
      </c>
      <c r="H441" s="2">
        <v>1</v>
      </c>
      <c r="I441" s="2">
        <v>1</v>
      </c>
      <c r="J441" s="2">
        <v>1</v>
      </c>
      <c r="K441" s="2" t="s">
        <v>61</v>
      </c>
      <c r="L441" s="6" t="s">
        <v>62</v>
      </c>
      <c r="M441" s="5">
        <v>310000000</v>
      </c>
      <c r="N441" s="2">
        <v>0</v>
      </c>
      <c r="O441" s="2">
        <v>4.7163534159999996</v>
      </c>
      <c r="P441" s="2">
        <v>-74.061294559999993</v>
      </c>
      <c r="Q441" s="2" t="s">
        <v>1371</v>
      </c>
      <c r="R441" s="2">
        <v>8933717.5789999999</v>
      </c>
      <c r="S441" s="2">
        <v>0</v>
      </c>
      <c r="T441" s="2" t="s">
        <v>68</v>
      </c>
      <c r="U441" s="2" t="s">
        <v>69</v>
      </c>
      <c r="V441" s="2" t="s">
        <v>28</v>
      </c>
      <c r="W441" s="2" t="s">
        <v>70</v>
      </c>
      <c r="X441" s="2" t="s">
        <v>71</v>
      </c>
      <c r="Y441" s="2">
        <v>2.4910917342423602</v>
      </c>
      <c r="Z441" s="2">
        <v>4.73719444444444</v>
      </c>
      <c r="AA441" s="2">
        <v>-74.069472222222203</v>
      </c>
      <c r="AB441" s="2">
        <v>2555</v>
      </c>
      <c r="AC441" s="2" t="s">
        <v>31</v>
      </c>
      <c r="AD441" s="2" t="s">
        <v>58</v>
      </c>
      <c r="AE441" s="2" t="s">
        <v>33</v>
      </c>
      <c r="AF441" s="2" t="s">
        <v>34</v>
      </c>
      <c r="AG441" s="2" t="s">
        <v>72</v>
      </c>
      <c r="AH441" s="2">
        <v>0.98873986486427701</v>
      </c>
      <c r="AI441" s="2">
        <v>4.0802731636756002</v>
      </c>
      <c r="AJ441" s="2">
        <v>1.1236393543907199</v>
      </c>
      <c r="AK441" s="2">
        <v>0.30372367528710298</v>
      </c>
      <c r="AL441" s="2">
        <v>6.5098353744391501E-3</v>
      </c>
      <c r="AM441" s="2">
        <v>15.3</v>
      </c>
      <c r="AN441" s="2">
        <v>9.8000000000000007</v>
      </c>
      <c r="AO441" s="2">
        <v>29.7</v>
      </c>
      <c r="AP441" s="2">
        <v>564</v>
      </c>
      <c r="AQ441" s="2">
        <v>68</v>
      </c>
      <c r="AR441" s="2">
        <v>1.8</v>
      </c>
      <c r="AS441" s="2">
        <v>43</v>
      </c>
      <c r="AT441" s="2">
        <v>25.4</v>
      </c>
      <c r="AU441" s="2">
        <v>162</v>
      </c>
      <c r="AV441" s="2">
        <v>9.1</v>
      </c>
      <c r="AW441" s="2">
        <v>9.1999999999999993</v>
      </c>
      <c r="AX441" s="2">
        <v>18.3</v>
      </c>
      <c r="AY441" s="2">
        <v>0.34</v>
      </c>
      <c r="AZ441" s="2">
        <v>7.3</v>
      </c>
      <c r="BA441" s="2">
        <v>0.9</v>
      </c>
      <c r="BB441" s="2">
        <v>7.5</v>
      </c>
      <c r="BC441" s="2">
        <v>2.9</v>
      </c>
      <c r="BD441" s="2">
        <f>+AN441*EXP(-0.0495*Y441)</f>
        <v>8.6631062256947722</v>
      </c>
      <c r="BE441" s="2">
        <f>+AO441*EXP(-0.024*Y441)</f>
        <v>27.976387314336201</v>
      </c>
    </row>
    <row r="442" spans="1:57" x14ac:dyDescent="0.2">
      <c r="A442" s="2" t="s">
        <v>4008</v>
      </c>
      <c r="B442" s="2" t="s">
        <v>19</v>
      </c>
      <c r="C442" s="2" t="s">
        <v>3245</v>
      </c>
      <c r="D442" s="2" t="s">
        <v>21</v>
      </c>
      <c r="E442" s="2" t="s">
        <v>24</v>
      </c>
      <c r="F442" s="2">
        <v>1</v>
      </c>
      <c r="G442" s="2">
        <v>34</v>
      </c>
      <c r="H442" s="2">
        <v>1</v>
      </c>
      <c r="I442" s="2">
        <v>1</v>
      </c>
      <c r="J442" s="2">
        <v>1</v>
      </c>
      <c r="K442" s="2" t="s">
        <v>61</v>
      </c>
      <c r="L442" s="6" t="s">
        <v>62</v>
      </c>
      <c r="M442" s="5">
        <v>425000000</v>
      </c>
      <c r="N442" s="2">
        <v>0</v>
      </c>
      <c r="O442" s="2">
        <v>4.7351160050000001</v>
      </c>
      <c r="P442" s="2">
        <v>-74.06471252</v>
      </c>
      <c r="Q442" s="2" t="s">
        <v>4009</v>
      </c>
      <c r="R442" s="2">
        <v>12500000</v>
      </c>
      <c r="S442" s="2">
        <v>0</v>
      </c>
      <c r="T442" s="2" t="s">
        <v>68</v>
      </c>
      <c r="U442" s="2" t="s">
        <v>69</v>
      </c>
      <c r="V442" s="2" t="s">
        <v>28</v>
      </c>
      <c r="W442" s="2" t="s">
        <v>70</v>
      </c>
      <c r="X442" s="2" t="s">
        <v>71</v>
      </c>
      <c r="Y442" s="2">
        <v>0.57650417641582197</v>
      </c>
      <c r="Z442" s="2">
        <v>4.73719444444444</v>
      </c>
      <c r="AA442" s="2">
        <v>-74.069472222222203</v>
      </c>
      <c r="AB442" s="2">
        <v>2555</v>
      </c>
      <c r="AC442" s="2" t="s">
        <v>31</v>
      </c>
      <c r="AD442" s="2" t="s">
        <v>58</v>
      </c>
      <c r="AE442" s="2" t="s">
        <v>33</v>
      </c>
      <c r="AF442" s="2" t="s">
        <v>34</v>
      </c>
      <c r="AG442" s="2" t="s">
        <v>72</v>
      </c>
      <c r="AH442" s="2">
        <v>1.3959181332438899</v>
      </c>
      <c r="AI442" s="2">
        <v>4.7437158188576101</v>
      </c>
      <c r="AJ442" s="2">
        <v>2.15094760677185</v>
      </c>
      <c r="AK442" s="2">
        <v>0.32319638558976699</v>
      </c>
      <c r="AL442" s="2">
        <v>0.33389926860673003</v>
      </c>
      <c r="AM442" s="2">
        <v>15.3</v>
      </c>
      <c r="AN442" s="2">
        <v>9.8000000000000007</v>
      </c>
      <c r="AO442" s="2">
        <v>29.7</v>
      </c>
      <c r="AP442" s="2">
        <v>564</v>
      </c>
      <c r="AQ442" s="2">
        <v>68</v>
      </c>
      <c r="AR442" s="2">
        <v>1.8</v>
      </c>
      <c r="AS442" s="2">
        <v>43</v>
      </c>
      <c r="AT442" s="2">
        <v>25.4</v>
      </c>
      <c r="AU442" s="2">
        <v>162</v>
      </c>
      <c r="AV442" s="2">
        <v>9.1</v>
      </c>
      <c r="AW442" s="2">
        <v>9.1999999999999993</v>
      </c>
      <c r="AX442" s="2">
        <v>18.3</v>
      </c>
      <c r="AY442" s="2">
        <v>0.34</v>
      </c>
      <c r="AZ442" s="2">
        <v>7.3</v>
      </c>
      <c r="BA442" s="2">
        <v>0.9</v>
      </c>
      <c r="BB442" s="2">
        <v>7.5</v>
      </c>
      <c r="BC442" s="2">
        <v>2.9</v>
      </c>
      <c r="BD442" s="2">
        <f>+AN442*EXP(-0.0495*Y442)</f>
        <v>9.524290489471257</v>
      </c>
      <c r="BE442" s="2">
        <f>+AO442*EXP(-0.024*Y442)</f>
        <v>29.29189760635639</v>
      </c>
    </row>
    <row r="443" spans="1:57" x14ac:dyDescent="0.2">
      <c r="A443" s="2" t="s">
        <v>4490</v>
      </c>
      <c r="B443" s="2" t="s">
        <v>19</v>
      </c>
      <c r="C443" s="2" t="s">
        <v>3245</v>
      </c>
      <c r="D443" s="2" t="s">
        <v>21</v>
      </c>
      <c r="E443" s="2" t="s">
        <v>660</v>
      </c>
      <c r="F443" s="2">
        <v>4</v>
      </c>
      <c r="G443" s="2">
        <v>34</v>
      </c>
      <c r="H443" s="2">
        <v>1</v>
      </c>
      <c r="I443" s="2">
        <v>1</v>
      </c>
      <c r="J443" s="2">
        <v>0</v>
      </c>
      <c r="K443" s="2" t="s">
        <v>61</v>
      </c>
      <c r="L443" s="6" t="s">
        <v>62</v>
      </c>
      <c r="M443" s="5">
        <v>240000000</v>
      </c>
      <c r="N443" s="2">
        <v>0</v>
      </c>
      <c r="O443" s="2">
        <v>4.7435999999999998</v>
      </c>
      <c r="P443" s="2">
        <v>-74.067989999999995</v>
      </c>
      <c r="Q443" s="2" t="s">
        <v>4491</v>
      </c>
      <c r="R443" s="2">
        <v>7058823.5290000001</v>
      </c>
      <c r="S443" s="2">
        <v>0</v>
      </c>
      <c r="T443" s="2" t="s">
        <v>68</v>
      </c>
      <c r="U443" s="2" t="s">
        <v>69</v>
      </c>
      <c r="V443" s="2" t="s">
        <v>28</v>
      </c>
      <c r="W443" s="2" t="s">
        <v>70</v>
      </c>
      <c r="X443" s="2" t="s">
        <v>71</v>
      </c>
      <c r="Y443" s="2">
        <v>0.73177745296724395</v>
      </c>
      <c r="Z443" s="2">
        <v>4.73719444444444</v>
      </c>
      <c r="AA443" s="2">
        <v>-74.069472222222203</v>
      </c>
      <c r="AB443" s="2">
        <v>2555</v>
      </c>
      <c r="AC443" s="2" t="s">
        <v>31</v>
      </c>
      <c r="AD443" s="2" t="s">
        <v>58</v>
      </c>
      <c r="AE443" s="2" t="s">
        <v>33</v>
      </c>
      <c r="AF443" s="2" t="s">
        <v>34</v>
      </c>
      <c r="AG443" s="2" t="s">
        <v>72</v>
      </c>
      <c r="AH443" s="2">
        <v>1.69588884646461</v>
      </c>
      <c r="AI443" s="2">
        <v>5.2403166828973404</v>
      </c>
      <c r="AJ443" s="2">
        <v>1.9359408797345099</v>
      </c>
      <c r="AK443" s="2">
        <v>0.51154607886915904</v>
      </c>
      <c r="AL443" s="2">
        <v>0.16300139856578999</v>
      </c>
      <c r="AM443" s="2">
        <v>15.3</v>
      </c>
      <c r="AN443" s="2">
        <v>9.8000000000000007</v>
      </c>
      <c r="AO443" s="2">
        <v>29.7</v>
      </c>
      <c r="AP443" s="2">
        <v>564</v>
      </c>
      <c r="AQ443" s="2">
        <v>68</v>
      </c>
      <c r="AR443" s="2">
        <v>1.8</v>
      </c>
      <c r="AS443" s="2">
        <v>43</v>
      </c>
      <c r="AT443" s="2">
        <v>25.4</v>
      </c>
      <c r="AU443" s="2">
        <v>162</v>
      </c>
      <c r="AV443" s="2">
        <v>9.1</v>
      </c>
      <c r="AW443" s="2">
        <v>9.1999999999999993</v>
      </c>
      <c r="AX443" s="2">
        <v>18.3</v>
      </c>
      <c r="AY443" s="2">
        <v>0.34</v>
      </c>
      <c r="AZ443" s="2">
        <v>7.3</v>
      </c>
      <c r="BA443" s="2">
        <v>0.9</v>
      </c>
      <c r="BB443" s="2">
        <v>7.5</v>
      </c>
      <c r="BC443" s="2">
        <v>2.9</v>
      </c>
      <c r="BD443" s="2">
        <f>+AN443*EXP(-0.0495*Y443)</f>
        <v>9.451367138235911</v>
      </c>
      <c r="BE443" s="2">
        <f>+AO443*EXP(-0.024*Y443)</f>
        <v>29.182942771710625</v>
      </c>
    </row>
    <row r="444" spans="1:57" x14ac:dyDescent="0.2">
      <c r="A444" s="2" t="s">
        <v>4232</v>
      </c>
      <c r="B444" s="2" t="s">
        <v>19</v>
      </c>
      <c r="C444" s="2" t="s">
        <v>3245</v>
      </c>
      <c r="D444" s="2" t="s">
        <v>21</v>
      </c>
      <c r="E444" s="2" t="s">
        <v>3524</v>
      </c>
      <c r="F444" s="2">
        <v>4</v>
      </c>
      <c r="G444" s="2">
        <v>33.51</v>
      </c>
      <c r="H444" s="2">
        <v>1</v>
      </c>
      <c r="I444" s="2">
        <v>1</v>
      </c>
      <c r="J444" s="2">
        <v>1</v>
      </c>
      <c r="K444" s="2" t="s">
        <v>61</v>
      </c>
      <c r="L444" s="6" t="s">
        <v>84</v>
      </c>
      <c r="M444" s="5">
        <v>330000000</v>
      </c>
      <c r="N444" s="2">
        <v>0</v>
      </c>
      <c r="O444" s="2">
        <v>4.7441000000000004</v>
      </c>
      <c r="P444" s="2">
        <v>-74.041880000000006</v>
      </c>
      <c r="Q444" s="2" t="s">
        <v>4233</v>
      </c>
      <c r="R444" s="2">
        <v>9847806.625</v>
      </c>
      <c r="S444" s="2">
        <v>0</v>
      </c>
      <c r="T444" s="2" t="s">
        <v>68</v>
      </c>
      <c r="U444" s="2" t="s">
        <v>69</v>
      </c>
      <c r="V444" s="2" t="s">
        <v>28</v>
      </c>
      <c r="W444" s="2" t="s">
        <v>70</v>
      </c>
      <c r="X444" s="2" t="s">
        <v>71</v>
      </c>
      <c r="Y444" s="2">
        <v>3.15609371692533</v>
      </c>
      <c r="Z444" s="2">
        <v>4.73719444444444</v>
      </c>
      <c r="AA444" s="2">
        <v>-74.069472222222203</v>
      </c>
      <c r="AB444" s="2">
        <v>2555</v>
      </c>
      <c r="AC444" s="2" t="s">
        <v>31</v>
      </c>
      <c r="AD444" s="2" t="s">
        <v>58</v>
      </c>
      <c r="AE444" s="2" t="s">
        <v>33</v>
      </c>
      <c r="AF444" s="2" t="s">
        <v>34</v>
      </c>
      <c r="AG444" s="2" t="s">
        <v>59</v>
      </c>
      <c r="AH444" s="2">
        <v>0.63890524779841895</v>
      </c>
      <c r="AI444" s="2">
        <v>2.4351037523186201</v>
      </c>
      <c r="AJ444" s="2">
        <v>1.2574072037580299</v>
      </c>
      <c r="AK444" s="2">
        <v>0.17231533055830101</v>
      </c>
      <c r="AL444" s="2">
        <v>0.102070412767164</v>
      </c>
      <c r="AM444" s="2">
        <v>15.3</v>
      </c>
      <c r="AN444" s="2">
        <v>9.8000000000000007</v>
      </c>
      <c r="AO444" s="2">
        <v>29.7</v>
      </c>
      <c r="AP444" s="2">
        <v>564</v>
      </c>
      <c r="AQ444" s="2">
        <v>68</v>
      </c>
      <c r="AR444" s="2">
        <v>1.8</v>
      </c>
      <c r="AS444" s="2">
        <v>43</v>
      </c>
      <c r="AT444" s="2">
        <v>25.4</v>
      </c>
      <c r="AU444" s="2">
        <v>162</v>
      </c>
      <c r="AV444" s="2">
        <v>9.1</v>
      </c>
      <c r="AW444" s="2">
        <v>9.1999999999999993</v>
      </c>
      <c r="AX444" s="2">
        <v>18.3</v>
      </c>
      <c r="AY444" s="2">
        <v>0.34</v>
      </c>
      <c r="AZ444" s="2">
        <v>7.3</v>
      </c>
      <c r="BA444" s="2">
        <v>0.9</v>
      </c>
      <c r="BB444" s="2">
        <v>7.5</v>
      </c>
      <c r="BC444" s="2">
        <v>2.9</v>
      </c>
      <c r="BD444" s="2">
        <f>+AN444*EXP(-0.0495*Y444)</f>
        <v>8.3825800308797547</v>
      </c>
      <c r="BE444" s="2">
        <f>+AO444*EXP(-0.024*Y444)</f>
        <v>27.533427077434013</v>
      </c>
    </row>
    <row r="445" spans="1:57" x14ac:dyDescent="0.2">
      <c r="A445" s="2" t="s">
        <v>334</v>
      </c>
      <c r="B445" s="2" t="s">
        <v>19</v>
      </c>
      <c r="C445" s="2" t="s">
        <v>20</v>
      </c>
      <c r="D445" s="2" t="s">
        <v>21</v>
      </c>
      <c r="E445" s="2" t="s">
        <v>107</v>
      </c>
      <c r="F445" s="2">
        <v>3</v>
      </c>
      <c r="G445" s="2">
        <v>33.39</v>
      </c>
      <c r="H445" s="2">
        <v>2</v>
      </c>
      <c r="I445" s="2">
        <v>2</v>
      </c>
      <c r="J445" s="2">
        <v>1</v>
      </c>
      <c r="K445" s="2" t="s">
        <v>61</v>
      </c>
      <c r="L445" s="6" t="s">
        <v>75</v>
      </c>
      <c r="M445" s="5">
        <v>198000000</v>
      </c>
      <c r="N445" s="2">
        <v>0</v>
      </c>
      <c r="O445" s="2">
        <v>4.7633233070000003</v>
      </c>
      <c r="P445" s="2">
        <v>-74.030380249999993</v>
      </c>
      <c r="Q445" s="2" t="s">
        <v>335</v>
      </c>
      <c r="R445" s="2">
        <v>5929919.1370000001</v>
      </c>
      <c r="S445" s="2">
        <v>0</v>
      </c>
      <c r="T445" s="2" t="s">
        <v>102</v>
      </c>
      <c r="U445" s="2" t="s">
        <v>103</v>
      </c>
      <c r="V445" s="2" t="s">
        <v>28</v>
      </c>
      <c r="W445" s="2" t="s">
        <v>70</v>
      </c>
      <c r="X445" s="2" t="s">
        <v>104</v>
      </c>
      <c r="Y445" s="2">
        <v>2.7386381989238702</v>
      </c>
      <c r="Z445" s="2">
        <v>4.7837500000000004</v>
      </c>
      <c r="AA445" s="2">
        <v>-74.044138888888895</v>
      </c>
      <c r="AB445" s="2">
        <v>2580</v>
      </c>
      <c r="AC445" s="2" t="s">
        <v>105</v>
      </c>
      <c r="AD445" s="2" t="s">
        <v>58</v>
      </c>
      <c r="AE445" s="2" t="s">
        <v>33</v>
      </c>
      <c r="AF445" s="2" t="s">
        <v>34</v>
      </c>
      <c r="AG445" s="2" t="s">
        <v>59</v>
      </c>
      <c r="AH445" s="2">
        <v>1.5591734928341701</v>
      </c>
      <c r="AI445" s="2">
        <v>0.87501627835000295</v>
      </c>
      <c r="AJ445" s="2">
        <v>1.3667259334460899</v>
      </c>
      <c r="AK445" s="2">
        <v>0.16319138217972201</v>
      </c>
      <c r="AL445" s="2">
        <v>4.3955696629682302E-2</v>
      </c>
      <c r="AM445" s="2">
        <v>15.3</v>
      </c>
      <c r="AN445" s="2">
        <v>9.8000000000000007</v>
      </c>
      <c r="AO445" s="2">
        <v>29.7</v>
      </c>
      <c r="AP445" s="2">
        <v>564</v>
      </c>
      <c r="AQ445" s="2">
        <v>68</v>
      </c>
      <c r="AR445" s="2">
        <v>1.8</v>
      </c>
      <c r="AS445" s="2">
        <v>43</v>
      </c>
      <c r="AT445" s="2">
        <v>25.4</v>
      </c>
      <c r="AU445" s="2">
        <v>162</v>
      </c>
      <c r="AV445" s="2">
        <v>9.1</v>
      </c>
      <c r="AW445" s="2">
        <v>9.1999999999999993</v>
      </c>
      <c r="AX445" s="2">
        <v>18.3</v>
      </c>
      <c r="AY445" s="2">
        <v>0.34</v>
      </c>
      <c r="AZ445" s="2">
        <v>7.3</v>
      </c>
      <c r="BA445" s="2">
        <v>0.9</v>
      </c>
      <c r="BB445" s="2">
        <v>7.5</v>
      </c>
      <c r="BC445" s="2">
        <v>2.9</v>
      </c>
      <c r="BD445" s="2">
        <f>+AN445*EXP(-0.0495*Y445)</f>
        <v>8.5576001524965246</v>
      </c>
      <c r="BE445" s="2">
        <f>+AO445*EXP(-0.024*Y445)</f>
        <v>27.810669138581144</v>
      </c>
    </row>
    <row r="446" spans="1:57" x14ac:dyDescent="0.2">
      <c r="A446" s="2" t="s">
        <v>4281</v>
      </c>
      <c r="B446" s="2" t="s">
        <v>19</v>
      </c>
      <c r="C446" s="2" t="s">
        <v>3245</v>
      </c>
      <c r="D446" s="2" t="s">
        <v>21</v>
      </c>
      <c r="E446" s="2" t="s">
        <v>116</v>
      </c>
      <c r="F446" s="2">
        <v>4</v>
      </c>
      <c r="G446" s="2">
        <v>32</v>
      </c>
      <c r="H446" s="2">
        <v>1</v>
      </c>
      <c r="I446" s="2">
        <v>1</v>
      </c>
      <c r="J446" s="2">
        <v>0</v>
      </c>
      <c r="K446" s="2" t="s">
        <v>61</v>
      </c>
      <c r="L446" s="6" t="s">
        <v>62</v>
      </c>
      <c r="M446" s="5">
        <v>268000000</v>
      </c>
      <c r="N446" s="2">
        <v>0</v>
      </c>
      <c r="O446" s="2">
        <v>4.7575306890000002</v>
      </c>
      <c r="P446" s="2">
        <v>-74.050407410000005</v>
      </c>
      <c r="Q446" s="2" t="s">
        <v>4282</v>
      </c>
      <c r="R446" s="2">
        <v>8375000</v>
      </c>
      <c r="S446" s="2">
        <v>0</v>
      </c>
      <c r="T446" s="2" t="s">
        <v>102</v>
      </c>
      <c r="U446" s="2" t="s">
        <v>103</v>
      </c>
      <c r="V446" s="2" t="s">
        <v>28</v>
      </c>
      <c r="W446" s="2" t="s">
        <v>70</v>
      </c>
      <c r="X446" s="2" t="s">
        <v>104</v>
      </c>
      <c r="Y446" s="2">
        <v>3.0004161785653598</v>
      </c>
      <c r="Z446" s="2">
        <v>4.7837500000000004</v>
      </c>
      <c r="AA446" s="2">
        <v>-74.044138888888895</v>
      </c>
      <c r="AB446" s="2">
        <v>2580</v>
      </c>
      <c r="AC446" s="2" t="s">
        <v>105</v>
      </c>
      <c r="AD446" s="2" t="s">
        <v>58</v>
      </c>
      <c r="AE446" s="2" t="s">
        <v>33</v>
      </c>
      <c r="AF446" s="2" t="s">
        <v>34</v>
      </c>
      <c r="AG446" s="2" t="s">
        <v>72</v>
      </c>
      <c r="AH446" s="2">
        <v>0.58071034703616897</v>
      </c>
      <c r="AI446" s="2">
        <v>3.1497918881271199</v>
      </c>
      <c r="AJ446" s="2">
        <v>0.57302899403019802</v>
      </c>
      <c r="AK446" s="2">
        <v>0.39012179514484102</v>
      </c>
      <c r="AL446" s="2">
        <v>3.7609653435346897E-2</v>
      </c>
      <c r="AM446" s="2">
        <v>15.3</v>
      </c>
      <c r="AN446" s="2">
        <v>9.8000000000000007</v>
      </c>
      <c r="AO446" s="2">
        <v>29.7</v>
      </c>
      <c r="AP446" s="2">
        <v>564</v>
      </c>
      <c r="AQ446" s="2">
        <v>68</v>
      </c>
      <c r="AR446" s="2">
        <v>1.8</v>
      </c>
      <c r="AS446" s="2">
        <v>43</v>
      </c>
      <c r="AT446" s="2">
        <v>25.4</v>
      </c>
      <c r="AU446" s="2">
        <v>162</v>
      </c>
      <c r="AV446" s="2">
        <v>9.1</v>
      </c>
      <c r="AW446" s="2">
        <v>9.1999999999999993</v>
      </c>
      <c r="AX446" s="2">
        <v>18.3</v>
      </c>
      <c r="AY446" s="2">
        <v>0.34</v>
      </c>
      <c r="AZ446" s="2">
        <v>7.3</v>
      </c>
      <c r="BA446" s="2">
        <v>0.9</v>
      </c>
      <c r="BB446" s="2">
        <v>7.5</v>
      </c>
      <c r="BC446" s="2">
        <v>2.9</v>
      </c>
      <c r="BD446" s="2">
        <f>+AN446*EXP(-0.0495*Y446)</f>
        <v>8.4474260444145735</v>
      </c>
      <c r="BE446" s="2">
        <f>+AO446*EXP(-0.024*Y446)</f>
        <v>27.63649156304437</v>
      </c>
    </row>
    <row r="447" spans="1:57" x14ac:dyDescent="0.2">
      <c r="A447" s="2" t="s">
        <v>3798</v>
      </c>
      <c r="B447" s="2" t="s">
        <v>19</v>
      </c>
      <c r="C447" s="2" t="s">
        <v>3245</v>
      </c>
      <c r="D447" s="2" t="s">
        <v>21</v>
      </c>
      <c r="E447" s="2" t="s">
        <v>446</v>
      </c>
      <c r="F447" s="2">
        <v>3</v>
      </c>
      <c r="G447" s="2">
        <v>30.63</v>
      </c>
      <c r="H447" s="2">
        <v>1</v>
      </c>
      <c r="I447" s="2">
        <v>1</v>
      </c>
      <c r="J447" s="2">
        <v>0</v>
      </c>
      <c r="K447" s="2" t="s">
        <v>61</v>
      </c>
      <c r="L447" s="6" t="s">
        <v>62</v>
      </c>
      <c r="M447" s="5">
        <v>215000000</v>
      </c>
      <c r="N447" s="2">
        <v>0</v>
      </c>
      <c r="O447" s="2">
        <v>4.7274500000000002</v>
      </c>
      <c r="P447" s="2">
        <v>-74.053120000000007</v>
      </c>
      <c r="Q447" s="2" t="s">
        <v>3799</v>
      </c>
      <c r="R447" s="2">
        <v>7019262.1610000003</v>
      </c>
      <c r="S447" s="2">
        <v>0</v>
      </c>
      <c r="T447" s="2" t="s">
        <v>68</v>
      </c>
      <c r="U447" s="2" t="s">
        <v>69</v>
      </c>
      <c r="V447" s="2" t="s">
        <v>28</v>
      </c>
      <c r="W447" s="2" t="s">
        <v>70</v>
      </c>
      <c r="X447" s="2" t="s">
        <v>71</v>
      </c>
      <c r="Y447" s="2">
        <v>2.1136912069093001</v>
      </c>
      <c r="Z447" s="2">
        <v>4.73719444444444</v>
      </c>
      <c r="AA447" s="2">
        <v>-74.069472222222203</v>
      </c>
      <c r="AB447" s="2">
        <v>2555</v>
      </c>
      <c r="AC447" s="2" t="s">
        <v>31</v>
      </c>
      <c r="AD447" s="2" t="s">
        <v>58</v>
      </c>
      <c r="AE447" s="2" t="s">
        <v>33</v>
      </c>
      <c r="AF447" s="2" t="s">
        <v>34</v>
      </c>
      <c r="AG447" s="2" t="s">
        <v>72</v>
      </c>
      <c r="AH447" s="2">
        <v>0.29759723353601902</v>
      </c>
      <c r="AI447" s="2">
        <v>3.3872647655441401</v>
      </c>
      <c r="AJ447" s="2">
        <v>1.5765613267627101</v>
      </c>
      <c r="AK447" s="2">
        <v>0.23970749844703801</v>
      </c>
      <c r="AL447" s="2">
        <v>6.1120495297220696E-3</v>
      </c>
      <c r="AM447" s="2">
        <v>15.3</v>
      </c>
      <c r="AN447" s="2">
        <v>9.8000000000000007</v>
      </c>
      <c r="AO447" s="2">
        <v>29.7</v>
      </c>
      <c r="AP447" s="2">
        <v>564</v>
      </c>
      <c r="AQ447" s="2">
        <v>68</v>
      </c>
      <c r="AR447" s="2">
        <v>1.8</v>
      </c>
      <c r="AS447" s="2">
        <v>43</v>
      </c>
      <c r="AT447" s="2">
        <v>25.4</v>
      </c>
      <c r="AU447" s="2">
        <v>162</v>
      </c>
      <c r="AV447" s="2">
        <v>9.1</v>
      </c>
      <c r="AW447" s="2">
        <v>9.1999999999999993</v>
      </c>
      <c r="AX447" s="2">
        <v>18.3</v>
      </c>
      <c r="AY447" s="2">
        <v>0.34</v>
      </c>
      <c r="AZ447" s="2">
        <v>7.3</v>
      </c>
      <c r="BA447" s="2">
        <v>0.9</v>
      </c>
      <c r="BB447" s="2">
        <v>7.5</v>
      </c>
      <c r="BC447" s="2">
        <v>2.9</v>
      </c>
      <c r="BD447" s="2">
        <f>+AN447*EXP(-0.0495*Y447)</f>
        <v>8.8264656728136401</v>
      </c>
      <c r="BE447" s="2">
        <f>+AO447*EXP(-0.024*Y447)</f>
        <v>28.230937663092885</v>
      </c>
    </row>
    <row r="448" spans="1:57" x14ac:dyDescent="0.2">
      <c r="A448" s="2" t="s">
        <v>3092</v>
      </c>
      <c r="B448" s="2" t="s">
        <v>19</v>
      </c>
      <c r="C448" s="2" t="s">
        <v>1907</v>
      </c>
      <c r="D448" s="2" t="s">
        <v>21</v>
      </c>
      <c r="E448" s="2" t="s">
        <v>2894</v>
      </c>
      <c r="F448" s="2">
        <v>6</v>
      </c>
      <c r="G448" s="2">
        <v>30</v>
      </c>
      <c r="H448" s="2">
        <v>5</v>
      </c>
      <c r="I448" s="2">
        <v>5</v>
      </c>
      <c r="J448" s="2">
        <v>2</v>
      </c>
      <c r="K448" s="2" t="s">
        <v>61</v>
      </c>
      <c r="L448" s="6" t="s">
        <v>84</v>
      </c>
      <c r="M448" s="5">
        <v>998000000</v>
      </c>
      <c r="N448" s="2">
        <v>0</v>
      </c>
      <c r="O448" s="2">
        <v>4.7098699999999996</v>
      </c>
      <c r="P448" s="2">
        <v>-74.06832</v>
      </c>
      <c r="Q448" s="2" t="s">
        <v>3093</v>
      </c>
      <c r="R448" s="2">
        <v>33266666.670000002</v>
      </c>
      <c r="S448" s="2">
        <v>0</v>
      </c>
      <c r="T448" s="2" t="s">
        <v>68</v>
      </c>
      <c r="U448" s="2" t="s">
        <v>69</v>
      </c>
      <c r="V448" s="2" t="s">
        <v>28</v>
      </c>
      <c r="W448" s="2" t="s">
        <v>70</v>
      </c>
      <c r="X448" s="2" t="s">
        <v>71</v>
      </c>
      <c r="Y448" s="2">
        <v>3.0444280649015401</v>
      </c>
      <c r="Z448" s="2">
        <v>4.73719444444444</v>
      </c>
      <c r="AA448" s="2">
        <v>-74.069472222222203</v>
      </c>
      <c r="AB448" s="2">
        <v>2555</v>
      </c>
      <c r="AC448" s="2" t="s">
        <v>31</v>
      </c>
      <c r="AD448" s="2" t="s">
        <v>58</v>
      </c>
      <c r="AE448" s="2" t="s">
        <v>33</v>
      </c>
      <c r="AF448" s="2" t="s">
        <v>34</v>
      </c>
      <c r="AG448" s="2" t="s">
        <v>72</v>
      </c>
      <c r="AH448" s="2">
        <v>0.47293914861679898</v>
      </c>
      <c r="AI448" s="2">
        <v>4.7955353152625397</v>
      </c>
      <c r="AJ448" s="2">
        <v>0.84451360059834901</v>
      </c>
      <c r="AK448" s="2">
        <v>0.14722414653544799</v>
      </c>
      <c r="AL448" s="2">
        <v>0.530252188211915</v>
      </c>
      <c r="AM448" s="2">
        <v>15.3</v>
      </c>
      <c r="AN448" s="2">
        <v>9.8000000000000007</v>
      </c>
      <c r="AO448" s="2">
        <v>29.7</v>
      </c>
      <c r="AP448" s="2">
        <v>564</v>
      </c>
      <c r="AQ448" s="2">
        <v>68</v>
      </c>
      <c r="AR448" s="2">
        <v>1.8</v>
      </c>
      <c r="AS448" s="2">
        <v>43</v>
      </c>
      <c r="AT448" s="2">
        <v>25.4</v>
      </c>
      <c r="AU448" s="2">
        <v>162</v>
      </c>
      <c r="AV448" s="2">
        <v>9.1</v>
      </c>
      <c r="AW448" s="2">
        <v>9.1999999999999993</v>
      </c>
      <c r="AX448" s="2">
        <v>18.3</v>
      </c>
      <c r="AY448" s="2">
        <v>0.34</v>
      </c>
      <c r="AZ448" s="2">
        <v>7.3</v>
      </c>
      <c r="BA448" s="2">
        <v>0.9</v>
      </c>
      <c r="BB448" s="2">
        <v>7.5</v>
      </c>
      <c r="BC448" s="2">
        <v>2.9</v>
      </c>
      <c r="BD448" s="2">
        <f>+AN448*EXP(-0.0495*Y448)</f>
        <v>8.4290426124835829</v>
      </c>
      <c r="BE448" s="2">
        <f>+AO448*EXP(-0.024*Y448)</f>
        <v>27.607314956157545</v>
      </c>
    </row>
    <row r="449" spans="1:57" x14ac:dyDescent="0.2">
      <c r="A449" s="2" t="s">
        <v>1080</v>
      </c>
      <c r="B449" s="2" t="s">
        <v>19</v>
      </c>
      <c r="C449" s="2" t="s">
        <v>20</v>
      </c>
      <c r="D449" s="2" t="s">
        <v>21</v>
      </c>
      <c r="E449" s="2" t="s">
        <v>277</v>
      </c>
      <c r="F449" s="2">
        <v>4</v>
      </c>
      <c r="G449" s="2">
        <v>30</v>
      </c>
      <c r="H449" s="2">
        <v>1</v>
      </c>
      <c r="I449" s="2">
        <v>1</v>
      </c>
      <c r="J449" s="2">
        <v>1</v>
      </c>
      <c r="K449" s="2" t="s">
        <v>61</v>
      </c>
      <c r="L449" s="6" t="s">
        <v>62</v>
      </c>
      <c r="M449" s="5">
        <v>250000000</v>
      </c>
      <c r="N449" s="2">
        <v>0</v>
      </c>
      <c r="O449" s="2">
        <v>4.7500404999999999</v>
      </c>
      <c r="P449" s="2">
        <v>-74.023920000000004</v>
      </c>
      <c r="Q449" s="2" t="s">
        <v>1081</v>
      </c>
      <c r="R449" s="2">
        <v>8333333.3329999996</v>
      </c>
      <c r="S449" s="2">
        <v>0</v>
      </c>
      <c r="T449" s="2" t="s">
        <v>102</v>
      </c>
      <c r="U449" s="2" t="s">
        <v>103</v>
      </c>
      <c r="V449" s="2" t="s">
        <v>28</v>
      </c>
      <c r="W449" s="2" t="s">
        <v>70</v>
      </c>
      <c r="X449" s="2" t="s">
        <v>104</v>
      </c>
      <c r="Y449" s="2">
        <v>4.3717683579254096</v>
      </c>
      <c r="Z449" s="2">
        <v>4.7837500000000004</v>
      </c>
      <c r="AA449" s="2">
        <v>-74.044138888888895</v>
      </c>
      <c r="AB449" s="2">
        <v>2580</v>
      </c>
      <c r="AC449" s="2" t="s">
        <v>105</v>
      </c>
      <c r="AD449" s="2" t="s">
        <v>58</v>
      </c>
      <c r="AE449" s="2" t="s">
        <v>33</v>
      </c>
      <c r="AF449" s="2" t="s">
        <v>34</v>
      </c>
      <c r="AG449" s="2" t="s">
        <v>59</v>
      </c>
      <c r="AH449" s="2">
        <v>2.5046580905410698</v>
      </c>
      <c r="AI449" s="2">
        <v>0.39252187808303102</v>
      </c>
      <c r="AJ449" s="2">
        <v>0.47558837345632898</v>
      </c>
      <c r="AK449" s="2">
        <v>0.82387514700267594</v>
      </c>
      <c r="AL449" s="2">
        <v>0.17359718481571501</v>
      </c>
      <c r="AM449" s="2">
        <v>15.3</v>
      </c>
      <c r="AN449" s="2">
        <v>9.8000000000000007</v>
      </c>
      <c r="AO449" s="2">
        <v>29.7</v>
      </c>
      <c r="AP449" s="2">
        <v>564</v>
      </c>
      <c r="AQ449" s="2">
        <v>68</v>
      </c>
      <c r="AR449" s="2">
        <v>1.8</v>
      </c>
      <c r="AS449" s="2">
        <v>43</v>
      </c>
      <c r="AT449" s="2">
        <v>25.4</v>
      </c>
      <c r="AU449" s="2">
        <v>162</v>
      </c>
      <c r="AV449" s="2">
        <v>9.1</v>
      </c>
      <c r="AW449" s="2">
        <v>9.1999999999999993</v>
      </c>
      <c r="AX449" s="2">
        <v>18.3</v>
      </c>
      <c r="AY449" s="2">
        <v>0.34</v>
      </c>
      <c r="AZ449" s="2">
        <v>7.3</v>
      </c>
      <c r="BA449" s="2">
        <v>0.9</v>
      </c>
      <c r="BB449" s="2">
        <v>7.5</v>
      </c>
      <c r="BC449" s="2">
        <v>2.9</v>
      </c>
      <c r="BD449" s="2">
        <f>+AN449*EXP(-0.0495*Y449)</f>
        <v>7.89302810886175</v>
      </c>
      <c r="BE449" s="2">
        <f>+AO449*EXP(-0.024*Y449)</f>
        <v>26.741712311805973</v>
      </c>
    </row>
    <row r="450" spans="1:57" x14ac:dyDescent="0.2">
      <c r="A450" s="2" t="s">
        <v>3265</v>
      </c>
      <c r="B450" s="2" t="s">
        <v>19</v>
      </c>
      <c r="C450" s="2" t="s">
        <v>3245</v>
      </c>
      <c r="D450" s="2" t="s">
        <v>21</v>
      </c>
      <c r="E450" s="2" t="s">
        <v>434</v>
      </c>
      <c r="F450" s="2">
        <v>4</v>
      </c>
      <c r="G450" s="2">
        <v>30</v>
      </c>
      <c r="H450" s="2">
        <v>1</v>
      </c>
      <c r="I450" s="2">
        <v>1</v>
      </c>
      <c r="J450" s="2">
        <v>0</v>
      </c>
      <c r="K450" s="2" t="s">
        <v>61</v>
      </c>
      <c r="L450" s="6" t="s">
        <v>62</v>
      </c>
      <c r="M450" s="5">
        <v>245000000</v>
      </c>
      <c r="N450" s="2">
        <v>0</v>
      </c>
      <c r="O450" s="2">
        <v>4.7241783000000002</v>
      </c>
      <c r="P450" s="2">
        <v>-74.073099999999997</v>
      </c>
      <c r="Q450" s="2" t="s">
        <v>3266</v>
      </c>
      <c r="R450" s="2">
        <v>8166666.6670000004</v>
      </c>
      <c r="S450" s="2">
        <v>0</v>
      </c>
      <c r="T450" s="2" t="s">
        <v>68</v>
      </c>
      <c r="U450" s="2" t="s">
        <v>69</v>
      </c>
      <c r="V450" s="2" t="s">
        <v>28</v>
      </c>
      <c r="W450" s="2" t="s">
        <v>70</v>
      </c>
      <c r="X450" s="2" t="s">
        <v>71</v>
      </c>
      <c r="Y450" s="2">
        <v>1.50380754949125</v>
      </c>
      <c r="Z450" s="2">
        <v>4.73719444444444</v>
      </c>
      <c r="AA450" s="2">
        <v>-74.069472222222203</v>
      </c>
      <c r="AB450" s="2">
        <v>2555</v>
      </c>
      <c r="AC450" s="2" t="s">
        <v>31</v>
      </c>
      <c r="AD450" s="2" t="s">
        <v>58</v>
      </c>
      <c r="AE450" s="2" t="s">
        <v>33</v>
      </c>
      <c r="AF450" s="2" t="s">
        <v>34</v>
      </c>
      <c r="AG450" s="2" t="s">
        <v>72</v>
      </c>
      <c r="AH450" s="2">
        <v>0.36801168432527098</v>
      </c>
      <c r="AI450" s="2">
        <v>5.5153775491366899</v>
      </c>
      <c r="AJ450" s="2">
        <v>0.83091214856195394</v>
      </c>
      <c r="AK450" s="2">
        <v>0.43709818106130699</v>
      </c>
      <c r="AL450" s="2">
        <v>0.204032477875631</v>
      </c>
      <c r="AM450" s="2">
        <v>15.3</v>
      </c>
      <c r="AN450" s="2">
        <v>9.8000000000000007</v>
      </c>
      <c r="AO450" s="2">
        <v>29.7</v>
      </c>
      <c r="AP450" s="2">
        <v>564</v>
      </c>
      <c r="AQ450" s="2">
        <v>68</v>
      </c>
      <c r="AR450" s="2">
        <v>1.8</v>
      </c>
      <c r="AS450" s="2">
        <v>43</v>
      </c>
      <c r="AT450" s="2">
        <v>25.4</v>
      </c>
      <c r="AU450" s="2">
        <v>162</v>
      </c>
      <c r="AV450" s="2">
        <v>9.1</v>
      </c>
      <c r="AW450" s="2">
        <v>9.1999999999999993</v>
      </c>
      <c r="AX450" s="2">
        <v>18.3</v>
      </c>
      <c r="AY450" s="2">
        <v>0.34</v>
      </c>
      <c r="AZ450" s="2">
        <v>7.3</v>
      </c>
      <c r="BA450" s="2">
        <v>0.9</v>
      </c>
      <c r="BB450" s="2">
        <v>7.5</v>
      </c>
      <c r="BC450" s="2">
        <v>2.9</v>
      </c>
      <c r="BD450" s="2">
        <f>+AN450*EXP(-0.0495*Y450)</f>
        <v>9.0969929328780754</v>
      </c>
      <c r="BE450" s="2">
        <f>+AO450*EXP(-0.024*Y450)</f>
        <v>28.647198781784052</v>
      </c>
    </row>
    <row r="451" spans="1:57" x14ac:dyDescent="0.2">
      <c r="A451" s="2" t="s">
        <v>4341</v>
      </c>
      <c r="B451" s="2" t="s">
        <v>19</v>
      </c>
      <c r="C451" s="2" t="s">
        <v>3245</v>
      </c>
      <c r="D451" s="2" t="s">
        <v>21</v>
      </c>
      <c r="E451" s="2" t="s">
        <v>612</v>
      </c>
      <c r="F451" s="2">
        <v>3</v>
      </c>
      <c r="G451" s="2">
        <v>30</v>
      </c>
      <c r="H451" s="2">
        <v>1</v>
      </c>
      <c r="I451" s="2">
        <v>1</v>
      </c>
      <c r="J451" s="2">
        <v>0</v>
      </c>
      <c r="K451" s="2" t="s">
        <v>61</v>
      </c>
      <c r="L451" s="6" t="s">
        <v>62</v>
      </c>
      <c r="M451" s="5">
        <v>218000000</v>
      </c>
      <c r="N451" s="2">
        <v>0</v>
      </c>
      <c r="O451" s="2">
        <v>4.7470021999999998</v>
      </c>
      <c r="P451" s="2">
        <v>-74.062111299999998</v>
      </c>
      <c r="Q451" s="2" t="s">
        <v>4342</v>
      </c>
      <c r="R451" s="2">
        <v>7266666.6670000004</v>
      </c>
      <c r="S451" s="2">
        <v>0</v>
      </c>
      <c r="T451" s="2" t="s">
        <v>68</v>
      </c>
      <c r="U451" s="2" t="s">
        <v>69</v>
      </c>
      <c r="V451" s="2" t="s">
        <v>28</v>
      </c>
      <c r="W451" s="2" t="s">
        <v>70</v>
      </c>
      <c r="X451" s="2" t="s">
        <v>71</v>
      </c>
      <c r="Y451" s="2">
        <v>1.3634021695844101</v>
      </c>
      <c r="Z451" s="2">
        <v>4.73719444444444</v>
      </c>
      <c r="AA451" s="2">
        <v>-74.069472222222203</v>
      </c>
      <c r="AB451" s="2">
        <v>2555</v>
      </c>
      <c r="AC451" s="2" t="s">
        <v>31</v>
      </c>
      <c r="AD451" s="2" t="s">
        <v>58</v>
      </c>
      <c r="AE451" s="2" t="s">
        <v>33</v>
      </c>
      <c r="AF451" s="2" t="s">
        <v>34</v>
      </c>
      <c r="AG451" s="2" t="s">
        <v>72</v>
      </c>
      <c r="AH451" s="2">
        <v>1.64961312746184</v>
      </c>
      <c r="AI451" s="2">
        <v>4.5839896624581904</v>
      </c>
      <c r="AJ451" s="2">
        <v>1.1864089801334901</v>
      </c>
      <c r="AK451" s="2">
        <v>0.37618588029316202</v>
      </c>
      <c r="AL451" s="2">
        <v>5.1856322204296E-2</v>
      </c>
      <c r="AM451" s="2">
        <v>15.3</v>
      </c>
      <c r="AN451" s="2">
        <v>9.8000000000000007</v>
      </c>
      <c r="AO451" s="2">
        <v>29.7</v>
      </c>
      <c r="AP451" s="2">
        <v>564</v>
      </c>
      <c r="AQ451" s="2">
        <v>68</v>
      </c>
      <c r="AR451" s="2">
        <v>1.8</v>
      </c>
      <c r="AS451" s="2">
        <v>43</v>
      </c>
      <c r="AT451" s="2">
        <v>25.4</v>
      </c>
      <c r="AU451" s="2">
        <v>162</v>
      </c>
      <c r="AV451" s="2">
        <v>9.1</v>
      </c>
      <c r="AW451" s="2">
        <v>9.1999999999999993</v>
      </c>
      <c r="AX451" s="2">
        <v>18.3</v>
      </c>
      <c r="AY451" s="2">
        <v>0.34</v>
      </c>
      <c r="AZ451" s="2">
        <v>7.3</v>
      </c>
      <c r="BA451" s="2">
        <v>0.9</v>
      </c>
      <c r="BB451" s="2">
        <v>7.5</v>
      </c>
      <c r="BC451" s="2">
        <v>2.9</v>
      </c>
      <c r="BD451" s="2">
        <f>+AN451*EXP(-0.0495*Y451)</f>
        <v>9.1604378547644583</v>
      </c>
      <c r="BE451" s="2">
        <f>+AO451*EXP(-0.024*Y451)</f>
        <v>28.743894910041597</v>
      </c>
    </row>
    <row r="452" spans="1:57" x14ac:dyDescent="0.2">
      <c r="A452" s="2" t="s">
        <v>4594</v>
      </c>
      <c r="B452" s="2" t="s">
        <v>19</v>
      </c>
      <c r="C452" s="2" t="s">
        <v>3245</v>
      </c>
      <c r="D452" s="2" t="s">
        <v>21</v>
      </c>
      <c r="E452" s="2" t="s">
        <v>660</v>
      </c>
      <c r="F452" s="2">
        <v>4</v>
      </c>
      <c r="G452" s="2">
        <v>28</v>
      </c>
      <c r="H452" s="2">
        <v>1</v>
      </c>
      <c r="I452" s="2">
        <v>1</v>
      </c>
      <c r="J452" s="2">
        <v>1</v>
      </c>
      <c r="K452" s="2" t="s">
        <v>61</v>
      </c>
      <c r="L452" s="6" t="s">
        <v>84</v>
      </c>
      <c r="M452" s="5">
        <v>220000000</v>
      </c>
      <c r="N452" s="2">
        <v>0</v>
      </c>
      <c r="O452" s="2">
        <v>4.7243456769999996</v>
      </c>
      <c r="P452" s="2">
        <v>-74.072991889999997</v>
      </c>
      <c r="Q452" s="2" t="s">
        <v>4595</v>
      </c>
      <c r="R452" s="2">
        <v>7857142.8569999998</v>
      </c>
      <c r="S452" s="2">
        <v>0</v>
      </c>
      <c r="T452" s="2" t="s">
        <v>68</v>
      </c>
      <c r="U452" s="2" t="s">
        <v>69</v>
      </c>
      <c r="V452" s="2" t="s">
        <v>28</v>
      </c>
      <c r="W452" s="2" t="s">
        <v>70</v>
      </c>
      <c r="X452" s="2" t="s">
        <v>71</v>
      </c>
      <c r="Y452" s="2">
        <v>1.4826595442911299</v>
      </c>
      <c r="Z452" s="2">
        <v>4.73719444444444</v>
      </c>
      <c r="AA452" s="2">
        <v>-74.069472222222203</v>
      </c>
      <c r="AB452" s="2">
        <v>2555</v>
      </c>
      <c r="AC452" s="2" t="s">
        <v>31</v>
      </c>
      <c r="AD452" s="2" t="s">
        <v>58</v>
      </c>
      <c r="AE452" s="2" t="s">
        <v>33</v>
      </c>
      <c r="AF452" s="2" t="s">
        <v>34</v>
      </c>
      <c r="AG452" s="2" t="s">
        <v>72</v>
      </c>
      <c r="AH452" s="2">
        <v>0.390005174170028</v>
      </c>
      <c r="AI452" s="2">
        <v>5.5051193803714904</v>
      </c>
      <c r="AJ452" s="2">
        <v>0.84639234462455404</v>
      </c>
      <c r="AK452" s="2">
        <v>0.45298825859990499</v>
      </c>
      <c r="AL452" s="2">
        <v>0.21378853060202899</v>
      </c>
      <c r="AM452" s="2">
        <v>15.3</v>
      </c>
      <c r="AN452" s="2">
        <v>9.8000000000000007</v>
      </c>
      <c r="AO452" s="2">
        <v>29.7</v>
      </c>
      <c r="AP452" s="2">
        <v>564</v>
      </c>
      <c r="AQ452" s="2">
        <v>68</v>
      </c>
      <c r="AR452" s="2">
        <v>1.8</v>
      </c>
      <c r="AS452" s="2">
        <v>43</v>
      </c>
      <c r="AT452" s="2">
        <v>25.4</v>
      </c>
      <c r="AU452" s="2">
        <v>162</v>
      </c>
      <c r="AV452" s="2">
        <v>9.1</v>
      </c>
      <c r="AW452" s="2">
        <v>9.1999999999999993</v>
      </c>
      <c r="AX452" s="2">
        <v>18.3</v>
      </c>
      <c r="AY452" s="2">
        <v>0.34</v>
      </c>
      <c r="AZ452" s="2">
        <v>7.3</v>
      </c>
      <c r="BA452" s="2">
        <v>0.9</v>
      </c>
      <c r="BB452" s="2">
        <v>7.5</v>
      </c>
      <c r="BC452" s="2">
        <v>2.9</v>
      </c>
      <c r="BD452" s="2">
        <f>+AN452*EXP(-0.0495*Y452)</f>
        <v>9.1065208901314669</v>
      </c>
      <c r="BE452" s="2">
        <f>+AO452*EXP(-0.024*Y452)</f>
        <v>28.661742418910144</v>
      </c>
    </row>
    <row r="453" spans="1:57" x14ac:dyDescent="0.2">
      <c r="A453" s="2" t="s">
        <v>3953</v>
      </c>
      <c r="B453" s="2" t="s">
        <v>19</v>
      </c>
      <c r="C453" s="2" t="s">
        <v>3245</v>
      </c>
      <c r="D453" s="2" t="s">
        <v>21</v>
      </c>
      <c r="E453" s="2" t="s">
        <v>3954</v>
      </c>
      <c r="F453" s="2">
        <v>3</v>
      </c>
      <c r="G453" s="2">
        <v>28</v>
      </c>
      <c r="H453" s="2">
        <v>1</v>
      </c>
      <c r="I453" s="2">
        <v>1</v>
      </c>
      <c r="J453" s="2">
        <v>0</v>
      </c>
      <c r="K453" s="2" t="s">
        <v>61</v>
      </c>
      <c r="L453" s="6" t="s">
        <v>62</v>
      </c>
      <c r="M453" s="5">
        <v>210000000</v>
      </c>
      <c r="N453" s="2">
        <v>0</v>
      </c>
      <c r="O453" s="2">
        <v>4.7273567999999999</v>
      </c>
      <c r="P453" s="2">
        <v>-74.055225300000004</v>
      </c>
      <c r="Q453" s="2" t="s">
        <v>3955</v>
      </c>
      <c r="R453" s="2">
        <v>7500000</v>
      </c>
      <c r="S453" s="2">
        <v>0</v>
      </c>
      <c r="T453" s="2" t="s">
        <v>68</v>
      </c>
      <c r="U453" s="2" t="s">
        <v>69</v>
      </c>
      <c r="V453" s="2" t="s">
        <v>28</v>
      </c>
      <c r="W453" s="2" t="s">
        <v>70</v>
      </c>
      <c r="X453" s="2" t="s">
        <v>71</v>
      </c>
      <c r="Y453" s="2">
        <v>1.9228731765563301</v>
      </c>
      <c r="Z453" s="2">
        <v>4.73719444444444</v>
      </c>
      <c r="AA453" s="2">
        <v>-74.069472222222203</v>
      </c>
      <c r="AB453" s="2">
        <v>2555</v>
      </c>
      <c r="AC453" s="2" t="s">
        <v>31</v>
      </c>
      <c r="AD453" s="2" t="s">
        <v>58</v>
      </c>
      <c r="AE453" s="2" t="s">
        <v>33</v>
      </c>
      <c r="AF453" s="2" t="s">
        <v>34</v>
      </c>
      <c r="AG453" s="2" t="s">
        <v>72</v>
      </c>
      <c r="AH453" s="2">
        <v>0.52652651248948201</v>
      </c>
      <c r="AI453" s="2">
        <v>3.6112326344055101</v>
      </c>
      <c r="AJ453" s="2">
        <v>1.7980618730623701</v>
      </c>
      <c r="AK453" s="2">
        <v>0.40848997798015801</v>
      </c>
      <c r="AL453" s="2">
        <v>5.7658914624038701E-2</v>
      </c>
      <c r="AM453" s="2">
        <v>15.3</v>
      </c>
      <c r="AN453" s="2">
        <v>9.8000000000000007</v>
      </c>
      <c r="AO453" s="2">
        <v>29.7</v>
      </c>
      <c r="AP453" s="2">
        <v>564</v>
      </c>
      <c r="AQ453" s="2">
        <v>68</v>
      </c>
      <c r="AR453" s="2">
        <v>1.8</v>
      </c>
      <c r="AS453" s="2">
        <v>43</v>
      </c>
      <c r="AT453" s="2">
        <v>25.4</v>
      </c>
      <c r="AU453" s="2">
        <v>162</v>
      </c>
      <c r="AV453" s="2">
        <v>9.1</v>
      </c>
      <c r="AW453" s="2">
        <v>9.1999999999999993</v>
      </c>
      <c r="AX453" s="2">
        <v>18.3</v>
      </c>
      <c r="AY453" s="2">
        <v>0.34</v>
      </c>
      <c r="AZ453" s="2">
        <v>7.3</v>
      </c>
      <c r="BA453" s="2">
        <v>0.9</v>
      </c>
      <c r="BB453" s="2">
        <v>7.5</v>
      </c>
      <c r="BC453" s="2">
        <v>2.9</v>
      </c>
      <c r="BD453" s="2">
        <f>+AN453*EXP(-0.0495*Y453)</f>
        <v>8.9102309676060987</v>
      </c>
      <c r="BE453" s="2">
        <f>+AO453*EXP(-0.024*Y453)</f>
        <v>28.360521485847666</v>
      </c>
    </row>
    <row r="454" spans="1:57" x14ac:dyDescent="0.2">
      <c r="A454" s="2" t="s">
        <v>3428</v>
      </c>
      <c r="B454" s="2" t="s">
        <v>19</v>
      </c>
      <c r="C454" s="2" t="s">
        <v>3245</v>
      </c>
      <c r="D454" s="2" t="s">
        <v>21</v>
      </c>
      <c r="E454" s="2" t="s">
        <v>116</v>
      </c>
      <c r="F454" s="2">
        <v>3</v>
      </c>
      <c r="G454" s="2">
        <v>27.67</v>
      </c>
      <c r="H454" s="2">
        <v>1</v>
      </c>
      <c r="I454" s="2">
        <v>1</v>
      </c>
      <c r="J454" s="2">
        <v>1</v>
      </c>
      <c r="K454" s="2" t="s">
        <v>61</v>
      </c>
      <c r="L454" s="6" t="s">
        <v>62</v>
      </c>
      <c r="M454" s="5">
        <v>230000000</v>
      </c>
      <c r="N454" s="2">
        <v>0</v>
      </c>
      <c r="O454" s="2">
        <v>4.7578836740000003</v>
      </c>
      <c r="P454" s="2">
        <v>-74.050089830000005</v>
      </c>
      <c r="Q454" s="2" t="s">
        <v>3429</v>
      </c>
      <c r="R454" s="2">
        <v>8312251.5360000003</v>
      </c>
      <c r="S454" s="2">
        <v>0</v>
      </c>
      <c r="T454" s="2" t="s">
        <v>102</v>
      </c>
      <c r="U454" s="2" t="s">
        <v>103</v>
      </c>
      <c r="V454" s="2" t="s">
        <v>28</v>
      </c>
      <c r="W454" s="2" t="s">
        <v>70</v>
      </c>
      <c r="X454" s="2" t="s">
        <v>104</v>
      </c>
      <c r="Y454" s="2">
        <v>2.9541339542928702</v>
      </c>
      <c r="Z454" s="2">
        <v>4.7837500000000004</v>
      </c>
      <c r="AA454" s="2">
        <v>-74.044138888888895</v>
      </c>
      <c r="AB454" s="2">
        <v>2580</v>
      </c>
      <c r="AC454" s="2" t="s">
        <v>105</v>
      </c>
      <c r="AD454" s="2" t="s">
        <v>58</v>
      </c>
      <c r="AE454" s="2" t="s">
        <v>33</v>
      </c>
      <c r="AF454" s="2" t="s">
        <v>34</v>
      </c>
      <c r="AG454" s="2" t="s">
        <v>72</v>
      </c>
      <c r="AH454" s="2">
        <v>0.57532217326871304</v>
      </c>
      <c r="AI454" s="2">
        <v>3.1154723736379299</v>
      </c>
      <c r="AJ454" s="2">
        <v>0.62537242677060101</v>
      </c>
      <c r="AK454" s="2">
        <v>0.35189237309575</v>
      </c>
      <c r="AL454" s="2">
        <v>1.1001468661722099E-2</v>
      </c>
      <c r="AM454" s="2">
        <v>15.3</v>
      </c>
      <c r="AN454" s="2">
        <v>9.8000000000000007</v>
      </c>
      <c r="AO454" s="2">
        <v>29.7</v>
      </c>
      <c r="AP454" s="2">
        <v>564</v>
      </c>
      <c r="AQ454" s="2">
        <v>68</v>
      </c>
      <c r="AR454" s="2">
        <v>1.8</v>
      </c>
      <c r="AS454" s="2">
        <v>43</v>
      </c>
      <c r="AT454" s="2">
        <v>25.4</v>
      </c>
      <c r="AU454" s="2">
        <v>162</v>
      </c>
      <c r="AV454" s="2">
        <v>9.1</v>
      </c>
      <c r="AW454" s="2">
        <v>9.1999999999999993</v>
      </c>
      <c r="AX454" s="2">
        <v>18.3</v>
      </c>
      <c r="AY454" s="2">
        <v>0.34</v>
      </c>
      <c r="AZ454" s="2">
        <v>7.3</v>
      </c>
      <c r="BA454" s="2">
        <v>0.9</v>
      </c>
      <c r="BB454" s="2">
        <v>7.5</v>
      </c>
      <c r="BC454" s="2">
        <v>2.9</v>
      </c>
      <c r="BD454" s="2">
        <f>+AN454*EXP(-0.0495*Y454)</f>
        <v>8.46680103019923</v>
      </c>
      <c r="BE454" s="2">
        <f>+AO454*EXP(-0.024*Y454)</f>
        <v>27.6672064977673</v>
      </c>
    </row>
    <row r="455" spans="1:57" x14ac:dyDescent="0.2">
      <c r="A455" s="2" t="s">
        <v>4353</v>
      </c>
      <c r="B455" s="2" t="s">
        <v>19</v>
      </c>
      <c r="C455" s="2" t="s">
        <v>3245</v>
      </c>
      <c r="D455" s="2" t="s">
        <v>21</v>
      </c>
      <c r="E455" s="2" t="s">
        <v>4354</v>
      </c>
      <c r="F455" s="2">
        <v>3</v>
      </c>
      <c r="G455" s="2">
        <v>27.46</v>
      </c>
      <c r="H455" s="2">
        <v>1</v>
      </c>
      <c r="I455" s="2">
        <v>1</v>
      </c>
      <c r="J455" s="2">
        <v>0</v>
      </c>
      <c r="K455" s="2" t="s">
        <v>61</v>
      </c>
      <c r="L455" s="6" t="s">
        <v>62</v>
      </c>
      <c r="M455" s="5">
        <v>255000000</v>
      </c>
      <c r="N455" s="2">
        <v>0</v>
      </c>
      <c r="O455" s="2">
        <v>4.72736</v>
      </c>
      <c r="P455" s="2">
        <v>-74.055229999999995</v>
      </c>
      <c r="Q455" s="2" t="s">
        <v>4355</v>
      </c>
      <c r="R455" s="2">
        <v>9286234.523</v>
      </c>
      <c r="S455" s="2">
        <v>0</v>
      </c>
      <c r="T455" s="2" t="s">
        <v>68</v>
      </c>
      <c r="U455" s="2" t="s">
        <v>69</v>
      </c>
      <c r="V455" s="2" t="s">
        <v>28</v>
      </c>
      <c r="W455" s="2" t="s">
        <v>70</v>
      </c>
      <c r="X455" s="2" t="s">
        <v>71</v>
      </c>
      <c r="Y455" s="2">
        <v>1.92224170392265</v>
      </c>
      <c r="Z455" s="2">
        <v>4.73719444444444</v>
      </c>
      <c r="AA455" s="2">
        <v>-74.069472222222203</v>
      </c>
      <c r="AB455" s="2">
        <v>2555</v>
      </c>
      <c r="AC455" s="2" t="s">
        <v>31</v>
      </c>
      <c r="AD455" s="2" t="s">
        <v>58</v>
      </c>
      <c r="AE455" s="2" t="s">
        <v>33</v>
      </c>
      <c r="AF455" s="2" t="s">
        <v>34</v>
      </c>
      <c r="AG455" s="2" t="s">
        <v>72</v>
      </c>
      <c r="AH455" s="2">
        <v>0.52708235451677998</v>
      </c>
      <c r="AI455" s="2">
        <v>3.61182185625684</v>
      </c>
      <c r="AJ455" s="2">
        <v>1.7984319182035899</v>
      </c>
      <c r="AK455" s="2">
        <v>0.40873170207382498</v>
      </c>
      <c r="AL455" s="2">
        <v>5.70595167197862E-2</v>
      </c>
      <c r="AM455" s="2">
        <v>15.3</v>
      </c>
      <c r="AN455" s="2">
        <v>9.8000000000000007</v>
      </c>
      <c r="AO455" s="2">
        <v>29.7</v>
      </c>
      <c r="AP455" s="2">
        <v>564</v>
      </c>
      <c r="AQ455" s="2">
        <v>68</v>
      </c>
      <c r="AR455" s="2">
        <v>1.8</v>
      </c>
      <c r="AS455" s="2">
        <v>43</v>
      </c>
      <c r="AT455" s="2">
        <v>25.4</v>
      </c>
      <c r="AU455" s="2">
        <v>162</v>
      </c>
      <c r="AV455" s="2">
        <v>9.1</v>
      </c>
      <c r="AW455" s="2">
        <v>9.1999999999999993</v>
      </c>
      <c r="AX455" s="2">
        <v>18.3</v>
      </c>
      <c r="AY455" s="2">
        <v>0.34</v>
      </c>
      <c r="AZ455" s="2">
        <v>7.3</v>
      </c>
      <c r="BA455" s="2">
        <v>0.9</v>
      </c>
      <c r="BB455" s="2">
        <v>7.5</v>
      </c>
      <c r="BC455" s="2">
        <v>2.9</v>
      </c>
      <c r="BD455" s="2">
        <f>+AN455*EXP(-0.0495*Y455)</f>
        <v>8.9105094870263244</v>
      </c>
      <c r="BE455" s="2">
        <f>+AO455*EXP(-0.024*Y455)</f>
        <v>28.360951302541352</v>
      </c>
    </row>
    <row r="456" spans="1:57" x14ac:dyDescent="0.2">
      <c r="A456" s="2" t="s">
        <v>4275</v>
      </c>
      <c r="B456" s="2" t="s">
        <v>19</v>
      </c>
      <c r="C456" s="2" t="s">
        <v>3245</v>
      </c>
      <c r="D456" s="2" t="s">
        <v>21</v>
      </c>
      <c r="E456" s="2" t="s">
        <v>446</v>
      </c>
      <c r="F456" s="2">
        <v>3</v>
      </c>
      <c r="G456" s="2">
        <v>27.07</v>
      </c>
      <c r="H456" s="2">
        <v>1</v>
      </c>
      <c r="I456" s="2">
        <v>1</v>
      </c>
      <c r="J456" s="2">
        <v>0</v>
      </c>
      <c r="K456" s="2" t="s">
        <v>61</v>
      </c>
      <c r="L456" s="6" t="s">
        <v>62</v>
      </c>
      <c r="M456" s="5">
        <v>255000000</v>
      </c>
      <c r="N456" s="2">
        <v>0</v>
      </c>
      <c r="O456" s="2">
        <v>4.7274799999999999</v>
      </c>
      <c r="P456" s="2">
        <v>-74.055239999999998</v>
      </c>
      <c r="Q456" s="2" t="s">
        <v>4276</v>
      </c>
      <c r="R456" s="2">
        <v>9420022.1649999991</v>
      </c>
      <c r="S456" s="2">
        <v>0</v>
      </c>
      <c r="T456" s="2" t="s">
        <v>68</v>
      </c>
      <c r="U456" s="2" t="s">
        <v>69</v>
      </c>
      <c r="V456" s="2" t="s">
        <v>28</v>
      </c>
      <c r="W456" s="2" t="s">
        <v>70</v>
      </c>
      <c r="X456" s="2" t="s">
        <v>71</v>
      </c>
      <c r="Y456" s="2">
        <v>1.9137497598189499</v>
      </c>
      <c r="Z456" s="2">
        <v>4.73719444444444</v>
      </c>
      <c r="AA456" s="2">
        <v>-74.069472222222203</v>
      </c>
      <c r="AB456" s="2">
        <v>2555</v>
      </c>
      <c r="AC456" s="2" t="s">
        <v>31</v>
      </c>
      <c r="AD456" s="2" t="s">
        <v>58</v>
      </c>
      <c r="AE456" s="2" t="s">
        <v>33</v>
      </c>
      <c r="AF456" s="2" t="s">
        <v>34</v>
      </c>
      <c r="AG456" s="2" t="s">
        <v>72</v>
      </c>
      <c r="AH456" s="2">
        <v>0.52976366640588002</v>
      </c>
      <c r="AI456" s="2">
        <v>3.6160159685265798</v>
      </c>
      <c r="AJ456" s="2">
        <v>1.7950191227863601</v>
      </c>
      <c r="AK456" s="2">
        <v>0.40256272711366597</v>
      </c>
      <c r="AL456" s="2">
        <v>5.2073108003588602E-2</v>
      </c>
      <c r="AM456" s="2">
        <v>15.3</v>
      </c>
      <c r="AN456" s="2">
        <v>9.8000000000000007</v>
      </c>
      <c r="AO456" s="2">
        <v>29.7</v>
      </c>
      <c r="AP456" s="2">
        <v>564</v>
      </c>
      <c r="AQ456" s="2">
        <v>68</v>
      </c>
      <c r="AR456" s="2">
        <v>1.8</v>
      </c>
      <c r="AS456" s="2">
        <v>43</v>
      </c>
      <c r="AT456" s="2">
        <v>25.4</v>
      </c>
      <c r="AU456" s="2">
        <v>162</v>
      </c>
      <c r="AV456" s="2">
        <v>9.1</v>
      </c>
      <c r="AW456" s="2">
        <v>9.1999999999999993</v>
      </c>
      <c r="AX456" s="2">
        <v>18.3</v>
      </c>
      <c r="AY456" s="2">
        <v>0.34</v>
      </c>
      <c r="AZ456" s="2">
        <v>7.3</v>
      </c>
      <c r="BA456" s="2">
        <v>0.9</v>
      </c>
      <c r="BB456" s="2">
        <v>7.5</v>
      </c>
      <c r="BC456" s="2">
        <v>2.9</v>
      </c>
      <c r="BD456" s="2">
        <f>+AN456*EXP(-0.0495*Y456)</f>
        <v>8.9142558180093019</v>
      </c>
      <c r="BE456" s="2">
        <f>+AO456*EXP(-0.024*Y456)</f>
        <v>28.366732042314506</v>
      </c>
    </row>
    <row r="457" spans="1:57" x14ac:dyDescent="0.2">
      <c r="A457" s="2" t="s">
        <v>3691</v>
      </c>
      <c r="B457" s="2" t="s">
        <v>19</v>
      </c>
      <c r="C457" s="2" t="s">
        <v>3245</v>
      </c>
      <c r="D457" s="2" t="s">
        <v>21</v>
      </c>
      <c r="E457" s="2" t="s">
        <v>961</v>
      </c>
      <c r="F457" s="2">
        <v>4</v>
      </c>
      <c r="G457" s="2">
        <v>27</v>
      </c>
      <c r="H457" s="2">
        <v>1</v>
      </c>
      <c r="I457" s="2">
        <v>1</v>
      </c>
      <c r="J457" s="2">
        <v>0</v>
      </c>
      <c r="K457" s="2" t="s">
        <v>61</v>
      </c>
      <c r="L457" s="6" t="s">
        <v>62</v>
      </c>
      <c r="M457" s="5">
        <v>290000000</v>
      </c>
      <c r="N457" s="2">
        <v>0</v>
      </c>
      <c r="O457" s="2">
        <v>4.7367714000000003</v>
      </c>
      <c r="P457" s="2">
        <v>-74.053145900000004</v>
      </c>
      <c r="Q457" s="2" t="s">
        <v>3692</v>
      </c>
      <c r="R457" s="2">
        <v>10740740.74</v>
      </c>
      <c r="S457" s="2">
        <v>0</v>
      </c>
      <c r="T457" s="2" t="s">
        <v>68</v>
      </c>
      <c r="U457" s="2" t="s">
        <v>69</v>
      </c>
      <c r="V457" s="2" t="s">
        <v>28</v>
      </c>
      <c r="W457" s="2" t="s">
        <v>70</v>
      </c>
      <c r="X457" s="2" t="s">
        <v>71</v>
      </c>
      <c r="Y457" s="2">
        <v>1.8118421568220899</v>
      </c>
      <c r="Z457" s="2">
        <v>4.73719444444444</v>
      </c>
      <c r="AA457" s="2">
        <v>-74.069472222222203</v>
      </c>
      <c r="AB457" s="2">
        <v>2555</v>
      </c>
      <c r="AC457" s="2" t="s">
        <v>31</v>
      </c>
      <c r="AD457" s="2" t="s">
        <v>58</v>
      </c>
      <c r="AE457" s="2" t="s">
        <v>33</v>
      </c>
      <c r="AF457" s="2" t="s">
        <v>34</v>
      </c>
      <c r="AG457" s="2" t="s">
        <v>72</v>
      </c>
      <c r="AH457" s="2">
        <v>0.497043711660623</v>
      </c>
      <c r="AI457" s="2">
        <v>3.4831373217135599</v>
      </c>
      <c r="AJ457" s="2">
        <v>1.5224385143125101</v>
      </c>
      <c r="AK457" s="2">
        <v>0.248121412394299</v>
      </c>
      <c r="AL457" s="2">
        <v>0.15005951554880101</v>
      </c>
      <c r="AM457" s="2">
        <v>15.3</v>
      </c>
      <c r="AN457" s="2">
        <v>9.8000000000000007</v>
      </c>
      <c r="AO457" s="2">
        <v>29.7</v>
      </c>
      <c r="AP457" s="2">
        <v>564</v>
      </c>
      <c r="AQ457" s="2">
        <v>68</v>
      </c>
      <c r="AR457" s="2">
        <v>1.8</v>
      </c>
      <c r="AS457" s="2">
        <v>43</v>
      </c>
      <c r="AT457" s="2">
        <v>25.4</v>
      </c>
      <c r="AU457" s="2">
        <v>162</v>
      </c>
      <c r="AV457" s="2">
        <v>9.1</v>
      </c>
      <c r="AW457" s="2">
        <v>9.1999999999999993</v>
      </c>
      <c r="AX457" s="2">
        <v>18.3</v>
      </c>
      <c r="AY457" s="2">
        <v>0.34</v>
      </c>
      <c r="AZ457" s="2">
        <v>7.3</v>
      </c>
      <c r="BA457" s="2">
        <v>0.9</v>
      </c>
      <c r="BB457" s="2">
        <v>7.5</v>
      </c>
      <c r="BC457" s="2">
        <v>2.9</v>
      </c>
      <c r="BD457" s="2">
        <f>+AN457*EXP(-0.0495*Y457)</f>
        <v>8.9593367330163556</v>
      </c>
      <c r="BE457" s="2">
        <f>+AO457*EXP(-0.024*Y457)</f>
        <v>28.436195810335679</v>
      </c>
    </row>
    <row r="458" spans="1:57" x14ac:dyDescent="0.2">
      <c r="A458" s="2" t="s">
        <v>3951</v>
      </c>
      <c r="B458" s="2" t="s">
        <v>19</v>
      </c>
      <c r="C458" s="2" t="s">
        <v>3245</v>
      </c>
      <c r="D458" s="2" t="s">
        <v>21</v>
      </c>
      <c r="E458" s="2" t="s">
        <v>1728</v>
      </c>
      <c r="F458" s="2">
        <v>3</v>
      </c>
      <c r="G458" s="2">
        <v>27</v>
      </c>
      <c r="H458" s="2">
        <v>1</v>
      </c>
      <c r="I458" s="2">
        <v>1</v>
      </c>
      <c r="J458" s="2">
        <v>0</v>
      </c>
      <c r="K458" s="2" t="s">
        <v>61</v>
      </c>
      <c r="L458" s="6" t="s">
        <v>62</v>
      </c>
      <c r="M458" s="5">
        <v>175000000</v>
      </c>
      <c r="N458" s="2">
        <v>0</v>
      </c>
      <c r="O458" s="2">
        <v>4.7627908999999997</v>
      </c>
      <c r="P458" s="2">
        <v>-74.027353500000004</v>
      </c>
      <c r="Q458" s="2" t="s">
        <v>3952</v>
      </c>
      <c r="R458" s="2">
        <v>6481481.4809999997</v>
      </c>
      <c r="S458" s="2">
        <v>0</v>
      </c>
      <c r="T458" s="2" t="s">
        <v>102</v>
      </c>
      <c r="U458" s="2" t="s">
        <v>103</v>
      </c>
      <c r="V458" s="2" t="s">
        <v>28</v>
      </c>
      <c r="W458" s="2" t="s">
        <v>70</v>
      </c>
      <c r="X458" s="2" t="s">
        <v>104</v>
      </c>
      <c r="Y458" s="2">
        <v>2.9851109822768298</v>
      </c>
      <c r="Z458" s="2">
        <v>4.7837500000000004</v>
      </c>
      <c r="AA458" s="2">
        <v>-74.044138888888895</v>
      </c>
      <c r="AB458" s="2">
        <v>2580</v>
      </c>
      <c r="AC458" s="2" t="s">
        <v>105</v>
      </c>
      <c r="AD458" s="2" t="s">
        <v>58</v>
      </c>
      <c r="AE458" s="2" t="s">
        <v>33</v>
      </c>
      <c r="AF458" s="2" t="s">
        <v>34</v>
      </c>
      <c r="AG458" s="2" t="s">
        <v>59</v>
      </c>
      <c r="AH458" s="2">
        <v>1.89569860402208</v>
      </c>
      <c r="AI458" s="2">
        <v>0.56970043684633898</v>
      </c>
      <c r="AJ458" s="2">
        <v>1.35602190903206</v>
      </c>
      <c r="AK458" s="2">
        <v>0.18066402729789299</v>
      </c>
      <c r="AL458" s="2">
        <v>2.9350346422144701E-2</v>
      </c>
      <c r="AM458" s="2">
        <v>15.3</v>
      </c>
      <c r="AN458" s="2">
        <v>9.8000000000000007</v>
      </c>
      <c r="AO458" s="2">
        <v>29.7</v>
      </c>
      <c r="AP458" s="2">
        <v>564</v>
      </c>
      <c r="AQ458" s="2">
        <v>68</v>
      </c>
      <c r="AR458" s="2">
        <v>1.8</v>
      </c>
      <c r="AS458" s="2">
        <v>43</v>
      </c>
      <c r="AT458" s="2">
        <v>25.4</v>
      </c>
      <c r="AU458" s="2">
        <v>162</v>
      </c>
      <c r="AV458" s="2">
        <v>9.1</v>
      </c>
      <c r="AW458" s="2">
        <v>9.1999999999999993</v>
      </c>
      <c r="AX458" s="2">
        <v>18.3</v>
      </c>
      <c r="AY458" s="2">
        <v>0.34</v>
      </c>
      <c r="AZ458" s="2">
        <v>7.3</v>
      </c>
      <c r="BA458" s="2">
        <v>0.9</v>
      </c>
      <c r="BB458" s="2">
        <v>7.5</v>
      </c>
      <c r="BC458" s="2">
        <v>2.9</v>
      </c>
      <c r="BD458" s="2">
        <f>+AN458*EXP(-0.0495*Y458)</f>
        <v>8.4538283002362142</v>
      </c>
      <c r="BE458" s="2">
        <f>+AO458*EXP(-0.024*Y458)</f>
        <v>27.64664499400762</v>
      </c>
    </row>
    <row r="459" spans="1:57" x14ac:dyDescent="0.2">
      <c r="A459" s="2" t="s">
        <v>3544</v>
      </c>
      <c r="B459" s="2" t="s">
        <v>19</v>
      </c>
      <c r="C459" s="2" t="s">
        <v>3245</v>
      </c>
      <c r="D459" s="2" t="s">
        <v>21</v>
      </c>
      <c r="E459" s="2" t="s">
        <v>879</v>
      </c>
      <c r="F459" s="2">
        <v>4</v>
      </c>
      <c r="G459" s="2">
        <v>26.55</v>
      </c>
      <c r="H459" s="2">
        <v>1</v>
      </c>
      <c r="I459" s="2">
        <v>1</v>
      </c>
      <c r="J459" s="2">
        <v>0</v>
      </c>
      <c r="K459" s="2" t="s">
        <v>61</v>
      </c>
      <c r="L459" s="6" t="s">
        <v>62</v>
      </c>
      <c r="M459" s="5">
        <v>283000000</v>
      </c>
      <c r="N459" s="2">
        <v>0</v>
      </c>
      <c r="O459" s="2">
        <v>4.7329268459999998</v>
      </c>
      <c r="P459" s="2">
        <v>-74.053024289999996</v>
      </c>
      <c r="Q459" s="2" t="s">
        <v>3545</v>
      </c>
      <c r="R459" s="2">
        <v>10659133.710000001</v>
      </c>
      <c r="S459" s="2">
        <v>0</v>
      </c>
      <c r="T459" s="2" t="s">
        <v>68</v>
      </c>
      <c r="U459" s="2" t="s">
        <v>69</v>
      </c>
      <c r="V459" s="2" t="s">
        <v>28</v>
      </c>
      <c r="W459" s="2" t="s">
        <v>70</v>
      </c>
      <c r="X459" s="2" t="s">
        <v>71</v>
      </c>
      <c r="Y459" s="2">
        <v>1.8855543190917401</v>
      </c>
      <c r="Z459" s="2">
        <v>4.73719444444444</v>
      </c>
      <c r="AA459" s="2">
        <v>-74.069472222222203</v>
      </c>
      <c r="AB459" s="2">
        <v>2555</v>
      </c>
      <c r="AC459" s="2" t="s">
        <v>31</v>
      </c>
      <c r="AD459" s="2" t="s">
        <v>58</v>
      </c>
      <c r="AE459" s="2" t="s">
        <v>33</v>
      </c>
      <c r="AF459" s="2" t="s">
        <v>34</v>
      </c>
      <c r="AG459" s="2" t="s">
        <v>72</v>
      </c>
      <c r="AH459" s="2">
        <v>0.42133393314850798</v>
      </c>
      <c r="AI459" s="2">
        <v>3.4402692358698399</v>
      </c>
      <c r="AJ459" s="2">
        <v>1.4470985696915399</v>
      </c>
      <c r="AK459" s="2">
        <v>0.29170759545218</v>
      </c>
      <c r="AL459" s="2">
        <v>4.4212772447441102E-2</v>
      </c>
      <c r="AM459" s="2">
        <v>15.3</v>
      </c>
      <c r="AN459" s="2">
        <v>9.8000000000000007</v>
      </c>
      <c r="AO459" s="2">
        <v>29.7</v>
      </c>
      <c r="AP459" s="2">
        <v>564</v>
      </c>
      <c r="AQ459" s="2">
        <v>68</v>
      </c>
      <c r="AR459" s="2">
        <v>1.8</v>
      </c>
      <c r="AS459" s="2">
        <v>43</v>
      </c>
      <c r="AT459" s="2">
        <v>25.4</v>
      </c>
      <c r="AU459" s="2">
        <v>162</v>
      </c>
      <c r="AV459" s="2">
        <v>9.1</v>
      </c>
      <c r="AW459" s="2">
        <v>9.1999999999999993</v>
      </c>
      <c r="AX459" s="2">
        <v>18.3</v>
      </c>
      <c r="AY459" s="2">
        <v>0.34</v>
      </c>
      <c r="AZ459" s="2">
        <v>7.3</v>
      </c>
      <c r="BA459" s="2">
        <v>0.9</v>
      </c>
      <c r="BB459" s="2">
        <v>7.5</v>
      </c>
      <c r="BC459" s="2">
        <v>2.9</v>
      </c>
      <c r="BD459" s="2">
        <f>+AN459*EXP(-0.0495*Y459)</f>
        <v>8.9267059020109922</v>
      </c>
      <c r="BE459" s="2">
        <f>+AO459*EXP(-0.024*Y459)</f>
        <v>28.385934038772977</v>
      </c>
    </row>
    <row r="460" spans="1:57" x14ac:dyDescent="0.2">
      <c r="A460" s="2" t="s">
        <v>4466</v>
      </c>
      <c r="B460" s="2" t="s">
        <v>19</v>
      </c>
      <c r="C460" s="2" t="s">
        <v>3245</v>
      </c>
      <c r="D460" s="2" t="s">
        <v>21</v>
      </c>
      <c r="E460" s="2" t="s">
        <v>434</v>
      </c>
      <c r="F460" s="2">
        <v>4</v>
      </c>
      <c r="G460" s="2">
        <v>26</v>
      </c>
      <c r="H460" s="2">
        <v>1</v>
      </c>
      <c r="I460" s="2">
        <v>1</v>
      </c>
      <c r="J460" s="2">
        <v>1</v>
      </c>
      <c r="K460" s="2" t="s">
        <v>61</v>
      </c>
      <c r="L460" s="6" t="s">
        <v>84</v>
      </c>
      <c r="M460" s="5">
        <v>230000000</v>
      </c>
      <c r="N460" s="2">
        <v>0</v>
      </c>
      <c r="O460" s="2">
        <v>4.7242493630000002</v>
      </c>
      <c r="P460" s="2">
        <v>-74.073295590000001</v>
      </c>
      <c r="Q460" s="2" t="s">
        <v>4467</v>
      </c>
      <c r="R460" s="2">
        <v>8846153.8460000008</v>
      </c>
      <c r="S460" s="2">
        <v>0</v>
      </c>
      <c r="T460" s="2" t="s">
        <v>68</v>
      </c>
      <c r="U460" s="2" t="s">
        <v>69</v>
      </c>
      <c r="V460" s="2" t="s">
        <v>28</v>
      </c>
      <c r="W460" s="2" t="s">
        <v>70</v>
      </c>
      <c r="X460" s="2" t="s">
        <v>71</v>
      </c>
      <c r="Y460" s="2">
        <v>1.50216917086618</v>
      </c>
      <c r="Z460" s="2">
        <v>4.73719444444444</v>
      </c>
      <c r="AA460" s="2">
        <v>-74.069472222222203</v>
      </c>
      <c r="AB460" s="2">
        <v>2555</v>
      </c>
      <c r="AC460" s="2" t="s">
        <v>31</v>
      </c>
      <c r="AD460" s="2" t="s">
        <v>58</v>
      </c>
      <c r="AE460" s="2" t="s">
        <v>33</v>
      </c>
      <c r="AF460" s="2" t="s">
        <v>34</v>
      </c>
      <c r="AG460" s="2" t="s">
        <v>72</v>
      </c>
      <c r="AH460" s="2">
        <v>0.36505833128508097</v>
      </c>
      <c r="AI460" s="2">
        <v>5.5376795633654403</v>
      </c>
      <c r="AJ460" s="2">
        <v>0.84365842736249996</v>
      </c>
      <c r="AK460" s="2">
        <v>0.44968788500322499</v>
      </c>
      <c r="AL460" s="2">
        <v>0.18140246454141901</v>
      </c>
      <c r="AM460" s="2">
        <v>15.3</v>
      </c>
      <c r="AN460" s="2">
        <v>9.8000000000000007</v>
      </c>
      <c r="AO460" s="2">
        <v>29.7</v>
      </c>
      <c r="AP460" s="2">
        <v>564</v>
      </c>
      <c r="AQ460" s="2">
        <v>68</v>
      </c>
      <c r="AR460" s="2">
        <v>1.8</v>
      </c>
      <c r="AS460" s="2">
        <v>43</v>
      </c>
      <c r="AT460" s="2">
        <v>25.4</v>
      </c>
      <c r="AU460" s="2">
        <v>162</v>
      </c>
      <c r="AV460" s="2">
        <v>9.1</v>
      </c>
      <c r="AW460" s="2">
        <v>9.1999999999999993</v>
      </c>
      <c r="AX460" s="2">
        <v>18.3</v>
      </c>
      <c r="AY460" s="2">
        <v>0.34</v>
      </c>
      <c r="AZ460" s="2">
        <v>7.3</v>
      </c>
      <c r="BA460" s="2">
        <v>0.9</v>
      </c>
      <c r="BB460" s="2">
        <v>7.5</v>
      </c>
      <c r="BC460" s="2">
        <v>2.9</v>
      </c>
      <c r="BD460" s="2">
        <f>+AN460*EXP(-0.0495*Y460)</f>
        <v>9.0977307265744045</v>
      </c>
      <c r="BE460" s="2">
        <f>+AO460*EXP(-0.024*Y460)</f>
        <v>28.648325242926397</v>
      </c>
    </row>
    <row r="461" spans="1:57" x14ac:dyDescent="0.2">
      <c r="A461" s="2" t="s">
        <v>4157</v>
      </c>
      <c r="B461" s="2" t="s">
        <v>19</v>
      </c>
      <c r="C461" s="2" t="s">
        <v>3245</v>
      </c>
      <c r="D461" s="2" t="s">
        <v>21</v>
      </c>
      <c r="E461" s="2" t="s">
        <v>660</v>
      </c>
      <c r="F461" s="2">
        <v>3</v>
      </c>
      <c r="G461" s="2">
        <v>25</v>
      </c>
      <c r="H461" s="2">
        <v>1</v>
      </c>
      <c r="I461" s="2">
        <v>1</v>
      </c>
      <c r="J461" s="2">
        <v>0</v>
      </c>
      <c r="K461" s="2" t="s">
        <v>61</v>
      </c>
      <c r="L461" s="6" t="s">
        <v>62</v>
      </c>
      <c r="M461" s="5">
        <v>218000000</v>
      </c>
      <c r="N461" s="2">
        <v>0</v>
      </c>
      <c r="O461" s="2">
        <v>4.7470021999999998</v>
      </c>
      <c r="P461" s="2">
        <v>-74.062111299999998</v>
      </c>
      <c r="Q461" s="2" t="s">
        <v>4158</v>
      </c>
      <c r="R461" s="2">
        <v>8720000</v>
      </c>
      <c r="S461" s="2">
        <v>0</v>
      </c>
      <c r="T461" s="2" t="s">
        <v>68</v>
      </c>
      <c r="U461" s="2" t="s">
        <v>69</v>
      </c>
      <c r="V461" s="2" t="s">
        <v>28</v>
      </c>
      <c r="W461" s="2" t="s">
        <v>70</v>
      </c>
      <c r="X461" s="2" t="s">
        <v>71</v>
      </c>
      <c r="Y461" s="2">
        <v>1.3634021695844101</v>
      </c>
      <c r="Z461" s="2">
        <v>4.73719444444444</v>
      </c>
      <c r="AA461" s="2">
        <v>-74.069472222222203</v>
      </c>
      <c r="AB461" s="2">
        <v>2555</v>
      </c>
      <c r="AC461" s="2" t="s">
        <v>31</v>
      </c>
      <c r="AD461" s="2" t="s">
        <v>58</v>
      </c>
      <c r="AE461" s="2" t="s">
        <v>33</v>
      </c>
      <c r="AF461" s="2" t="s">
        <v>34</v>
      </c>
      <c r="AG461" s="2" t="s">
        <v>72</v>
      </c>
      <c r="AH461" s="2">
        <v>1.64961312746184</v>
      </c>
      <c r="AI461" s="2">
        <v>4.5839896624581904</v>
      </c>
      <c r="AJ461" s="2">
        <v>1.1864089801334901</v>
      </c>
      <c r="AK461" s="2">
        <v>0.37618588029316202</v>
      </c>
      <c r="AL461" s="2">
        <v>5.1856322204296E-2</v>
      </c>
      <c r="AM461" s="2">
        <v>15.3</v>
      </c>
      <c r="AN461" s="2">
        <v>9.8000000000000007</v>
      </c>
      <c r="AO461" s="2">
        <v>29.7</v>
      </c>
      <c r="AP461" s="2">
        <v>564</v>
      </c>
      <c r="AQ461" s="2">
        <v>68</v>
      </c>
      <c r="AR461" s="2">
        <v>1.8</v>
      </c>
      <c r="AS461" s="2">
        <v>43</v>
      </c>
      <c r="AT461" s="2">
        <v>25.4</v>
      </c>
      <c r="AU461" s="2">
        <v>162</v>
      </c>
      <c r="AV461" s="2">
        <v>9.1</v>
      </c>
      <c r="AW461" s="2">
        <v>9.1999999999999993</v>
      </c>
      <c r="AX461" s="2">
        <v>18.3</v>
      </c>
      <c r="AY461" s="2">
        <v>0.34</v>
      </c>
      <c r="AZ461" s="2">
        <v>7.3</v>
      </c>
      <c r="BA461" s="2">
        <v>0.9</v>
      </c>
      <c r="BB461" s="2">
        <v>7.5</v>
      </c>
      <c r="BC461" s="2">
        <v>2.9</v>
      </c>
      <c r="BD461" s="2">
        <f>+AN461*EXP(-0.0495*Y461)</f>
        <v>9.1604378547644583</v>
      </c>
      <c r="BE461" s="2">
        <f>+AO461*EXP(-0.024*Y461)</f>
        <v>28.743894910041597</v>
      </c>
    </row>
    <row r="462" spans="1:57" x14ac:dyDescent="0.2">
      <c r="A462" s="2" t="s">
        <v>4205</v>
      </c>
      <c r="B462" s="2" t="s">
        <v>19</v>
      </c>
      <c r="C462" s="2" t="s">
        <v>3245</v>
      </c>
      <c r="D462" s="2" t="s">
        <v>21</v>
      </c>
      <c r="E462" s="2" t="s">
        <v>2844</v>
      </c>
      <c r="F462" s="2">
        <v>5</v>
      </c>
      <c r="G462" s="2">
        <v>18</v>
      </c>
      <c r="H462" s="2">
        <v>1</v>
      </c>
      <c r="I462" s="2">
        <v>1</v>
      </c>
      <c r="J462" s="2">
        <v>0</v>
      </c>
      <c r="K462" s="2" t="s">
        <v>61</v>
      </c>
      <c r="L462" s="6" t="s">
        <v>84</v>
      </c>
      <c r="M462" s="5">
        <v>190000000</v>
      </c>
      <c r="N462" s="2">
        <v>0</v>
      </c>
      <c r="O462" s="2">
        <v>4.7583080000000004</v>
      </c>
      <c r="P462" s="2">
        <v>-74.038864000000004</v>
      </c>
      <c r="Q462" s="2" t="s">
        <v>4206</v>
      </c>
      <c r="R462" s="2">
        <v>10555555.560000001</v>
      </c>
      <c r="S462" s="2">
        <v>0</v>
      </c>
      <c r="T462" s="2" t="s">
        <v>102</v>
      </c>
      <c r="U462" s="2" t="s">
        <v>103</v>
      </c>
      <c r="V462" s="2" t="s">
        <v>28</v>
      </c>
      <c r="W462" s="2" t="s">
        <v>70</v>
      </c>
      <c r="X462" s="2" t="s">
        <v>104</v>
      </c>
      <c r="Y462" s="2">
        <v>2.8920095190305801</v>
      </c>
      <c r="Z462" s="2">
        <v>4.7837500000000004</v>
      </c>
      <c r="AA462" s="2">
        <v>-74.044138888888895</v>
      </c>
      <c r="AB462" s="2">
        <v>2580</v>
      </c>
      <c r="AC462" s="2" t="s">
        <v>105</v>
      </c>
      <c r="AD462" s="2" t="s">
        <v>58</v>
      </c>
      <c r="AE462" s="2" t="s">
        <v>33</v>
      </c>
      <c r="AF462" s="2" t="s">
        <v>34</v>
      </c>
      <c r="AG462" s="2" t="s">
        <v>59</v>
      </c>
      <c r="AH462" s="2">
        <v>0.83156080323188997</v>
      </c>
      <c r="AI462" s="2">
        <v>1.87460105479145</v>
      </c>
      <c r="AJ462" s="2">
        <v>1.2252838492362499</v>
      </c>
      <c r="AK462" s="2">
        <v>0.83725590883030698</v>
      </c>
      <c r="AL462" s="2">
        <v>0.28110695748931602</v>
      </c>
      <c r="AM462" s="2">
        <v>15.3</v>
      </c>
      <c r="AN462" s="2">
        <v>9.8000000000000007</v>
      </c>
      <c r="AO462" s="2">
        <v>29.7</v>
      </c>
      <c r="AP462" s="2">
        <v>564</v>
      </c>
      <c r="AQ462" s="2">
        <v>68</v>
      </c>
      <c r="AR462" s="2">
        <v>1.8</v>
      </c>
      <c r="AS462" s="2">
        <v>43</v>
      </c>
      <c r="AT462" s="2">
        <v>25.4</v>
      </c>
      <c r="AU462" s="2">
        <v>162</v>
      </c>
      <c r="AV462" s="2">
        <v>9.1</v>
      </c>
      <c r="AW462" s="2">
        <v>9.1999999999999993</v>
      </c>
      <c r="AX462" s="2">
        <v>18.3</v>
      </c>
      <c r="AY462" s="2">
        <v>0.34</v>
      </c>
      <c r="AZ462" s="2">
        <v>7.3</v>
      </c>
      <c r="BA462" s="2">
        <v>0.9</v>
      </c>
      <c r="BB462" s="2">
        <v>7.5</v>
      </c>
      <c r="BC462" s="2">
        <v>2.9</v>
      </c>
      <c r="BD462" s="2">
        <f>+AN462*EXP(-0.0495*Y462)</f>
        <v>8.4928778688767803</v>
      </c>
      <c r="BE462" s="2">
        <f>+AO462*EXP(-0.024*Y462)</f>
        <v>27.708488695613379</v>
      </c>
    </row>
    <row r="463" spans="1:57" x14ac:dyDescent="0.2">
      <c r="A463" s="2" t="s">
        <v>2587</v>
      </c>
      <c r="B463" s="2" t="s">
        <v>19</v>
      </c>
      <c r="C463" s="2" t="s">
        <v>1907</v>
      </c>
      <c r="D463" s="2" t="s">
        <v>21</v>
      </c>
      <c r="E463" s="2" t="s">
        <v>2104</v>
      </c>
      <c r="F463" s="2">
        <v>6</v>
      </c>
      <c r="G463" s="2">
        <v>1000</v>
      </c>
      <c r="H463" s="2">
        <v>4</v>
      </c>
      <c r="I463" s="2">
        <v>3</v>
      </c>
      <c r="J463" s="2">
        <v>2</v>
      </c>
      <c r="K463" s="2" t="s">
        <v>61</v>
      </c>
      <c r="L463" s="6" t="s">
        <v>75</v>
      </c>
      <c r="M463" s="5">
        <v>3500000000</v>
      </c>
      <c r="N463" s="2">
        <v>0</v>
      </c>
      <c r="O463" s="2">
        <v>4.6395788189999996</v>
      </c>
      <c r="P463" s="2">
        <v>-74.170257570000004</v>
      </c>
      <c r="Q463" s="2" t="s">
        <v>2588</v>
      </c>
      <c r="R463" s="2">
        <v>3500000</v>
      </c>
      <c r="S463" s="2">
        <v>0</v>
      </c>
      <c r="T463" s="2" t="s">
        <v>413</v>
      </c>
      <c r="U463" s="2" t="s">
        <v>600</v>
      </c>
      <c r="V463" s="2" t="s">
        <v>28</v>
      </c>
      <c r="W463" s="2" t="s">
        <v>413</v>
      </c>
      <c r="X463" s="2" t="s">
        <v>601</v>
      </c>
      <c r="Y463" s="2">
        <v>1.8963860203370899</v>
      </c>
      <c r="Z463" s="2">
        <v>4.6250499999999999</v>
      </c>
      <c r="AA463" s="2">
        <v>-74.161333333333303</v>
      </c>
      <c r="AB463" s="2">
        <v>2580</v>
      </c>
      <c r="AC463" s="2" t="s">
        <v>31</v>
      </c>
      <c r="AD463" s="2" t="s">
        <v>58</v>
      </c>
      <c r="AE463" s="2" t="s">
        <v>33</v>
      </c>
      <c r="AF463" s="2" t="s">
        <v>34</v>
      </c>
      <c r="AG463" s="2" t="s">
        <v>172</v>
      </c>
      <c r="AH463" s="2">
        <v>0.94428248605089404</v>
      </c>
      <c r="AI463" s="2">
        <v>1.5872820179217499</v>
      </c>
      <c r="AJ463" s="2">
        <v>5.29714744941404</v>
      </c>
      <c r="AK463" s="2">
        <v>0.17502974407174399</v>
      </c>
      <c r="AL463" s="2">
        <v>6.9301509206790707E-2</v>
      </c>
      <c r="AN463" s="2">
        <v>14.5</v>
      </c>
      <c r="AO463" s="2">
        <v>27.9</v>
      </c>
      <c r="AP463" s="2">
        <v>564</v>
      </c>
      <c r="AQ463" s="2">
        <v>65.5</v>
      </c>
      <c r="AR463" s="2">
        <v>1.3</v>
      </c>
      <c r="AS463" s="2">
        <v>189</v>
      </c>
      <c r="AT463" s="2">
        <v>8.8000000000000007</v>
      </c>
      <c r="AU463" s="2">
        <v>167</v>
      </c>
      <c r="AV463" s="2">
        <v>21.9</v>
      </c>
      <c r="AW463" s="2">
        <v>16.3</v>
      </c>
      <c r="AX463" s="2">
        <v>38.200000000000003</v>
      </c>
      <c r="AY463" s="2">
        <v>1.02</v>
      </c>
      <c r="AZ463" s="2">
        <v>7.4</v>
      </c>
      <c r="BA463" s="2">
        <v>2.1</v>
      </c>
      <c r="BB463" s="2">
        <v>7.4</v>
      </c>
      <c r="BC463" s="2">
        <v>4.8</v>
      </c>
      <c r="BD463" s="2">
        <f>+AN463*EXP(-0.0495*Y463)</f>
        <v>13.200801420450835</v>
      </c>
      <c r="BE463" s="2">
        <f>+AO463*EXP(-0.024*Y463)</f>
        <v>26.658643296155766</v>
      </c>
    </row>
    <row r="464" spans="1:57" x14ac:dyDescent="0.2">
      <c r="A464" s="2" t="s">
        <v>2677</v>
      </c>
      <c r="B464" s="2" t="s">
        <v>19</v>
      </c>
      <c r="C464" s="2" t="s">
        <v>1907</v>
      </c>
      <c r="D464" s="2" t="s">
        <v>21</v>
      </c>
      <c r="E464" s="2" t="s">
        <v>2678</v>
      </c>
      <c r="F464" s="2">
        <v>3</v>
      </c>
      <c r="G464" s="2">
        <v>480</v>
      </c>
      <c r="H464" s="2">
        <v>5</v>
      </c>
      <c r="I464" s="2">
        <v>5</v>
      </c>
      <c r="J464" s="2">
        <v>0</v>
      </c>
      <c r="K464" s="2" t="s">
        <v>61</v>
      </c>
      <c r="L464" s="6" t="s">
        <v>113</v>
      </c>
      <c r="M464" s="5">
        <v>1300000000</v>
      </c>
      <c r="N464" s="2">
        <v>0</v>
      </c>
      <c r="O464" s="2">
        <v>4.6183399999999999</v>
      </c>
      <c r="P464" s="2">
        <v>-74.163759999999996</v>
      </c>
      <c r="Q464" s="2" t="s">
        <v>2679</v>
      </c>
      <c r="R464" s="2">
        <v>2708333.3330000001</v>
      </c>
      <c r="S464" s="2">
        <v>0</v>
      </c>
      <c r="T464" s="2" t="s">
        <v>413</v>
      </c>
      <c r="U464" s="2" t="s">
        <v>600</v>
      </c>
      <c r="V464" s="2" t="s">
        <v>28</v>
      </c>
      <c r="W464" s="2" t="s">
        <v>413</v>
      </c>
      <c r="X464" s="2" t="s">
        <v>601</v>
      </c>
      <c r="Y464" s="2">
        <v>0.79400204786749196</v>
      </c>
      <c r="Z464" s="2">
        <v>4.6250499999999999</v>
      </c>
      <c r="AA464" s="2">
        <v>-74.161333333333303</v>
      </c>
      <c r="AB464" s="2">
        <v>2580</v>
      </c>
      <c r="AC464" s="2" t="s">
        <v>31</v>
      </c>
      <c r="AD464" s="2" t="s">
        <v>58</v>
      </c>
      <c r="AE464" s="2" t="s">
        <v>33</v>
      </c>
      <c r="AF464" s="2" t="s">
        <v>34</v>
      </c>
      <c r="AG464" s="2" t="s">
        <v>172</v>
      </c>
      <c r="AH464" s="2">
        <v>1.5975747627025001</v>
      </c>
      <c r="AI464" s="2">
        <v>3.7885787531775699</v>
      </c>
      <c r="AJ464" s="2">
        <v>3.96249033131217</v>
      </c>
      <c r="AK464" s="2">
        <v>7.5069233306339994E-2</v>
      </c>
      <c r="AL464" s="2">
        <v>9.3972890709748107E-3</v>
      </c>
      <c r="AN464" s="2">
        <v>14.5</v>
      </c>
      <c r="AO464" s="2">
        <v>27.9</v>
      </c>
      <c r="AP464" s="2">
        <v>564</v>
      </c>
      <c r="AQ464" s="2">
        <v>65.5</v>
      </c>
      <c r="AR464" s="2">
        <v>1.3</v>
      </c>
      <c r="AS464" s="2">
        <v>189</v>
      </c>
      <c r="AT464" s="2">
        <v>8.8000000000000007</v>
      </c>
      <c r="AU464" s="2">
        <v>167</v>
      </c>
      <c r="AV464" s="2">
        <v>21.9</v>
      </c>
      <c r="AW464" s="2">
        <v>16.3</v>
      </c>
      <c r="AX464" s="2">
        <v>38.200000000000003</v>
      </c>
      <c r="AY464" s="2">
        <v>1.02</v>
      </c>
      <c r="AZ464" s="2">
        <v>7.4</v>
      </c>
      <c r="BA464" s="2">
        <v>2.1</v>
      </c>
      <c r="BB464" s="2">
        <v>7.4</v>
      </c>
      <c r="BC464" s="2">
        <v>4.8</v>
      </c>
      <c r="BD464" s="2">
        <f>+AN464*EXP(-0.0495*Y464)</f>
        <v>13.9411590577654</v>
      </c>
      <c r="BE464" s="2">
        <f>+AO464*EXP(-0.024*Y464)</f>
        <v>27.373369909492908</v>
      </c>
    </row>
    <row r="465" spans="1:57" x14ac:dyDescent="0.2">
      <c r="A465" s="2" t="s">
        <v>2362</v>
      </c>
      <c r="B465" s="2" t="s">
        <v>19</v>
      </c>
      <c r="C465" s="2" t="s">
        <v>1907</v>
      </c>
      <c r="D465" s="2" t="s">
        <v>21</v>
      </c>
      <c r="E465" s="2" t="s">
        <v>2363</v>
      </c>
      <c r="F465" s="2">
        <v>4</v>
      </c>
      <c r="G465" s="2">
        <v>450</v>
      </c>
      <c r="H465" s="2">
        <v>5</v>
      </c>
      <c r="I465" s="2">
        <v>4</v>
      </c>
      <c r="J465" s="2">
        <v>4</v>
      </c>
      <c r="K465" s="2" t="s">
        <v>61</v>
      </c>
      <c r="L465" s="6" t="s">
        <v>62</v>
      </c>
      <c r="M465" s="5">
        <v>1500000000</v>
      </c>
      <c r="N465" s="2">
        <v>0</v>
      </c>
      <c r="O465" s="2">
        <v>4.6280117030000003</v>
      </c>
      <c r="P465" s="2">
        <v>-74.145950319999997</v>
      </c>
      <c r="Q465" s="2" t="s">
        <v>2364</v>
      </c>
      <c r="R465" s="2">
        <v>3333333.3330000001</v>
      </c>
      <c r="S465" s="2">
        <v>0</v>
      </c>
      <c r="T465" s="2" t="s">
        <v>413</v>
      </c>
      <c r="U465" s="2" t="s">
        <v>600</v>
      </c>
      <c r="V465" s="2" t="s">
        <v>28</v>
      </c>
      <c r="W465" s="2" t="s">
        <v>413</v>
      </c>
      <c r="X465" s="2" t="s">
        <v>601</v>
      </c>
      <c r="Y465" s="2">
        <v>1.7383998849759801</v>
      </c>
      <c r="Z465" s="2">
        <v>4.6250499999999999</v>
      </c>
      <c r="AA465" s="2">
        <v>-74.161333333333303</v>
      </c>
      <c r="AB465" s="2">
        <v>2580</v>
      </c>
      <c r="AC465" s="2" t="s">
        <v>31</v>
      </c>
      <c r="AD465" s="2" t="s">
        <v>58</v>
      </c>
      <c r="AE465" s="2" t="s">
        <v>33</v>
      </c>
      <c r="AF465" s="2" t="s">
        <v>34</v>
      </c>
      <c r="AG465" s="2" t="s">
        <v>172</v>
      </c>
      <c r="AH465" s="2">
        <v>0.36335373370093799</v>
      </c>
      <c r="AI465" s="2">
        <v>3.6905247614861301</v>
      </c>
      <c r="AJ465" s="2">
        <v>2.9659849957287698</v>
      </c>
      <c r="AK465" s="2">
        <v>0.121456872206294</v>
      </c>
      <c r="AL465" s="2">
        <v>0.307761245360546</v>
      </c>
      <c r="AN465" s="2">
        <v>14.5</v>
      </c>
      <c r="AO465" s="2">
        <v>27.9</v>
      </c>
      <c r="AP465" s="2">
        <v>564</v>
      </c>
      <c r="AQ465" s="2">
        <v>65.5</v>
      </c>
      <c r="AR465" s="2">
        <v>1.3</v>
      </c>
      <c r="AS465" s="2">
        <v>189</v>
      </c>
      <c r="AT465" s="2">
        <v>8.8000000000000007</v>
      </c>
      <c r="AU465" s="2">
        <v>167</v>
      </c>
      <c r="AV465" s="2">
        <v>21.9</v>
      </c>
      <c r="AW465" s="2">
        <v>16.3</v>
      </c>
      <c r="AX465" s="2">
        <v>38.200000000000003</v>
      </c>
      <c r="AY465" s="2">
        <v>1.02</v>
      </c>
      <c r="AZ465" s="2">
        <v>7.4</v>
      </c>
      <c r="BA465" s="2">
        <v>2.1</v>
      </c>
      <c r="BB465" s="2">
        <v>7.4</v>
      </c>
      <c r="BC465" s="2">
        <v>4.8</v>
      </c>
      <c r="BD465" s="2">
        <f>+AN465*EXP(-0.0495*Y465)</f>
        <v>13.304440545700386</v>
      </c>
      <c r="BE465" s="2">
        <f>+AO465*EXP(-0.024*Y465)</f>
        <v>26.759915875465996</v>
      </c>
    </row>
    <row r="466" spans="1:57" x14ac:dyDescent="0.2">
      <c r="A466" s="2" t="s">
        <v>2562</v>
      </c>
      <c r="B466" s="2" t="s">
        <v>19</v>
      </c>
      <c r="C466" s="2" t="s">
        <v>1907</v>
      </c>
      <c r="D466" s="2" t="s">
        <v>21</v>
      </c>
      <c r="E466" s="2" t="s">
        <v>2563</v>
      </c>
      <c r="F466" s="2">
        <v>3</v>
      </c>
      <c r="G466" s="2">
        <v>400</v>
      </c>
      <c r="H466" s="2">
        <v>5</v>
      </c>
      <c r="I466" s="2">
        <v>3</v>
      </c>
      <c r="J466" s="2">
        <v>3</v>
      </c>
      <c r="K466" s="2" t="s">
        <v>61</v>
      </c>
      <c r="L466" s="6" t="s">
        <v>84</v>
      </c>
      <c r="M466" s="5">
        <v>890000000</v>
      </c>
      <c r="N466" s="2">
        <v>0</v>
      </c>
      <c r="O466" s="2">
        <v>4.6384439999999998</v>
      </c>
      <c r="P466" s="2">
        <v>-74.145583999999999</v>
      </c>
      <c r="Q466" s="2" t="s">
        <v>2564</v>
      </c>
      <c r="R466" s="2">
        <v>2225000</v>
      </c>
      <c r="S466" s="2">
        <v>0</v>
      </c>
      <c r="T466" s="2" t="s">
        <v>413</v>
      </c>
      <c r="U466" s="2" t="s">
        <v>600</v>
      </c>
      <c r="V466" s="2" t="s">
        <v>28</v>
      </c>
      <c r="W466" s="2" t="s">
        <v>413</v>
      </c>
      <c r="X466" s="2" t="s">
        <v>601</v>
      </c>
      <c r="Y466" s="2">
        <v>2.2971318854484402</v>
      </c>
      <c r="Z466" s="2">
        <v>4.6250499999999999</v>
      </c>
      <c r="AA466" s="2">
        <v>-74.161333333333303</v>
      </c>
      <c r="AB466" s="2">
        <v>2580</v>
      </c>
      <c r="AC466" s="2" t="s">
        <v>31</v>
      </c>
      <c r="AD466" s="2" t="s">
        <v>58</v>
      </c>
      <c r="AE466" s="2" t="s">
        <v>33</v>
      </c>
      <c r="AF466" s="2" t="s">
        <v>34</v>
      </c>
      <c r="AG466" s="2" t="s">
        <v>172</v>
      </c>
      <c r="AH466" s="2">
        <v>0.79039309148998704</v>
      </c>
      <c r="AI466" s="2">
        <v>2.7266014322106802</v>
      </c>
      <c r="AJ466" s="2">
        <v>2.5737009527644501</v>
      </c>
      <c r="AK466" s="2">
        <v>0.36992686272043201</v>
      </c>
      <c r="AL466" s="2">
        <v>4.3272468409234301E-2</v>
      </c>
      <c r="AN466" s="2">
        <v>14.5</v>
      </c>
      <c r="AO466" s="2">
        <v>27.9</v>
      </c>
      <c r="AP466" s="2">
        <v>564</v>
      </c>
      <c r="AQ466" s="2">
        <v>65.5</v>
      </c>
      <c r="AR466" s="2">
        <v>1.3</v>
      </c>
      <c r="AS466" s="2">
        <v>189</v>
      </c>
      <c r="AT466" s="2">
        <v>8.8000000000000007</v>
      </c>
      <c r="AU466" s="2">
        <v>167</v>
      </c>
      <c r="AV466" s="2">
        <v>21.9</v>
      </c>
      <c r="AW466" s="2">
        <v>16.3</v>
      </c>
      <c r="AX466" s="2">
        <v>38.200000000000003</v>
      </c>
      <c r="AY466" s="2">
        <v>1.02</v>
      </c>
      <c r="AZ466" s="2">
        <v>7.4</v>
      </c>
      <c r="BA466" s="2">
        <v>2.1</v>
      </c>
      <c r="BB466" s="2">
        <v>7.4</v>
      </c>
      <c r="BC466" s="2">
        <v>4.8</v>
      </c>
      <c r="BD466" s="2">
        <f>+AN466*EXP(-0.0495*Y466)</f>
        <v>12.941518365466253</v>
      </c>
      <c r="BE466" s="2">
        <f>+AO466*EXP(-0.024*Y466)</f>
        <v>26.403472182715486</v>
      </c>
    </row>
    <row r="467" spans="1:57" x14ac:dyDescent="0.2">
      <c r="A467" s="2" t="s">
        <v>2103</v>
      </c>
      <c r="B467" s="2" t="s">
        <v>19</v>
      </c>
      <c r="C467" s="2" t="s">
        <v>1907</v>
      </c>
      <c r="D467" s="2" t="s">
        <v>21</v>
      </c>
      <c r="E467" s="2" t="s">
        <v>2104</v>
      </c>
      <c r="F467" s="2">
        <v>5</v>
      </c>
      <c r="G467" s="2">
        <v>370</v>
      </c>
      <c r="H467" s="2">
        <v>4</v>
      </c>
      <c r="I467" s="2">
        <v>5</v>
      </c>
      <c r="J467" s="2">
        <v>2</v>
      </c>
      <c r="K467" s="2" t="s">
        <v>61</v>
      </c>
      <c r="L467" s="6" t="s">
        <v>84</v>
      </c>
      <c r="M467" s="5">
        <v>2150000000</v>
      </c>
      <c r="N467" s="2">
        <v>0</v>
      </c>
      <c r="O467" s="2">
        <v>4.6395788189999996</v>
      </c>
      <c r="P467" s="2">
        <v>-74.170257570000004</v>
      </c>
      <c r="Q467" s="2" t="s">
        <v>2105</v>
      </c>
      <c r="R467" s="2">
        <v>5810810.8109999998</v>
      </c>
      <c r="S467" s="2">
        <v>0</v>
      </c>
      <c r="T467" s="2" t="s">
        <v>413</v>
      </c>
      <c r="U467" s="2" t="s">
        <v>600</v>
      </c>
      <c r="V467" s="2" t="s">
        <v>28</v>
      </c>
      <c r="W467" s="2" t="s">
        <v>413</v>
      </c>
      <c r="X467" s="2" t="s">
        <v>601</v>
      </c>
      <c r="Y467" s="2">
        <v>1.8963860203370899</v>
      </c>
      <c r="Z467" s="2">
        <v>4.6250499999999999</v>
      </c>
      <c r="AA467" s="2">
        <v>-74.161333333333303</v>
      </c>
      <c r="AB467" s="2">
        <v>2580</v>
      </c>
      <c r="AC467" s="2" t="s">
        <v>31</v>
      </c>
      <c r="AD467" s="2" t="s">
        <v>58</v>
      </c>
      <c r="AE467" s="2" t="s">
        <v>33</v>
      </c>
      <c r="AF467" s="2" t="s">
        <v>34</v>
      </c>
      <c r="AG467" s="2" t="s">
        <v>172</v>
      </c>
      <c r="AH467" s="2">
        <v>0.94428248605089404</v>
      </c>
      <c r="AI467" s="2">
        <v>1.5872820179217499</v>
      </c>
      <c r="AJ467" s="2">
        <v>5.29714744941404</v>
      </c>
      <c r="AK467" s="2">
        <v>0.17502974407174399</v>
      </c>
      <c r="AL467" s="2">
        <v>6.9301509206790707E-2</v>
      </c>
      <c r="AN467" s="2">
        <v>14.5</v>
      </c>
      <c r="AO467" s="2">
        <v>27.9</v>
      </c>
      <c r="AP467" s="2">
        <v>564</v>
      </c>
      <c r="AQ467" s="2">
        <v>65.5</v>
      </c>
      <c r="AR467" s="2">
        <v>1.3</v>
      </c>
      <c r="AS467" s="2">
        <v>189</v>
      </c>
      <c r="AT467" s="2">
        <v>8.8000000000000007</v>
      </c>
      <c r="AU467" s="2">
        <v>167</v>
      </c>
      <c r="AV467" s="2">
        <v>21.9</v>
      </c>
      <c r="AW467" s="2">
        <v>16.3</v>
      </c>
      <c r="AX467" s="2">
        <v>38.200000000000003</v>
      </c>
      <c r="AY467" s="2">
        <v>1.02</v>
      </c>
      <c r="AZ467" s="2">
        <v>7.4</v>
      </c>
      <c r="BA467" s="2">
        <v>2.1</v>
      </c>
      <c r="BB467" s="2">
        <v>7.4</v>
      </c>
      <c r="BC467" s="2">
        <v>4.8</v>
      </c>
      <c r="BD467" s="2">
        <f>+AN467*EXP(-0.0495*Y467)</f>
        <v>13.200801420450835</v>
      </c>
      <c r="BE467" s="2">
        <f>+AO467*EXP(-0.024*Y467)</f>
        <v>26.658643296155766</v>
      </c>
    </row>
    <row r="468" spans="1:57" x14ac:dyDescent="0.2">
      <c r="A468" s="2" t="s">
        <v>2851</v>
      </c>
      <c r="B468" s="2" t="s">
        <v>19</v>
      </c>
      <c r="C468" s="2" t="s">
        <v>1907</v>
      </c>
      <c r="D468" s="2" t="s">
        <v>21</v>
      </c>
      <c r="E468" s="2" t="s">
        <v>1577</v>
      </c>
      <c r="F468" s="2">
        <v>2</v>
      </c>
      <c r="G468" s="2">
        <v>288</v>
      </c>
      <c r="H468" s="2">
        <v>5</v>
      </c>
      <c r="I468" s="2">
        <v>5</v>
      </c>
      <c r="J468" s="2">
        <v>0</v>
      </c>
      <c r="K468" s="2" t="s">
        <v>61</v>
      </c>
      <c r="L468" s="6" t="s">
        <v>75</v>
      </c>
      <c r="M468" s="5">
        <v>760000000</v>
      </c>
      <c r="N468" s="2">
        <v>0</v>
      </c>
      <c r="O468" s="2">
        <v>4.6229800000000001</v>
      </c>
      <c r="P468" s="2">
        <v>-74.168143999999998</v>
      </c>
      <c r="Q468" s="2" t="s">
        <v>2852</v>
      </c>
      <c r="R468" s="2">
        <v>2638888.889</v>
      </c>
      <c r="S468" s="2">
        <v>0</v>
      </c>
      <c r="T468" s="2" t="s">
        <v>413</v>
      </c>
      <c r="U468" s="2" t="s">
        <v>600</v>
      </c>
      <c r="V468" s="2" t="s">
        <v>28</v>
      </c>
      <c r="W468" s="2" t="s">
        <v>413</v>
      </c>
      <c r="X468" s="2" t="s">
        <v>601</v>
      </c>
      <c r="Y468" s="2">
        <v>0.79004392884102403</v>
      </c>
      <c r="Z468" s="2">
        <v>4.6250499999999999</v>
      </c>
      <c r="AA468" s="2">
        <v>-74.161333333333303</v>
      </c>
      <c r="AB468" s="2">
        <v>2580</v>
      </c>
      <c r="AC468" s="2" t="s">
        <v>31</v>
      </c>
      <c r="AD468" s="2" t="s">
        <v>58</v>
      </c>
      <c r="AE468" s="2" t="s">
        <v>33</v>
      </c>
      <c r="AF468" s="2" t="s">
        <v>34</v>
      </c>
      <c r="AG468" s="2" t="s">
        <v>172</v>
      </c>
      <c r="AH468" s="2">
        <v>0.89302219256329596</v>
      </c>
      <c r="AI468" s="2">
        <v>3.0918580999625198</v>
      </c>
      <c r="AJ468" s="2">
        <v>4.6690624164798598</v>
      </c>
      <c r="AK468" s="2">
        <v>7.7504216714099503E-2</v>
      </c>
      <c r="AL468" s="2">
        <v>0.20127463448975</v>
      </c>
      <c r="AN468" s="2">
        <v>14.5</v>
      </c>
      <c r="AO468" s="2">
        <v>27.9</v>
      </c>
      <c r="AP468" s="2">
        <v>564</v>
      </c>
      <c r="AQ468" s="2">
        <v>65.5</v>
      </c>
      <c r="AR468" s="2">
        <v>1.3</v>
      </c>
      <c r="AS468" s="2">
        <v>189</v>
      </c>
      <c r="AT468" s="2">
        <v>8.8000000000000007</v>
      </c>
      <c r="AU468" s="2">
        <v>167</v>
      </c>
      <c r="AV468" s="2">
        <v>21.9</v>
      </c>
      <c r="AW468" s="2">
        <v>16.3</v>
      </c>
      <c r="AX468" s="2">
        <v>38.200000000000003</v>
      </c>
      <c r="AY468" s="2">
        <v>1.02</v>
      </c>
      <c r="AZ468" s="2">
        <v>7.4</v>
      </c>
      <c r="BA468" s="2">
        <v>2.1</v>
      </c>
      <c r="BB468" s="2">
        <v>7.4</v>
      </c>
      <c r="BC468" s="2">
        <v>4.8</v>
      </c>
      <c r="BD468" s="2">
        <f>+AN468*EXP(-0.0495*Y468)</f>
        <v>13.94389077332735</v>
      </c>
      <c r="BE468" s="2">
        <f>+AO468*EXP(-0.024*Y468)</f>
        <v>27.37597036235595</v>
      </c>
    </row>
    <row r="469" spans="1:57" x14ac:dyDescent="0.2">
      <c r="A469" s="2" t="s">
        <v>3238</v>
      </c>
      <c r="B469" s="2" t="s">
        <v>19</v>
      </c>
      <c r="C469" s="2" t="s">
        <v>1907</v>
      </c>
      <c r="D469" s="2" t="s">
        <v>21</v>
      </c>
      <c r="E469" s="2" t="s">
        <v>2121</v>
      </c>
      <c r="F469" s="2">
        <v>2</v>
      </c>
      <c r="G469" s="2">
        <v>288</v>
      </c>
      <c r="H469" s="2">
        <v>5</v>
      </c>
      <c r="I469" s="2">
        <v>5</v>
      </c>
      <c r="J469" s="2">
        <v>1</v>
      </c>
      <c r="K469" s="2" t="s">
        <v>61</v>
      </c>
      <c r="L469" s="6" t="s">
        <v>113</v>
      </c>
      <c r="M469" s="5">
        <v>415000000</v>
      </c>
      <c r="N469" s="2">
        <v>0</v>
      </c>
      <c r="O469" s="2">
        <v>4.6483363999999998</v>
      </c>
      <c r="P469" s="2">
        <v>-74.174310000000006</v>
      </c>
      <c r="Q469" s="2" t="s">
        <v>3239</v>
      </c>
      <c r="R469" s="2">
        <v>1440972.2220000001</v>
      </c>
      <c r="S469" s="2">
        <v>0</v>
      </c>
      <c r="T469" s="2" t="s">
        <v>413</v>
      </c>
      <c r="U469" s="2" t="s">
        <v>600</v>
      </c>
      <c r="V469" s="2" t="s">
        <v>28</v>
      </c>
      <c r="W469" s="2" t="s">
        <v>413</v>
      </c>
      <c r="X469" s="2" t="s">
        <v>601</v>
      </c>
      <c r="Y469" s="2">
        <v>2.9652593475807199</v>
      </c>
      <c r="Z469" s="2">
        <v>4.6250499999999999</v>
      </c>
      <c r="AA469" s="2">
        <v>-74.161333333333303</v>
      </c>
      <c r="AB469" s="2">
        <v>2580</v>
      </c>
      <c r="AC469" s="2" t="s">
        <v>31</v>
      </c>
      <c r="AD469" s="2" t="s">
        <v>58</v>
      </c>
      <c r="AE469" s="2" t="s">
        <v>33</v>
      </c>
      <c r="AF469" s="2" t="s">
        <v>34</v>
      </c>
      <c r="AG469" s="2" t="s">
        <v>172</v>
      </c>
      <c r="AH469" s="2">
        <v>1.9903778903970699</v>
      </c>
      <c r="AI469" s="2">
        <v>0.56097297581693695</v>
      </c>
      <c r="AJ469" s="2">
        <v>5.48736216578894</v>
      </c>
      <c r="AK469" s="2">
        <v>0.70294213866284905</v>
      </c>
      <c r="AL469" s="2">
        <v>3.8596058442655297E-2</v>
      </c>
      <c r="AN469" s="2">
        <v>14.5</v>
      </c>
      <c r="AO469" s="2">
        <v>27.9</v>
      </c>
      <c r="AP469" s="2">
        <v>564</v>
      </c>
      <c r="AQ469" s="2">
        <v>65.5</v>
      </c>
      <c r="AR469" s="2">
        <v>1.3</v>
      </c>
      <c r="AS469" s="2">
        <v>189</v>
      </c>
      <c r="AT469" s="2">
        <v>8.8000000000000007</v>
      </c>
      <c r="AU469" s="2">
        <v>167</v>
      </c>
      <c r="AV469" s="2">
        <v>21.9</v>
      </c>
      <c r="AW469" s="2">
        <v>16.3</v>
      </c>
      <c r="AX469" s="2">
        <v>38.200000000000003</v>
      </c>
      <c r="AY469" s="2">
        <v>1.02</v>
      </c>
      <c r="AZ469" s="2">
        <v>7.4</v>
      </c>
      <c r="BA469" s="2">
        <v>2.1</v>
      </c>
      <c r="BB469" s="2">
        <v>7.4</v>
      </c>
      <c r="BC469" s="2">
        <v>4.8</v>
      </c>
      <c r="BD469" s="2">
        <f>+AN469*EXP(-0.0495*Y469)</f>
        <v>12.520512655033148</v>
      </c>
      <c r="BE469" s="2">
        <f>+AO469*EXP(-0.024*Y469)</f>
        <v>25.983467346610478</v>
      </c>
    </row>
    <row r="470" spans="1:57" x14ac:dyDescent="0.2">
      <c r="A470" s="2" t="s">
        <v>3054</v>
      </c>
      <c r="B470" s="2" t="s">
        <v>19</v>
      </c>
      <c r="C470" s="2" t="s">
        <v>1907</v>
      </c>
      <c r="D470" s="2" t="s">
        <v>21</v>
      </c>
      <c r="E470" s="2" t="s">
        <v>3055</v>
      </c>
      <c r="F470" s="2">
        <v>3</v>
      </c>
      <c r="G470" s="2">
        <v>278.64</v>
      </c>
      <c r="H470" s="2">
        <v>5</v>
      </c>
      <c r="I470" s="2">
        <v>5</v>
      </c>
      <c r="J470" s="2">
        <v>1</v>
      </c>
      <c r="K470" s="2" t="s">
        <v>61</v>
      </c>
      <c r="L470" s="6" t="s">
        <v>113</v>
      </c>
      <c r="M470" s="5">
        <v>750000000</v>
      </c>
      <c r="N470" s="2">
        <v>0</v>
      </c>
      <c r="O470" s="2">
        <v>4.5990300179999997</v>
      </c>
      <c r="P470" s="2">
        <v>-74.143821720000005</v>
      </c>
      <c r="Q470" s="2" t="s">
        <v>3056</v>
      </c>
      <c r="R470" s="2">
        <v>2691645.1340000001</v>
      </c>
      <c r="S470" s="2">
        <v>0</v>
      </c>
      <c r="T470" s="2" t="s">
        <v>411</v>
      </c>
      <c r="U470" s="2" t="s">
        <v>412</v>
      </c>
      <c r="V470" s="2" t="s">
        <v>28</v>
      </c>
      <c r="W470" s="2" t="s">
        <v>413</v>
      </c>
      <c r="X470" s="2" t="s">
        <v>414</v>
      </c>
      <c r="Y470" s="2">
        <v>0.62936857954977199</v>
      </c>
      <c r="Z470" s="2">
        <v>4.5958333333333297</v>
      </c>
      <c r="AA470" s="2">
        <v>-74.148499999999999</v>
      </c>
      <c r="AB470" s="2">
        <v>2563</v>
      </c>
      <c r="AC470" s="2" t="s">
        <v>31</v>
      </c>
      <c r="AD470" s="2" t="s">
        <v>51</v>
      </c>
      <c r="AE470" s="2" t="s">
        <v>33</v>
      </c>
      <c r="AF470" s="2" t="s">
        <v>34</v>
      </c>
      <c r="AG470" s="2" t="s">
        <v>172</v>
      </c>
      <c r="AH470" s="2">
        <v>0.40463704864268701</v>
      </c>
      <c r="AI470" s="2">
        <v>4.4891999747743396</v>
      </c>
      <c r="AJ470" s="2">
        <v>0.89651094034834899</v>
      </c>
      <c r="AK470" s="2">
        <v>0.24658160722351</v>
      </c>
      <c r="AL470" s="2">
        <v>6.2960870647216602E-2</v>
      </c>
      <c r="AN470" s="2">
        <v>14.5</v>
      </c>
      <c r="AO470" s="2">
        <v>27.9</v>
      </c>
      <c r="AP470" s="2">
        <v>564</v>
      </c>
      <c r="AQ470" s="2">
        <v>65.5</v>
      </c>
      <c r="AR470" s="2">
        <v>1.3</v>
      </c>
      <c r="AS470" s="2">
        <v>189</v>
      </c>
      <c r="AT470" s="2">
        <v>8.8000000000000007</v>
      </c>
      <c r="AU470" s="2">
        <v>167</v>
      </c>
      <c r="AV470" s="2">
        <v>21.9</v>
      </c>
      <c r="AW470" s="2">
        <v>16.3</v>
      </c>
      <c r="AX470" s="2">
        <v>38.200000000000003</v>
      </c>
      <c r="AY470" s="2">
        <v>1.02</v>
      </c>
      <c r="AZ470" s="2">
        <v>7.4</v>
      </c>
      <c r="BA470" s="2">
        <v>2.1</v>
      </c>
      <c r="BB470" s="2">
        <v>7.4</v>
      </c>
      <c r="BC470" s="2">
        <v>4.8</v>
      </c>
      <c r="BD470" s="2">
        <f>+AN470*EXP(-0.0495*Y470)</f>
        <v>14.055234725805395</v>
      </c>
      <c r="BE470" s="2">
        <f>+AO470*EXP(-0.024*Y470)</f>
        <v>27.481741615685436</v>
      </c>
    </row>
    <row r="471" spans="1:57" x14ac:dyDescent="0.2">
      <c r="A471" s="2" t="s">
        <v>1943</v>
      </c>
      <c r="B471" s="2" t="s">
        <v>19</v>
      </c>
      <c r="C471" s="2" t="s">
        <v>1907</v>
      </c>
      <c r="D471" s="2" t="s">
        <v>21</v>
      </c>
      <c r="E471" s="2" t="s">
        <v>1523</v>
      </c>
      <c r="F471" s="2">
        <v>2</v>
      </c>
      <c r="G471" s="2">
        <v>267.89999999999998</v>
      </c>
      <c r="H471" s="2">
        <v>5</v>
      </c>
      <c r="I471" s="2">
        <v>3</v>
      </c>
      <c r="J471" s="2">
        <v>1</v>
      </c>
      <c r="K471" s="2" t="s">
        <v>61</v>
      </c>
      <c r="L471" s="6" t="s">
        <v>113</v>
      </c>
      <c r="M471" s="5">
        <v>580000000</v>
      </c>
      <c r="N471" s="2">
        <v>0</v>
      </c>
      <c r="O471" s="2">
        <v>4.6220600000000003</v>
      </c>
      <c r="P471" s="2">
        <v>-74.173069999999996</v>
      </c>
      <c r="Q471" s="2" t="s">
        <v>1944</v>
      </c>
      <c r="R471" s="2">
        <v>2164986.9350000001</v>
      </c>
      <c r="S471" s="2">
        <v>0</v>
      </c>
      <c r="T471" s="2" t="s">
        <v>413</v>
      </c>
      <c r="U471" s="2" t="s">
        <v>600</v>
      </c>
      <c r="V471" s="2" t="s">
        <v>28</v>
      </c>
      <c r="W471" s="2" t="s">
        <v>413</v>
      </c>
      <c r="X471" s="2" t="s">
        <v>601</v>
      </c>
      <c r="Y471" s="2">
        <v>1.34413102457444</v>
      </c>
      <c r="Z471" s="2">
        <v>4.6250499999999999</v>
      </c>
      <c r="AA471" s="2">
        <v>-74.161333333333303</v>
      </c>
      <c r="AB471" s="2">
        <v>2580</v>
      </c>
      <c r="AC471" s="2" t="s">
        <v>31</v>
      </c>
      <c r="AD471" s="2" t="s">
        <v>58</v>
      </c>
      <c r="AE471" s="2" t="s">
        <v>33</v>
      </c>
      <c r="AF471" s="2" t="s">
        <v>34</v>
      </c>
      <c r="AG471" s="2" t="s">
        <v>172</v>
      </c>
      <c r="AH471" s="2">
        <v>0.80912437982313101</v>
      </c>
      <c r="AI471" s="2">
        <v>2.9201042600799698</v>
      </c>
      <c r="AJ471" s="2">
        <v>4.9975283706757603</v>
      </c>
      <c r="AK471" s="2">
        <v>0.139780782272239</v>
      </c>
      <c r="AL471" s="2">
        <v>4.7418755998295002E-2</v>
      </c>
      <c r="AN471" s="2">
        <v>14.5</v>
      </c>
      <c r="AO471" s="2">
        <v>27.9</v>
      </c>
      <c r="AP471" s="2">
        <v>564</v>
      </c>
      <c r="AQ471" s="2">
        <v>65.5</v>
      </c>
      <c r="AR471" s="2">
        <v>1.3</v>
      </c>
      <c r="AS471" s="2">
        <v>189</v>
      </c>
      <c r="AT471" s="2">
        <v>8.8000000000000007</v>
      </c>
      <c r="AU471" s="2">
        <v>167</v>
      </c>
      <c r="AV471" s="2">
        <v>21.9</v>
      </c>
      <c r="AW471" s="2">
        <v>16.3</v>
      </c>
      <c r="AX471" s="2">
        <v>38.200000000000003</v>
      </c>
      <c r="AY471" s="2">
        <v>1.02</v>
      </c>
      <c r="AZ471" s="2">
        <v>7.4</v>
      </c>
      <c r="BA471" s="2">
        <v>2.1</v>
      </c>
      <c r="BB471" s="2">
        <v>7.4</v>
      </c>
      <c r="BC471" s="2">
        <v>4.8</v>
      </c>
      <c r="BD471" s="2">
        <f>+AN471*EXP(-0.0495*Y471)</f>
        <v>13.566644416397223</v>
      </c>
      <c r="BE471" s="2">
        <f>+AO471*EXP(-0.024*Y471)</f>
        <v>27.014332114830854</v>
      </c>
    </row>
    <row r="472" spans="1:57" x14ac:dyDescent="0.2">
      <c r="A472" s="2" t="s">
        <v>2848</v>
      </c>
      <c r="B472" s="2" t="s">
        <v>19</v>
      </c>
      <c r="C472" s="2" t="s">
        <v>1907</v>
      </c>
      <c r="D472" s="2" t="s">
        <v>21</v>
      </c>
      <c r="E472" s="2" t="s">
        <v>2849</v>
      </c>
      <c r="F472" s="2">
        <v>3</v>
      </c>
      <c r="G472" s="2">
        <v>260</v>
      </c>
      <c r="H472" s="2">
        <v>4</v>
      </c>
      <c r="I472" s="2">
        <v>5</v>
      </c>
      <c r="J472" s="2">
        <v>2</v>
      </c>
      <c r="K472" s="2" t="s">
        <v>61</v>
      </c>
      <c r="L472" s="6" t="s">
        <v>66</v>
      </c>
      <c r="M472" s="5">
        <v>990000000</v>
      </c>
      <c r="N472" s="2">
        <v>0</v>
      </c>
      <c r="O472" s="2">
        <v>4.6272606999999999</v>
      </c>
      <c r="P472" s="2">
        <v>-74.140259999999998</v>
      </c>
      <c r="Q472" s="2" t="s">
        <v>2850</v>
      </c>
      <c r="R472" s="2">
        <v>3807692.3080000002</v>
      </c>
      <c r="S472" s="2">
        <v>0</v>
      </c>
      <c r="T472" s="2" t="s">
        <v>413</v>
      </c>
      <c r="U472" s="2" t="s">
        <v>600</v>
      </c>
      <c r="V472" s="2" t="s">
        <v>28</v>
      </c>
      <c r="W472" s="2" t="s">
        <v>413</v>
      </c>
      <c r="X472" s="2" t="s">
        <v>601</v>
      </c>
      <c r="Y472" s="2">
        <v>2.3511450483400802</v>
      </c>
      <c r="Z472" s="2">
        <v>4.6250499999999999</v>
      </c>
      <c r="AA472" s="2">
        <v>-74.161333333333303</v>
      </c>
      <c r="AB472" s="2">
        <v>2580</v>
      </c>
      <c r="AC472" s="2" t="s">
        <v>31</v>
      </c>
      <c r="AD472" s="2" t="s">
        <v>58</v>
      </c>
      <c r="AE472" s="2" t="s">
        <v>33</v>
      </c>
      <c r="AF472" s="2" t="s">
        <v>34</v>
      </c>
      <c r="AG472" s="2" t="s">
        <v>172</v>
      </c>
      <c r="AH472" s="2">
        <v>0.41448956417820698</v>
      </c>
      <c r="AI472" s="2">
        <v>4.0869932037278698</v>
      </c>
      <c r="AJ472" s="2">
        <v>2.4816185053845601</v>
      </c>
      <c r="AK472" s="2">
        <v>0.110998113834988</v>
      </c>
      <c r="AL472" s="2">
        <v>8.21199593020535E-2</v>
      </c>
      <c r="AN472" s="2">
        <v>14.5</v>
      </c>
      <c r="AO472" s="2">
        <v>27.9</v>
      </c>
      <c r="AP472" s="2">
        <v>564</v>
      </c>
      <c r="AQ472" s="2">
        <v>65.5</v>
      </c>
      <c r="AR472" s="2">
        <v>1.3</v>
      </c>
      <c r="AS472" s="2">
        <v>189</v>
      </c>
      <c r="AT472" s="2">
        <v>8.8000000000000007</v>
      </c>
      <c r="AU472" s="2">
        <v>167</v>
      </c>
      <c r="AV472" s="2">
        <v>21.9</v>
      </c>
      <c r="AW472" s="2">
        <v>16.3</v>
      </c>
      <c r="AX472" s="2">
        <v>38.200000000000003</v>
      </c>
      <c r="AY472" s="2">
        <v>1.02</v>
      </c>
      <c r="AZ472" s="2">
        <v>7.4</v>
      </c>
      <c r="BA472" s="2">
        <v>2.1</v>
      </c>
      <c r="BB472" s="2">
        <v>7.4</v>
      </c>
      <c r="BC472" s="2">
        <v>4.8</v>
      </c>
      <c r="BD472" s="2">
        <f>+AN472*EXP(-0.0495*Y472)</f>
        <v>12.90696346911977</v>
      </c>
      <c r="BE472" s="2">
        <f>+AO472*EXP(-0.024*Y472)</f>
        <v>26.369267116737205</v>
      </c>
    </row>
    <row r="473" spans="1:57" x14ac:dyDescent="0.2">
      <c r="A473" s="2" t="s">
        <v>2293</v>
      </c>
      <c r="B473" s="2" t="s">
        <v>19</v>
      </c>
      <c r="C473" s="2" t="s">
        <v>1907</v>
      </c>
      <c r="D473" s="2" t="s">
        <v>21</v>
      </c>
      <c r="E473" s="2" t="s">
        <v>2294</v>
      </c>
      <c r="F473" s="2">
        <v>3</v>
      </c>
      <c r="G473" s="2">
        <v>250</v>
      </c>
      <c r="H473" s="2">
        <v>4</v>
      </c>
      <c r="I473" s="2">
        <v>4</v>
      </c>
      <c r="J473" s="2">
        <v>3</v>
      </c>
      <c r="K473" s="2" t="s">
        <v>61</v>
      </c>
      <c r="L473" s="6" t="s">
        <v>113</v>
      </c>
      <c r="M473" s="5">
        <v>700000000</v>
      </c>
      <c r="N473" s="2">
        <v>0</v>
      </c>
      <c r="O473" s="2">
        <v>4.5998080000000003</v>
      </c>
      <c r="P473" s="2">
        <v>-74.147643000000002</v>
      </c>
      <c r="Q473" s="2" t="s">
        <v>2295</v>
      </c>
      <c r="R473" s="2">
        <v>2800000</v>
      </c>
      <c r="S473" s="2">
        <v>0</v>
      </c>
      <c r="T473" s="2" t="s">
        <v>411</v>
      </c>
      <c r="U473" s="2" t="s">
        <v>412</v>
      </c>
      <c r="V473" s="2" t="s">
        <v>28</v>
      </c>
      <c r="W473" s="2" t="s">
        <v>413</v>
      </c>
      <c r="X473" s="2" t="s">
        <v>414</v>
      </c>
      <c r="Y473" s="2">
        <v>0.45256137309727801</v>
      </c>
      <c r="Z473" s="2">
        <v>4.5958333333333297</v>
      </c>
      <c r="AA473" s="2">
        <v>-74.148499999999999</v>
      </c>
      <c r="AB473" s="2">
        <v>2563</v>
      </c>
      <c r="AC473" s="2" t="s">
        <v>31</v>
      </c>
      <c r="AD473" s="2" t="s">
        <v>51</v>
      </c>
      <c r="AE473" s="2" t="s">
        <v>33</v>
      </c>
      <c r="AF473" s="2" t="s">
        <v>34</v>
      </c>
      <c r="AG473" s="2" t="s">
        <v>172</v>
      </c>
      <c r="AH473" s="2">
        <v>0.52014311916561895</v>
      </c>
      <c r="AI473" s="2">
        <v>4.2517894032213199</v>
      </c>
      <c r="AJ473" s="2">
        <v>1.25659839052218</v>
      </c>
      <c r="AK473" s="2">
        <v>0.110529786193702</v>
      </c>
      <c r="AL473" s="2">
        <v>5.8256862217501898E-2</v>
      </c>
      <c r="AN473" s="2">
        <v>14.5</v>
      </c>
      <c r="AO473" s="2">
        <v>27.9</v>
      </c>
      <c r="AP473" s="2">
        <v>564</v>
      </c>
      <c r="AQ473" s="2">
        <v>65.5</v>
      </c>
      <c r="AR473" s="2">
        <v>1.3</v>
      </c>
      <c r="AS473" s="2">
        <v>189</v>
      </c>
      <c r="AT473" s="2">
        <v>8.8000000000000007</v>
      </c>
      <c r="AU473" s="2">
        <v>167</v>
      </c>
      <c r="AV473" s="2">
        <v>21.9</v>
      </c>
      <c r="AW473" s="2">
        <v>16.3</v>
      </c>
      <c r="AX473" s="2">
        <v>38.200000000000003</v>
      </c>
      <c r="AY473" s="2">
        <v>1.02</v>
      </c>
      <c r="AZ473" s="2">
        <v>7.4</v>
      </c>
      <c r="BA473" s="2">
        <v>2.1</v>
      </c>
      <c r="BB473" s="2">
        <v>7.4</v>
      </c>
      <c r="BC473" s="2">
        <v>4.8</v>
      </c>
      <c r="BD473" s="2">
        <f>+AN473*EXP(-0.0495*Y473)</f>
        <v>14.17878539824493</v>
      </c>
      <c r="BE473" s="2">
        <f>+AO473*EXP(-0.024*Y473)</f>
        <v>27.59860466620885</v>
      </c>
    </row>
    <row r="474" spans="1:57" x14ac:dyDescent="0.2">
      <c r="A474" s="2" t="s">
        <v>2234</v>
      </c>
      <c r="B474" s="2" t="s">
        <v>19</v>
      </c>
      <c r="C474" s="2" t="s">
        <v>1907</v>
      </c>
      <c r="D474" s="2" t="s">
        <v>21</v>
      </c>
      <c r="E474" s="2" t="s">
        <v>2235</v>
      </c>
      <c r="F474" s="2">
        <v>2</v>
      </c>
      <c r="G474" s="2">
        <v>244</v>
      </c>
      <c r="H474" s="2">
        <v>5</v>
      </c>
      <c r="I474" s="2">
        <v>5</v>
      </c>
      <c r="J474" s="2">
        <v>0</v>
      </c>
      <c r="K474" s="2" t="s">
        <v>61</v>
      </c>
      <c r="L474" s="6" t="s">
        <v>113</v>
      </c>
      <c r="M474" s="5">
        <v>500000000</v>
      </c>
      <c r="N474" s="2">
        <v>0</v>
      </c>
      <c r="O474" s="2">
        <v>4.6105827680000004</v>
      </c>
      <c r="P474" s="2">
        <v>-74.144081180000001</v>
      </c>
      <c r="Q474" s="2" t="s">
        <v>2236</v>
      </c>
      <c r="R474" s="2">
        <v>2049180.328</v>
      </c>
      <c r="S474" s="2">
        <v>0</v>
      </c>
      <c r="T474" s="2" t="s">
        <v>411</v>
      </c>
      <c r="U474" s="2" t="s">
        <v>412</v>
      </c>
      <c r="V474" s="2" t="s">
        <v>28</v>
      </c>
      <c r="W474" s="2" t="s">
        <v>413</v>
      </c>
      <c r="X474" s="2" t="s">
        <v>414</v>
      </c>
      <c r="Y474" s="2">
        <v>1.7135466376684001</v>
      </c>
      <c r="Z474" s="2">
        <v>4.5958333333333297</v>
      </c>
      <c r="AA474" s="2">
        <v>-74.148499999999999</v>
      </c>
      <c r="AB474" s="2">
        <v>2563</v>
      </c>
      <c r="AC474" s="2" t="s">
        <v>31</v>
      </c>
      <c r="AD474" s="2" t="s">
        <v>51</v>
      </c>
      <c r="AE474" s="2" t="s">
        <v>33</v>
      </c>
      <c r="AF474" s="2" t="s">
        <v>34</v>
      </c>
      <c r="AG474" s="2" t="s">
        <v>172</v>
      </c>
      <c r="AH474" s="2">
        <v>1.6675067159508601</v>
      </c>
      <c r="AI474" s="2">
        <v>5.42108265473128</v>
      </c>
      <c r="AJ474" s="2">
        <v>2.06710313405853</v>
      </c>
      <c r="AK474" s="2">
        <v>0.29229126975004899</v>
      </c>
      <c r="AL474" s="2">
        <v>0.14530574821098799</v>
      </c>
      <c r="AN474" s="2">
        <v>14.5</v>
      </c>
      <c r="AO474" s="2">
        <v>27.9</v>
      </c>
      <c r="AP474" s="2">
        <v>564</v>
      </c>
      <c r="AQ474" s="2">
        <v>65.5</v>
      </c>
      <c r="AR474" s="2">
        <v>1.3</v>
      </c>
      <c r="AS474" s="2">
        <v>189</v>
      </c>
      <c r="AT474" s="2">
        <v>8.8000000000000007</v>
      </c>
      <c r="AU474" s="2">
        <v>167</v>
      </c>
      <c r="AV474" s="2">
        <v>21.9</v>
      </c>
      <c r="AW474" s="2">
        <v>16.3</v>
      </c>
      <c r="AX474" s="2">
        <v>38.200000000000003</v>
      </c>
      <c r="AY474" s="2">
        <v>1.02</v>
      </c>
      <c r="AZ474" s="2">
        <v>7.4</v>
      </c>
      <c r="BA474" s="2">
        <v>2.1</v>
      </c>
      <c r="BB474" s="2">
        <v>7.4</v>
      </c>
      <c r="BC474" s="2">
        <v>4.8</v>
      </c>
      <c r="BD474" s="2">
        <f>+AN474*EXP(-0.0495*Y474)</f>
        <v>13.320818216115514</v>
      </c>
      <c r="BE474" s="2">
        <f>+AO474*EXP(-0.024*Y474)</f>
        <v>26.775882336185763</v>
      </c>
    </row>
    <row r="475" spans="1:57" x14ac:dyDescent="0.2">
      <c r="A475" s="2" t="s">
        <v>2582</v>
      </c>
      <c r="B475" s="2" t="s">
        <v>19</v>
      </c>
      <c r="C475" s="2" t="s">
        <v>1907</v>
      </c>
      <c r="D475" s="2" t="s">
        <v>21</v>
      </c>
      <c r="E475" s="2" t="s">
        <v>2583</v>
      </c>
      <c r="F475" s="2">
        <v>3</v>
      </c>
      <c r="G475" s="2">
        <v>240</v>
      </c>
      <c r="H475" s="2">
        <v>5</v>
      </c>
      <c r="I475" s="2">
        <v>3</v>
      </c>
      <c r="J475" s="2">
        <v>1</v>
      </c>
      <c r="K475" s="2" t="s">
        <v>61</v>
      </c>
      <c r="L475" s="6" t="s">
        <v>113</v>
      </c>
      <c r="M475" s="5">
        <v>570000000</v>
      </c>
      <c r="N475" s="2">
        <v>0</v>
      </c>
      <c r="O475" s="2">
        <v>4.6089353089999996</v>
      </c>
      <c r="P475" s="2">
        <v>-74.174952509999997</v>
      </c>
      <c r="Q475" s="2" t="s">
        <v>2584</v>
      </c>
      <c r="R475" s="2">
        <v>2375000</v>
      </c>
      <c r="S475" s="2">
        <v>0</v>
      </c>
      <c r="T475" s="2" t="s">
        <v>413</v>
      </c>
      <c r="U475" s="2" t="s">
        <v>600</v>
      </c>
      <c r="V475" s="2" t="s">
        <v>28</v>
      </c>
      <c r="W475" s="2" t="s">
        <v>413</v>
      </c>
      <c r="X475" s="2" t="s">
        <v>601</v>
      </c>
      <c r="Y475" s="2">
        <v>2.3455506237380201</v>
      </c>
      <c r="Z475" s="2">
        <v>4.6250499999999999</v>
      </c>
      <c r="AA475" s="2">
        <v>-74.161333333333303</v>
      </c>
      <c r="AB475" s="2">
        <v>2580</v>
      </c>
      <c r="AC475" s="2" t="s">
        <v>31</v>
      </c>
      <c r="AD475" s="2" t="s">
        <v>58</v>
      </c>
      <c r="AE475" s="2" t="s">
        <v>33</v>
      </c>
      <c r="AF475" s="2" t="s">
        <v>34</v>
      </c>
      <c r="AG475" s="2" t="s">
        <v>172</v>
      </c>
      <c r="AH475" s="2">
        <v>1.4665157007374601</v>
      </c>
      <c r="AI475" s="2">
        <v>4.0828113089940699</v>
      </c>
      <c r="AJ475" s="2">
        <v>4.3899160283814602</v>
      </c>
      <c r="AK475" s="2">
        <v>0.27216734222963901</v>
      </c>
      <c r="AL475" s="2">
        <v>0.107752157468507</v>
      </c>
      <c r="AN475" s="2">
        <v>14.5</v>
      </c>
      <c r="AO475" s="2">
        <v>27.9</v>
      </c>
      <c r="AP475" s="2">
        <v>564</v>
      </c>
      <c r="AQ475" s="2">
        <v>65.5</v>
      </c>
      <c r="AR475" s="2">
        <v>1.3</v>
      </c>
      <c r="AS475" s="2">
        <v>189</v>
      </c>
      <c r="AT475" s="2">
        <v>8.8000000000000007</v>
      </c>
      <c r="AU475" s="2">
        <v>167</v>
      </c>
      <c r="AV475" s="2">
        <v>21.9</v>
      </c>
      <c r="AW475" s="2">
        <v>16.3</v>
      </c>
      <c r="AX475" s="2">
        <v>38.200000000000003</v>
      </c>
      <c r="AY475" s="2">
        <v>1.02</v>
      </c>
      <c r="AZ475" s="2">
        <v>7.4</v>
      </c>
      <c r="BA475" s="2">
        <v>2.1</v>
      </c>
      <c r="BB475" s="2">
        <v>7.4</v>
      </c>
      <c r="BC475" s="2">
        <v>4.8</v>
      </c>
      <c r="BD475" s="2">
        <f>+AN475*EXP(-0.0495*Y475)</f>
        <v>12.910538212244532</v>
      </c>
      <c r="BE475" s="2">
        <f>+AO475*EXP(-0.024*Y475)</f>
        <v>26.372807855473344</v>
      </c>
    </row>
    <row r="476" spans="1:57" x14ac:dyDescent="0.2">
      <c r="A476" s="2" t="s">
        <v>3214</v>
      </c>
      <c r="B476" s="2" t="s">
        <v>19</v>
      </c>
      <c r="C476" s="2" t="s">
        <v>1907</v>
      </c>
      <c r="D476" s="2" t="s">
        <v>21</v>
      </c>
      <c r="E476" s="2" t="s">
        <v>3215</v>
      </c>
      <c r="F476" s="2">
        <v>3</v>
      </c>
      <c r="G476" s="2">
        <v>205</v>
      </c>
      <c r="H476" s="2">
        <v>4</v>
      </c>
      <c r="I476" s="2">
        <v>3</v>
      </c>
      <c r="J476" s="2">
        <v>3</v>
      </c>
      <c r="K476" s="2" t="s">
        <v>61</v>
      </c>
      <c r="L476" s="6" t="s">
        <v>113</v>
      </c>
      <c r="M476" s="5">
        <v>750000000</v>
      </c>
      <c r="N476" s="2">
        <v>0</v>
      </c>
      <c r="O476" s="2">
        <v>4.6255300999999998</v>
      </c>
      <c r="P476" s="2">
        <v>-74.140986999999996</v>
      </c>
      <c r="Q476" s="2" t="s">
        <v>3216</v>
      </c>
      <c r="R476" s="2">
        <v>3658536.585</v>
      </c>
      <c r="S476" s="2">
        <v>0</v>
      </c>
      <c r="T476" s="2" t="s">
        <v>413</v>
      </c>
      <c r="U476" s="2" t="s">
        <v>600</v>
      </c>
      <c r="V476" s="2" t="s">
        <v>28</v>
      </c>
      <c r="W476" s="2" t="s">
        <v>413</v>
      </c>
      <c r="X476" s="2" t="s">
        <v>601</v>
      </c>
      <c r="Y476" s="2">
        <v>2.2581999304118199</v>
      </c>
      <c r="Z476" s="2">
        <v>4.6250499999999999</v>
      </c>
      <c r="AA476" s="2">
        <v>-74.161333333333303</v>
      </c>
      <c r="AB476" s="2">
        <v>2580</v>
      </c>
      <c r="AC476" s="2" t="s">
        <v>31</v>
      </c>
      <c r="AD476" s="2" t="s">
        <v>58</v>
      </c>
      <c r="AE476" s="2" t="s">
        <v>33</v>
      </c>
      <c r="AF476" s="2" t="s">
        <v>34</v>
      </c>
      <c r="AG476" s="2" t="s">
        <v>172</v>
      </c>
      <c r="AH476" s="2">
        <v>0.59044706573874395</v>
      </c>
      <c r="AI476" s="2">
        <v>4.2078241928200999</v>
      </c>
      <c r="AJ476" s="2">
        <v>2.6640003403031201</v>
      </c>
      <c r="AK476" s="2">
        <v>0.19746904082212</v>
      </c>
      <c r="AL476" s="2">
        <v>0.19890002664787701</v>
      </c>
      <c r="AN476" s="2">
        <v>14.5</v>
      </c>
      <c r="AO476" s="2">
        <v>27.9</v>
      </c>
      <c r="AP476" s="2">
        <v>564</v>
      </c>
      <c r="AQ476" s="2">
        <v>65.5</v>
      </c>
      <c r="AR476" s="2">
        <v>1.3</v>
      </c>
      <c r="AS476" s="2">
        <v>189</v>
      </c>
      <c r="AT476" s="2">
        <v>8.8000000000000007</v>
      </c>
      <c r="AU476" s="2">
        <v>167</v>
      </c>
      <c r="AV476" s="2">
        <v>21.9</v>
      </c>
      <c r="AW476" s="2">
        <v>16.3</v>
      </c>
      <c r="AX476" s="2">
        <v>38.200000000000003</v>
      </c>
      <c r="AY476" s="2">
        <v>1.02</v>
      </c>
      <c r="AZ476" s="2">
        <v>7.4</v>
      </c>
      <c r="BA476" s="2">
        <v>2.1</v>
      </c>
      <c r="BB476" s="2">
        <v>7.4</v>
      </c>
      <c r="BC476" s="2">
        <v>4.8</v>
      </c>
      <c r="BD476" s="2">
        <f>+AN476*EXP(-0.0495*Y476)</f>
        <v>12.966482423504889</v>
      </c>
      <c r="BE476" s="2">
        <f>+AO476*EXP(-0.024*Y476)</f>
        <v>26.428154242973982</v>
      </c>
    </row>
    <row r="477" spans="1:57" x14ac:dyDescent="0.2">
      <c r="A477" s="2" t="s">
        <v>2062</v>
      </c>
      <c r="B477" s="2" t="s">
        <v>19</v>
      </c>
      <c r="C477" s="2" t="s">
        <v>1907</v>
      </c>
      <c r="D477" s="2" t="s">
        <v>21</v>
      </c>
      <c r="E477" s="2" t="s">
        <v>2063</v>
      </c>
      <c r="F477" s="2">
        <v>3</v>
      </c>
      <c r="G477" s="2">
        <v>196</v>
      </c>
      <c r="H477" s="2">
        <v>5</v>
      </c>
      <c r="I477" s="2">
        <v>2</v>
      </c>
      <c r="J477" s="2">
        <v>1</v>
      </c>
      <c r="K477" s="2" t="s">
        <v>61</v>
      </c>
      <c r="L477" s="6" t="s">
        <v>75</v>
      </c>
      <c r="M477" s="5">
        <v>520000000</v>
      </c>
      <c r="N477" s="2">
        <v>0</v>
      </c>
      <c r="O477" s="2">
        <v>4.6006454999999997</v>
      </c>
      <c r="P477" s="2">
        <v>-74.158270000000002</v>
      </c>
      <c r="Q477" s="2" t="s">
        <v>2064</v>
      </c>
      <c r="R477" s="2">
        <v>2653061.2239999999</v>
      </c>
      <c r="S477" s="2">
        <v>0</v>
      </c>
      <c r="T477" s="2" t="s">
        <v>411</v>
      </c>
      <c r="U477" s="2" t="s">
        <v>412</v>
      </c>
      <c r="V477" s="2" t="s">
        <v>28</v>
      </c>
      <c r="W477" s="2" t="s">
        <v>413</v>
      </c>
      <c r="X477" s="2" t="s">
        <v>414</v>
      </c>
      <c r="Y477" s="2">
        <v>1.20922062590285</v>
      </c>
      <c r="Z477" s="2">
        <v>4.5958333333333297</v>
      </c>
      <c r="AA477" s="2">
        <v>-74.148499999999999</v>
      </c>
      <c r="AB477" s="2">
        <v>2563</v>
      </c>
      <c r="AC477" s="2" t="s">
        <v>31</v>
      </c>
      <c r="AD477" s="2" t="s">
        <v>51</v>
      </c>
      <c r="AE477" s="2" t="s">
        <v>33</v>
      </c>
      <c r="AF477" s="2" t="s">
        <v>34</v>
      </c>
      <c r="AG477" s="2" t="s">
        <v>319</v>
      </c>
      <c r="AH477" s="2">
        <v>0.50634807541483895</v>
      </c>
      <c r="AI477" s="2">
        <v>3.6452957883316599</v>
      </c>
      <c r="AJ477" s="2">
        <v>2.3280960350487701</v>
      </c>
      <c r="AK477" s="2">
        <v>0.38053750043020002</v>
      </c>
      <c r="AL477" s="2">
        <v>8.6205459218335001E-2</v>
      </c>
      <c r="AN477" s="2">
        <v>14.5</v>
      </c>
      <c r="AO477" s="2">
        <v>27.9</v>
      </c>
      <c r="AP477" s="2">
        <v>564</v>
      </c>
      <c r="AQ477" s="2">
        <v>65.5</v>
      </c>
      <c r="AR477" s="2">
        <v>1.3</v>
      </c>
      <c r="AS477" s="2">
        <v>189</v>
      </c>
      <c r="AT477" s="2">
        <v>8.8000000000000007</v>
      </c>
      <c r="AU477" s="2">
        <v>167</v>
      </c>
      <c r="AV477" s="2">
        <v>21.9</v>
      </c>
      <c r="AW477" s="2">
        <v>16.3</v>
      </c>
      <c r="AX477" s="2">
        <v>38.200000000000003</v>
      </c>
      <c r="AY477" s="2">
        <v>1.02</v>
      </c>
      <c r="AZ477" s="2">
        <v>7.4</v>
      </c>
      <c r="BA477" s="2">
        <v>2.1</v>
      </c>
      <c r="BB477" s="2">
        <v>7.4</v>
      </c>
      <c r="BC477" s="2">
        <v>4.8</v>
      </c>
      <c r="BD477" s="2">
        <f>+AN477*EXP(-0.0495*Y477)</f>
        <v>13.657546533320565</v>
      </c>
      <c r="BE477" s="2">
        <f>+AO477*EXP(-0.024*Y477)</f>
        <v>27.101942216026416</v>
      </c>
    </row>
    <row r="478" spans="1:57" x14ac:dyDescent="0.2">
      <c r="A478" s="2" t="s">
        <v>1919</v>
      </c>
      <c r="B478" s="2" t="s">
        <v>19</v>
      </c>
      <c r="C478" s="2" t="s">
        <v>1907</v>
      </c>
      <c r="D478" s="2" t="s">
        <v>21</v>
      </c>
      <c r="E478" s="2" t="s">
        <v>1920</v>
      </c>
      <c r="F478" s="2">
        <v>3</v>
      </c>
      <c r="G478" s="2">
        <v>147</v>
      </c>
      <c r="H478" s="2">
        <v>4</v>
      </c>
      <c r="I478" s="2">
        <v>2</v>
      </c>
      <c r="J478" s="2">
        <v>1</v>
      </c>
      <c r="K478" s="2" t="s">
        <v>61</v>
      </c>
      <c r="L478" s="6" t="s">
        <v>113</v>
      </c>
      <c r="M478" s="5">
        <v>550000000</v>
      </c>
      <c r="N478" s="2">
        <v>0</v>
      </c>
      <c r="O478" s="2">
        <v>4.5862499999999997</v>
      </c>
      <c r="P478" s="2">
        <v>-74.147810000000007</v>
      </c>
      <c r="Q478" s="2" t="s">
        <v>1921</v>
      </c>
      <c r="R478" s="2">
        <v>3741496.5989999999</v>
      </c>
      <c r="S478" s="2">
        <v>0</v>
      </c>
      <c r="T478" s="2" t="s">
        <v>411</v>
      </c>
      <c r="U478" s="2" t="s">
        <v>412</v>
      </c>
      <c r="V478" s="2" t="s">
        <v>28</v>
      </c>
      <c r="W478" s="2" t="s">
        <v>413</v>
      </c>
      <c r="X478" s="2" t="s">
        <v>414</v>
      </c>
      <c r="Y478" s="2">
        <v>1.06955571791098</v>
      </c>
      <c r="Z478" s="2">
        <v>4.5958333333333297</v>
      </c>
      <c r="AA478" s="2">
        <v>-74.148499999999999</v>
      </c>
      <c r="AB478" s="2">
        <v>2563</v>
      </c>
      <c r="AC478" s="2" t="s">
        <v>31</v>
      </c>
      <c r="AD478" s="2" t="s">
        <v>51</v>
      </c>
      <c r="AE478" s="2" t="s">
        <v>33</v>
      </c>
      <c r="AF478" s="2" t="s">
        <v>34</v>
      </c>
      <c r="AG478" s="2" t="s">
        <v>1922</v>
      </c>
      <c r="AH478" s="2">
        <v>0.97986442047340705</v>
      </c>
      <c r="AI478" s="2">
        <v>3.2850937779736502</v>
      </c>
      <c r="AJ478" s="2">
        <v>1.21768965413387</v>
      </c>
      <c r="AK478" s="2">
        <v>0.73007174658396701</v>
      </c>
      <c r="AL478" s="2">
        <v>7.9466528075080103E-3</v>
      </c>
      <c r="AN478" s="2">
        <v>14.5</v>
      </c>
      <c r="AO478" s="2">
        <v>27.9</v>
      </c>
      <c r="AP478" s="2">
        <v>564</v>
      </c>
      <c r="AQ478" s="2">
        <v>65.5</v>
      </c>
      <c r="AR478" s="2">
        <v>1.3</v>
      </c>
      <c r="AS478" s="2">
        <v>189</v>
      </c>
      <c r="AT478" s="2">
        <v>8.8000000000000007</v>
      </c>
      <c r="AU478" s="2">
        <v>167</v>
      </c>
      <c r="AV478" s="2">
        <v>21.9</v>
      </c>
      <c r="AW478" s="2">
        <v>16.3</v>
      </c>
      <c r="AX478" s="2">
        <v>38.200000000000003</v>
      </c>
      <c r="AY478" s="2">
        <v>1.02</v>
      </c>
      <c r="AZ478" s="2">
        <v>7.4</v>
      </c>
      <c r="BA478" s="2">
        <v>2.1</v>
      </c>
      <c r="BB478" s="2">
        <v>7.4</v>
      </c>
      <c r="BC478" s="2">
        <v>4.8</v>
      </c>
      <c r="BD478" s="2">
        <f>+AN478*EXP(-0.0495*Y478)</f>
        <v>13.752293928891797</v>
      </c>
      <c r="BE478" s="2">
        <f>+AO478*EXP(-0.024*Y478)</f>
        <v>27.192939206245047</v>
      </c>
    </row>
    <row r="479" spans="1:57" x14ac:dyDescent="0.2">
      <c r="A479" s="2" t="s">
        <v>2738</v>
      </c>
      <c r="B479" s="2" t="s">
        <v>19</v>
      </c>
      <c r="C479" s="2" t="s">
        <v>1907</v>
      </c>
      <c r="D479" s="2" t="s">
        <v>21</v>
      </c>
      <c r="E479" s="2" t="s">
        <v>2739</v>
      </c>
      <c r="F479" s="2">
        <v>3</v>
      </c>
      <c r="G479" s="2">
        <v>143</v>
      </c>
      <c r="H479" s="2">
        <v>4</v>
      </c>
      <c r="I479" s="2">
        <v>2</v>
      </c>
      <c r="J479" s="2">
        <v>0</v>
      </c>
      <c r="K479" s="2" t="s">
        <v>61</v>
      </c>
      <c r="L479" s="6" t="s">
        <v>62</v>
      </c>
      <c r="M479" s="5">
        <v>1200000000</v>
      </c>
      <c r="N479" s="2">
        <v>0</v>
      </c>
      <c r="O479" s="2">
        <v>4.5946455640000003</v>
      </c>
      <c r="P479" s="2">
        <v>-74.134502999999995</v>
      </c>
      <c r="Q479" s="2" t="s">
        <v>2740</v>
      </c>
      <c r="R479" s="2">
        <v>8391608.3920000009</v>
      </c>
      <c r="S479" s="2">
        <v>0</v>
      </c>
      <c r="T479" s="2" t="s">
        <v>411</v>
      </c>
      <c r="U479" s="2" t="s">
        <v>412</v>
      </c>
      <c r="V479" s="2" t="s">
        <v>28</v>
      </c>
      <c r="W479" s="2" t="s">
        <v>413</v>
      </c>
      <c r="X479" s="2" t="s">
        <v>414</v>
      </c>
      <c r="Y479" s="2">
        <v>1.55874836410323</v>
      </c>
      <c r="Z479" s="2">
        <v>4.5958333333333297</v>
      </c>
      <c r="AA479" s="2">
        <v>-74.148499999999999</v>
      </c>
      <c r="AB479" s="2">
        <v>2563</v>
      </c>
      <c r="AC479" s="2" t="s">
        <v>31</v>
      </c>
      <c r="AD479" s="2" t="s">
        <v>51</v>
      </c>
      <c r="AE479" s="2" t="s">
        <v>33</v>
      </c>
      <c r="AF479" s="2" t="s">
        <v>34</v>
      </c>
      <c r="AG479" s="2" t="s">
        <v>239</v>
      </c>
      <c r="AH479" s="2">
        <v>4.8901564534738498E-2</v>
      </c>
      <c r="AI479" s="2">
        <v>5.0276675815629499</v>
      </c>
      <c r="AJ479" s="2">
        <v>0.53178529368613303</v>
      </c>
      <c r="AK479" s="2">
        <v>7.7400407290946396E-2</v>
      </c>
      <c r="AL479" s="2">
        <v>0.198885297845206</v>
      </c>
      <c r="AN479" s="2">
        <v>14.5</v>
      </c>
      <c r="AO479" s="2">
        <v>27.9</v>
      </c>
      <c r="AP479" s="2">
        <v>564</v>
      </c>
      <c r="AQ479" s="2">
        <v>65.5</v>
      </c>
      <c r="AR479" s="2">
        <v>1.3</v>
      </c>
      <c r="AS479" s="2">
        <v>189</v>
      </c>
      <c r="AT479" s="2">
        <v>8.8000000000000007</v>
      </c>
      <c r="AU479" s="2">
        <v>167</v>
      </c>
      <c r="AV479" s="2">
        <v>21.9</v>
      </c>
      <c r="AW479" s="2">
        <v>16.3</v>
      </c>
      <c r="AX479" s="2">
        <v>38.200000000000003</v>
      </c>
      <c r="AY479" s="2">
        <v>1.02</v>
      </c>
      <c r="AZ479" s="2">
        <v>7.4</v>
      </c>
      <c r="BA479" s="2">
        <v>2.1</v>
      </c>
      <c r="BB479" s="2">
        <v>7.4</v>
      </c>
      <c r="BC479" s="2">
        <v>4.8</v>
      </c>
      <c r="BD479" s="2">
        <f>+AN479*EXP(-0.0495*Y479)</f>
        <v>13.423281240272026</v>
      </c>
      <c r="BE479" s="2">
        <f>+AO479*EXP(-0.024*Y479)</f>
        <v>26.875543999607995</v>
      </c>
    </row>
    <row r="480" spans="1:57" x14ac:dyDescent="0.2">
      <c r="A480" s="2" t="s">
        <v>2214</v>
      </c>
      <c r="B480" s="2" t="s">
        <v>19</v>
      </c>
      <c r="C480" s="2" t="s">
        <v>1907</v>
      </c>
      <c r="D480" s="2" t="s">
        <v>21</v>
      </c>
      <c r="E480" s="2" t="s">
        <v>2215</v>
      </c>
      <c r="F480" s="2">
        <v>3</v>
      </c>
      <c r="G480" s="2">
        <v>140</v>
      </c>
      <c r="H480" s="2">
        <v>3</v>
      </c>
      <c r="I480" s="2">
        <v>2</v>
      </c>
      <c r="J480" s="2">
        <v>1</v>
      </c>
      <c r="K480" s="2" t="s">
        <v>61</v>
      </c>
      <c r="L480" s="6" t="s">
        <v>66</v>
      </c>
      <c r="M480" s="5">
        <v>730000000</v>
      </c>
      <c r="N480" s="2">
        <v>0</v>
      </c>
      <c r="O480" s="2">
        <v>4.626962185</v>
      </c>
      <c r="P480" s="2">
        <v>-74.139953610000006</v>
      </c>
      <c r="Q480" s="2" t="s">
        <v>2216</v>
      </c>
      <c r="R480" s="2">
        <v>5214285.7139999997</v>
      </c>
      <c r="S480" s="2">
        <v>0</v>
      </c>
      <c r="T480" s="2" t="s">
        <v>413</v>
      </c>
      <c r="U480" s="2" t="s">
        <v>600</v>
      </c>
      <c r="V480" s="2" t="s">
        <v>28</v>
      </c>
      <c r="W480" s="2" t="s">
        <v>413</v>
      </c>
      <c r="X480" s="2" t="s">
        <v>601</v>
      </c>
      <c r="Y480" s="2">
        <v>2.3817579616470499</v>
      </c>
      <c r="Z480" s="2">
        <v>4.6250499999999999</v>
      </c>
      <c r="AA480" s="2">
        <v>-74.161333333333303</v>
      </c>
      <c r="AB480" s="2">
        <v>2580</v>
      </c>
      <c r="AC480" s="2" t="s">
        <v>31</v>
      </c>
      <c r="AD480" s="2" t="s">
        <v>58</v>
      </c>
      <c r="AE480" s="2" t="s">
        <v>33</v>
      </c>
      <c r="AF480" s="2" t="s">
        <v>34</v>
      </c>
      <c r="AG480" s="2" t="s">
        <v>172</v>
      </c>
      <c r="AH480" s="2">
        <v>0.456223195849634</v>
      </c>
      <c r="AI480" s="2">
        <v>4.13303183269299</v>
      </c>
      <c r="AJ480" s="2">
        <v>2.4751969636792501</v>
      </c>
      <c r="AK480" s="2">
        <v>0.149521918134498</v>
      </c>
      <c r="AL480" s="2">
        <v>0.12788879213631099</v>
      </c>
      <c r="AN480" s="2">
        <v>14.5</v>
      </c>
      <c r="AO480" s="2">
        <v>27.9</v>
      </c>
      <c r="AP480" s="2">
        <v>564</v>
      </c>
      <c r="AQ480" s="2">
        <v>65.5</v>
      </c>
      <c r="AR480" s="2">
        <v>1.3</v>
      </c>
      <c r="AS480" s="2">
        <v>189</v>
      </c>
      <c r="AT480" s="2">
        <v>8.8000000000000007</v>
      </c>
      <c r="AU480" s="2">
        <v>167</v>
      </c>
      <c r="AV480" s="2">
        <v>21.9</v>
      </c>
      <c r="AW480" s="2">
        <v>16.3</v>
      </c>
      <c r="AX480" s="2">
        <v>38.200000000000003</v>
      </c>
      <c r="AY480" s="2">
        <v>1.02</v>
      </c>
      <c r="AZ480" s="2">
        <v>7.4</v>
      </c>
      <c r="BA480" s="2">
        <v>2.1</v>
      </c>
      <c r="BB480" s="2">
        <v>7.4</v>
      </c>
      <c r="BC480" s="2">
        <v>4.8</v>
      </c>
      <c r="BD480" s="2">
        <f>+AN480*EXP(-0.0495*Y480)</f>
        <v>12.887419852653732</v>
      </c>
      <c r="BE480" s="2">
        <f>+AO480*EXP(-0.024*Y480)</f>
        <v>26.349900469925025</v>
      </c>
    </row>
    <row r="481" spans="1:57" x14ac:dyDescent="0.2">
      <c r="A481" s="2" t="s">
        <v>3102</v>
      </c>
      <c r="B481" s="2" t="s">
        <v>19</v>
      </c>
      <c r="C481" s="2" t="s">
        <v>1907</v>
      </c>
      <c r="D481" s="2" t="s">
        <v>21</v>
      </c>
      <c r="E481" s="2" t="s">
        <v>2563</v>
      </c>
      <c r="F481" s="2">
        <v>4</v>
      </c>
      <c r="G481" s="2">
        <v>134</v>
      </c>
      <c r="H481" s="2">
        <v>4</v>
      </c>
      <c r="I481" s="2">
        <v>3</v>
      </c>
      <c r="J481" s="2">
        <v>1</v>
      </c>
      <c r="K481" s="2" t="s">
        <v>61</v>
      </c>
      <c r="L481" s="6" t="s">
        <v>75</v>
      </c>
      <c r="M481" s="5">
        <v>800000000</v>
      </c>
      <c r="N481" s="2">
        <v>0</v>
      </c>
      <c r="O481" s="2">
        <v>4.6385412219999997</v>
      </c>
      <c r="P481" s="2">
        <v>-74.145553590000006</v>
      </c>
      <c r="Q481" s="2" t="s">
        <v>3103</v>
      </c>
      <c r="R481" s="2">
        <v>5970149.2539999997</v>
      </c>
      <c r="S481" s="2">
        <v>0</v>
      </c>
      <c r="T481" s="2" t="s">
        <v>413</v>
      </c>
      <c r="U481" s="2" t="s">
        <v>600</v>
      </c>
      <c r="V481" s="2" t="s">
        <v>28</v>
      </c>
      <c r="W481" s="2" t="s">
        <v>413</v>
      </c>
      <c r="X481" s="2" t="s">
        <v>601</v>
      </c>
      <c r="Y481" s="2">
        <v>2.30673127800278</v>
      </c>
      <c r="Z481" s="2">
        <v>4.6250499999999999</v>
      </c>
      <c r="AA481" s="2">
        <v>-74.161333333333303</v>
      </c>
      <c r="AB481" s="2">
        <v>2580</v>
      </c>
      <c r="AC481" s="2" t="s">
        <v>31</v>
      </c>
      <c r="AD481" s="2" t="s">
        <v>58</v>
      </c>
      <c r="AE481" s="2" t="s">
        <v>33</v>
      </c>
      <c r="AF481" s="2" t="s">
        <v>34</v>
      </c>
      <c r="AG481" s="2" t="s">
        <v>172</v>
      </c>
      <c r="AH481" s="2">
        <v>0.80122787852753896</v>
      </c>
      <c r="AI481" s="2">
        <v>2.7192321113570901</v>
      </c>
      <c r="AJ481" s="2">
        <v>2.56922033672803</v>
      </c>
      <c r="AK481" s="2">
        <v>0.35983872689649599</v>
      </c>
      <c r="AL481" s="2">
        <v>5.4132061991807298E-2</v>
      </c>
      <c r="AN481" s="2">
        <v>14.5</v>
      </c>
      <c r="AO481" s="2">
        <v>27.9</v>
      </c>
      <c r="AP481" s="2">
        <v>564</v>
      </c>
      <c r="AQ481" s="2">
        <v>65.5</v>
      </c>
      <c r="AR481" s="2">
        <v>1.3</v>
      </c>
      <c r="AS481" s="2">
        <v>189</v>
      </c>
      <c r="AT481" s="2">
        <v>8.8000000000000007</v>
      </c>
      <c r="AU481" s="2">
        <v>167</v>
      </c>
      <c r="AV481" s="2">
        <v>21.9</v>
      </c>
      <c r="AW481" s="2">
        <v>16.3</v>
      </c>
      <c r="AX481" s="2">
        <v>38.200000000000003</v>
      </c>
      <c r="AY481" s="2">
        <v>1.02</v>
      </c>
      <c r="AZ481" s="2">
        <v>7.4</v>
      </c>
      <c r="BA481" s="2">
        <v>2.1</v>
      </c>
      <c r="BB481" s="2">
        <v>7.4</v>
      </c>
      <c r="BC481" s="2">
        <v>4.8</v>
      </c>
      <c r="BD481" s="2">
        <f>+AN481*EXP(-0.0495*Y481)</f>
        <v>12.935370405850261</v>
      </c>
      <c r="BE481" s="2">
        <f>+AO481*EXP(-0.024*Y481)</f>
        <v>26.397389908313357</v>
      </c>
    </row>
    <row r="482" spans="1:57" x14ac:dyDescent="0.2">
      <c r="A482" s="2" t="s">
        <v>3126</v>
      </c>
      <c r="B482" s="2" t="s">
        <v>19</v>
      </c>
      <c r="C482" s="2" t="s">
        <v>1907</v>
      </c>
      <c r="D482" s="2" t="s">
        <v>21</v>
      </c>
      <c r="E482" s="2" t="s">
        <v>3127</v>
      </c>
      <c r="F482" s="2">
        <v>3</v>
      </c>
      <c r="G482" s="2">
        <v>111</v>
      </c>
      <c r="H482" s="2">
        <v>5</v>
      </c>
      <c r="I482" s="2">
        <v>2</v>
      </c>
      <c r="J482" s="2">
        <v>0</v>
      </c>
      <c r="K482" s="2" t="s">
        <v>61</v>
      </c>
      <c r="L482" s="6" t="s">
        <v>113</v>
      </c>
      <c r="M482" s="5">
        <v>700000000</v>
      </c>
      <c r="N482" s="2">
        <v>0</v>
      </c>
      <c r="O482" s="2">
        <v>4.6197233200000003</v>
      </c>
      <c r="P482" s="2">
        <v>-74.166213990000003</v>
      </c>
      <c r="Q482" s="2" t="s">
        <v>3128</v>
      </c>
      <c r="R482" s="2">
        <v>6306306.3059999999</v>
      </c>
      <c r="S482" s="2">
        <v>0</v>
      </c>
      <c r="T482" s="2" t="s">
        <v>413</v>
      </c>
      <c r="U482" s="2" t="s">
        <v>600</v>
      </c>
      <c r="V482" s="2" t="s">
        <v>28</v>
      </c>
      <c r="W482" s="2" t="s">
        <v>413</v>
      </c>
      <c r="X482" s="2" t="s">
        <v>601</v>
      </c>
      <c r="Y482" s="2">
        <v>0.80304205882053603</v>
      </c>
      <c r="Z482" s="2">
        <v>4.6250499999999999</v>
      </c>
      <c r="AA482" s="2">
        <v>-74.161333333333303</v>
      </c>
      <c r="AB482" s="2">
        <v>2580</v>
      </c>
      <c r="AC482" s="2" t="s">
        <v>31</v>
      </c>
      <c r="AD482" s="2" t="s">
        <v>58</v>
      </c>
      <c r="AE482" s="2" t="s">
        <v>33</v>
      </c>
      <c r="AF482" s="2" t="s">
        <v>34</v>
      </c>
      <c r="AG482" s="2" t="s">
        <v>172</v>
      </c>
      <c r="AH482" s="2">
        <v>1.3097175230675999</v>
      </c>
      <c r="AI482" s="2">
        <v>3.5103380492553802</v>
      </c>
      <c r="AJ482" s="2">
        <v>4.26271058771467</v>
      </c>
      <c r="AK482" s="2">
        <v>0.32688440951111197</v>
      </c>
      <c r="AL482" s="2">
        <v>0.198557919184534</v>
      </c>
      <c r="AN482" s="2">
        <v>14.5</v>
      </c>
      <c r="AO482" s="2">
        <v>27.9</v>
      </c>
      <c r="AP482" s="2">
        <v>564</v>
      </c>
      <c r="AQ482" s="2">
        <v>65.5</v>
      </c>
      <c r="AR482" s="2">
        <v>1.3</v>
      </c>
      <c r="AS482" s="2">
        <v>189</v>
      </c>
      <c r="AT482" s="2">
        <v>8.8000000000000007</v>
      </c>
      <c r="AU482" s="2">
        <v>167</v>
      </c>
      <c r="AV482" s="2">
        <v>21.9</v>
      </c>
      <c r="AW482" s="2">
        <v>16.3</v>
      </c>
      <c r="AX482" s="2">
        <v>38.200000000000003</v>
      </c>
      <c r="AY482" s="2">
        <v>1.02</v>
      </c>
      <c r="AZ482" s="2">
        <v>7.4</v>
      </c>
      <c r="BA482" s="2">
        <v>2.1</v>
      </c>
      <c r="BB482" s="2">
        <v>7.4</v>
      </c>
      <c r="BC482" s="2">
        <v>4.8</v>
      </c>
      <c r="BD482" s="2">
        <f>+AN482*EXP(-0.0495*Y482)</f>
        <v>13.934922055924231</v>
      </c>
      <c r="BE482" s="2">
        <f>+AO482*EXP(-0.024*Y482)</f>
        <v>27.367431620171324</v>
      </c>
    </row>
    <row r="483" spans="1:57" x14ac:dyDescent="0.2">
      <c r="A483" s="2" t="s">
        <v>2975</v>
      </c>
      <c r="B483" s="2" t="s">
        <v>19</v>
      </c>
      <c r="C483" s="2" t="s">
        <v>1907</v>
      </c>
      <c r="D483" s="2" t="s">
        <v>21</v>
      </c>
      <c r="E483" s="2" t="s">
        <v>2976</v>
      </c>
      <c r="F483" s="2">
        <v>3</v>
      </c>
      <c r="G483" s="2">
        <v>100</v>
      </c>
      <c r="H483" s="2">
        <v>4</v>
      </c>
      <c r="I483" s="2">
        <v>4</v>
      </c>
      <c r="J483" s="2">
        <v>1</v>
      </c>
      <c r="K483" s="2" t="s">
        <v>61</v>
      </c>
      <c r="L483" s="6" t="s">
        <v>66</v>
      </c>
      <c r="M483" s="5">
        <v>700000000</v>
      </c>
      <c r="N483" s="2">
        <v>0</v>
      </c>
      <c r="O483" s="2">
        <v>4.6222529410000002</v>
      </c>
      <c r="P483" s="2">
        <v>-74.139381409999999</v>
      </c>
      <c r="Q483" s="2" t="s">
        <v>2977</v>
      </c>
      <c r="R483" s="2">
        <v>7000000</v>
      </c>
      <c r="S483" s="2">
        <v>0</v>
      </c>
      <c r="T483" s="2" t="s">
        <v>413</v>
      </c>
      <c r="U483" s="2" t="s">
        <v>600</v>
      </c>
      <c r="V483" s="2" t="s">
        <v>28</v>
      </c>
      <c r="W483" s="2" t="s">
        <v>413</v>
      </c>
      <c r="X483" s="2" t="s">
        <v>601</v>
      </c>
      <c r="Y483" s="2">
        <v>2.4555453705886201</v>
      </c>
      <c r="Z483" s="2">
        <v>4.6250499999999999</v>
      </c>
      <c r="AA483" s="2">
        <v>-74.161333333333303</v>
      </c>
      <c r="AB483" s="2">
        <v>2580</v>
      </c>
      <c r="AC483" s="2" t="s">
        <v>31</v>
      </c>
      <c r="AD483" s="2" t="s">
        <v>58</v>
      </c>
      <c r="AE483" s="2" t="s">
        <v>33</v>
      </c>
      <c r="AF483" s="2" t="s">
        <v>34</v>
      </c>
      <c r="AG483" s="2" t="s">
        <v>172</v>
      </c>
      <c r="AH483" s="2">
        <v>0.97506207013188795</v>
      </c>
      <c r="AI483" s="2">
        <v>4.6096804467836598</v>
      </c>
      <c r="AJ483" s="2">
        <v>2.7862313242894001</v>
      </c>
      <c r="AK483" s="2">
        <v>0.32690477767002202</v>
      </c>
      <c r="AL483" s="2">
        <v>0.37116599050842097</v>
      </c>
      <c r="AN483" s="2">
        <v>14.5</v>
      </c>
      <c r="AO483" s="2">
        <v>27.9</v>
      </c>
      <c r="AP483" s="2">
        <v>564</v>
      </c>
      <c r="AQ483" s="2">
        <v>65.5</v>
      </c>
      <c r="AR483" s="2">
        <v>1.3</v>
      </c>
      <c r="AS483" s="2">
        <v>189</v>
      </c>
      <c r="AT483" s="2">
        <v>8.8000000000000007</v>
      </c>
      <c r="AU483" s="2">
        <v>167</v>
      </c>
      <c r="AV483" s="2">
        <v>21.9</v>
      </c>
      <c r="AW483" s="2">
        <v>16.3</v>
      </c>
      <c r="AX483" s="2">
        <v>38.200000000000003</v>
      </c>
      <c r="AY483" s="2">
        <v>1.02</v>
      </c>
      <c r="AZ483" s="2">
        <v>7.4</v>
      </c>
      <c r="BA483" s="2">
        <v>2.1</v>
      </c>
      <c r="BB483" s="2">
        <v>7.4</v>
      </c>
      <c r="BC483" s="2">
        <v>4.8</v>
      </c>
      <c r="BD483" s="2">
        <f>+AN483*EXP(-0.0495*Y483)</f>
        <v>12.840434709674783</v>
      </c>
      <c r="BE483" s="2">
        <f>+AO483*EXP(-0.024*Y483)</f>
        <v>26.303278782074639</v>
      </c>
    </row>
    <row r="484" spans="1:57" x14ac:dyDescent="0.2">
      <c r="A484" s="2" t="s">
        <v>2784</v>
      </c>
      <c r="B484" s="2" t="s">
        <v>19</v>
      </c>
      <c r="C484" s="2" t="s">
        <v>1907</v>
      </c>
      <c r="D484" s="2" t="s">
        <v>21</v>
      </c>
      <c r="E484" s="2" t="s">
        <v>2785</v>
      </c>
      <c r="F484" s="2">
        <v>3</v>
      </c>
      <c r="G484" s="2">
        <v>93.2</v>
      </c>
      <c r="H484" s="2">
        <v>3</v>
      </c>
      <c r="I484" s="2">
        <v>2</v>
      </c>
      <c r="J484" s="2">
        <v>1</v>
      </c>
      <c r="K484" s="2" t="s">
        <v>61</v>
      </c>
      <c r="L484" s="6" t="s">
        <v>113</v>
      </c>
      <c r="M484" s="5">
        <v>430000000</v>
      </c>
      <c r="N484" s="2">
        <v>0</v>
      </c>
      <c r="O484" s="2">
        <v>4.5903840000000002</v>
      </c>
      <c r="P484" s="2">
        <v>-74.148347000000001</v>
      </c>
      <c r="Q484" s="2" t="s">
        <v>2786</v>
      </c>
      <c r="R484" s="2">
        <v>4613733.9060000004</v>
      </c>
      <c r="S484" s="2">
        <v>0</v>
      </c>
      <c r="T484" s="2" t="s">
        <v>411</v>
      </c>
      <c r="U484" s="2" t="s">
        <v>412</v>
      </c>
      <c r="V484" s="2" t="s">
        <v>28</v>
      </c>
      <c r="W484" s="2" t="s">
        <v>413</v>
      </c>
      <c r="X484" s="2" t="s">
        <v>414</v>
      </c>
      <c r="Y484" s="2">
        <v>0.60685453267989797</v>
      </c>
      <c r="Z484" s="2">
        <v>4.5958333333333297</v>
      </c>
      <c r="AA484" s="2">
        <v>-74.148499999999999</v>
      </c>
      <c r="AB484" s="2">
        <v>2563</v>
      </c>
      <c r="AC484" s="2" t="s">
        <v>31</v>
      </c>
      <c r="AD484" s="2" t="s">
        <v>51</v>
      </c>
      <c r="AE484" s="2" t="s">
        <v>33</v>
      </c>
      <c r="AF484" s="2" t="s">
        <v>34</v>
      </c>
      <c r="AG484" s="2" t="s">
        <v>1922</v>
      </c>
      <c r="AH484" s="2">
        <v>0.53222787736935595</v>
      </c>
      <c r="AI484" s="2">
        <v>3.4892114607826001</v>
      </c>
      <c r="AJ484" s="2">
        <v>1.0813020283378201</v>
      </c>
      <c r="AK484" s="2">
        <v>0.690107326857893</v>
      </c>
      <c r="AL484" s="2">
        <v>3.8706095215883703E-2</v>
      </c>
      <c r="AN484" s="2">
        <v>14.5</v>
      </c>
      <c r="AO484" s="2">
        <v>27.9</v>
      </c>
      <c r="AP484" s="2">
        <v>564</v>
      </c>
      <c r="AQ484" s="2">
        <v>65.5</v>
      </c>
      <c r="AR484" s="2">
        <v>1.3</v>
      </c>
      <c r="AS484" s="2">
        <v>189</v>
      </c>
      <c r="AT484" s="2">
        <v>8.8000000000000007</v>
      </c>
      <c r="AU484" s="2">
        <v>167</v>
      </c>
      <c r="AV484" s="2">
        <v>21.9</v>
      </c>
      <c r="AW484" s="2">
        <v>16.3</v>
      </c>
      <c r="AX484" s="2">
        <v>38.200000000000003</v>
      </c>
      <c r="AY484" s="2">
        <v>1.02</v>
      </c>
      <c r="AZ484" s="2">
        <v>7.4</v>
      </c>
      <c r="BA484" s="2">
        <v>2.1</v>
      </c>
      <c r="BB484" s="2">
        <v>7.4</v>
      </c>
      <c r="BC484" s="2">
        <v>4.8</v>
      </c>
      <c r="BD484" s="2">
        <f>+AN484*EXP(-0.0495*Y484)</f>
        <v>14.070907247830217</v>
      </c>
      <c r="BE484" s="2">
        <f>+AO484*EXP(-0.024*Y484)</f>
        <v>27.496595033501819</v>
      </c>
    </row>
    <row r="485" spans="1:57" x14ac:dyDescent="0.2">
      <c r="A485" s="2" t="s">
        <v>597</v>
      </c>
      <c r="B485" s="2" t="s">
        <v>19</v>
      </c>
      <c r="C485" s="2" t="s">
        <v>20</v>
      </c>
      <c r="D485" s="2" t="s">
        <v>21</v>
      </c>
      <c r="E485" s="2" t="s">
        <v>598</v>
      </c>
      <c r="F485" s="2">
        <v>2</v>
      </c>
      <c r="G485" s="2">
        <v>80</v>
      </c>
      <c r="H485" s="2">
        <v>3</v>
      </c>
      <c r="I485" s="2">
        <v>2</v>
      </c>
      <c r="J485" s="2">
        <v>0</v>
      </c>
      <c r="K485" s="2" t="s">
        <v>61</v>
      </c>
      <c r="L485" s="6" t="s">
        <v>113</v>
      </c>
      <c r="M485" s="5">
        <v>255000000</v>
      </c>
      <c r="N485" s="2">
        <v>0</v>
      </c>
      <c r="O485" s="2">
        <v>4.6133657000000001</v>
      </c>
      <c r="P485" s="2">
        <v>-74.17886</v>
      </c>
      <c r="Q485" s="2" t="s">
        <v>599</v>
      </c>
      <c r="R485" s="2">
        <v>3187500</v>
      </c>
      <c r="S485" s="2">
        <v>0</v>
      </c>
      <c r="T485" s="2" t="s">
        <v>413</v>
      </c>
      <c r="U485" s="2" t="s">
        <v>600</v>
      </c>
      <c r="V485" s="2" t="s">
        <v>28</v>
      </c>
      <c r="W485" s="2" t="s">
        <v>413</v>
      </c>
      <c r="X485" s="2" t="s">
        <v>601</v>
      </c>
      <c r="Y485" s="2">
        <v>2.33960267832824</v>
      </c>
      <c r="Z485" s="2">
        <v>4.6250499999999999</v>
      </c>
      <c r="AA485" s="2">
        <v>-74.161333333333303</v>
      </c>
      <c r="AB485" s="2">
        <v>2580</v>
      </c>
      <c r="AC485" s="2" t="s">
        <v>31</v>
      </c>
      <c r="AD485" s="2" t="s">
        <v>58</v>
      </c>
      <c r="AE485" s="2" t="s">
        <v>33</v>
      </c>
      <c r="AF485" s="2" t="s">
        <v>34</v>
      </c>
      <c r="AG485" s="2" t="s">
        <v>172</v>
      </c>
      <c r="AH485" s="2">
        <v>1.8398516154334099</v>
      </c>
      <c r="AI485" s="2">
        <v>3.6324562136967198</v>
      </c>
      <c r="AJ485" s="2">
        <v>4.9932710914957701</v>
      </c>
      <c r="AK485" s="2">
        <v>0.11633278345114</v>
      </c>
      <c r="AL485" s="2">
        <v>3.9487245835878098E-3</v>
      </c>
      <c r="AN485" s="2">
        <v>14.5</v>
      </c>
      <c r="AO485" s="2">
        <v>27.9</v>
      </c>
      <c r="AP485" s="2">
        <v>564</v>
      </c>
      <c r="AQ485" s="2">
        <v>65.5</v>
      </c>
      <c r="AR485" s="2">
        <v>1.3</v>
      </c>
      <c r="AS485" s="2">
        <v>189</v>
      </c>
      <c r="AT485" s="2">
        <v>8.8000000000000007</v>
      </c>
      <c r="AU485" s="2">
        <v>167</v>
      </c>
      <c r="AV485" s="2">
        <v>21.9</v>
      </c>
      <c r="AW485" s="2">
        <v>16.3</v>
      </c>
      <c r="AX485" s="2">
        <v>38.200000000000003</v>
      </c>
      <c r="AY485" s="2">
        <v>1.02</v>
      </c>
      <c r="AZ485" s="2">
        <v>7.4</v>
      </c>
      <c r="BA485" s="2">
        <v>2.1</v>
      </c>
      <c r="BB485" s="2">
        <v>7.4</v>
      </c>
      <c r="BC485" s="2">
        <v>4.8</v>
      </c>
      <c r="BD485" s="2">
        <f>+AN485*EXP(-0.0495*Y485)</f>
        <v>12.914339935111579</v>
      </c>
      <c r="BE485" s="2">
        <f>+AO485*EXP(-0.024*Y485)</f>
        <v>26.376572860709746</v>
      </c>
    </row>
    <row r="486" spans="1:57" x14ac:dyDescent="0.2">
      <c r="A486" s="2" t="s">
        <v>2120</v>
      </c>
      <c r="B486" s="2" t="s">
        <v>19</v>
      </c>
      <c r="C486" s="2" t="s">
        <v>1907</v>
      </c>
      <c r="D486" s="2" t="s">
        <v>21</v>
      </c>
      <c r="E486" s="2" t="s">
        <v>2121</v>
      </c>
      <c r="F486" s="2">
        <v>2</v>
      </c>
      <c r="G486" s="2">
        <v>78</v>
      </c>
      <c r="H486" s="2">
        <v>5</v>
      </c>
      <c r="I486" s="2">
        <v>5</v>
      </c>
      <c r="J486" s="2">
        <v>0</v>
      </c>
      <c r="K486" s="2" t="s">
        <v>61</v>
      </c>
      <c r="L486" s="6" t="s">
        <v>113</v>
      </c>
      <c r="M486" s="5">
        <v>499000000</v>
      </c>
      <c r="N486" s="2">
        <v>0</v>
      </c>
      <c r="O486" s="2">
        <v>4.6492614750000003</v>
      </c>
      <c r="P486" s="2">
        <v>-74.174057009999999</v>
      </c>
      <c r="Q486" s="2" t="s">
        <v>2122</v>
      </c>
      <c r="R486" s="2">
        <v>6397435.8969999999</v>
      </c>
      <c r="S486" s="2">
        <v>0</v>
      </c>
      <c r="T486" s="2" t="s">
        <v>413</v>
      </c>
      <c r="U486" s="2" t="s">
        <v>600</v>
      </c>
      <c r="V486" s="2" t="s">
        <v>28</v>
      </c>
      <c r="W486" s="2" t="s">
        <v>413</v>
      </c>
      <c r="X486" s="2" t="s">
        <v>601</v>
      </c>
      <c r="Y486" s="2">
        <v>3.042566245353</v>
      </c>
      <c r="Z486" s="2">
        <v>4.6250499999999999</v>
      </c>
      <c r="AA486" s="2">
        <v>-74.161333333333303</v>
      </c>
      <c r="AB486" s="2">
        <v>2580</v>
      </c>
      <c r="AC486" s="2" t="s">
        <v>31</v>
      </c>
      <c r="AD486" s="2" t="s">
        <v>58</v>
      </c>
      <c r="AE486" s="2" t="s">
        <v>33</v>
      </c>
      <c r="AF486" s="2" t="s">
        <v>34</v>
      </c>
      <c r="AG486" s="2" t="s">
        <v>172</v>
      </c>
      <c r="AH486" s="2">
        <v>2.0574928838727198</v>
      </c>
      <c r="AI486" s="2">
        <v>0.48260876349065501</v>
      </c>
      <c r="AJ486" s="2">
        <v>5.3978663409003902</v>
      </c>
      <c r="AK486" s="2">
        <v>0.676081961732792</v>
      </c>
      <c r="AL486" s="2">
        <v>9.9842638214025295E-2</v>
      </c>
      <c r="AN486" s="2">
        <v>14.5</v>
      </c>
      <c r="AO486" s="2">
        <v>27.9</v>
      </c>
      <c r="AP486" s="2">
        <v>564</v>
      </c>
      <c r="AQ486" s="2">
        <v>65.5</v>
      </c>
      <c r="AR486" s="2">
        <v>1.3</v>
      </c>
      <c r="AS486" s="2">
        <v>189</v>
      </c>
      <c r="AT486" s="2">
        <v>8.8000000000000007</v>
      </c>
      <c r="AU486" s="2">
        <v>167</v>
      </c>
      <c r="AV486" s="2">
        <v>21.9</v>
      </c>
      <c r="AW486" s="2">
        <v>16.3</v>
      </c>
      <c r="AX486" s="2">
        <v>38.200000000000003</v>
      </c>
      <c r="AY486" s="2">
        <v>1.02</v>
      </c>
      <c r="AZ486" s="2">
        <v>7.4</v>
      </c>
      <c r="BA486" s="2">
        <v>2.1</v>
      </c>
      <c r="BB486" s="2">
        <v>7.4</v>
      </c>
      <c r="BC486" s="2">
        <v>4.8</v>
      </c>
      <c r="BD486" s="2">
        <f>+AN486*EXP(-0.0495*Y486)</f>
        <v>12.472692072098122</v>
      </c>
      <c r="BE486" s="2">
        <f>+AO486*EXP(-0.024*Y486)</f>
        <v>25.935303211371224</v>
      </c>
    </row>
    <row r="487" spans="1:57" x14ac:dyDescent="0.2">
      <c r="A487" s="2" t="s">
        <v>1864</v>
      </c>
      <c r="B487" s="2" t="s">
        <v>19</v>
      </c>
      <c r="C487" s="2" t="s">
        <v>20</v>
      </c>
      <c r="D487" s="2" t="s">
        <v>21</v>
      </c>
      <c r="E487" s="2" t="s">
        <v>1104</v>
      </c>
      <c r="F487" s="2">
        <v>3</v>
      </c>
      <c r="G487" s="2">
        <v>67</v>
      </c>
      <c r="H487" s="2">
        <v>3</v>
      </c>
      <c r="I487" s="2">
        <v>2</v>
      </c>
      <c r="J487" s="2">
        <v>1</v>
      </c>
      <c r="K487" s="2" t="s">
        <v>61</v>
      </c>
      <c r="L487" s="6" t="s">
        <v>75</v>
      </c>
      <c r="M487" s="5">
        <v>440000000</v>
      </c>
      <c r="N487" s="2">
        <v>0</v>
      </c>
      <c r="O487" s="2">
        <v>4.6405620570000004</v>
      </c>
      <c r="P487" s="2">
        <v>-74.145530699999995</v>
      </c>
      <c r="Q487" s="2" t="s">
        <v>1865</v>
      </c>
      <c r="R487" s="2">
        <v>6567164.1789999995</v>
      </c>
      <c r="S487" s="2">
        <v>0</v>
      </c>
      <c r="T487" s="2" t="s">
        <v>413</v>
      </c>
      <c r="U487" s="2" t="s">
        <v>600</v>
      </c>
      <c r="V487" s="2" t="s">
        <v>28</v>
      </c>
      <c r="W487" s="2" t="s">
        <v>413</v>
      </c>
      <c r="X487" s="2" t="s">
        <v>601</v>
      </c>
      <c r="Y487" s="2">
        <v>2.4609363423924702</v>
      </c>
      <c r="Z487" s="2">
        <v>4.6250499999999999</v>
      </c>
      <c r="AA487" s="2">
        <v>-74.161333333333303</v>
      </c>
      <c r="AB487" s="2">
        <v>2580</v>
      </c>
      <c r="AC487" s="2" t="s">
        <v>31</v>
      </c>
      <c r="AD487" s="2" t="s">
        <v>58</v>
      </c>
      <c r="AE487" s="2" t="s">
        <v>33</v>
      </c>
      <c r="AF487" s="2" t="s">
        <v>34</v>
      </c>
      <c r="AG487" s="2" t="s">
        <v>172</v>
      </c>
      <c r="AH487" s="2">
        <v>1.0102877444744001</v>
      </c>
      <c r="AI487" s="2">
        <v>2.5332608015620699</v>
      </c>
      <c r="AJ487" s="2">
        <v>2.5533747743431698</v>
      </c>
      <c r="AK487" s="2">
        <v>0.25075407471969802</v>
      </c>
      <c r="AL487" s="2">
        <v>1.20068688997917E-2</v>
      </c>
      <c r="AN487" s="2">
        <v>14.5</v>
      </c>
      <c r="AO487" s="2">
        <v>27.9</v>
      </c>
      <c r="AP487" s="2">
        <v>564</v>
      </c>
      <c r="AQ487" s="2">
        <v>65.5</v>
      </c>
      <c r="AR487" s="2">
        <v>1.3</v>
      </c>
      <c r="AS487" s="2">
        <v>189</v>
      </c>
      <c r="AT487" s="2">
        <v>8.8000000000000007</v>
      </c>
      <c r="AU487" s="2">
        <v>167</v>
      </c>
      <c r="AV487" s="2">
        <v>21.9</v>
      </c>
      <c r="AW487" s="2">
        <v>16.3</v>
      </c>
      <c r="AX487" s="2">
        <v>38.200000000000003</v>
      </c>
      <c r="AY487" s="2">
        <v>1.02</v>
      </c>
      <c r="AZ487" s="2">
        <v>7.4</v>
      </c>
      <c r="BA487" s="2">
        <v>2.1</v>
      </c>
      <c r="BB487" s="2">
        <v>7.4</v>
      </c>
      <c r="BC487" s="2">
        <v>4.8</v>
      </c>
      <c r="BD487" s="2">
        <f>+AN487*EXP(-0.0495*Y487)</f>
        <v>12.837008656958799</v>
      </c>
      <c r="BE487" s="2">
        <f>+AO487*EXP(-0.024*Y487)</f>
        <v>26.29987579660186</v>
      </c>
    </row>
    <row r="488" spans="1:57" x14ac:dyDescent="0.2">
      <c r="A488" s="2" t="s">
        <v>2939</v>
      </c>
      <c r="B488" s="2" t="s">
        <v>19</v>
      </c>
      <c r="C488" s="2" t="s">
        <v>1907</v>
      </c>
      <c r="D488" s="2" t="s">
        <v>21</v>
      </c>
      <c r="E488" s="2" t="s">
        <v>2940</v>
      </c>
      <c r="F488" s="2">
        <v>3</v>
      </c>
      <c r="G488" s="2">
        <v>66.900000000000006</v>
      </c>
      <c r="H488" s="2">
        <v>5</v>
      </c>
      <c r="I488" s="2">
        <v>4</v>
      </c>
      <c r="J488" s="2">
        <v>0</v>
      </c>
      <c r="K488" s="2" t="s">
        <v>61</v>
      </c>
      <c r="L488" s="6" t="s">
        <v>66</v>
      </c>
      <c r="M488" s="5">
        <v>400000000</v>
      </c>
      <c r="N488" s="2">
        <v>0</v>
      </c>
      <c r="O488" s="2">
        <v>4.6033499999999998</v>
      </c>
      <c r="P488" s="2">
        <v>-74.176829999999995</v>
      </c>
      <c r="Q488" s="2" t="s">
        <v>2941</v>
      </c>
      <c r="R488" s="2">
        <v>5979073.2439999999</v>
      </c>
      <c r="S488" s="2">
        <v>0</v>
      </c>
      <c r="T488" s="2" t="s">
        <v>413</v>
      </c>
      <c r="U488" s="2" t="s">
        <v>600</v>
      </c>
      <c r="V488" s="2" t="s">
        <v>28</v>
      </c>
      <c r="W488" s="2" t="s">
        <v>413</v>
      </c>
      <c r="X488" s="2" t="s">
        <v>601</v>
      </c>
      <c r="Y488" s="2">
        <v>2.96511861375591</v>
      </c>
      <c r="Z488" s="2">
        <v>4.6250499999999999</v>
      </c>
      <c r="AA488" s="2">
        <v>-74.161333333333303</v>
      </c>
      <c r="AB488" s="2">
        <v>2580</v>
      </c>
      <c r="AC488" s="2" t="s">
        <v>31</v>
      </c>
      <c r="AD488" s="2" t="s">
        <v>58</v>
      </c>
      <c r="AE488" s="2" t="s">
        <v>33</v>
      </c>
      <c r="AF488" s="2" t="s">
        <v>34</v>
      </c>
      <c r="AG488" s="2" t="s">
        <v>319</v>
      </c>
      <c r="AH488" s="2">
        <v>0.86462917127385597</v>
      </c>
      <c r="AI488" s="2">
        <v>3.4717994806609802</v>
      </c>
      <c r="AJ488" s="2">
        <v>4.3746910814725801</v>
      </c>
      <c r="AK488" s="2">
        <v>0.57305573173958102</v>
      </c>
      <c r="AL488" s="2">
        <v>0.15143418648503901</v>
      </c>
      <c r="AN488" s="2">
        <v>14.5</v>
      </c>
      <c r="AO488" s="2">
        <v>27.9</v>
      </c>
      <c r="AP488" s="2">
        <v>564</v>
      </c>
      <c r="AQ488" s="2">
        <v>65.5</v>
      </c>
      <c r="AR488" s="2">
        <v>1.3</v>
      </c>
      <c r="AS488" s="2">
        <v>189</v>
      </c>
      <c r="AT488" s="2">
        <v>8.8000000000000007</v>
      </c>
      <c r="AU488" s="2">
        <v>167</v>
      </c>
      <c r="AV488" s="2">
        <v>21.9</v>
      </c>
      <c r="AW488" s="2">
        <v>16.3</v>
      </c>
      <c r="AX488" s="2">
        <v>38.200000000000003</v>
      </c>
      <c r="AY488" s="2">
        <v>1.02</v>
      </c>
      <c r="AZ488" s="2">
        <v>7.4</v>
      </c>
      <c r="BA488" s="2">
        <v>2.1</v>
      </c>
      <c r="BB488" s="2">
        <v>7.4</v>
      </c>
      <c r="BC488" s="2">
        <v>4.8</v>
      </c>
      <c r="BD488" s="2">
        <f>+AN488*EXP(-0.0495*Y488)</f>
        <v>12.520599877288864</v>
      </c>
      <c r="BE488" s="2">
        <f>+AO488*EXP(-0.024*Y488)</f>
        <v>25.98355510882449</v>
      </c>
    </row>
    <row r="489" spans="1:57" x14ac:dyDescent="0.2">
      <c r="A489" s="2" t="s">
        <v>1103</v>
      </c>
      <c r="B489" s="2" t="s">
        <v>19</v>
      </c>
      <c r="C489" s="2" t="s">
        <v>20</v>
      </c>
      <c r="D489" s="2" t="s">
        <v>21</v>
      </c>
      <c r="E489" s="2" t="s">
        <v>1104</v>
      </c>
      <c r="F489" s="2">
        <v>3</v>
      </c>
      <c r="G489" s="2">
        <v>66</v>
      </c>
      <c r="H489" s="2">
        <v>3</v>
      </c>
      <c r="I489" s="2">
        <v>2</v>
      </c>
      <c r="J489" s="2">
        <v>1</v>
      </c>
      <c r="K489" s="2" t="s">
        <v>61</v>
      </c>
      <c r="L489" s="6" t="s">
        <v>84</v>
      </c>
      <c r="M489" s="5">
        <v>440000000</v>
      </c>
      <c r="N489" s="2">
        <v>0</v>
      </c>
      <c r="O489" s="2">
        <v>4.6405620570000004</v>
      </c>
      <c r="P489" s="2">
        <v>-74.145530699999995</v>
      </c>
      <c r="Q489" s="2" t="s">
        <v>1105</v>
      </c>
      <c r="R489" s="2">
        <v>6666666.6670000004</v>
      </c>
      <c r="S489" s="2">
        <v>0</v>
      </c>
      <c r="T489" s="2" t="s">
        <v>413</v>
      </c>
      <c r="U489" s="2" t="s">
        <v>600</v>
      </c>
      <c r="V489" s="2" t="s">
        <v>28</v>
      </c>
      <c r="W489" s="2" t="s">
        <v>413</v>
      </c>
      <c r="X489" s="2" t="s">
        <v>601</v>
      </c>
      <c r="Y489" s="2">
        <v>2.4609363423924702</v>
      </c>
      <c r="Z489" s="2">
        <v>4.6250499999999999</v>
      </c>
      <c r="AA489" s="2">
        <v>-74.161333333333303</v>
      </c>
      <c r="AB489" s="2">
        <v>2580</v>
      </c>
      <c r="AC489" s="2" t="s">
        <v>31</v>
      </c>
      <c r="AD489" s="2" t="s">
        <v>58</v>
      </c>
      <c r="AE489" s="2" t="s">
        <v>33</v>
      </c>
      <c r="AF489" s="2" t="s">
        <v>34</v>
      </c>
      <c r="AG489" s="2" t="s">
        <v>172</v>
      </c>
      <c r="AH489" s="2">
        <v>1.0102877444744001</v>
      </c>
      <c r="AI489" s="2">
        <v>2.5332608015620699</v>
      </c>
      <c r="AJ489" s="2">
        <v>2.5533747743431698</v>
      </c>
      <c r="AK489" s="2">
        <v>0.25075407471969802</v>
      </c>
      <c r="AL489" s="2">
        <v>1.20068688997917E-2</v>
      </c>
      <c r="AN489" s="2">
        <v>14.5</v>
      </c>
      <c r="AO489" s="2">
        <v>27.9</v>
      </c>
      <c r="AP489" s="2">
        <v>564</v>
      </c>
      <c r="AQ489" s="2">
        <v>65.5</v>
      </c>
      <c r="AR489" s="2">
        <v>1.3</v>
      </c>
      <c r="AS489" s="2">
        <v>189</v>
      </c>
      <c r="AT489" s="2">
        <v>8.8000000000000007</v>
      </c>
      <c r="AU489" s="2">
        <v>167</v>
      </c>
      <c r="AV489" s="2">
        <v>21.9</v>
      </c>
      <c r="AW489" s="2">
        <v>16.3</v>
      </c>
      <c r="AX489" s="2">
        <v>38.200000000000003</v>
      </c>
      <c r="AY489" s="2">
        <v>1.02</v>
      </c>
      <c r="AZ489" s="2">
        <v>7.4</v>
      </c>
      <c r="BA489" s="2">
        <v>2.1</v>
      </c>
      <c r="BB489" s="2">
        <v>7.4</v>
      </c>
      <c r="BC489" s="2">
        <v>4.8</v>
      </c>
      <c r="BD489" s="2">
        <f>+AN489*EXP(-0.0495*Y489)</f>
        <v>12.837008656958799</v>
      </c>
      <c r="BE489" s="2">
        <f>+AO489*EXP(-0.024*Y489)</f>
        <v>26.29987579660186</v>
      </c>
    </row>
    <row r="490" spans="1:57" x14ac:dyDescent="0.2">
      <c r="A490" s="2" t="s">
        <v>1220</v>
      </c>
      <c r="B490" s="2" t="s">
        <v>19</v>
      </c>
      <c r="C490" s="2" t="s">
        <v>20</v>
      </c>
      <c r="D490" s="2" t="s">
        <v>21</v>
      </c>
      <c r="E490" s="2" t="s">
        <v>409</v>
      </c>
      <c r="F490" s="2">
        <v>3</v>
      </c>
      <c r="G490" s="2">
        <v>65</v>
      </c>
      <c r="H490" s="2">
        <v>3</v>
      </c>
      <c r="I490" s="2">
        <v>1</v>
      </c>
      <c r="J490" s="2">
        <v>1</v>
      </c>
      <c r="K490" s="2" t="s">
        <v>61</v>
      </c>
      <c r="L490" s="6" t="s">
        <v>113</v>
      </c>
      <c r="M490" s="5">
        <v>269800000</v>
      </c>
      <c r="N490" s="2">
        <v>0</v>
      </c>
      <c r="O490" s="2">
        <v>4.5955490000000001</v>
      </c>
      <c r="P490" s="2">
        <v>-74.157129999999995</v>
      </c>
      <c r="Q490" s="2" t="s">
        <v>1221</v>
      </c>
      <c r="R490" s="2">
        <v>4150769.2310000001</v>
      </c>
      <c r="S490" s="2">
        <v>0</v>
      </c>
      <c r="T490" s="2" t="s">
        <v>411</v>
      </c>
      <c r="U490" s="2" t="s">
        <v>412</v>
      </c>
      <c r="V490" s="2" t="s">
        <v>28</v>
      </c>
      <c r="W490" s="2" t="s">
        <v>413</v>
      </c>
      <c r="X490" s="2" t="s">
        <v>414</v>
      </c>
      <c r="Y490" s="2">
        <v>0.95812146365717199</v>
      </c>
      <c r="Z490" s="2">
        <v>4.5958333333333297</v>
      </c>
      <c r="AA490" s="2">
        <v>-74.148499999999999</v>
      </c>
      <c r="AB490" s="2">
        <v>2563</v>
      </c>
      <c r="AC490" s="2" t="s">
        <v>31</v>
      </c>
      <c r="AD490" s="2" t="s">
        <v>51</v>
      </c>
      <c r="AE490" s="2" t="s">
        <v>33</v>
      </c>
      <c r="AF490" s="2" t="s">
        <v>34</v>
      </c>
      <c r="AG490" s="2" t="s">
        <v>415</v>
      </c>
      <c r="AH490" s="2">
        <v>8.5472112065983694E-2</v>
      </c>
      <c r="AI490" s="2">
        <v>3.2268534187114901</v>
      </c>
      <c r="AJ490" s="2">
        <v>2.0520318250217802</v>
      </c>
      <c r="AK490" s="2">
        <v>3.05193296636126E-2</v>
      </c>
      <c r="AL490" s="2">
        <v>0.104004529862885</v>
      </c>
      <c r="AN490" s="2">
        <v>14.5</v>
      </c>
      <c r="AO490" s="2">
        <v>27.9</v>
      </c>
      <c r="AP490" s="2">
        <v>564</v>
      </c>
      <c r="AQ490" s="2">
        <v>65.5</v>
      </c>
      <c r="AR490" s="2">
        <v>1.3</v>
      </c>
      <c r="AS490" s="2">
        <v>189</v>
      </c>
      <c r="AT490" s="2">
        <v>8.8000000000000007</v>
      </c>
      <c r="AU490" s="2">
        <v>167</v>
      </c>
      <c r="AV490" s="2">
        <v>21.9</v>
      </c>
      <c r="AW490" s="2">
        <v>16.3</v>
      </c>
      <c r="AX490" s="2">
        <v>38.200000000000003</v>
      </c>
      <c r="AY490" s="2">
        <v>1.02</v>
      </c>
      <c r="AZ490" s="2">
        <v>7.4</v>
      </c>
      <c r="BA490" s="2">
        <v>2.1</v>
      </c>
      <c r="BB490" s="2">
        <v>7.4</v>
      </c>
      <c r="BC490" s="2">
        <v>4.8</v>
      </c>
      <c r="BD490" s="2">
        <f>+AN490*EXP(-0.0495*Y490)</f>
        <v>13.828361121775426</v>
      </c>
      <c r="BE490" s="2">
        <f>+AO490*EXP(-0.024*Y490)</f>
        <v>27.265761939837599</v>
      </c>
    </row>
    <row r="491" spans="1:57" x14ac:dyDescent="0.2">
      <c r="A491" s="2" t="s">
        <v>408</v>
      </c>
      <c r="B491" s="2" t="s">
        <v>19</v>
      </c>
      <c r="C491" s="2" t="s">
        <v>20</v>
      </c>
      <c r="D491" s="2" t="s">
        <v>21</v>
      </c>
      <c r="E491" s="2" t="s">
        <v>409</v>
      </c>
      <c r="F491" s="2">
        <v>3</v>
      </c>
      <c r="G491" s="2">
        <v>64</v>
      </c>
      <c r="H491" s="2">
        <v>3</v>
      </c>
      <c r="I491" s="2">
        <v>2</v>
      </c>
      <c r="J491" s="2">
        <v>1</v>
      </c>
      <c r="K491" s="2" t="s">
        <v>61</v>
      </c>
      <c r="L491" s="6" t="s">
        <v>84</v>
      </c>
      <c r="M491" s="5">
        <v>385000000</v>
      </c>
      <c r="N491" s="2">
        <v>0</v>
      </c>
      <c r="O491" s="2">
        <v>4.5933814000000002</v>
      </c>
      <c r="P491" s="2">
        <v>-74.15607</v>
      </c>
      <c r="Q491" s="2" t="s">
        <v>410</v>
      </c>
      <c r="R491" s="2">
        <v>6015625</v>
      </c>
      <c r="S491" s="2">
        <v>0</v>
      </c>
      <c r="T491" s="2" t="s">
        <v>411</v>
      </c>
      <c r="U491" s="2" t="s">
        <v>412</v>
      </c>
      <c r="V491" s="2" t="s">
        <v>28</v>
      </c>
      <c r="W491" s="2" t="s">
        <v>413</v>
      </c>
      <c r="X491" s="2" t="s">
        <v>414</v>
      </c>
      <c r="Y491" s="2">
        <v>0.88321448978875905</v>
      </c>
      <c r="Z491" s="2">
        <v>4.5958333333333297</v>
      </c>
      <c r="AA491" s="2">
        <v>-74.148499999999999</v>
      </c>
      <c r="AB491" s="2">
        <v>2563</v>
      </c>
      <c r="AC491" s="2" t="s">
        <v>31</v>
      </c>
      <c r="AD491" s="2" t="s">
        <v>51</v>
      </c>
      <c r="AE491" s="2" t="s">
        <v>33</v>
      </c>
      <c r="AF491" s="2" t="s">
        <v>34</v>
      </c>
      <c r="AG491" s="2" t="s">
        <v>415</v>
      </c>
      <c r="AH491" s="2">
        <v>0.33282779167633902</v>
      </c>
      <c r="AI491" s="2">
        <v>3.1039567293966601</v>
      </c>
      <c r="AJ491" s="2">
        <v>1.91075001642386</v>
      </c>
      <c r="AK491" s="2">
        <v>0.27811700589799299</v>
      </c>
      <c r="AL491" s="2">
        <v>0.19620586444628099</v>
      </c>
      <c r="AN491" s="2">
        <v>14.5</v>
      </c>
      <c r="AO491" s="2">
        <v>27.9</v>
      </c>
      <c r="AP491" s="2">
        <v>564</v>
      </c>
      <c r="AQ491" s="2">
        <v>65.5</v>
      </c>
      <c r="AR491" s="2">
        <v>1.3</v>
      </c>
      <c r="AS491" s="2">
        <v>189</v>
      </c>
      <c r="AT491" s="2">
        <v>8.8000000000000007</v>
      </c>
      <c r="AU491" s="2">
        <v>167</v>
      </c>
      <c r="AV491" s="2">
        <v>21.9</v>
      </c>
      <c r="AW491" s="2">
        <v>16.3</v>
      </c>
      <c r="AX491" s="2">
        <v>38.200000000000003</v>
      </c>
      <c r="AY491" s="2">
        <v>1.02</v>
      </c>
      <c r="AZ491" s="2">
        <v>7.4</v>
      </c>
      <c r="BA491" s="2">
        <v>2.1</v>
      </c>
      <c r="BB491" s="2">
        <v>7.4</v>
      </c>
      <c r="BC491" s="2">
        <v>4.8</v>
      </c>
      <c r="BD491" s="2">
        <f>+AN491*EXP(-0.0495*Y491)</f>
        <v>13.879730412812265</v>
      </c>
      <c r="BE491" s="2">
        <f>+AO491*EXP(-0.024*Y491)</f>
        <v>27.314823524493004</v>
      </c>
    </row>
    <row r="492" spans="1:57" x14ac:dyDescent="0.2">
      <c r="A492" s="2" t="s">
        <v>1124</v>
      </c>
      <c r="B492" s="2" t="s">
        <v>19</v>
      </c>
      <c r="C492" s="2" t="s">
        <v>20</v>
      </c>
      <c r="D492" s="2" t="s">
        <v>21</v>
      </c>
      <c r="E492" s="2" t="s">
        <v>1125</v>
      </c>
      <c r="F492" s="2">
        <v>3</v>
      </c>
      <c r="G492" s="2">
        <v>62</v>
      </c>
      <c r="H492" s="2">
        <v>3</v>
      </c>
      <c r="I492" s="2">
        <v>2</v>
      </c>
      <c r="J492" s="2">
        <v>1</v>
      </c>
      <c r="K492" s="2" t="s">
        <v>61</v>
      </c>
      <c r="L492" s="6" t="s">
        <v>113</v>
      </c>
      <c r="M492" s="5">
        <v>330000000</v>
      </c>
      <c r="N492" s="2">
        <v>0</v>
      </c>
      <c r="O492" s="2">
        <v>4.6386709210000001</v>
      </c>
      <c r="P492" s="2">
        <v>-74.154647830000002</v>
      </c>
      <c r="Q492" s="2" t="s">
        <v>1126</v>
      </c>
      <c r="R492" s="2">
        <v>5322580.6449999996</v>
      </c>
      <c r="S492" s="2">
        <v>0</v>
      </c>
      <c r="T492" s="2" t="s">
        <v>413</v>
      </c>
      <c r="U492" s="2" t="s">
        <v>600</v>
      </c>
      <c r="V492" s="2" t="s">
        <v>28</v>
      </c>
      <c r="W492" s="2" t="s">
        <v>413</v>
      </c>
      <c r="X492" s="2" t="s">
        <v>601</v>
      </c>
      <c r="Y492" s="2">
        <v>1.6880013408468399</v>
      </c>
      <c r="Z492" s="2">
        <v>4.6250499999999999</v>
      </c>
      <c r="AA492" s="2">
        <v>-74.161333333333303</v>
      </c>
      <c r="AB492" s="2">
        <v>2580</v>
      </c>
      <c r="AC492" s="2" t="s">
        <v>31</v>
      </c>
      <c r="AD492" s="2" t="s">
        <v>58</v>
      </c>
      <c r="AE492" s="2" t="s">
        <v>33</v>
      </c>
      <c r="AF492" s="2" t="s">
        <v>34</v>
      </c>
      <c r="AG492" s="2" t="s">
        <v>172</v>
      </c>
      <c r="AH492" s="2">
        <v>0.52847811022324298</v>
      </c>
      <c r="AI492" s="2">
        <v>2.1858507639799498</v>
      </c>
      <c r="AJ492" s="2">
        <v>3.5728104275829899</v>
      </c>
      <c r="AK492" s="2">
        <v>0.51076873376831</v>
      </c>
      <c r="AL492" s="2">
        <v>0.127724702319996</v>
      </c>
      <c r="AN492" s="2">
        <v>14.5</v>
      </c>
      <c r="AO492" s="2">
        <v>27.9</v>
      </c>
      <c r="AP492" s="2">
        <v>564</v>
      </c>
      <c r="AQ492" s="2">
        <v>65.5</v>
      </c>
      <c r="AR492" s="2">
        <v>1.3</v>
      </c>
      <c r="AS492" s="2">
        <v>189</v>
      </c>
      <c r="AT492" s="2">
        <v>8.8000000000000007</v>
      </c>
      <c r="AU492" s="2">
        <v>167</v>
      </c>
      <c r="AV492" s="2">
        <v>21.9</v>
      </c>
      <c r="AW492" s="2">
        <v>16.3</v>
      </c>
      <c r="AX492" s="2">
        <v>38.200000000000003</v>
      </c>
      <c r="AY492" s="2">
        <v>1.02</v>
      </c>
      <c r="AZ492" s="2">
        <v>7.4</v>
      </c>
      <c r="BA492" s="2">
        <v>2.1</v>
      </c>
      <c r="BB492" s="2">
        <v>7.4</v>
      </c>
      <c r="BC492" s="2">
        <v>4.8</v>
      </c>
      <c r="BD492" s="2">
        <f>+AN492*EXP(-0.0495*Y492)</f>
        <v>13.337672940837834</v>
      </c>
      <c r="BE492" s="2">
        <f>+AO492*EXP(-0.024*Y492)</f>
        <v>26.792303318104185</v>
      </c>
    </row>
    <row r="493" spans="1:57" x14ac:dyDescent="0.2">
      <c r="A493" s="2" t="s">
        <v>1129</v>
      </c>
      <c r="B493" s="2" t="s">
        <v>19</v>
      </c>
      <c r="C493" s="2" t="s">
        <v>20</v>
      </c>
      <c r="D493" s="2" t="s">
        <v>21</v>
      </c>
      <c r="E493" s="2" t="s">
        <v>1125</v>
      </c>
      <c r="F493" s="2">
        <v>2</v>
      </c>
      <c r="G493" s="2">
        <v>62</v>
      </c>
      <c r="H493" s="2">
        <v>3</v>
      </c>
      <c r="I493" s="2">
        <v>2</v>
      </c>
      <c r="J493" s="2">
        <v>1</v>
      </c>
      <c r="K493" s="2" t="s">
        <v>61</v>
      </c>
      <c r="L493" s="6" t="s">
        <v>75</v>
      </c>
      <c r="M493" s="5">
        <v>329500000</v>
      </c>
      <c r="N493" s="2">
        <v>0</v>
      </c>
      <c r="O493" s="2">
        <v>4.6388285759999999</v>
      </c>
      <c r="P493" s="2">
        <v>-74.154639649999993</v>
      </c>
      <c r="Q493" s="2" t="s">
        <v>1130</v>
      </c>
      <c r="R493" s="2">
        <v>5314516.1289999997</v>
      </c>
      <c r="S493" s="2">
        <v>0</v>
      </c>
      <c r="T493" s="2" t="s">
        <v>413</v>
      </c>
      <c r="U493" s="2" t="s">
        <v>600</v>
      </c>
      <c r="V493" s="2" t="s">
        <v>28</v>
      </c>
      <c r="W493" s="2" t="s">
        <v>413</v>
      </c>
      <c r="X493" s="2" t="s">
        <v>601</v>
      </c>
      <c r="Y493" s="2">
        <v>1.70417875018545</v>
      </c>
      <c r="Z493" s="2">
        <v>4.6250499999999999</v>
      </c>
      <c r="AA493" s="2">
        <v>-74.161333333333303</v>
      </c>
      <c r="AB493" s="2">
        <v>2580</v>
      </c>
      <c r="AC493" s="2" t="s">
        <v>31</v>
      </c>
      <c r="AD493" s="2" t="s">
        <v>58</v>
      </c>
      <c r="AE493" s="2" t="s">
        <v>33</v>
      </c>
      <c r="AF493" s="2" t="s">
        <v>34</v>
      </c>
      <c r="AG493" s="2" t="s">
        <v>172</v>
      </c>
      <c r="AH493" s="2">
        <v>0.53242730835956598</v>
      </c>
      <c r="AI493" s="2">
        <v>2.1713973973529801</v>
      </c>
      <c r="AJ493" s="2">
        <v>3.57072807507125</v>
      </c>
      <c r="AK493" s="2">
        <v>0.52352516365180701</v>
      </c>
      <c r="AL493" s="2">
        <v>0.141300467735548</v>
      </c>
      <c r="AN493" s="2">
        <v>14.5</v>
      </c>
      <c r="AO493" s="2">
        <v>27.9</v>
      </c>
      <c r="AP493" s="2">
        <v>564</v>
      </c>
      <c r="AQ493" s="2">
        <v>65.5</v>
      </c>
      <c r="AR493" s="2">
        <v>1.3</v>
      </c>
      <c r="AS493" s="2">
        <v>189</v>
      </c>
      <c r="AT493" s="2">
        <v>8.8000000000000007</v>
      </c>
      <c r="AU493" s="2">
        <v>167</v>
      </c>
      <c r="AV493" s="2">
        <v>21.9</v>
      </c>
      <c r="AW493" s="2">
        <v>16.3</v>
      </c>
      <c r="AX493" s="2">
        <v>38.200000000000003</v>
      </c>
      <c r="AY493" s="2">
        <v>1.02</v>
      </c>
      <c r="AZ493" s="2">
        <v>7.4</v>
      </c>
      <c r="BA493" s="2">
        <v>2.1</v>
      </c>
      <c r="BB493" s="2">
        <v>7.4</v>
      </c>
      <c r="BC493" s="2">
        <v>4.8</v>
      </c>
      <c r="BD493" s="2">
        <f>+AN493*EXP(-0.0495*Y493)</f>
        <v>13.326996650855476</v>
      </c>
      <c r="BE493" s="2">
        <f>+AO493*EXP(-0.024*Y493)</f>
        <v>26.781903015844566</v>
      </c>
    </row>
    <row r="494" spans="1:57" x14ac:dyDescent="0.2">
      <c r="A494" s="2" t="s">
        <v>1082</v>
      </c>
      <c r="B494" s="2" t="s">
        <v>19</v>
      </c>
      <c r="C494" s="2" t="s">
        <v>20</v>
      </c>
      <c r="D494" s="2" t="s">
        <v>21</v>
      </c>
      <c r="E494" s="2" t="s">
        <v>1083</v>
      </c>
      <c r="F494" s="2">
        <v>3</v>
      </c>
      <c r="G494" s="2">
        <v>59</v>
      </c>
      <c r="H494" s="2">
        <v>3</v>
      </c>
      <c r="I494" s="2">
        <v>1</v>
      </c>
      <c r="J494" s="2">
        <v>1</v>
      </c>
      <c r="K494" s="2" t="s">
        <v>61</v>
      </c>
      <c r="L494" s="6" t="s">
        <v>66</v>
      </c>
      <c r="M494" s="5">
        <v>252000000</v>
      </c>
      <c r="N494" s="2">
        <v>0</v>
      </c>
      <c r="O494" s="2">
        <v>4.6085100170000004</v>
      </c>
      <c r="P494" s="2">
        <v>-74.160400390000007</v>
      </c>
      <c r="Q494" s="2" t="s">
        <v>1084</v>
      </c>
      <c r="R494" s="2">
        <v>4271186.4409999996</v>
      </c>
      <c r="S494" s="2">
        <v>0</v>
      </c>
      <c r="T494" s="2" t="s">
        <v>413</v>
      </c>
      <c r="U494" s="2" t="s">
        <v>600</v>
      </c>
      <c r="V494" s="2" t="s">
        <v>28</v>
      </c>
      <c r="W494" s="2" t="s">
        <v>413</v>
      </c>
      <c r="X494" s="2" t="s">
        <v>601</v>
      </c>
      <c r="Y494" s="2">
        <v>1.8441301949830899</v>
      </c>
      <c r="Z494" s="2">
        <v>4.6250499999999999</v>
      </c>
      <c r="AA494" s="2">
        <v>-74.161333333333303</v>
      </c>
      <c r="AB494" s="2">
        <v>2580</v>
      </c>
      <c r="AC494" s="2" t="s">
        <v>31</v>
      </c>
      <c r="AD494" s="2" t="s">
        <v>58</v>
      </c>
      <c r="AE494" s="2" t="s">
        <v>33</v>
      </c>
      <c r="AF494" s="2" t="s">
        <v>34</v>
      </c>
      <c r="AG494" s="2" t="s">
        <v>172</v>
      </c>
      <c r="AH494" s="2">
        <v>1.40672742483381</v>
      </c>
      <c r="AI494" s="2">
        <v>4.3448153502231301</v>
      </c>
      <c r="AJ494" s="2">
        <v>2.96456687320656</v>
      </c>
      <c r="AK494" s="2">
        <v>0.51942709086725103</v>
      </c>
      <c r="AL494" s="2">
        <v>1.26679402295305E-2</v>
      </c>
      <c r="AN494" s="2">
        <v>14.5</v>
      </c>
      <c r="AO494" s="2">
        <v>27.9</v>
      </c>
      <c r="AP494" s="2">
        <v>564</v>
      </c>
      <c r="AQ494" s="2">
        <v>65.5</v>
      </c>
      <c r="AR494" s="2">
        <v>1.3</v>
      </c>
      <c r="AS494" s="2">
        <v>189</v>
      </c>
      <c r="AT494" s="2">
        <v>8.8000000000000007</v>
      </c>
      <c r="AU494" s="2">
        <v>167</v>
      </c>
      <c r="AV494" s="2">
        <v>21.9</v>
      </c>
      <c r="AW494" s="2">
        <v>16.3</v>
      </c>
      <c r="AX494" s="2">
        <v>38.200000000000003</v>
      </c>
      <c r="AY494" s="2">
        <v>1.02</v>
      </c>
      <c r="AZ494" s="2">
        <v>7.4</v>
      </c>
      <c r="BA494" s="2">
        <v>2.1</v>
      </c>
      <c r="BB494" s="2">
        <v>7.4</v>
      </c>
      <c r="BC494" s="2">
        <v>4.8</v>
      </c>
      <c r="BD494" s="2">
        <f>+AN494*EXP(-0.0495*Y494)</f>
        <v>13.234991649985563</v>
      </c>
      <c r="BE494" s="2">
        <f>+AO494*EXP(-0.024*Y494)</f>
        <v>26.692097935966778</v>
      </c>
    </row>
    <row r="495" spans="1:57" x14ac:dyDescent="0.2">
      <c r="A495" s="2" t="s">
        <v>1433</v>
      </c>
      <c r="B495" s="2" t="s">
        <v>19</v>
      </c>
      <c r="C495" s="2" t="s">
        <v>20</v>
      </c>
      <c r="D495" s="2" t="s">
        <v>21</v>
      </c>
      <c r="E495" s="2" t="s">
        <v>1434</v>
      </c>
      <c r="F495" s="2">
        <v>4</v>
      </c>
      <c r="G495" s="2">
        <v>57.8</v>
      </c>
      <c r="H495" s="2">
        <v>3</v>
      </c>
      <c r="I495" s="2">
        <v>2</v>
      </c>
      <c r="J495" s="2">
        <v>0</v>
      </c>
      <c r="K495" s="2" t="s">
        <v>61</v>
      </c>
      <c r="L495" s="6" t="s">
        <v>75</v>
      </c>
      <c r="M495" s="5">
        <v>300000000</v>
      </c>
      <c r="N495" s="2">
        <v>0</v>
      </c>
      <c r="O495" s="2">
        <v>4.5875367999999996</v>
      </c>
      <c r="P495" s="2">
        <v>-74.157188500000004</v>
      </c>
      <c r="Q495" s="2" t="s">
        <v>1435</v>
      </c>
      <c r="R495" s="2">
        <v>5190311.4189999998</v>
      </c>
      <c r="S495" s="2">
        <v>0</v>
      </c>
      <c r="T495" s="2" t="s">
        <v>411</v>
      </c>
      <c r="U495" s="2" t="s">
        <v>412</v>
      </c>
      <c r="V495" s="2" t="s">
        <v>28</v>
      </c>
      <c r="W495" s="2" t="s">
        <v>413</v>
      </c>
      <c r="X495" s="2" t="s">
        <v>414</v>
      </c>
      <c r="Y495" s="2">
        <v>1.3350855459831501</v>
      </c>
      <c r="Z495" s="2">
        <v>4.5958333333333297</v>
      </c>
      <c r="AA495" s="2">
        <v>-74.148499999999999</v>
      </c>
      <c r="AB495" s="2">
        <v>2563</v>
      </c>
      <c r="AC495" s="2" t="s">
        <v>31</v>
      </c>
      <c r="AD495" s="2" t="s">
        <v>51</v>
      </c>
      <c r="AE495" s="2" t="s">
        <v>33</v>
      </c>
      <c r="AF495" s="2" t="s">
        <v>34</v>
      </c>
      <c r="AG495" s="2" t="s">
        <v>415</v>
      </c>
      <c r="AH495" s="2">
        <v>0.96696402481113397</v>
      </c>
      <c r="AI495" s="2">
        <v>2.5400133528514601</v>
      </c>
      <c r="AJ495" s="2">
        <v>2.1094157428463398</v>
      </c>
      <c r="AK495" s="2">
        <v>0.63225354933574995</v>
      </c>
      <c r="AL495" s="2">
        <v>1.74512150729111E-2</v>
      </c>
      <c r="AN495" s="2">
        <v>14.5</v>
      </c>
      <c r="AO495" s="2">
        <v>27.9</v>
      </c>
      <c r="AP495" s="2">
        <v>564</v>
      </c>
      <c r="AQ495" s="2">
        <v>65.5</v>
      </c>
      <c r="AR495" s="2">
        <v>1.3</v>
      </c>
      <c r="AS495" s="2">
        <v>189</v>
      </c>
      <c r="AT495" s="2">
        <v>8.8000000000000007</v>
      </c>
      <c r="AU495" s="2">
        <v>167</v>
      </c>
      <c r="AV495" s="2">
        <v>21.9</v>
      </c>
      <c r="AW495" s="2">
        <v>16.3</v>
      </c>
      <c r="AX495" s="2">
        <v>38.200000000000003</v>
      </c>
      <c r="AY495" s="2">
        <v>1.02</v>
      </c>
      <c r="AZ495" s="2">
        <v>7.4</v>
      </c>
      <c r="BA495" s="2">
        <v>2.1</v>
      </c>
      <c r="BB495" s="2">
        <v>7.4</v>
      </c>
      <c r="BC495" s="2">
        <v>4.8</v>
      </c>
      <c r="BD495" s="2">
        <f>+AN495*EXP(-0.0495*Y495)</f>
        <v>13.572720257713701</v>
      </c>
      <c r="BE495" s="2">
        <f>+AO495*EXP(-0.024*Y495)</f>
        <v>27.02019733295954</v>
      </c>
    </row>
    <row r="496" spans="1:57" x14ac:dyDescent="0.2">
      <c r="A496" s="2" t="s">
        <v>978</v>
      </c>
      <c r="B496" s="2" t="s">
        <v>19</v>
      </c>
      <c r="C496" s="2" t="s">
        <v>20</v>
      </c>
      <c r="D496" s="2" t="s">
        <v>21</v>
      </c>
      <c r="E496" s="2" t="s">
        <v>321</v>
      </c>
      <c r="F496" s="2">
        <v>3</v>
      </c>
      <c r="G496" s="2">
        <v>54</v>
      </c>
      <c r="H496" s="2">
        <v>3</v>
      </c>
      <c r="I496" s="2">
        <v>2</v>
      </c>
      <c r="J496" s="2">
        <v>0</v>
      </c>
      <c r="K496" s="2" t="s">
        <v>61</v>
      </c>
      <c r="L496" s="6" t="s">
        <v>75</v>
      </c>
      <c r="M496" s="5">
        <v>266000000</v>
      </c>
      <c r="N496" s="2">
        <v>0</v>
      </c>
      <c r="O496" s="2">
        <v>4.6429062500000002</v>
      </c>
      <c r="P496" s="2">
        <v>-74.150055719999997</v>
      </c>
      <c r="Q496" s="2" t="s">
        <v>979</v>
      </c>
      <c r="R496" s="2">
        <v>4925925.926</v>
      </c>
      <c r="S496" s="2">
        <v>0</v>
      </c>
      <c r="T496" s="2" t="s">
        <v>413</v>
      </c>
      <c r="U496" s="2" t="s">
        <v>600</v>
      </c>
      <c r="V496" s="2" t="s">
        <v>28</v>
      </c>
      <c r="W496" s="2" t="s">
        <v>413</v>
      </c>
      <c r="X496" s="2" t="s">
        <v>601</v>
      </c>
      <c r="Y496" s="2">
        <v>2.34881510920283</v>
      </c>
      <c r="Z496" s="2">
        <v>4.6250499999999999</v>
      </c>
      <c r="AA496" s="2">
        <v>-74.161333333333303</v>
      </c>
      <c r="AB496" s="2">
        <v>2580</v>
      </c>
      <c r="AC496" s="2" t="s">
        <v>31</v>
      </c>
      <c r="AD496" s="2" t="s">
        <v>58</v>
      </c>
      <c r="AE496" s="2" t="s">
        <v>33</v>
      </c>
      <c r="AF496" s="2" t="s">
        <v>34</v>
      </c>
      <c r="AG496" s="2" t="s">
        <v>172</v>
      </c>
      <c r="AH496" s="2">
        <v>0.98828239475253199</v>
      </c>
      <c r="AI496" s="2">
        <v>2.0450261227931499</v>
      </c>
      <c r="AJ496" s="2">
        <v>3.0625966857671401</v>
      </c>
      <c r="AK496" s="2">
        <v>0.78299434947311497</v>
      </c>
      <c r="AL496" s="2">
        <v>0.33441648993280199</v>
      </c>
      <c r="AN496" s="2">
        <v>14.5</v>
      </c>
      <c r="AO496" s="2">
        <v>27.9</v>
      </c>
      <c r="AP496" s="2">
        <v>564</v>
      </c>
      <c r="AQ496" s="2">
        <v>65.5</v>
      </c>
      <c r="AR496" s="2">
        <v>1.3</v>
      </c>
      <c r="AS496" s="2">
        <v>189</v>
      </c>
      <c r="AT496" s="2">
        <v>8.8000000000000007</v>
      </c>
      <c r="AU496" s="2">
        <v>167</v>
      </c>
      <c r="AV496" s="2">
        <v>21.9</v>
      </c>
      <c r="AW496" s="2">
        <v>16.3</v>
      </c>
      <c r="AX496" s="2">
        <v>38.200000000000003</v>
      </c>
      <c r="AY496" s="2">
        <v>1.02</v>
      </c>
      <c r="AZ496" s="2">
        <v>7.4</v>
      </c>
      <c r="BA496" s="2">
        <v>2.1</v>
      </c>
      <c r="BB496" s="2">
        <v>7.4</v>
      </c>
      <c r="BC496" s="2">
        <v>4.8</v>
      </c>
      <c r="BD496" s="2">
        <f>+AN496*EXP(-0.0495*Y496)</f>
        <v>12.90845214071067</v>
      </c>
      <c r="BE496" s="2">
        <f>+AO496*EXP(-0.024*Y496)</f>
        <v>26.3707416888642</v>
      </c>
    </row>
    <row r="497" spans="1:57" x14ac:dyDescent="0.2">
      <c r="A497" s="2" t="s">
        <v>1106</v>
      </c>
      <c r="B497" s="2" t="s">
        <v>19</v>
      </c>
      <c r="C497" s="2" t="s">
        <v>20</v>
      </c>
      <c r="D497" s="2" t="s">
        <v>21</v>
      </c>
      <c r="E497" s="2" t="s">
        <v>321</v>
      </c>
      <c r="F497" s="2">
        <v>3</v>
      </c>
      <c r="G497" s="2">
        <v>54</v>
      </c>
      <c r="H497" s="2">
        <v>3</v>
      </c>
      <c r="I497" s="2">
        <v>2</v>
      </c>
      <c r="J497" s="2">
        <v>0</v>
      </c>
      <c r="K497" s="2" t="s">
        <v>61</v>
      </c>
      <c r="L497" s="6" t="s">
        <v>75</v>
      </c>
      <c r="M497" s="5">
        <v>260000000</v>
      </c>
      <c r="N497" s="2">
        <v>0</v>
      </c>
      <c r="O497" s="2">
        <v>4.6429062500000002</v>
      </c>
      <c r="P497" s="2">
        <v>-74.150055719999997</v>
      </c>
      <c r="Q497" s="2" t="s">
        <v>1107</v>
      </c>
      <c r="R497" s="2">
        <v>4814814.8150000004</v>
      </c>
      <c r="S497" s="2">
        <v>0</v>
      </c>
      <c r="T497" s="2" t="s">
        <v>413</v>
      </c>
      <c r="U497" s="2" t="s">
        <v>600</v>
      </c>
      <c r="V497" s="2" t="s">
        <v>28</v>
      </c>
      <c r="W497" s="2" t="s">
        <v>413</v>
      </c>
      <c r="X497" s="2" t="s">
        <v>601</v>
      </c>
      <c r="Y497" s="2">
        <v>2.34881510920283</v>
      </c>
      <c r="Z497" s="2">
        <v>4.6250499999999999</v>
      </c>
      <c r="AA497" s="2">
        <v>-74.161333333333303</v>
      </c>
      <c r="AB497" s="2">
        <v>2580</v>
      </c>
      <c r="AC497" s="2" t="s">
        <v>31</v>
      </c>
      <c r="AD497" s="2" t="s">
        <v>58</v>
      </c>
      <c r="AE497" s="2" t="s">
        <v>33</v>
      </c>
      <c r="AF497" s="2" t="s">
        <v>34</v>
      </c>
      <c r="AG497" s="2" t="s">
        <v>172</v>
      </c>
      <c r="AH497" s="2">
        <v>0.98828239475253199</v>
      </c>
      <c r="AI497" s="2">
        <v>2.0450261227931499</v>
      </c>
      <c r="AJ497" s="2">
        <v>3.0625966857671401</v>
      </c>
      <c r="AK497" s="2">
        <v>0.78299434947311497</v>
      </c>
      <c r="AL497" s="2">
        <v>0.33441648993280199</v>
      </c>
      <c r="AN497" s="2">
        <v>14.5</v>
      </c>
      <c r="AO497" s="2">
        <v>27.9</v>
      </c>
      <c r="AP497" s="2">
        <v>564</v>
      </c>
      <c r="AQ497" s="2">
        <v>65.5</v>
      </c>
      <c r="AR497" s="2">
        <v>1.3</v>
      </c>
      <c r="AS497" s="2">
        <v>189</v>
      </c>
      <c r="AT497" s="2">
        <v>8.8000000000000007</v>
      </c>
      <c r="AU497" s="2">
        <v>167</v>
      </c>
      <c r="AV497" s="2">
        <v>21.9</v>
      </c>
      <c r="AW497" s="2">
        <v>16.3</v>
      </c>
      <c r="AX497" s="2">
        <v>38.200000000000003</v>
      </c>
      <c r="AY497" s="2">
        <v>1.02</v>
      </c>
      <c r="AZ497" s="2">
        <v>7.4</v>
      </c>
      <c r="BA497" s="2">
        <v>2.1</v>
      </c>
      <c r="BB497" s="2">
        <v>7.4</v>
      </c>
      <c r="BC497" s="2">
        <v>4.8</v>
      </c>
      <c r="BD497" s="2">
        <f>+AN497*EXP(-0.0495*Y497)</f>
        <v>12.90845214071067</v>
      </c>
      <c r="BE497" s="2">
        <f>+AO497*EXP(-0.024*Y497)</f>
        <v>26.3707416888642</v>
      </c>
    </row>
    <row r="498" spans="1:57" x14ac:dyDescent="0.2">
      <c r="A498" s="2" t="s">
        <v>1276</v>
      </c>
      <c r="B498" s="2" t="s">
        <v>19</v>
      </c>
      <c r="C498" s="2" t="s">
        <v>20</v>
      </c>
      <c r="D498" s="2" t="s">
        <v>21</v>
      </c>
      <c r="E498" s="2" t="s">
        <v>1277</v>
      </c>
      <c r="F498" s="2">
        <v>3</v>
      </c>
      <c r="G498" s="2">
        <v>48</v>
      </c>
      <c r="H498" s="2">
        <v>3</v>
      </c>
      <c r="I498" s="2">
        <v>2</v>
      </c>
      <c r="J498" s="2">
        <v>0</v>
      </c>
      <c r="K498" s="2" t="s">
        <v>61</v>
      </c>
      <c r="L498" s="6" t="s">
        <v>75</v>
      </c>
      <c r="M498" s="5">
        <v>189900000</v>
      </c>
      <c r="N498" s="2">
        <v>0</v>
      </c>
      <c r="O498" s="2">
        <v>4.6216140399999999</v>
      </c>
      <c r="P498" s="2">
        <v>-74.181129060000004</v>
      </c>
      <c r="Q498" s="2" t="s">
        <v>1278</v>
      </c>
      <c r="R498" s="2">
        <v>3956250</v>
      </c>
      <c r="S498" s="2">
        <v>0</v>
      </c>
      <c r="T498" s="2" t="s">
        <v>413</v>
      </c>
      <c r="U498" s="2" t="s">
        <v>600</v>
      </c>
      <c r="V498" s="2" t="s">
        <v>28</v>
      </c>
      <c r="W498" s="2" t="s">
        <v>413</v>
      </c>
      <c r="X498" s="2" t="s">
        <v>601</v>
      </c>
      <c r="Y498" s="2">
        <v>2.2295339759850399</v>
      </c>
      <c r="Z498" s="2">
        <v>4.6250499999999999</v>
      </c>
      <c r="AA498" s="2">
        <v>-74.161333333333303</v>
      </c>
      <c r="AB498" s="2">
        <v>2580</v>
      </c>
      <c r="AC498" s="2" t="s">
        <v>31</v>
      </c>
      <c r="AD498" s="2" t="s">
        <v>58</v>
      </c>
      <c r="AE498" s="2" t="s">
        <v>33</v>
      </c>
      <c r="AF498" s="2" t="s">
        <v>34</v>
      </c>
      <c r="AG498" s="2" t="s">
        <v>319</v>
      </c>
      <c r="AH498" s="2">
        <v>1.2401042710022601</v>
      </c>
      <c r="AI498" s="2">
        <v>2.69072055385399</v>
      </c>
      <c r="AJ498" s="2">
        <v>5.6778257786342197</v>
      </c>
      <c r="AK498" s="2">
        <v>0.31507274313449501</v>
      </c>
      <c r="AL498" s="2">
        <v>0.286007418074464</v>
      </c>
      <c r="AN498" s="2">
        <v>14.5</v>
      </c>
      <c r="AO498" s="2">
        <v>27.9</v>
      </c>
      <c r="AP498" s="2">
        <v>564</v>
      </c>
      <c r="AQ498" s="2">
        <v>65.5</v>
      </c>
      <c r="AR498" s="2">
        <v>1.3</v>
      </c>
      <c r="AS498" s="2">
        <v>189</v>
      </c>
      <c r="AT498" s="2">
        <v>8.8000000000000007</v>
      </c>
      <c r="AU498" s="2">
        <v>167</v>
      </c>
      <c r="AV498" s="2">
        <v>21.9</v>
      </c>
      <c r="AW498" s="2">
        <v>16.3</v>
      </c>
      <c r="AX498" s="2">
        <v>38.200000000000003</v>
      </c>
      <c r="AY498" s="2">
        <v>1.02</v>
      </c>
      <c r="AZ498" s="2">
        <v>7.4</v>
      </c>
      <c r="BA498" s="2">
        <v>2.1</v>
      </c>
      <c r="BB498" s="2">
        <v>7.4</v>
      </c>
      <c r="BC498" s="2">
        <v>4.8</v>
      </c>
      <c r="BD498" s="2">
        <f>+AN498*EXP(-0.0495*Y498)</f>
        <v>12.984894464848608</v>
      </c>
      <c r="BE498" s="2">
        <f>+AO498*EXP(-0.024*Y498)</f>
        <v>26.446342617264584</v>
      </c>
    </row>
    <row r="499" spans="1:57" x14ac:dyDescent="0.2">
      <c r="A499" s="2" t="s">
        <v>1771</v>
      </c>
      <c r="B499" s="2" t="s">
        <v>19</v>
      </c>
      <c r="C499" s="2" t="s">
        <v>20</v>
      </c>
      <c r="D499" s="2" t="s">
        <v>21</v>
      </c>
      <c r="E499" s="2" t="s">
        <v>1772</v>
      </c>
      <c r="F499" s="2">
        <v>3</v>
      </c>
      <c r="G499" s="2">
        <v>48</v>
      </c>
      <c r="H499" s="2">
        <v>3</v>
      </c>
      <c r="I499" s="2">
        <v>1</v>
      </c>
      <c r="J499" s="2">
        <v>0</v>
      </c>
      <c r="K499" s="2" t="s">
        <v>61</v>
      </c>
      <c r="L499" s="6" t="s">
        <v>113</v>
      </c>
      <c r="M499" s="5">
        <v>187000000</v>
      </c>
      <c r="N499" s="2">
        <v>0</v>
      </c>
      <c r="O499" s="2">
        <v>4.6156888010000001</v>
      </c>
      <c r="P499" s="2">
        <v>-74.169197080000004</v>
      </c>
      <c r="Q499" s="2" t="s">
        <v>1773</v>
      </c>
      <c r="R499" s="2">
        <v>3895833.3330000001</v>
      </c>
      <c r="S499" s="2">
        <v>0</v>
      </c>
      <c r="T499" s="2" t="s">
        <v>413</v>
      </c>
      <c r="U499" s="2" t="s">
        <v>600</v>
      </c>
      <c r="V499" s="2" t="s">
        <v>28</v>
      </c>
      <c r="W499" s="2" t="s">
        <v>413</v>
      </c>
      <c r="X499" s="2" t="s">
        <v>601</v>
      </c>
      <c r="Y499" s="2">
        <v>1.35914350770116</v>
      </c>
      <c r="Z499" s="2">
        <v>4.6250499999999999</v>
      </c>
      <c r="AA499" s="2">
        <v>-74.161333333333303</v>
      </c>
      <c r="AB499" s="2">
        <v>2580</v>
      </c>
      <c r="AC499" s="2" t="s">
        <v>31</v>
      </c>
      <c r="AD499" s="2" t="s">
        <v>58</v>
      </c>
      <c r="AE499" s="2" t="s">
        <v>33</v>
      </c>
      <c r="AF499" s="2" t="s">
        <v>34</v>
      </c>
      <c r="AG499" s="2" t="s">
        <v>172</v>
      </c>
      <c r="AH499" s="2">
        <v>1.57266132903945</v>
      </c>
      <c r="AI499" s="2">
        <v>3.7398977360136398</v>
      </c>
      <c r="AJ499" s="2">
        <v>4.2209009381524698</v>
      </c>
      <c r="AK499" s="2">
        <v>0.39460852516151002</v>
      </c>
      <c r="AL499" s="2">
        <v>6.7924006972207698E-2</v>
      </c>
      <c r="AN499" s="2">
        <v>14.5</v>
      </c>
      <c r="AO499" s="2">
        <v>27.9</v>
      </c>
      <c r="AP499" s="2">
        <v>564</v>
      </c>
      <c r="AQ499" s="2">
        <v>65.5</v>
      </c>
      <c r="AR499" s="2">
        <v>1.3</v>
      </c>
      <c r="AS499" s="2">
        <v>189</v>
      </c>
      <c r="AT499" s="2">
        <v>8.8000000000000007</v>
      </c>
      <c r="AU499" s="2">
        <v>167</v>
      </c>
      <c r="AV499" s="2">
        <v>21.9</v>
      </c>
      <c r="AW499" s="2">
        <v>16.3</v>
      </c>
      <c r="AX499" s="2">
        <v>38.200000000000003</v>
      </c>
      <c r="AY499" s="2">
        <v>1.02</v>
      </c>
      <c r="AZ499" s="2">
        <v>7.4</v>
      </c>
      <c r="BA499" s="2">
        <v>2.1</v>
      </c>
      <c r="BB499" s="2">
        <v>7.4</v>
      </c>
      <c r="BC499" s="2">
        <v>4.8</v>
      </c>
      <c r="BD499" s="2">
        <f>+AN499*EXP(-0.0495*Y499)</f>
        <v>13.556566544875253</v>
      </c>
      <c r="BE499" s="2">
        <f>+AO499*EXP(-0.024*Y499)</f>
        <v>27.004600615142543</v>
      </c>
    </row>
    <row r="500" spans="1:57" x14ac:dyDescent="0.2">
      <c r="A500" s="2" t="s">
        <v>958</v>
      </c>
      <c r="B500" s="2" t="s">
        <v>19</v>
      </c>
      <c r="C500" s="2" t="s">
        <v>20</v>
      </c>
      <c r="D500" s="2" t="s">
        <v>21</v>
      </c>
      <c r="E500" s="2" t="s">
        <v>321</v>
      </c>
      <c r="F500" s="2">
        <v>3</v>
      </c>
      <c r="G500" s="2">
        <v>47</v>
      </c>
      <c r="H500" s="2">
        <v>2</v>
      </c>
      <c r="I500" s="2">
        <v>1</v>
      </c>
      <c r="J500" s="2">
        <v>0</v>
      </c>
      <c r="K500" s="2" t="s">
        <v>61</v>
      </c>
      <c r="L500" s="6" t="s">
        <v>75</v>
      </c>
      <c r="M500" s="5">
        <v>232000000</v>
      </c>
      <c r="N500" s="2">
        <v>0</v>
      </c>
      <c r="O500" s="2">
        <v>4.6429062500000002</v>
      </c>
      <c r="P500" s="2">
        <v>-74.150055719999997</v>
      </c>
      <c r="Q500" s="2" t="s">
        <v>959</v>
      </c>
      <c r="R500" s="2">
        <v>4936170.2130000005</v>
      </c>
      <c r="S500" s="2">
        <v>0</v>
      </c>
      <c r="T500" s="2" t="s">
        <v>413</v>
      </c>
      <c r="U500" s="2" t="s">
        <v>600</v>
      </c>
      <c r="V500" s="2" t="s">
        <v>28</v>
      </c>
      <c r="W500" s="2" t="s">
        <v>413</v>
      </c>
      <c r="X500" s="2" t="s">
        <v>601</v>
      </c>
      <c r="Y500" s="2">
        <v>2.34881510920283</v>
      </c>
      <c r="Z500" s="2">
        <v>4.6250499999999999</v>
      </c>
      <c r="AA500" s="2">
        <v>-74.161333333333303</v>
      </c>
      <c r="AB500" s="2">
        <v>2580</v>
      </c>
      <c r="AC500" s="2" t="s">
        <v>31</v>
      </c>
      <c r="AD500" s="2" t="s">
        <v>58</v>
      </c>
      <c r="AE500" s="2" t="s">
        <v>33</v>
      </c>
      <c r="AF500" s="2" t="s">
        <v>34</v>
      </c>
      <c r="AG500" s="2" t="s">
        <v>172</v>
      </c>
      <c r="AH500" s="2">
        <v>0.98828239475253199</v>
      </c>
      <c r="AI500" s="2">
        <v>2.0450261227931499</v>
      </c>
      <c r="AJ500" s="2">
        <v>3.0625966857671401</v>
      </c>
      <c r="AK500" s="2">
        <v>0.78299434947311497</v>
      </c>
      <c r="AL500" s="2">
        <v>0.33441648993280199</v>
      </c>
      <c r="AN500" s="2">
        <v>14.5</v>
      </c>
      <c r="AO500" s="2">
        <v>27.9</v>
      </c>
      <c r="AP500" s="2">
        <v>564</v>
      </c>
      <c r="AQ500" s="2">
        <v>65.5</v>
      </c>
      <c r="AR500" s="2">
        <v>1.3</v>
      </c>
      <c r="AS500" s="2">
        <v>189</v>
      </c>
      <c r="AT500" s="2">
        <v>8.8000000000000007</v>
      </c>
      <c r="AU500" s="2">
        <v>167</v>
      </c>
      <c r="AV500" s="2">
        <v>21.9</v>
      </c>
      <c r="AW500" s="2">
        <v>16.3</v>
      </c>
      <c r="AX500" s="2">
        <v>38.200000000000003</v>
      </c>
      <c r="AY500" s="2">
        <v>1.02</v>
      </c>
      <c r="AZ500" s="2">
        <v>7.4</v>
      </c>
      <c r="BA500" s="2">
        <v>2.1</v>
      </c>
      <c r="BB500" s="2">
        <v>7.4</v>
      </c>
      <c r="BC500" s="2">
        <v>4.8</v>
      </c>
      <c r="BD500" s="2">
        <f>+AN500*EXP(-0.0495*Y500)</f>
        <v>12.90845214071067</v>
      </c>
      <c r="BE500" s="2">
        <f>+AO500*EXP(-0.024*Y500)</f>
        <v>26.3707416888642</v>
      </c>
    </row>
    <row r="501" spans="1:57" x14ac:dyDescent="0.2">
      <c r="A501" s="2" t="s">
        <v>1522</v>
      </c>
      <c r="B501" s="2" t="s">
        <v>19</v>
      </c>
      <c r="C501" s="2" t="s">
        <v>20</v>
      </c>
      <c r="D501" s="2" t="s">
        <v>21</v>
      </c>
      <c r="E501" s="2" t="s">
        <v>1523</v>
      </c>
      <c r="F501" s="2">
        <v>3</v>
      </c>
      <c r="G501" s="2">
        <v>46</v>
      </c>
      <c r="H501" s="2">
        <v>2</v>
      </c>
      <c r="I501" s="2">
        <v>1</v>
      </c>
      <c r="J501" s="2">
        <v>0</v>
      </c>
      <c r="K501" s="2" t="s">
        <v>61</v>
      </c>
      <c r="L501" s="6" t="s">
        <v>84</v>
      </c>
      <c r="M501" s="5">
        <v>184900000</v>
      </c>
      <c r="N501" s="2">
        <v>0</v>
      </c>
      <c r="O501" s="2">
        <v>4.6177248200000003</v>
      </c>
      <c r="P501" s="2">
        <v>-74.177944199999999</v>
      </c>
      <c r="Q501" s="2" t="s">
        <v>1524</v>
      </c>
      <c r="R501" s="2">
        <v>4019565.2170000002</v>
      </c>
      <c r="S501" s="2">
        <v>0</v>
      </c>
      <c r="T501" s="2" t="s">
        <v>413</v>
      </c>
      <c r="U501" s="2" t="s">
        <v>600</v>
      </c>
      <c r="V501" s="2" t="s">
        <v>28</v>
      </c>
      <c r="W501" s="2" t="s">
        <v>413</v>
      </c>
      <c r="X501" s="2" t="s">
        <v>601</v>
      </c>
      <c r="Y501" s="2">
        <v>2.0154299624032102</v>
      </c>
      <c r="Z501" s="2">
        <v>4.6250499999999999</v>
      </c>
      <c r="AA501" s="2">
        <v>-74.161333333333303</v>
      </c>
      <c r="AB501" s="2">
        <v>2580</v>
      </c>
      <c r="AC501" s="2" t="s">
        <v>31</v>
      </c>
      <c r="AD501" s="2" t="s">
        <v>58</v>
      </c>
      <c r="AE501" s="2" t="s">
        <v>33</v>
      </c>
      <c r="AF501" s="2" t="s">
        <v>34</v>
      </c>
      <c r="AG501" s="2" t="s">
        <v>172</v>
      </c>
      <c r="AH501" s="2">
        <v>1.39752956343478</v>
      </c>
      <c r="AI501" s="2">
        <v>3.1844502916477699</v>
      </c>
      <c r="AJ501" s="2">
        <v>5.1460771943004104</v>
      </c>
      <c r="AK501" s="2">
        <v>0.29852732357842299</v>
      </c>
      <c r="AL501" s="2">
        <v>0.11303168329852301</v>
      </c>
      <c r="AN501" s="2">
        <v>14.5</v>
      </c>
      <c r="AO501" s="2">
        <v>27.9</v>
      </c>
      <c r="AP501" s="2">
        <v>564</v>
      </c>
      <c r="AQ501" s="2">
        <v>65.5</v>
      </c>
      <c r="AR501" s="2">
        <v>1.3</v>
      </c>
      <c r="AS501" s="2">
        <v>189</v>
      </c>
      <c r="AT501" s="2">
        <v>8.8000000000000007</v>
      </c>
      <c r="AU501" s="2">
        <v>167</v>
      </c>
      <c r="AV501" s="2">
        <v>21.9</v>
      </c>
      <c r="AW501" s="2">
        <v>16.3</v>
      </c>
      <c r="AX501" s="2">
        <v>38.200000000000003</v>
      </c>
      <c r="AY501" s="2">
        <v>1.02</v>
      </c>
      <c r="AZ501" s="2">
        <v>7.4</v>
      </c>
      <c r="BA501" s="2">
        <v>2.1</v>
      </c>
      <c r="BB501" s="2">
        <v>7.4</v>
      </c>
      <c r="BC501" s="2">
        <v>4.8</v>
      </c>
      <c r="BD501" s="2">
        <f>+AN501*EXP(-0.0495*Y501)</f>
        <v>13.123242126484048</v>
      </c>
      <c r="BE501" s="2">
        <f>+AO501*EXP(-0.024*Y501)</f>
        <v>26.582586796962868</v>
      </c>
    </row>
    <row r="502" spans="1:57" x14ac:dyDescent="0.2">
      <c r="A502" s="2" t="s">
        <v>1411</v>
      </c>
      <c r="B502" s="2" t="s">
        <v>19</v>
      </c>
      <c r="C502" s="2" t="s">
        <v>20</v>
      </c>
      <c r="D502" s="2" t="s">
        <v>21</v>
      </c>
      <c r="E502" s="2" t="s">
        <v>1277</v>
      </c>
      <c r="F502" s="2">
        <v>2</v>
      </c>
      <c r="G502" s="2">
        <v>45</v>
      </c>
      <c r="H502" s="2">
        <v>3</v>
      </c>
      <c r="I502" s="2">
        <v>1</v>
      </c>
      <c r="J502" s="2">
        <v>0</v>
      </c>
      <c r="K502" s="2" t="s">
        <v>61</v>
      </c>
      <c r="L502" s="6" t="s">
        <v>75</v>
      </c>
      <c r="M502" s="5">
        <v>183500000</v>
      </c>
      <c r="N502" s="2">
        <v>0</v>
      </c>
      <c r="O502" s="2">
        <v>4.6191823100000002</v>
      </c>
      <c r="P502" s="2">
        <v>-74.181434440000004</v>
      </c>
      <c r="Q502" s="2" t="s">
        <v>1412</v>
      </c>
      <c r="R502" s="2">
        <v>4077777.7779999999</v>
      </c>
      <c r="S502" s="2">
        <v>0</v>
      </c>
      <c r="T502" s="2" t="s">
        <v>413</v>
      </c>
      <c r="U502" s="2" t="s">
        <v>600</v>
      </c>
      <c r="V502" s="2" t="s">
        <v>28</v>
      </c>
      <c r="W502" s="2" t="s">
        <v>413</v>
      </c>
      <c r="X502" s="2" t="s">
        <v>601</v>
      </c>
      <c r="Y502" s="2">
        <v>2.32404720396995</v>
      </c>
      <c r="Z502" s="2">
        <v>4.6250499999999999</v>
      </c>
      <c r="AA502" s="2">
        <v>-74.161333333333303</v>
      </c>
      <c r="AB502" s="2">
        <v>2580</v>
      </c>
      <c r="AC502" s="2" t="s">
        <v>31</v>
      </c>
      <c r="AD502" s="2" t="s">
        <v>58</v>
      </c>
      <c r="AE502" s="2" t="s">
        <v>33</v>
      </c>
      <c r="AF502" s="2" t="s">
        <v>34</v>
      </c>
      <c r="AG502" s="2" t="s">
        <v>319</v>
      </c>
      <c r="AH502" s="2">
        <v>1.4605609225059599</v>
      </c>
      <c r="AI502" s="2">
        <v>2.95139453833912</v>
      </c>
      <c r="AJ502" s="2">
        <v>5.55939621508593</v>
      </c>
      <c r="AK502" s="2">
        <v>0.55013747983457895</v>
      </c>
      <c r="AL502" s="2">
        <v>1.6200191053390201E-2</v>
      </c>
      <c r="AN502" s="2">
        <v>14.5</v>
      </c>
      <c r="AO502" s="2">
        <v>27.9</v>
      </c>
      <c r="AP502" s="2">
        <v>564</v>
      </c>
      <c r="AQ502" s="2">
        <v>65.5</v>
      </c>
      <c r="AR502" s="2">
        <v>1.3</v>
      </c>
      <c r="AS502" s="2">
        <v>189</v>
      </c>
      <c r="AT502" s="2">
        <v>8.8000000000000007</v>
      </c>
      <c r="AU502" s="2">
        <v>167</v>
      </c>
      <c r="AV502" s="2">
        <v>21.9</v>
      </c>
      <c r="AW502" s="2">
        <v>16.3</v>
      </c>
      <c r="AX502" s="2">
        <v>38.200000000000003</v>
      </c>
      <c r="AY502" s="2">
        <v>1.02</v>
      </c>
      <c r="AZ502" s="2">
        <v>7.4</v>
      </c>
      <c r="BA502" s="2">
        <v>2.1</v>
      </c>
      <c r="BB502" s="2">
        <v>7.4</v>
      </c>
      <c r="BC502" s="2">
        <v>4.8</v>
      </c>
      <c r="BD502" s="2">
        <f>+AN502*EXP(-0.0495*Y502)</f>
        <v>12.924287754354381</v>
      </c>
      <c r="BE502" s="2">
        <f>+AO502*EXP(-0.024*Y502)</f>
        <v>26.386421901540441</v>
      </c>
    </row>
    <row r="503" spans="1:57" x14ac:dyDescent="0.2">
      <c r="A503" s="2" t="s">
        <v>1899</v>
      </c>
      <c r="B503" s="2" t="s">
        <v>19</v>
      </c>
      <c r="C503" s="2" t="s">
        <v>20</v>
      </c>
      <c r="D503" s="2" t="s">
        <v>21</v>
      </c>
      <c r="E503" s="2" t="s">
        <v>1900</v>
      </c>
      <c r="F503" s="2">
        <v>3</v>
      </c>
      <c r="G503" s="2">
        <v>45</v>
      </c>
      <c r="H503" s="2">
        <v>2</v>
      </c>
      <c r="I503" s="2">
        <v>1</v>
      </c>
      <c r="J503" s="2">
        <v>0</v>
      </c>
      <c r="K503" s="2" t="s">
        <v>61</v>
      </c>
      <c r="L503" s="6" t="s">
        <v>113</v>
      </c>
      <c r="M503" s="5">
        <v>180000000</v>
      </c>
      <c r="N503" s="2">
        <v>0</v>
      </c>
      <c r="O503" s="2">
        <v>4.6275969999999997</v>
      </c>
      <c r="P503" s="2">
        <v>-74.14743</v>
      </c>
      <c r="Q503" s="2" t="s">
        <v>1901</v>
      </c>
      <c r="R503" s="2">
        <v>4000000</v>
      </c>
      <c r="S503" s="2">
        <v>0</v>
      </c>
      <c r="T503" s="2" t="s">
        <v>413</v>
      </c>
      <c r="U503" s="2" t="s">
        <v>600</v>
      </c>
      <c r="V503" s="2" t="s">
        <v>28</v>
      </c>
      <c r="W503" s="2" t="s">
        <v>413</v>
      </c>
      <c r="X503" s="2" t="s">
        <v>601</v>
      </c>
      <c r="Y503" s="2">
        <v>1.5685084151959701</v>
      </c>
      <c r="Z503" s="2">
        <v>4.6250499999999999</v>
      </c>
      <c r="AA503" s="2">
        <v>-74.161333333333303</v>
      </c>
      <c r="AB503" s="2">
        <v>2580</v>
      </c>
      <c r="AC503" s="2" t="s">
        <v>31</v>
      </c>
      <c r="AD503" s="2" t="s">
        <v>58</v>
      </c>
      <c r="AE503" s="2" t="s">
        <v>33</v>
      </c>
      <c r="AF503" s="2" t="s">
        <v>34</v>
      </c>
      <c r="AG503" s="2" t="s">
        <v>172</v>
      </c>
      <c r="AH503" s="2">
        <v>0.44818416356320701</v>
      </c>
      <c r="AI503" s="2">
        <v>3.6471623851843802</v>
      </c>
      <c r="AJ503" s="2">
        <v>3.1321067157454201</v>
      </c>
      <c r="AK503" s="2">
        <v>0.28111350364968601</v>
      </c>
      <c r="AL503" s="2">
        <v>0.200296882579172</v>
      </c>
      <c r="AN503" s="2">
        <v>14.5</v>
      </c>
      <c r="AO503" s="2">
        <v>27.9</v>
      </c>
      <c r="AP503" s="2">
        <v>564</v>
      </c>
      <c r="AQ503" s="2">
        <v>65.5</v>
      </c>
      <c r="AR503" s="2">
        <v>1.3</v>
      </c>
      <c r="AS503" s="2">
        <v>189</v>
      </c>
      <c r="AT503" s="2">
        <v>8.8000000000000007</v>
      </c>
      <c r="AU503" s="2">
        <v>167</v>
      </c>
      <c r="AV503" s="2">
        <v>21.9</v>
      </c>
      <c r="AW503" s="2">
        <v>16.3</v>
      </c>
      <c r="AX503" s="2">
        <v>38.200000000000003</v>
      </c>
      <c r="AY503" s="2">
        <v>1.02</v>
      </c>
      <c r="AZ503" s="2">
        <v>7.4</v>
      </c>
      <c r="BA503" s="2">
        <v>2.1</v>
      </c>
      <c r="BB503" s="2">
        <v>7.4</v>
      </c>
      <c r="BC503" s="2">
        <v>4.8</v>
      </c>
      <c r="BD503" s="2">
        <f>+AN503*EXP(-0.0495*Y503)</f>
        <v>13.416797716984723</v>
      </c>
      <c r="BE503" s="2">
        <f>+AO503*EXP(-0.024*Y503)</f>
        <v>26.869249376484944</v>
      </c>
    </row>
    <row r="504" spans="1:57" x14ac:dyDescent="0.2">
      <c r="A504" s="2" t="s">
        <v>2833</v>
      </c>
      <c r="B504" s="2" t="s">
        <v>19</v>
      </c>
      <c r="C504" s="2" t="s">
        <v>1907</v>
      </c>
      <c r="D504" s="2" t="s">
        <v>21</v>
      </c>
      <c r="E504" s="2" t="s">
        <v>2834</v>
      </c>
      <c r="F504" s="2">
        <v>1</v>
      </c>
      <c r="G504" s="2">
        <v>570</v>
      </c>
      <c r="H504" s="2">
        <v>5</v>
      </c>
      <c r="I504" s="2">
        <v>5</v>
      </c>
      <c r="J504" s="2">
        <v>0</v>
      </c>
      <c r="K504" s="2" t="s">
        <v>61</v>
      </c>
      <c r="L504" s="6" t="s">
        <v>113</v>
      </c>
      <c r="M504" s="5">
        <v>470000000</v>
      </c>
      <c r="N504" s="2">
        <v>0</v>
      </c>
      <c r="O504" s="2">
        <v>4.5447100000000002</v>
      </c>
      <c r="P504" s="2">
        <v>-74.142859999999999</v>
      </c>
      <c r="Q504" s="2" t="s">
        <v>2835</v>
      </c>
      <c r="R504" s="2">
        <v>824561.40350000001</v>
      </c>
      <c r="S504" s="2">
        <v>0</v>
      </c>
      <c r="T504" s="2" t="s">
        <v>2056</v>
      </c>
      <c r="U504" s="2" t="s">
        <v>2057</v>
      </c>
      <c r="V504" s="2" t="s">
        <v>28</v>
      </c>
      <c r="W504" s="2" t="s">
        <v>2056</v>
      </c>
      <c r="X504" s="2" t="s">
        <v>2058</v>
      </c>
      <c r="Y504" s="2">
        <v>3.1829751334748999</v>
      </c>
      <c r="Z504" s="2">
        <v>4.5320555555555604</v>
      </c>
      <c r="AA504" s="2">
        <v>-74.117138888888903</v>
      </c>
      <c r="AB504" s="2">
        <v>2593</v>
      </c>
      <c r="AC504" s="2" t="s">
        <v>31</v>
      </c>
      <c r="AD504" s="2" t="s">
        <v>458</v>
      </c>
      <c r="AE504" s="2" t="s">
        <v>33</v>
      </c>
      <c r="AF504" s="2" t="s">
        <v>34</v>
      </c>
      <c r="AG504" s="2" t="s">
        <v>415</v>
      </c>
      <c r="AH504" s="2">
        <v>2.4436243001892102</v>
      </c>
      <c r="AI504" s="2">
        <v>3.87284973022245</v>
      </c>
      <c r="AJ504" s="2">
        <v>4.7272413240385101</v>
      </c>
      <c r="AK504" s="2">
        <v>0.351678011852395</v>
      </c>
      <c r="AL504" s="2">
        <v>5.8281449092788097E-3</v>
      </c>
      <c r="AM504" s="2">
        <v>15.7</v>
      </c>
      <c r="AN504" s="2">
        <v>6.8</v>
      </c>
      <c r="AO504" s="2">
        <v>24.7</v>
      </c>
      <c r="AP504" s="2">
        <v>563</v>
      </c>
      <c r="AQ504" s="2">
        <v>68</v>
      </c>
      <c r="AR504" s="2">
        <v>1.5</v>
      </c>
      <c r="AS504" s="2">
        <v>135</v>
      </c>
      <c r="AT504" s="2">
        <v>24.5</v>
      </c>
      <c r="AU504" s="2">
        <v>150</v>
      </c>
      <c r="AV504" s="2">
        <v>9.6999999999999993</v>
      </c>
      <c r="AW504" s="2">
        <v>9.9</v>
      </c>
      <c r="AX504" s="2">
        <v>19.600000000000001</v>
      </c>
      <c r="AY504" s="2">
        <v>0.37</v>
      </c>
      <c r="AZ504" s="2">
        <v>10.7</v>
      </c>
      <c r="BA504" s="2">
        <v>3.8</v>
      </c>
      <c r="BB504" s="2">
        <v>7.5</v>
      </c>
      <c r="BC504" s="2">
        <v>2.9</v>
      </c>
      <c r="BD504" s="2">
        <f>+AN504*EXP(-0.0495*Y504)</f>
        <v>5.8087496611059315</v>
      </c>
      <c r="BE504" s="2">
        <f>+AO504*EXP(-0.024*Y504)</f>
        <v>22.883401912146812</v>
      </c>
    </row>
    <row r="505" spans="1:57" x14ac:dyDescent="0.2">
      <c r="A505" s="2" t="s">
        <v>2053</v>
      </c>
      <c r="B505" s="2" t="s">
        <v>19</v>
      </c>
      <c r="C505" s="2" t="s">
        <v>1907</v>
      </c>
      <c r="D505" s="2" t="s">
        <v>21</v>
      </c>
      <c r="E505" s="2" t="s">
        <v>2054</v>
      </c>
      <c r="F505" s="2">
        <v>2</v>
      </c>
      <c r="G505" s="2">
        <v>525</v>
      </c>
      <c r="H505" s="2">
        <v>5</v>
      </c>
      <c r="I505" s="2">
        <v>5</v>
      </c>
      <c r="J505" s="2">
        <v>0</v>
      </c>
      <c r="K505" s="2" t="s">
        <v>61</v>
      </c>
      <c r="L505" s="6" t="s">
        <v>113</v>
      </c>
      <c r="M505" s="5">
        <v>480000000</v>
      </c>
      <c r="N505" s="2">
        <v>0</v>
      </c>
      <c r="O505" s="2">
        <v>4.5446806000000004</v>
      </c>
      <c r="P505" s="2">
        <v>-74.142880000000005</v>
      </c>
      <c r="Q505" s="2" t="s">
        <v>2055</v>
      </c>
      <c r="R505" s="2">
        <v>914285.71429999999</v>
      </c>
      <c r="S505" s="2">
        <v>0</v>
      </c>
      <c r="T505" s="2" t="s">
        <v>2056</v>
      </c>
      <c r="U505" s="2" t="s">
        <v>2057</v>
      </c>
      <c r="V505" s="2" t="s">
        <v>28</v>
      </c>
      <c r="W505" s="2" t="s">
        <v>2056</v>
      </c>
      <c r="X505" s="2" t="s">
        <v>2058</v>
      </c>
      <c r="Y505" s="2">
        <v>3.1835193791048999</v>
      </c>
      <c r="Z505" s="2">
        <v>4.5320555555555604</v>
      </c>
      <c r="AA505" s="2">
        <v>-74.117138888888903</v>
      </c>
      <c r="AB505" s="2">
        <v>2593</v>
      </c>
      <c r="AC505" s="2" t="s">
        <v>31</v>
      </c>
      <c r="AD505" s="2" t="s">
        <v>458</v>
      </c>
      <c r="AE505" s="2" t="s">
        <v>33</v>
      </c>
      <c r="AF505" s="2" t="s">
        <v>34</v>
      </c>
      <c r="AG505" s="2" t="s">
        <v>415</v>
      </c>
      <c r="AH505" s="2">
        <v>2.4456870960883101</v>
      </c>
      <c r="AI505" s="2">
        <v>3.8730068673523501</v>
      </c>
      <c r="AJ505" s="2">
        <v>4.7309822236676604</v>
      </c>
      <c r="AK505" s="2">
        <v>0.34975573786605102</v>
      </c>
      <c r="AL505" s="2">
        <v>2.8935057064230401E-3</v>
      </c>
      <c r="AM505" s="2">
        <v>15.7</v>
      </c>
      <c r="AN505" s="2">
        <v>6.8</v>
      </c>
      <c r="AO505" s="2">
        <v>24.7</v>
      </c>
      <c r="AP505" s="2">
        <v>563</v>
      </c>
      <c r="AQ505" s="2">
        <v>68</v>
      </c>
      <c r="AR505" s="2">
        <v>1.5</v>
      </c>
      <c r="AS505" s="2">
        <v>135</v>
      </c>
      <c r="AT505" s="2">
        <v>24.5</v>
      </c>
      <c r="AU505" s="2">
        <v>150</v>
      </c>
      <c r="AV505" s="2">
        <v>9.6999999999999993</v>
      </c>
      <c r="AW505" s="2">
        <v>9.9</v>
      </c>
      <c r="AX505" s="2">
        <v>19.600000000000001</v>
      </c>
      <c r="AY505" s="2">
        <v>0.37</v>
      </c>
      <c r="AZ505" s="2">
        <v>10.7</v>
      </c>
      <c r="BA505" s="2">
        <v>3.8</v>
      </c>
      <c r="BB505" s="2">
        <v>7.5</v>
      </c>
      <c r="BC505" s="2">
        <v>2.9</v>
      </c>
      <c r="BD505" s="2">
        <f>+AN505*EXP(-0.0495*Y505)</f>
        <v>5.8085931745761954</v>
      </c>
      <c r="BE505" s="2">
        <f>+AO505*EXP(-0.024*Y505)</f>
        <v>22.883103013503142</v>
      </c>
    </row>
    <row r="506" spans="1:57" x14ac:dyDescent="0.2">
      <c r="A506" s="2" t="s">
        <v>2755</v>
      </c>
      <c r="B506" s="2" t="s">
        <v>19</v>
      </c>
      <c r="C506" s="2" t="s">
        <v>1907</v>
      </c>
      <c r="D506" s="2" t="s">
        <v>21</v>
      </c>
      <c r="E506" s="2" t="s">
        <v>2756</v>
      </c>
      <c r="F506" s="2">
        <v>2</v>
      </c>
      <c r="G506" s="2">
        <v>175</v>
      </c>
      <c r="H506" s="2">
        <v>5</v>
      </c>
      <c r="I506" s="2">
        <v>4</v>
      </c>
      <c r="J506" s="2">
        <v>0</v>
      </c>
      <c r="K506" s="2" t="s">
        <v>61</v>
      </c>
      <c r="L506" s="6" t="s">
        <v>75</v>
      </c>
      <c r="M506" s="5">
        <v>550000000</v>
      </c>
      <c r="N506" s="2">
        <v>0</v>
      </c>
      <c r="O506" s="2">
        <v>4.5427647000000002</v>
      </c>
      <c r="P506" s="2">
        <v>-74.111239999999995</v>
      </c>
      <c r="Q506" s="2" t="s">
        <v>2757</v>
      </c>
      <c r="R506" s="2">
        <v>3142857.1430000002</v>
      </c>
      <c r="S506" s="2">
        <v>0</v>
      </c>
      <c r="T506" s="2" t="s">
        <v>2056</v>
      </c>
      <c r="U506" s="2" t="s">
        <v>2057</v>
      </c>
      <c r="V506" s="2" t="s">
        <v>28</v>
      </c>
      <c r="W506" s="2" t="s">
        <v>2056</v>
      </c>
      <c r="X506" s="2" t="s">
        <v>2058</v>
      </c>
      <c r="Y506" s="2">
        <v>1.3600348809032099</v>
      </c>
      <c r="Z506" s="2">
        <v>4.5320555555555604</v>
      </c>
      <c r="AA506" s="2">
        <v>-74.117138888888903</v>
      </c>
      <c r="AB506" s="2">
        <v>2593</v>
      </c>
      <c r="AC506" s="2" t="s">
        <v>31</v>
      </c>
      <c r="AD506" s="2" t="s">
        <v>458</v>
      </c>
      <c r="AE506" s="2" t="s">
        <v>33</v>
      </c>
      <c r="AF506" s="2" t="s">
        <v>34</v>
      </c>
      <c r="AG506" s="2" t="s">
        <v>1798</v>
      </c>
      <c r="AH506" s="2">
        <v>1.07049096242398</v>
      </c>
      <c r="AI506" s="2">
        <v>3.4543536900183498</v>
      </c>
      <c r="AJ506" s="2">
        <v>4.5895102818467404</v>
      </c>
      <c r="AK506" s="2">
        <v>0.27017459593024201</v>
      </c>
      <c r="AL506" s="2">
        <v>3.08706771728013E-2</v>
      </c>
      <c r="AM506" s="2">
        <v>15.7</v>
      </c>
      <c r="AN506" s="2">
        <v>6.8</v>
      </c>
      <c r="AO506" s="2">
        <v>24.7</v>
      </c>
      <c r="AP506" s="2">
        <v>563</v>
      </c>
      <c r="AQ506" s="2">
        <v>68</v>
      </c>
      <c r="AR506" s="2">
        <v>1.5</v>
      </c>
      <c r="AS506" s="2">
        <v>135</v>
      </c>
      <c r="AT506" s="2">
        <v>24.5</v>
      </c>
      <c r="AU506" s="2">
        <v>150</v>
      </c>
      <c r="AV506" s="2">
        <v>9.6999999999999993</v>
      </c>
      <c r="AW506" s="2">
        <v>9.9</v>
      </c>
      <c r="AX506" s="2">
        <v>19.600000000000001</v>
      </c>
      <c r="AY506" s="2">
        <v>0.37</v>
      </c>
      <c r="AZ506" s="2">
        <v>10.7</v>
      </c>
      <c r="BA506" s="2">
        <v>3.8</v>
      </c>
      <c r="BB506" s="2">
        <v>7.5</v>
      </c>
      <c r="BC506" s="2">
        <v>2.9</v>
      </c>
      <c r="BD506" s="2">
        <f>+AN506*EXP(-0.0495*Y506)</f>
        <v>6.3572817333727523</v>
      </c>
      <c r="BE506" s="2">
        <f>+AO506*EXP(-0.024*Y506)</f>
        <v>23.906787310133922</v>
      </c>
    </row>
    <row r="507" spans="1:57" x14ac:dyDescent="0.2">
      <c r="A507" s="2" t="s">
        <v>2995</v>
      </c>
      <c r="B507" s="2" t="s">
        <v>19</v>
      </c>
      <c r="C507" s="2" t="s">
        <v>1907</v>
      </c>
      <c r="D507" s="2" t="s">
        <v>21</v>
      </c>
      <c r="E507" s="2" t="s">
        <v>2996</v>
      </c>
      <c r="F507" s="2">
        <v>1</v>
      </c>
      <c r="G507" s="2">
        <v>72</v>
      </c>
      <c r="H507" s="2">
        <v>5</v>
      </c>
      <c r="I507" s="2">
        <v>4</v>
      </c>
      <c r="J507" s="2">
        <v>1</v>
      </c>
      <c r="K507" s="2" t="s">
        <v>61</v>
      </c>
      <c r="L507" s="6" t="s">
        <v>75</v>
      </c>
      <c r="M507" s="5">
        <v>319380236</v>
      </c>
      <c r="N507" s="2">
        <v>0</v>
      </c>
      <c r="O507" s="2">
        <v>4.4961380960000001</v>
      </c>
      <c r="P507" s="2">
        <v>-74.110046389999994</v>
      </c>
      <c r="Q507" s="2" t="s">
        <v>2997</v>
      </c>
      <c r="R507" s="2">
        <v>4435836.6109999996</v>
      </c>
      <c r="S507" s="2">
        <v>0</v>
      </c>
      <c r="T507" s="2" t="s">
        <v>2056</v>
      </c>
      <c r="U507" s="2" t="s">
        <v>2057</v>
      </c>
      <c r="V507" s="2" t="s">
        <v>28</v>
      </c>
      <c r="W507" s="2" t="s">
        <v>2056</v>
      </c>
      <c r="X507" s="2" t="s">
        <v>2058</v>
      </c>
      <c r="Y507" s="2">
        <v>4.0750473468640998</v>
      </c>
      <c r="Z507" s="2">
        <v>4.5320555555555604</v>
      </c>
      <c r="AA507" s="2">
        <v>-74.117138888888903</v>
      </c>
      <c r="AB507" s="2">
        <v>2593</v>
      </c>
      <c r="AC507" s="2" t="s">
        <v>31</v>
      </c>
      <c r="AD507" s="2" t="s">
        <v>458</v>
      </c>
      <c r="AE507" s="2" t="s">
        <v>33</v>
      </c>
      <c r="AF507" s="2" t="s">
        <v>34</v>
      </c>
      <c r="AG507" s="2" t="s">
        <v>2319</v>
      </c>
      <c r="AH507" s="2">
        <v>4.0659902737260598</v>
      </c>
      <c r="AI507" s="2">
        <v>2.5418534333722702</v>
      </c>
      <c r="AJ507" s="2">
        <v>8.9245494807381096</v>
      </c>
      <c r="AK507" s="2">
        <v>0.49278684900021602</v>
      </c>
      <c r="AL507" s="2">
        <v>0.184535170278985</v>
      </c>
      <c r="AM507" s="2">
        <v>15.7</v>
      </c>
      <c r="AN507" s="2">
        <v>6.8</v>
      </c>
      <c r="AO507" s="2">
        <v>24.7</v>
      </c>
      <c r="AP507" s="2">
        <v>563</v>
      </c>
      <c r="AQ507" s="2">
        <v>68</v>
      </c>
      <c r="AR507" s="2">
        <v>1.5</v>
      </c>
      <c r="AS507" s="2">
        <v>135</v>
      </c>
      <c r="AT507" s="2">
        <v>24.5</v>
      </c>
      <c r="AU507" s="2">
        <v>150</v>
      </c>
      <c r="AV507" s="2">
        <v>9.6999999999999993</v>
      </c>
      <c r="AW507" s="2">
        <v>9.9</v>
      </c>
      <c r="AX507" s="2">
        <v>19.600000000000001</v>
      </c>
      <c r="AY507" s="2">
        <v>0.37</v>
      </c>
      <c r="AZ507" s="2">
        <v>10.7</v>
      </c>
      <c r="BA507" s="2">
        <v>3.8</v>
      </c>
      <c r="BB507" s="2">
        <v>7.5</v>
      </c>
      <c r="BC507" s="2">
        <v>2.9</v>
      </c>
      <c r="BD507" s="2">
        <f>+AN507*EXP(-0.0495*Y507)</f>
        <v>5.5578301345087997</v>
      </c>
      <c r="BE507" s="2">
        <f>+AO507*EXP(-0.024*Y507)</f>
        <v>22.398681764030151</v>
      </c>
    </row>
    <row r="508" spans="1:57" x14ac:dyDescent="0.2">
      <c r="A508" s="2" t="s">
        <v>2219</v>
      </c>
      <c r="B508" s="2" t="s">
        <v>19</v>
      </c>
      <c r="C508" s="2" t="s">
        <v>1907</v>
      </c>
      <c r="D508" s="2" t="s">
        <v>21</v>
      </c>
      <c r="E508" s="2" t="s">
        <v>518</v>
      </c>
      <c r="F508" s="2">
        <v>6</v>
      </c>
      <c r="G508" s="2">
        <v>347.26</v>
      </c>
      <c r="H508" s="2">
        <v>4</v>
      </c>
      <c r="I508" s="2">
        <v>5</v>
      </c>
      <c r="J508" s="2">
        <v>2</v>
      </c>
      <c r="K508" s="2" t="s">
        <v>61</v>
      </c>
      <c r="L508" s="6" t="s">
        <v>75</v>
      </c>
      <c r="M508" s="5">
        <v>2000000000</v>
      </c>
      <c r="N508" s="2">
        <v>0</v>
      </c>
      <c r="O508" s="2">
        <v>4.584333</v>
      </c>
      <c r="P508" s="2">
        <v>-74.179715999999999</v>
      </c>
      <c r="Q508" s="2" t="s">
        <v>2220</v>
      </c>
      <c r="R508" s="2">
        <v>5759373.3799999999</v>
      </c>
      <c r="S508" s="2">
        <v>0</v>
      </c>
      <c r="T508" s="2" t="s">
        <v>929</v>
      </c>
      <c r="U508" s="2" t="s">
        <v>930</v>
      </c>
      <c r="V508" s="2" t="s">
        <v>28</v>
      </c>
      <c r="W508" s="2" t="s">
        <v>929</v>
      </c>
      <c r="X508" s="2" t="s">
        <v>931</v>
      </c>
      <c r="Y508" s="2">
        <v>1.65877756783756</v>
      </c>
      <c r="Z508" s="2">
        <v>4.5778055555555603</v>
      </c>
      <c r="AA508" s="2">
        <v>-74.166277777777793</v>
      </c>
      <c r="AB508" s="2">
        <v>2661</v>
      </c>
      <c r="AC508" s="2" t="s">
        <v>31</v>
      </c>
      <c r="AD508" s="2" t="s">
        <v>458</v>
      </c>
      <c r="AE508" s="2" t="s">
        <v>33</v>
      </c>
      <c r="AF508" s="2" t="s">
        <v>34</v>
      </c>
      <c r="AG508" s="2" t="s">
        <v>415</v>
      </c>
      <c r="AH508" s="2">
        <v>1.3975826172467001</v>
      </c>
      <c r="AI508" s="2">
        <v>1.45807919808432</v>
      </c>
      <c r="AJ508" s="2">
        <v>4.6230817642700801</v>
      </c>
      <c r="AK508" s="2">
        <v>0.75116816134348097</v>
      </c>
      <c r="AL508" s="2">
        <v>8.1963112879960595E-2</v>
      </c>
      <c r="AM508" s="2">
        <v>15.4</v>
      </c>
      <c r="AN508" s="2">
        <v>7</v>
      </c>
      <c r="AO508" s="2">
        <v>23.6</v>
      </c>
      <c r="AP508" s="2">
        <v>558</v>
      </c>
      <c r="AQ508" s="2">
        <v>68</v>
      </c>
      <c r="AR508" s="2">
        <v>2.7</v>
      </c>
      <c r="AS508" s="2">
        <v>182</v>
      </c>
      <c r="AT508" s="2">
        <v>22.2</v>
      </c>
      <c r="AU508" s="2">
        <v>128</v>
      </c>
      <c r="AV508" s="2">
        <v>8.8000000000000007</v>
      </c>
      <c r="AW508" s="2">
        <v>8.3000000000000007</v>
      </c>
      <c r="AX508" s="2">
        <v>16.899999999999999</v>
      </c>
      <c r="AY508" s="2">
        <v>0.33</v>
      </c>
      <c r="AZ508" s="2">
        <v>8.1999999999999993</v>
      </c>
      <c r="BA508" s="2">
        <v>0.9</v>
      </c>
      <c r="BB508" s="2">
        <v>12.2</v>
      </c>
      <c r="BC508" s="2">
        <v>1.6</v>
      </c>
      <c r="BD508" s="2">
        <f>+AN508*EXP(-0.0495*Y508)</f>
        <v>6.4481976615886047</v>
      </c>
      <c r="BE508" s="2">
        <f>+AO508*EXP(-0.024*Y508)</f>
        <v>22.678924348124372</v>
      </c>
    </row>
    <row r="509" spans="1:57" x14ac:dyDescent="0.2">
      <c r="A509" s="2" t="s">
        <v>1745</v>
      </c>
      <c r="B509" s="2" t="s">
        <v>19</v>
      </c>
      <c r="C509" s="2" t="s">
        <v>20</v>
      </c>
      <c r="D509" s="2" t="s">
        <v>21</v>
      </c>
      <c r="E509" s="2" t="s">
        <v>660</v>
      </c>
      <c r="F509" s="2">
        <v>6</v>
      </c>
      <c r="G509" s="2">
        <v>253.13</v>
      </c>
      <c r="H509" s="2">
        <v>3</v>
      </c>
      <c r="I509" s="2">
        <v>5</v>
      </c>
      <c r="J509" s="2">
        <v>3</v>
      </c>
      <c r="K509" s="2" t="s">
        <v>61</v>
      </c>
      <c r="L509" s="6" t="s">
        <v>84</v>
      </c>
      <c r="M509" s="5">
        <v>2100000000</v>
      </c>
      <c r="N509" s="2">
        <v>0</v>
      </c>
      <c r="O509" s="2">
        <v>4.5935040000000003</v>
      </c>
      <c r="P509" s="2">
        <v>-74.172925000000006</v>
      </c>
      <c r="Q509" s="2" t="s">
        <v>1746</v>
      </c>
      <c r="R509" s="2">
        <v>8296132.4220000003</v>
      </c>
      <c r="S509" s="2">
        <v>0</v>
      </c>
      <c r="T509" s="2" t="s">
        <v>929</v>
      </c>
      <c r="U509" s="2" t="s">
        <v>930</v>
      </c>
      <c r="V509" s="2" t="s">
        <v>28</v>
      </c>
      <c r="W509" s="2" t="s">
        <v>929</v>
      </c>
      <c r="X509" s="2" t="s">
        <v>931</v>
      </c>
      <c r="Y509" s="2">
        <v>1.89682758477526</v>
      </c>
      <c r="Z509" s="2">
        <v>4.5778055555555603</v>
      </c>
      <c r="AA509" s="2">
        <v>-74.166277777777793</v>
      </c>
      <c r="AB509" s="2">
        <v>2661</v>
      </c>
      <c r="AC509" s="2" t="s">
        <v>31</v>
      </c>
      <c r="AD509" s="2" t="s">
        <v>458</v>
      </c>
      <c r="AE509" s="2" t="s">
        <v>33</v>
      </c>
      <c r="AF509" s="2" t="s">
        <v>34</v>
      </c>
      <c r="AG509" s="2" t="s">
        <v>415</v>
      </c>
      <c r="AH509" s="2">
        <v>0.55316797947801299</v>
      </c>
      <c r="AI509" s="2">
        <v>2.38800241014183</v>
      </c>
      <c r="AJ509" s="2">
        <v>3.7793700338844798</v>
      </c>
      <c r="AK509" s="2">
        <v>0.196619503110049</v>
      </c>
      <c r="AL509" s="2">
        <v>0.17663246071983801</v>
      </c>
      <c r="AM509" s="2">
        <v>15.4</v>
      </c>
      <c r="AN509" s="2">
        <v>7</v>
      </c>
      <c r="AO509" s="2">
        <v>23.6</v>
      </c>
      <c r="AP509" s="2">
        <v>558</v>
      </c>
      <c r="AQ509" s="2">
        <v>68</v>
      </c>
      <c r="AR509" s="2">
        <v>2.7</v>
      </c>
      <c r="AS509" s="2">
        <v>182</v>
      </c>
      <c r="AT509" s="2">
        <v>22.2</v>
      </c>
      <c r="AU509" s="2">
        <v>128</v>
      </c>
      <c r="AV509" s="2">
        <v>8.8000000000000007</v>
      </c>
      <c r="AW509" s="2">
        <v>8.3000000000000007</v>
      </c>
      <c r="AX509" s="2">
        <v>16.899999999999999</v>
      </c>
      <c r="AY509" s="2">
        <v>0.33</v>
      </c>
      <c r="AZ509" s="2">
        <v>8.1999999999999993</v>
      </c>
      <c r="BA509" s="2">
        <v>0.9</v>
      </c>
      <c r="BB509" s="2">
        <v>12.2</v>
      </c>
      <c r="BC509" s="2">
        <v>1.6</v>
      </c>
      <c r="BD509" s="2">
        <f>+AN509*EXP(-0.0495*Y509)</f>
        <v>6.372661394150529</v>
      </c>
      <c r="BE509" s="2">
        <f>+AO509*EXP(-0.024*Y509)</f>
        <v>22.549724531971062</v>
      </c>
    </row>
    <row r="510" spans="1:57" x14ac:dyDescent="0.2">
      <c r="A510" s="2" t="s">
        <v>926</v>
      </c>
      <c r="B510" s="2" t="s">
        <v>19</v>
      </c>
      <c r="C510" s="2" t="s">
        <v>20</v>
      </c>
      <c r="D510" s="2" t="s">
        <v>21</v>
      </c>
      <c r="E510" s="2" t="s">
        <v>927</v>
      </c>
      <c r="F510" s="2">
        <v>3</v>
      </c>
      <c r="G510" s="2">
        <v>61</v>
      </c>
      <c r="H510" s="2">
        <v>3</v>
      </c>
      <c r="I510" s="2">
        <v>2</v>
      </c>
      <c r="J510" s="2">
        <v>1</v>
      </c>
      <c r="K510" s="2" t="s">
        <v>61</v>
      </c>
      <c r="L510" s="6" t="s">
        <v>84</v>
      </c>
      <c r="M510" s="5">
        <v>270000000</v>
      </c>
      <c r="N510" s="2">
        <v>0</v>
      </c>
      <c r="O510" s="2">
        <v>4.5862483980000004</v>
      </c>
      <c r="P510" s="2">
        <v>-74.161979680000002</v>
      </c>
      <c r="Q510" s="2" t="s">
        <v>928</v>
      </c>
      <c r="R510" s="2">
        <v>4426229.5080000004</v>
      </c>
      <c r="S510" s="2">
        <v>0</v>
      </c>
      <c r="T510" s="2" t="s">
        <v>929</v>
      </c>
      <c r="U510" s="2" t="s">
        <v>930</v>
      </c>
      <c r="V510" s="2" t="s">
        <v>28</v>
      </c>
      <c r="W510" s="2" t="s">
        <v>929</v>
      </c>
      <c r="X510" s="2" t="s">
        <v>931</v>
      </c>
      <c r="Y510" s="2">
        <v>1.05393951008576</v>
      </c>
      <c r="Z510" s="2">
        <v>4.5778055555555603</v>
      </c>
      <c r="AA510" s="2">
        <v>-74.166277777777793</v>
      </c>
      <c r="AB510" s="2">
        <v>2661</v>
      </c>
      <c r="AC510" s="2" t="s">
        <v>31</v>
      </c>
      <c r="AD510" s="2" t="s">
        <v>458</v>
      </c>
      <c r="AE510" s="2" t="s">
        <v>33</v>
      </c>
      <c r="AF510" s="2" t="s">
        <v>34</v>
      </c>
      <c r="AG510" s="2" t="s">
        <v>415</v>
      </c>
      <c r="AH510" s="2">
        <v>1.10517031166941</v>
      </c>
      <c r="AI510" s="2">
        <v>2.07909995126104</v>
      </c>
      <c r="AJ510" s="2">
        <v>2.6594873899805198</v>
      </c>
      <c r="AK510" s="2">
        <v>0.39962346268355903</v>
      </c>
      <c r="AL510" s="2">
        <v>0.181380293977844</v>
      </c>
      <c r="AM510" s="2">
        <v>15.4</v>
      </c>
      <c r="AN510" s="2">
        <v>7</v>
      </c>
      <c r="AO510" s="2">
        <v>23.6</v>
      </c>
      <c r="AP510" s="2">
        <v>558</v>
      </c>
      <c r="AQ510" s="2">
        <v>68</v>
      </c>
      <c r="AR510" s="2">
        <v>2.7</v>
      </c>
      <c r="AS510" s="2">
        <v>182</v>
      </c>
      <c r="AT510" s="2">
        <v>22.2</v>
      </c>
      <c r="AU510" s="2">
        <v>128</v>
      </c>
      <c r="AV510" s="2">
        <v>8.8000000000000007</v>
      </c>
      <c r="AW510" s="2">
        <v>8.3000000000000007</v>
      </c>
      <c r="AX510" s="2">
        <v>16.899999999999999</v>
      </c>
      <c r="AY510" s="2">
        <v>0.33</v>
      </c>
      <c r="AZ510" s="2">
        <v>8.1999999999999993</v>
      </c>
      <c r="BA510" s="2">
        <v>0.9</v>
      </c>
      <c r="BB510" s="2">
        <v>12.2</v>
      </c>
      <c r="BC510" s="2">
        <v>1.6</v>
      </c>
      <c r="BD510" s="2">
        <f>+AN510*EXP(-0.0495*Y510)</f>
        <v>6.6441724243688816</v>
      </c>
      <c r="BE510" s="2">
        <f>+AO510*EXP(-0.024*Y510)</f>
        <v>23.010535212893185</v>
      </c>
    </row>
    <row r="511" spans="1:57" x14ac:dyDescent="0.2">
      <c r="A511" s="2" t="s">
        <v>3206</v>
      </c>
      <c r="B511" s="2" t="s">
        <v>19</v>
      </c>
      <c r="C511" s="2" t="s">
        <v>1907</v>
      </c>
      <c r="D511" s="2" t="s">
        <v>21</v>
      </c>
      <c r="E511" s="2" t="s">
        <v>3207</v>
      </c>
      <c r="F511" s="2">
        <v>2</v>
      </c>
      <c r="G511" s="2">
        <v>60</v>
      </c>
      <c r="H511" s="2">
        <v>3</v>
      </c>
      <c r="I511" s="2">
        <v>3</v>
      </c>
      <c r="J511" s="2">
        <v>0</v>
      </c>
      <c r="K511" s="2" t="s">
        <v>61</v>
      </c>
      <c r="L511" s="6" t="s">
        <v>113</v>
      </c>
      <c r="M511" s="5">
        <v>265000000</v>
      </c>
      <c r="N511" s="2">
        <v>0</v>
      </c>
      <c r="O511" s="2">
        <v>4.5682023999999997</v>
      </c>
      <c r="P511" s="2">
        <v>-74.168298399999998</v>
      </c>
      <c r="Q511" s="2" t="s">
        <v>3208</v>
      </c>
      <c r="R511" s="2">
        <v>4416666.6670000004</v>
      </c>
      <c r="S511" s="2">
        <v>0</v>
      </c>
      <c r="T511" s="2" t="s">
        <v>929</v>
      </c>
      <c r="U511" s="2" t="s">
        <v>930</v>
      </c>
      <c r="V511" s="2" t="s">
        <v>28</v>
      </c>
      <c r="W511" s="2" t="s">
        <v>929</v>
      </c>
      <c r="X511" s="2" t="s">
        <v>931</v>
      </c>
      <c r="Y511" s="2">
        <v>1.09227939535421</v>
      </c>
      <c r="Z511" s="2">
        <v>4.5778055555555603</v>
      </c>
      <c r="AA511" s="2">
        <v>-74.166277777777793</v>
      </c>
      <c r="AB511" s="2">
        <v>2661</v>
      </c>
      <c r="AC511" s="2" t="s">
        <v>31</v>
      </c>
      <c r="AD511" s="2" t="s">
        <v>458</v>
      </c>
      <c r="AE511" s="2" t="s">
        <v>33</v>
      </c>
      <c r="AF511" s="2" t="s">
        <v>34</v>
      </c>
      <c r="AG511" s="2" t="s">
        <v>415</v>
      </c>
      <c r="AH511" s="2">
        <v>3.0708896410076201</v>
      </c>
      <c r="AI511" s="2">
        <v>0.37219787806992599</v>
      </c>
      <c r="AJ511" s="2">
        <v>4.2364868682809496</v>
      </c>
      <c r="AK511" s="2">
        <v>3.5239333886591402E-2</v>
      </c>
      <c r="AL511" s="2">
        <v>1.8991803037302201E-2</v>
      </c>
      <c r="AM511" s="2">
        <v>15.4</v>
      </c>
      <c r="AN511" s="2">
        <v>7</v>
      </c>
      <c r="AO511" s="2">
        <v>23.6</v>
      </c>
      <c r="AP511" s="2">
        <v>558</v>
      </c>
      <c r="AQ511" s="2">
        <v>68</v>
      </c>
      <c r="AR511" s="2">
        <v>2.7</v>
      </c>
      <c r="AS511" s="2">
        <v>182</v>
      </c>
      <c r="AT511" s="2">
        <v>22.2</v>
      </c>
      <c r="AU511" s="2">
        <v>128</v>
      </c>
      <c r="AV511" s="2">
        <v>8.8000000000000007</v>
      </c>
      <c r="AW511" s="2">
        <v>8.3000000000000007</v>
      </c>
      <c r="AX511" s="2">
        <v>16.899999999999999</v>
      </c>
      <c r="AY511" s="2">
        <v>0.33</v>
      </c>
      <c r="AZ511" s="2">
        <v>8.1999999999999993</v>
      </c>
      <c r="BA511" s="2">
        <v>0.9</v>
      </c>
      <c r="BB511" s="2">
        <v>12.2</v>
      </c>
      <c r="BC511" s="2">
        <v>1.6</v>
      </c>
      <c r="BD511" s="2">
        <f>+AN511*EXP(-0.0495*Y511)</f>
        <v>6.6315749100659938</v>
      </c>
      <c r="BE511" s="2">
        <f>+AO511*EXP(-0.024*Y511)</f>
        <v>22.989371640572976</v>
      </c>
    </row>
    <row r="512" spans="1:57" x14ac:dyDescent="0.2">
      <c r="A512" s="2" t="s">
        <v>990</v>
      </c>
      <c r="B512" s="2" t="s">
        <v>19</v>
      </c>
      <c r="C512" s="2" t="s">
        <v>20</v>
      </c>
      <c r="D512" s="2" t="s">
        <v>21</v>
      </c>
      <c r="E512" s="2" t="s">
        <v>991</v>
      </c>
      <c r="F512" s="2">
        <v>4</v>
      </c>
      <c r="G512" s="2">
        <v>59</v>
      </c>
      <c r="H512" s="2">
        <v>3</v>
      </c>
      <c r="I512" s="2">
        <v>2</v>
      </c>
      <c r="J512" s="2">
        <v>1</v>
      </c>
      <c r="K512" s="2" t="s">
        <v>61</v>
      </c>
      <c r="L512" s="6" t="s">
        <v>113</v>
      </c>
      <c r="M512" s="5">
        <v>265000000</v>
      </c>
      <c r="N512" s="2">
        <v>0</v>
      </c>
      <c r="O512" s="2">
        <v>4.5878800000000002</v>
      </c>
      <c r="P512" s="2">
        <v>-74.162058400000006</v>
      </c>
      <c r="Q512" s="2" t="s">
        <v>992</v>
      </c>
      <c r="R512" s="2">
        <v>4491525.4239999996</v>
      </c>
      <c r="S512" s="2">
        <v>0</v>
      </c>
      <c r="T512" s="2" t="s">
        <v>929</v>
      </c>
      <c r="U512" s="2" t="s">
        <v>930</v>
      </c>
      <c r="V512" s="2" t="s">
        <v>28</v>
      </c>
      <c r="W512" s="2" t="s">
        <v>929</v>
      </c>
      <c r="X512" s="2" t="s">
        <v>931</v>
      </c>
      <c r="Y512" s="2">
        <v>1.2152903492268701</v>
      </c>
      <c r="Z512" s="2">
        <v>4.5778055555555603</v>
      </c>
      <c r="AA512" s="2">
        <v>-74.166277777777793</v>
      </c>
      <c r="AB512" s="2">
        <v>2661</v>
      </c>
      <c r="AC512" s="2" t="s">
        <v>31</v>
      </c>
      <c r="AD512" s="2" t="s">
        <v>458</v>
      </c>
      <c r="AE512" s="2" t="s">
        <v>33</v>
      </c>
      <c r="AF512" s="2" t="s">
        <v>34</v>
      </c>
      <c r="AG512" s="2" t="s">
        <v>415</v>
      </c>
      <c r="AH512" s="2">
        <v>0.93166612641464996</v>
      </c>
      <c r="AI512" s="2">
        <v>2.2188659880483099</v>
      </c>
      <c r="AJ512" s="2">
        <v>2.62601400613321</v>
      </c>
      <c r="AK512" s="2">
        <v>0.37330731013264101</v>
      </c>
      <c r="AL512" s="2">
        <v>0.141305591528849</v>
      </c>
      <c r="AM512" s="2">
        <v>15.4</v>
      </c>
      <c r="AN512" s="2">
        <v>7</v>
      </c>
      <c r="AO512" s="2">
        <v>23.6</v>
      </c>
      <c r="AP512" s="2">
        <v>558</v>
      </c>
      <c r="AQ512" s="2">
        <v>68</v>
      </c>
      <c r="AR512" s="2">
        <v>2.7</v>
      </c>
      <c r="AS512" s="2">
        <v>182</v>
      </c>
      <c r="AT512" s="2">
        <v>22.2</v>
      </c>
      <c r="AU512" s="2">
        <v>128</v>
      </c>
      <c r="AV512" s="2">
        <v>8.8000000000000007</v>
      </c>
      <c r="AW512" s="2">
        <v>8.3000000000000007</v>
      </c>
      <c r="AX512" s="2">
        <v>16.899999999999999</v>
      </c>
      <c r="AY512" s="2">
        <v>0.33</v>
      </c>
      <c r="AZ512" s="2">
        <v>8.1999999999999993</v>
      </c>
      <c r="BA512" s="2">
        <v>0.9</v>
      </c>
      <c r="BB512" s="2">
        <v>12.2</v>
      </c>
      <c r="BC512" s="2">
        <v>1.6</v>
      </c>
      <c r="BD512" s="2">
        <f>+AN512*EXP(-0.0495*Y512)</f>
        <v>6.5913176589091966</v>
      </c>
      <c r="BE512" s="2">
        <f>+AO512*EXP(-0.024*Y512)</f>
        <v>22.92160105925586</v>
      </c>
    </row>
    <row r="513" spans="1:57" x14ac:dyDescent="0.2">
      <c r="A513" s="2" t="s">
        <v>1498</v>
      </c>
      <c r="B513" s="2" t="s">
        <v>19</v>
      </c>
      <c r="C513" s="2" t="s">
        <v>20</v>
      </c>
      <c r="D513" s="2" t="s">
        <v>21</v>
      </c>
      <c r="E513" s="2" t="s">
        <v>991</v>
      </c>
      <c r="F513" s="2">
        <v>3</v>
      </c>
      <c r="G513" s="2">
        <v>59</v>
      </c>
      <c r="H513" s="2">
        <v>3</v>
      </c>
      <c r="I513" s="2">
        <v>2</v>
      </c>
      <c r="J513" s="2">
        <v>0</v>
      </c>
      <c r="K513" s="2" t="s">
        <v>61</v>
      </c>
      <c r="L513" s="6" t="s">
        <v>75</v>
      </c>
      <c r="M513" s="5">
        <v>231000000</v>
      </c>
      <c r="N513" s="2">
        <v>0</v>
      </c>
      <c r="O513" s="2">
        <v>4.5880808999999996</v>
      </c>
      <c r="P513" s="2">
        <v>-74.162083199999998</v>
      </c>
      <c r="Q513" s="2" t="s">
        <v>1499</v>
      </c>
      <c r="R513" s="2">
        <v>3915254.2370000002</v>
      </c>
      <c r="S513" s="2">
        <v>0</v>
      </c>
      <c r="T513" s="2" t="s">
        <v>929</v>
      </c>
      <c r="U513" s="2" t="s">
        <v>930</v>
      </c>
      <c r="V513" s="2" t="s">
        <v>28</v>
      </c>
      <c r="W513" s="2" t="s">
        <v>929</v>
      </c>
      <c r="X513" s="2" t="s">
        <v>931</v>
      </c>
      <c r="Y513" s="2">
        <v>1.2349183277448901</v>
      </c>
      <c r="Z513" s="2">
        <v>4.5778055555555603</v>
      </c>
      <c r="AA513" s="2">
        <v>-74.166277777777793</v>
      </c>
      <c r="AB513" s="2">
        <v>2661</v>
      </c>
      <c r="AC513" s="2" t="s">
        <v>31</v>
      </c>
      <c r="AD513" s="2" t="s">
        <v>458</v>
      </c>
      <c r="AE513" s="2" t="s">
        <v>33</v>
      </c>
      <c r="AF513" s="2" t="s">
        <v>34</v>
      </c>
      <c r="AG513" s="2" t="s">
        <v>415</v>
      </c>
      <c r="AH513" s="2">
        <v>0.90990059553175695</v>
      </c>
      <c r="AI513" s="2">
        <v>2.2355270963725502</v>
      </c>
      <c r="AJ513" s="2">
        <v>2.6243665592835201</v>
      </c>
      <c r="AK513" s="2">
        <v>0.37433742277905202</v>
      </c>
      <c r="AL513" s="2">
        <v>0.132046426262039</v>
      </c>
      <c r="AM513" s="2">
        <v>15.4</v>
      </c>
      <c r="AN513" s="2">
        <v>7</v>
      </c>
      <c r="AO513" s="2">
        <v>23.6</v>
      </c>
      <c r="AP513" s="2">
        <v>558</v>
      </c>
      <c r="AQ513" s="2">
        <v>68</v>
      </c>
      <c r="AR513" s="2">
        <v>2.7</v>
      </c>
      <c r="AS513" s="2">
        <v>182</v>
      </c>
      <c r="AT513" s="2">
        <v>22.2</v>
      </c>
      <c r="AU513" s="2">
        <v>128</v>
      </c>
      <c r="AV513" s="2">
        <v>8.8000000000000007</v>
      </c>
      <c r="AW513" s="2">
        <v>8.3000000000000007</v>
      </c>
      <c r="AX513" s="2">
        <v>16.899999999999999</v>
      </c>
      <c r="AY513" s="2">
        <v>0.33</v>
      </c>
      <c r="AZ513" s="2">
        <v>8.1999999999999993</v>
      </c>
      <c r="BA513" s="2">
        <v>0.9</v>
      </c>
      <c r="BB513" s="2">
        <v>12.2</v>
      </c>
      <c r="BC513" s="2">
        <v>1.6</v>
      </c>
      <c r="BD513" s="2">
        <f>+AN513*EXP(-0.0495*Y513)</f>
        <v>6.584916743978968</v>
      </c>
      <c r="BE513" s="2">
        <f>+AO513*EXP(-0.024*Y513)</f>
        <v>22.910805889467262</v>
      </c>
    </row>
    <row r="514" spans="1:57" x14ac:dyDescent="0.2">
      <c r="A514" s="2" t="s">
        <v>1247</v>
      </c>
      <c r="B514" s="2" t="s">
        <v>19</v>
      </c>
      <c r="C514" s="2" t="s">
        <v>20</v>
      </c>
      <c r="D514" s="2" t="s">
        <v>21</v>
      </c>
      <c r="E514" s="2" t="s">
        <v>1248</v>
      </c>
      <c r="F514" s="2">
        <v>2</v>
      </c>
      <c r="G514" s="2">
        <v>45</v>
      </c>
      <c r="H514" s="2">
        <v>2</v>
      </c>
      <c r="I514" s="2">
        <v>2</v>
      </c>
      <c r="J514" s="2">
        <v>0</v>
      </c>
      <c r="K514" s="2" t="s">
        <v>61</v>
      </c>
      <c r="L514" s="6" t="s">
        <v>66</v>
      </c>
      <c r="M514" s="5">
        <v>210000000</v>
      </c>
      <c r="N514" s="2">
        <v>0</v>
      </c>
      <c r="O514" s="2">
        <v>4.588005066</v>
      </c>
      <c r="P514" s="2">
        <v>-74.162017820000003</v>
      </c>
      <c r="Q514" s="2" t="s">
        <v>1249</v>
      </c>
      <c r="R514" s="2">
        <v>4666666.6670000004</v>
      </c>
      <c r="S514" s="2">
        <v>0</v>
      </c>
      <c r="T514" s="2" t="s">
        <v>929</v>
      </c>
      <c r="U514" s="2" t="s">
        <v>930</v>
      </c>
      <c r="V514" s="2" t="s">
        <v>28</v>
      </c>
      <c r="W514" s="2" t="s">
        <v>929</v>
      </c>
      <c r="X514" s="2" t="s">
        <v>931</v>
      </c>
      <c r="Y514" s="2">
        <v>1.22987331642359</v>
      </c>
      <c r="Z514" s="2">
        <v>4.5778055555555603</v>
      </c>
      <c r="AA514" s="2">
        <v>-74.166277777777793</v>
      </c>
      <c r="AB514" s="2">
        <v>2661</v>
      </c>
      <c r="AC514" s="2" t="s">
        <v>31</v>
      </c>
      <c r="AD514" s="2" t="s">
        <v>458</v>
      </c>
      <c r="AE514" s="2" t="s">
        <v>33</v>
      </c>
      <c r="AF514" s="2" t="s">
        <v>34</v>
      </c>
      <c r="AG514" s="2" t="s">
        <v>415</v>
      </c>
      <c r="AH514" s="2">
        <v>0.92030448700993195</v>
      </c>
      <c r="AI514" s="2">
        <v>2.23277369554238</v>
      </c>
      <c r="AJ514" s="2">
        <v>2.6188728275957498</v>
      </c>
      <c r="AK514" s="2">
        <v>0.37990894170775302</v>
      </c>
      <c r="AL514" s="2">
        <v>0.14144735990694099</v>
      </c>
      <c r="AM514" s="2">
        <v>15.4</v>
      </c>
      <c r="AN514" s="2">
        <v>7</v>
      </c>
      <c r="AO514" s="2">
        <v>23.6</v>
      </c>
      <c r="AP514" s="2">
        <v>558</v>
      </c>
      <c r="AQ514" s="2">
        <v>68</v>
      </c>
      <c r="AR514" s="2">
        <v>2.7</v>
      </c>
      <c r="AS514" s="2">
        <v>182</v>
      </c>
      <c r="AT514" s="2">
        <v>22.2</v>
      </c>
      <c r="AU514" s="2">
        <v>128</v>
      </c>
      <c r="AV514" s="2">
        <v>8.8000000000000007</v>
      </c>
      <c r="AW514" s="2">
        <v>8.3000000000000007</v>
      </c>
      <c r="AX514" s="2">
        <v>16.899999999999999</v>
      </c>
      <c r="AY514" s="2">
        <v>0.33</v>
      </c>
      <c r="AZ514" s="2">
        <v>8.1999999999999993</v>
      </c>
      <c r="BA514" s="2">
        <v>0.9</v>
      </c>
      <c r="BB514" s="2">
        <v>12.2</v>
      </c>
      <c r="BC514" s="2">
        <v>1.6</v>
      </c>
      <c r="BD514" s="2">
        <f>+AN514*EXP(-0.0495*Y514)</f>
        <v>6.5865613878136768</v>
      </c>
      <c r="BE514" s="2">
        <f>+AO514*EXP(-0.024*Y514)</f>
        <v>22.91358010401742</v>
      </c>
    </row>
    <row r="515" spans="1:57" x14ac:dyDescent="0.2">
      <c r="A515" s="2" t="s">
        <v>4624</v>
      </c>
      <c r="B515" s="2" t="s">
        <v>19</v>
      </c>
      <c r="C515" s="2" t="s">
        <v>3245</v>
      </c>
      <c r="D515" s="2" t="s">
        <v>21</v>
      </c>
      <c r="E515" s="2" t="s">
        <v>885</v>
      </c>
      <c r="F515" s="2">
        <v>2</v>
      </c>
      <c r="G515" s="2">
        <v>31.71</v>
      </c>
      <c r="H515" s="2">
        <v>1</v>
      </c>
      <c r="I515" s="2">
        <v>1</v>
      </c>
      <c r="J515" s="2">
        <v>0</v>
      </c>
      <c r="K515" s="2" t="s">
        <v>61</v>
      </c>
      <c r="L515" s="6" t="s">
        <v>62</v>
      </c>
      <c r="M515" s="5">
        <v>215000000</v>
      </c>
      <c r="N515" s="2">
        <v>0</v>
      </c>
      <c r="O515" s="2">
        <v>4.5951605000000004</v>
      </c>
      <c r="P515" s="2">
        <v>-74.169979999999995</v>
      </c>
      <c r="Q515" s="2" t="s">
        <v>4625</v>
      </c>
      <c r="R515" s="2">
        <v>6780195.5219999999</v>
      </c>
      <c r="S515" s="2">
        <v>0</v>
      </c>
      <c r="T515" s="2" t="s">
        <v>929</v>
      </c>
      <c r="U515" s="2" t="s">
        <v>930</v>
      </c>
      <c r="V515" s="2" t="s">
        <v>28</v>
      </c>
      <c r="W515" s="2" t="s">
        <v>929</v>
      </c>
      <c r="X515" s="2" t="s">
        <v>931</v>
      </c>
      <c r="Y515" s="2">
        <v>1.9751381336368801</v>
      </c>
      <c r="Z515" s="2">
        <v>4.5778055555555603</v>
      </c>
      <c r="AA515" s="2">
        <v>-74.166277777777793</v>
      </c>
      <c r="AB515" s="2">
        <v>2661</v>
      </c>
      <c r="AC515" s="2" t="s">
        <v>31</v>
      </c>
      <c r="AD515" s="2" t="s">
        <v>458</v>
      </c>
      <c r="AE515" s="2" t="s">
        <v>33</v>
      </c>
      <c r="AF515" s="2" t="s">
        <v>34</v>
      </c>
      <c r="AG515" s="2" t="s">
        <v>415</v>
      </c>
      <c r="AH515" s="2">
        <v>0.21070596630020799</v>
      </c>
      <c r="AI515" s="2">
        <v>2.61915078006813</v>
      </c>
      <c r="AJ515" s="2">
        <v>3.4628564524207999</v>
      </c>
      <c r="AK515" s="2">
        <v>0.17402495314361999</v>
      </c>
      <c r="AL515" s="2">
        <v>3.1595399878037301E-3</v>
      </c>
      <c r="AM515" s="2">
        <v>15.4</v>
      </c>
      <c r="AN515" s="2">
        <v>7</v>
      </c>
      <c r="AO515" s="2">
        <v>23.6</v>
      </c>
      <c r="AP515" s="2">
        <v>558</v>
      </c>
      <c r="AQ515" s="2">
        <v>68</v>
      </c>
      <c r="AR515" s="2">
        <v>2.7</v>
      </c>
      <c r="AS515" s="2">
        <v>182</v>
      </c>
      <c r="AT515" s="2">
        <v>22.2</v>
      </c>
      <c r="AU515" s="2">
        <v>128</v>
      </c>
      <c r="AV515" s="2">
        <v>8.8000000000000007</v>
      </c>
      <c r="AW515" s="2">
        <v>8.3000000000000007</v>
      </c>
      <c r="AX515" s="2">
        <v>16.899999999999999</v>
      </c>
      <c r="AY515" s="2">
        <v>0.33</v>
      </c>
      <c r="AZ515" s="2">
        <v>8.1999999999999993</v>
      </c>
      <c r="BA515" s="2">
        <v>0.9</v>
      </c>
      <c r="BB515" s="2">
        <v>12.2</v>
      </c>
      <c r="BC515" s="2">
        <v>1.6</v>
      </c>
      <c r="BD515" s="2">
        <f>+AN515*EXP(-0.0495*Y515)</f>
        <v>6.3480064037140718</v>
      </c>
      <c r="BE515" s="2">
        <f>+AO515*EXP(-0.024*Y515)</f>
        <v>22.507383182411981</v>
      </c>
    </row>
    <row r="516" spans="1:57" x14ac:dyDescent="0.2">
      <c r="A516" s="2" t="s">
        <v>3045</v>
      </c>
      <c r="B516" s="2" t="s">
        <v>19</v>
      </c>
      <c r="C516" s="2" t="s">
        <v>1907</v>
      </c>
      <c r="D516" s="2" t="s">
        <v>21</v>
      </c>
      <c r="E516" s="2" t="s">
        <v>3046</v>
      </c>
      <c r="F516" s="2">
        <v>3</v>
      </c>
      <c r="G516" s="2">
        <v>437</v>
      </c>
      <c r="H516" s="2">
        <v>5</v>
      </c>
      <c r="I516" s="2">
        <v>5</v>
      </c>
      <c r="J516" s="2">
        <v>1</v>
      </c>
      <c r="K516" s="2" t="s">
        <v>61</v>
      </c>
      <c r="L516" s="6" t="s">
        <v>113</v>
      </c>
      <c r="M516" s="5">
        <v>630000000</v>
      </c>
      <c r="N516" s="2">
        <v>0</v>
      </c>
      <c r="O516" s="2">
        <v>4.6801620000000002</v>
      </c>
      <c r="P516" s="2">
        <v>-74.139269999999996</v>
      </c>
      <c r="Q516" s="2" t="s">
        <v>3047</v>
      </c>
      <c r="R516" s="2">
        <v>1441647.5970000001</v>
      </c>
      <c r="S516" s="2">
        <v>0</v>
      </c>
      <c r="T516" s="2" t="s">
        <v>49</v>
      </c>
      <c r="U516" s="2" t="s">
        <v>476</v>
      </c>
      <c r="V516" s="2" t="s">
        <v>28</v>
      </c>
      <c r="W516" s="2" t="s">
        <v>49</v>
      </c>
      <c r="X516" s="2" t="s">
        <v>477</v>
      </c>
      <c r="Y516" s="2">
        <v>0.54815539724571305</v>
      </c>
      <c r="Z516" s="2">
        <v>4.6782416666666702</v>
      </c>
      <c r="AA516" s="2">
        <v>-74.143819444444404</v>
      </c>
      <c r="AB516" s="2">
        <v>2551</v>
      </c>
      <c r="AC516" s="2" t="s">
        <v>31</v>
      </c>
      <c r="AD516" s="2" t="s">
        <v>32</v>
      </c>
      <c r="AE516" s="2" t="s">
        <v>33</v>
      </c>
      <c r="AF516" s="2" t="s">
        <v>34</v>
      </c>
      <c r="AG516" s="2" t="s">
        <v>43</v>
      </c>
      <c r="AH516" s="2">
        <v>1.98826594815728</v>
      </c>
      <c r="AI516" s="2">
        <v>2.4791232010890498</v>
      </c>
      <c r="AJ516" s="2">
        <v>0.24899229797297101</v>
      </c>
      <c r="AK516" s="2">
        <v>5.7024947187384399E-2</v>
      </c>
      <c r="AL516" s="2">
        <v>0.12164951402839801</v>
      </c>
      <c r="AM516" s="2">
        <v>15.8</v>
      </c>
      <c r="AN516" s="2">
        <v>17.100000000000001</v>
      </c>
      <c r="AO516" s="2">
        <v>23</v>
      </c>
      <c r="AP516" s="2">
        <v>565</v>
      </c>
      <c r="AQ516" s="2">
        <v>68</v>
      </c>
      <c r="AR516" s="2">
        <v>2.2999999999999998</v>
      </c>
      <c r="AS516" s="2">
        <v>68</v>
      </c>
      <c r="AT516" s="2">
        <v>17.600000000000001</v>
      </c>
      <c r="AU516" s="2">
        <v>162</v>
      </c>
      <c r="AV516" s="2">
        <v>19.7</v>
      </c>
      <c r="AW516" s="2">
        <v>16.7</v>
      </c>
      <c r="AX516" s="2">
        <v>36.4</v>
      </c>
      <c r="AY516" s="2">
        <v>0.66</v>
      </c>
      <c r="AZ516" s="2">
        <v>5.6</v>
      </c>
      <c r="BA516" s="2">
        <v>1.5</v>
      </c>
      <c r="BB516" s="2">
        <v>7.5</v>
      </c>
      <c r="BC516" s="2">
        <v>2.9</v>
      </c>
      <c r="BD516" s="2">
        <f>+AN516*EXP(-0.0495*Y516)</f>
        <v>16.642252142633929</v>
      </c>
      <c r="BE516" s="2">
        <f>+AO516*EXP(-0.024*Y516)</f>
        <v>22.699399863242498</v>
      </c>
    </row>
    <row r="517" spans="1:57" x14ac:dyDescent="0.2">
      <c r="A517" s="2" t="s">
        <v>2882</v>
      </c>
      <c r="B517" s="2" t="s">
        <v>19</v>
      </c>
      <c r="C517" s="2" t="s">
        <v>1907</v>
      </c>
      <c r="D517" s="2" t="s">
        <v>21</v>
      </c>
      <c r="E517" s="2" t="s">
        <v>2883</v>
      </c>
      <c r="F517" s="2">
        <v>2</v>
      </c>
      <c r="G517" s="2">
        <v>428</v>
      </c>
      <c r="H517" s="2">
        <v>5</v>
      </c>
      <c r="I517" s="2">
        <v>5</v>
      </c>
      <c r="J517" s="2">
        <v>2</v>
      </c>
      <c r="K517" s="2" t="s">
        <v>61</v>
      </c>
      <c r="L517" s="6" t="s">
        <v>113</v>
      </c>
      <c r="M517" s="5">
        <v>1280000000</v>
      </c>
      <c r="N517" s="2">
        <v>0</v>
      </c>
      <c r="O517" s="2">
        <v>4.7004599999999996</v>
      </c>
      <c r="P517" s="2">
        <v>-74.123270000000005</v>
      </c>
      <c r="Q517" s="2" t="s">
        <v>2884</v>
      </c>
      <c r="R517" s="2">
        <v>2990654.2059999998</v>
      </c>
      <c r="S517" s="2">
        <v>0</v>
      </c>
      <c r="T517" s="2" t="s">
        <v>49</v>
      </c>
      <c r="U517" s="2" t="s">
        <v>476</v>
      </c>
      <c r="V517" s="2" t="s">
        <v>28</v>
      </c>
      <c r="W517" s="2" t="s">
        <v>49</v>
      </c>
      <c r="X517" s="2" t="s">
        <v>477</v>
      </c>
      <c r="Y517" s="2">
        <v>3.3638231347551701</v>
      </c>
      <c r="Z517" s="2">
        <v>4.6782416666666702</v>
      </c>
      <c r="AA517" s="2">
        <v>-74.143819444444404</v>
      </c>
      <c r="AB517" s="2">
        <v>2551</v>
      </c>
      <c r="AC517" s="2" t="s">
        <v>31</v>
      </c>
      <c r="AD517" s="2" t="s">
        <v>32</v>
      </c>
      <c r="AE517" s="2" t="s">
        <v>33</v>
      </c>
      <c r="AF517" s="2" t="s">
        <v>34</v>
      </c>
      <c r="AG517" s="2" t="s">
        <v>363</v>
      </c>
      <c r="AH517" s="2">
        <v>1.7535856698440999</v>
      </c>
      <c r="AI517" s="2">
        <v>2.6362482055852601</v>
      </c>
      <c r="AJ517" s="2">
        <v>1.91658730305886</v>
      </c>
      <c r="AK517" s="2">
        <v>0.34294366644449698</v>
      </c>
      <c r="AL517" s="2">
        <v>1.8070956051385902E-2</v>
      </c>
      <c r="AM517" s="2">
        <v>15.8</v>
      </c>
      <c r="AN517" s="2">
        <v>17.100000000000001</v>
      </c>
      <c r="AO517" s="2">
        <v>23</v>
      </c>
      <c r="AP517" s="2">
        <v>565</v>
      </c>
      <c r="AQ517" s="2">
        <v>68</v>
      </c>
      <c r="AR517" s="2">
        <v>2.2999999999999998</v>
      </c>
      <c r="AS517" s="2">
        <v>68</v>
      </c>
      <c r="AT517" s="2">
        <v>17.600000000000001</v>
      </c>
      <c r="AU517" s="2">
        <v>162</v>
      </c>
      <c r="AV517" s="2">
        <v>19.7</v>
      </c>
      <c r="AW517" s="2">
        <v>16.7</v>
      </c>
      <c r="AX517" s="2">
        <v>36.4</v>
      </c>
      <c r="AY517" s="2">
        <v>0.66</v>
      </c>
      <c r="AZ517" s="2">
        <v>5.6</v>
      </c>
      <c r="BA517" s="2">
        <v>1.5</v>
      </c>
      <c r="BB517" s="2">
        <v>7.5</v>
      </c>
      <c r="BC517" s="2">
        <v>2.9</v>
      </c>
      <c r="BD517" s="2">
        <f>+AN517*EXP(-0.0495*Y517)</f>
        <v>14.477116325570261</v>
      </c>
      <c r="BE517" s="2">
        <f>+AO517*EXP(-0.024*Y517)</f>
        <v>21.216145259905701</v>
      </c>
    </row>
    <row r="518" spans="1:57" x14ac:dyDescent="0.2">
      <c r="A518" s="2" t="s">
        <v>3177</v>
      </c>
      <c r="B518" s="2" t="s">
        <v>19</v>
      </c>
      <c r="C518" s="2" t="s">
        <v>1907</v>
      </c>
      <c r="D518" s="2" t="s">
        <v>21</v>
      </c>
      <c r="E518" s="2" t="s">
        <v>3178</v>
      </c>
      <c r="F518" s="2">
        <v>3</v>
      </c>
      <c r="G518" s="2">
        <v>357</v>
      </c>
      <c r="H518" s="2">
        <v>5</v>
      </c>
      <c r="I518" s="2">
        <v>5</v>
      </c>
      <c r="J518" s="2">
        <v>1</v>
      </c>
      <c r="K518" s="2" t="s">
        <v>61</v>
      </c>
      <c r="L518" s="6" t="s">
        <v>62</v>
      </c>
      <c r="M518" s="5">
        <v>690000000</v>
      </c>
      <c r="N518" s="2">
        <v>0</v>
      </c>
      <c r="O518" s="2">
        <v>4.6692309380000001</v>
      </c>
      <c r="P518" s="2">
        <v>-74.144699099999997</v>
      </c>
      <c r="Q518" s="2" t="s">
        <v>3179</v>
      </c>
      <c r="R518" s="2">
        <v>1932773.1089999999</v>
      </c>
      <c r="S518" s="2">
        <v>0</v>
      </c>
      <c r="T518" s="2" t="s">
        <v>47</v>
      </c>
      <c r="U518" s="2" t="s">
        <v>48</v>
      </c>
      <c r="V518" s="2" t="s">
        <v>28</v>
      </c>
      <c r="W518" s="2" t="s">
        <v>49</v>
      </c>
      <c r="X518" s="2" t="s">
        <v>50</v>
      </c>
      <c r="Y518" s="2">
        <v>0.443414226381871</v>
      </c>
      <c r="Z518" s="2">
        <v>4.6680000000000001</v>
      </c>
      <c r="AA518" s="2">
        <v>-74.148499999999999</v>
      </c>
      <c r="AB518" s="2">
        <v>2547</v>
      </c>
      <c r="AC518" s="2" t="s">
        <v>31</v>
      </c>
      <c r="AD518" s="2" t="s">
        <v>51</v>
      </c>
      <c r="AE518" s="2" t="s">
        <v>33</v>
      </c>
      <c r="AF518" s="2" t="s">
        <v>34</v>
      </c>
      <c r="AG518" s="2" t="s">
        <v>43</v>
      </c>
      <c r="AH518" s="2">
        <v>2.92419276326773</v>
      </c>
      <c r="AI518" s="2">
        <v>1.46977138603262</v>
      </c>
      <c r="AJ518" s="2">
        <v>1.5934472279242</v>
      </c>
      <c r="AK518" s="2">
        <v>0.10004530080424801</v>
      </c>
      <c r="AL518" s="2">
        <v>0.14576193514633501</v>
      </c>
      <c r="AM518" s="2">
        <v>15.8</v>
      </c>
      <c r="AN518" s="2">
        <v>17.100000000000001</v>
      </c>
      <c r="AO518" s="2">
        <v>23</v>
      </c>
      <c r="AP518" s="2">
        <v>565</v>
      </c>
      <c r="AQ518" s="2">
        <v>68</v>
      </c>
      <c r="AR518" s="2">
        <v>2.2999999999999998</v>
      </c>
      <c r="AS518" s="2">
        <v>68</v>
      </c>
      <c r="AT518" s="2">
        <v>17.600000000000001</v>
      </c>
      <c r="AU518" s="2">
        <v>162</v>
      </c>
      <c r="AV518" s="2">
        <v>19.7</v>
      </c>
      <c r="AW518" s="2">
        <v>16.7</v>
      </c>
      <c r="AX518" s="2">
        <v>36.4</v>
      </c>
      <c r="AY518" s="2">
        <v>0.66</v>
      </c>
      <c r="AZ518" s="2">
        <v>5.6</v>
      </c>
      <c r="BA518" s="2">
        <v>1.5</v>
      </c>
      <c r="BB518" s="2">
        <v>7.5</v>
      </c>
      <c r="BC518" s="2">
        <v>2.9</v>
      </c>
      <c r="BD518" s="2">
        <f>+AN518*EXP(-0.0495*Y518)</f>
        <v>16.728761094080156</v>
      </c>
      <c r="BE518" s="2">
        <f>+AO518*EXP(-0.024*Y518)</f>
        <v>22.756533124883074</v>
      </c>
    </row>
    <row r="519" spans="1:57" x14ac:dyDescent="0.2">
      <c r="A519" s="2" t="s">
        <v>2589</v>
      </c>
      <c r="B519" s="2" t="s">
        <v>19</v>
      </c>
      <c r="C519" s="2" t="s">
        <v>1907</v>
      </c>
      <c r="D519" s="2" t="s">
        <v>21</v>
      </c>
      <c r="E519" s="2" t="s">
        <v>122</v>
      </c>
      <c r="F519" s="2">
        <v>4</v>
      </c>
      <c r="G519" s="2">
        <v>305</v>
      </c>
      <c r="H519" s="2">
        <v>5</v>
      </c>
      <c r="I519" s="2">
        <v>5</v>
      </c>
      <c r="J519" s="2">
        <v>3</v>
      </c>
      <c r="K519" s="2" t="s">
        <v>61</v>
      </c>
      <c r="L519" s="6" t="s">
        <v>113</v>
      </c>
      <c r="M519" s="5">
        <v>1299000000</v>
      </c>
      <c r="N519" s="2">
        <v>0</v>
      </c>
      <c r="O519" s="2">
        <v>4.6707109999999998</v>
      </c>
      <c r="P519" s="2">
        <v>-74.117776399999997</v>
      </c>
      <c r="Q519" s="2" t="s">
        <v>2590</v>
      </c>
      <c r="R519" s="2">
        <v>4259016.3930000002</v>
      </c>
      <c r="S519" s="2">
        <v>0</v>
      </c>
      <c r="T519" s="2" t="s">
        <v>49</v>
      </c>
      <c r="U519" s="2" t="s">
        <v>476</v>
      </c>
      <c r="V519" s="2" t="s">
        <v>28</v>
      </c>
      <c r="W519" s="2" t="s">
        <v>49</v>
      </c>
      <c r="X519" s="2" t="s">
        <v>477</v>
      </c>
      <c r="Y519" s="2">
        <v>3.0086070383389001</v>
      </c>
      <c r="Z519" s="2">
        <v>4.6782416666666702</v>
      </c>
      <c r="AA519" s="2">
        <v>-74.143819444444404</v>
      </c>
      <c r="AB519" s="2">
        <v>2551</v>
      </c>
      <c r="AC519" s="2" t="s">
        <v>31</v>
      </c>
      <c r="AD519" s="2" t="s">
        <v>32</v>
      </c>
      <c r="AE519" s="2" t="s">
        <v>33</v>
      </c>
      <c r="AF519" s="2" t="s">
        <v>34</v>
      </c>
      <c r="AG519" s="2" t="s">
        <v>43</v>
      </c>
      <c r="AH519" s="2">
        <v>0.48180040807630797</v>
      </c>
      <c r="AI519" s="2">
        <v>4.4553613753153698</v>
      </c>
      <c r="AJ519" s="2">
        <v>1.87304164564644</v>
      </c>
      <c r="AK519" s="2">
        <v>0.28532167921382701</v>
      </c>
      <c r="AL519" s="2">
        <v>0.22908225412501601</v>
      </c>
      <c r="AM519" s="2">
        <v>15.8</v>
      </c>
      <c r="AN519" s="2">
        <v>17.100000000000001</v>
      </c>
      <c r="AO519" s="2">
        <v>23</v>
      </c>
      <c r="AP519" s="2">
        <v>565</v>
      </c>
      <c r="AQ519" s="2">
        <v>68</v>
      </c>
      <c r="AR519" s="2">
        <v>2.2999999999999998</v>
      </c>
      <c r="AS519" s="2">
        <v>68</v>
      </c>
      <c r="AT519" s="2">
        <v>17.600000000000001</v>
      </c>
      <c r="AU519" s="2">
        <v>162</v>
      </c>
      <c r="AV519" s="2">
        <v>19.7</v>
      </c>
      <c r="AW519" s="2">
        <v>16.7</v>
      </c>
      <c r="AX519" s="2">
        <v>36.4</v>
      </c>
      <c r="AY519" s="2">
        <v>0.66</v>
      </c>
      <c r="AZ519" s="2">
        <v>5.6</v>
      </c>
      <c r="BA519" s="2">
        <v>1.5</v>
      </c>
      <c r="BB519" s="2">
        <v>7.5</v>
      </c>
      <c r="BC519" s="2">
        <v>2.9</v>
      </c>
      <c r="BD519" s="2">
        <f>+AN519*EXP(-0.0495*Y519)</f>
        <v>14.73392142158063</v>
      </c>
      <c r="BE519" s="2">
        <f>+AO519*EXP(-0.024*Y519)</f>
        <v>21.397790028717278</v>
      </c>
    </row>
    <row r="520" spans="1:57" x14ac:dyDescent="0.2">
      <c r="A520" s="2" t="s">
        <v>2613</v>
      </c>
      <c r="B520" s="2" t="s">
        <v>19</v>
      </c>
      <c r="C520" s="2" t="s">
        <v>1907</v>
      </c>
      <c r="D520" s="2" t="s">
        <v>21</v>
      </c>
      <c r="E520" s="2" t="s">
        <v>2614</v>
      </c>
      <c r="F520" s="2">
        <v>3</v>
      </c>
      <c r="G520" s="2">
        <v>300</v>
      </c>
      <c r="H520" s="2">
        <v>5</v>
      </c>
      <c r="I520" s="2">
        <v>5</v>
      </c>
      <c r="J520" s="2">
        <v>0</v>
      </c>
      <c r="K520" s="2" t="s">
        <v>61</v>
      </c>
      <c r="L520" s="6" t="s">
        <v>113</v>
      </c>
      <c r="M520" s="5">
        <v>690000000</v>
      </c>
      <c r="N520" s="2">
        <v>0</v>
      </c>
      <c r="O520" s="2">
        <v>4.6943356999999999</v>
      </c>
      <c r="P520" s="2">
        <v>-74.109344199999995</v>
      </c>
      <c r="Q520" s="2" t="s">
        <v>2615</v>
      </c>
      <c r="R520" s="2">
        <v>2300000</v>
      </c>
      <c r="S520" s="2">
        <v>0</v>
      </c>
      <c r="T520" s="2" t="s">
        <v>49</v>
      </c>
      <c r="U520" s="2" t="s">
        <v>476</v>
      </c>
      <c r="V520" s="2" t="s">
        <v>28</v>
      </c>
      <c r="W520" s="2" t="s">
        <v>49</v>
      </c>
      <c r="X520" s="2" t="s">
        <v>477</v>
      </c>
      <c r="Y520" s="2">
        <v>4.2237305127908202</v>
      </c>
      <c r="Z520" s="2">
        <v>4.6782416666666702</v>
      </c>
      <c r="AA520" s="2">
        <v>-74.143819444444404</v>
      </c>
      <c r="AB520" s="2">
        <v>2551</v>
      </c>
      <c r="AC520" s="2" t="s">
        <v>31</v>
      </c>
      <c r="AD520" s="2" t="s">
        <v>32</v>
      </c>
      <c r="AE520" s="2" t="s">
        <v>33</v>
      </c>
      <c r="AF520" s="2" t="s">
        <v>34</v>
      </c>
      <c r="AG520" s="2" t="s">
        <v>363</v>
      </c>
      <c r="AH520" s="2">
        <v>1.25843336788802</v>
      </c>
      <c r="AI520" s="2">
        <v>3.8498295426474298</v>
      </c>
      <c r="AJ520" s="2">
        <v>0.25842400207664301</v>
      </c>
      <c r="AK520" s="2">
        <v>0.18530012736858301</v>
      </c>
      <c r="AL520" s="2">
        <v>6.0527192218848801E-2</v>
      </c>
      <c r="AM520" s="2">
        <v>15.8</v>
      </c>
      <c r="AN520" s="2">
        <v>17.100000000000001</v>
      </c>
      <c r="AO520" s="2">
        <v>23</v>
      </c>
      <c r="AP520" s="2">
        <v>565</v>
      </c>
      <c r="AQ520" s="2">
        <v>68</v>
      </c>
      <c r="AR520" s="2">
        <v>2.2999999999999998</v>
      </c>
      <c r="AS520" s="2">
        <v>68</v>
      </c>
      <c r="AT520" s="2">
        <v>17.600000000000001</v>
      </c>
      <c r="AU520" s="2">
        <v>162</v>
      </c>
      <c r="AV520" s="2">
        <v>19.7</v>
      </c>
      <c r="AW520" s="2">
        <v>16.7</v>
      </c>
      <c r="AX520" s="2">
        <v>36.4</v>
      </c>
      <c r="AY520" s="2">
        <v>0.66</v>
      </c>
      <c r="AZ520" s="2">
        <v>5.6</v>
      </c>
      <c r="BA520" s="2">
        <v>1.5</v>
      </c>
      <c r="BB520" s="2">
        <v>7.5</v>
      </c>
      <c r="BC520" s="2">
        <v>2.9</v>
      </c>
      <c r="BD520" s="2">
        <f>+AN520*EXP(-0.0495*Y520)</f>
        <v>13.873822665917899</v>
      </c>
      <c r="BE520" s="2">
        <f>+AO520*EXP(-0.024*Y520)</f>
        <v>20.782778429154625</v>
      </c>
    </row>
    <row r="521" spans="1:57" x14ac:dyDescent="0.2">
      <c r="A521" s="2" t="s">
        <v>2430</v>
      </c>
      <c r="B521" s="2" t="s">
        <v>19</v>
      </c>
      <c r="C521" s="2" t="s">
        <v>1907</v>
      </c>
      <c r="D521" s="2" t="s">
        <v>21</v>
      </c>
      <c r="E521" s="2" t="s">
        <v>24</v>
      </c>
      <c r="F521" s="2">
        <v>3</v>
      </c>
      <c r="G521" s="2">
        <v>300</v>
      </c>
      <c r="H521" s="2">
        <v>5</v>
      </c>
      <c r="I521" s="2">
        <v>5</v>
      </c>
      <c r="J521" s="2">
        <v>0</v>
      </c>
      <c r="K521" s="2" t="s">
        <v>61</v>
      </c>
      <c r="L521" s="6" t="s">
        <v>113</v>
      </c>
      <c r="M521" s="5">
        <v>690000000</v>
      </c>
      <c r="N521" s="2">
        <v>0</v>
      </c>
      <c r="O521" s="2">
        <v>4.694335938</v>
      </c>
      <c r="P521" s="2">
        <v>-74.109344480000004</v>
      </c>
      <c r="Q521" s="2" t="s">
        <v>2431</v>
      </c>
      <c r="R521" s="2">
        <v>2300000</v>
      </c>
      <c r="S521" s="2">
        <v>0</v>
      </c>
      <c r="T521" s="2" t="s">
        <v>49</v>
      </c>
      <c r="U521" s="2" t="s">
        <v>476</v>
      </c>
      <c r="V521" s="2" t="s">
        <v>28</v>
      </c>
      <c r="W521" s="2" t="s">
        <v>49</v>
      </c>
      <c r="X521" s="2" t="s">
        <v>477</v>
      </c>
      <c r="Y521" s="2">
        <v>4.2237136181819404</v>
      </c>
      <c r="Z521" s="2">
        <v>4.6782416666666702</v>
      </c>
      <c r="AA521" s="2">
        <v>-74.143819444444404</v>
      </c>
      <c r="AB521" s="2">
        <v>2551</v>
      </c>
      <c r="AC521" s="2" t="s">
        <v>31</v>
      </c>
      <c r="AD521" s="2" t="s">
        <v>32</v>
      </c>
      <c r="AE521" s="2" t="s">
        <v>33</v>
      </c>
      <c r="AF521" s="2" t="s">
        <v>34</v>
      </c>
      <c r="AG521" s="2" t="s">
        <v>363</v>
      </c>
      <c r="AH521" s="2">
        <v>1.2584225651469401</v>
      </c>
      <c r="AI521" s="2">
        <v>3.84979113757027</v>
      </c>
      <c r="AJ521" s="2">
        <v>0.25846378631531702</v>
      </c>
      <c r="AK521" s="2">
        <v>0.185269963206382</v>
      </c>
      <c r="AL521" s="2">
        <v>6.0520799989612399E-2</v>
      </c>
      <c r="AM521" s="2">
        <v>15.8</v>
      </c>
      <c r="AN521" s="2">
        <v>17.100000000000001</v>
      </c>
      <c r="AO521" s="2">
        <v>23</v>
      </c>
      <c r="AP521" s="2">
        <v>565</v>
      </c>
      <c r="AQ521" s="2">
        <v>68</v>
      </c>
      <c r="AR521" s="2">
        <v>2.2999999999999998</v>
      </c>
      <c r="AS521" s="2">
        <v>68</v>
      </c>
      <c r="AT521" s="2">
        <v>17.600000000000001</v>
      </c>
      <c r="AU521" s="2">
        <v>162</v>
      </c>
      <c r="AV521" s="2">
        <v>19.7</v>
      </c>
      <c r="AW521" s="2">
        <v>16.7</v>
      </c>
      <c r="AX521" s="2">
        <v>36.4</v>
      </c>
      <c r="AY521" s="2">
        <v>0.66</v>
      </c>
      <c r="AZ521" s="2">
        <v>5.6</v>
      </c>
      <c r="BA521" s="2">
        <v>1.5</v>
      </c>
      <c r="BB521" s="2">
        <v>7.5</v>
      </c>
      <c r="BC521" s="2">
        <v>2.9</v>
      </c>
      <c r="BD521" s="2">
        <f>+AN521*EXP(-0.0495*Y521)</f>
        <v>13.873834268366728</v>
      </c>
      <c r="BE521" s="2">
        <f>+AO521*EXP(-0.024*Y521)</f>
        <v>20.782786855962247</v>
      </c>
    </row>
    <row r="522" spans="1:57" x14ac:dyDescent="0.2">
      <c r="A522" s="2" t="s">
        <v>2500</v>
      </c>
      <c r="B522" s="2" t="s">
        <v>19</v>
      </c>
      <c r="C522" s="2" t="s">
        <v>1907</v>
      </c>
      <c r="D522" s="2" t="s">
        <v>21</v>
      </c>
      <c r="E522" s="2" t="s">
        <v>2501</v>
      </c>
      <c r="F522" s="2">
        <v>3</v>
      </c>
      <c r="G522" s="2">
        <v>270</v>
      </c>
      <c r="H522" s="2">
        <v>5</v>
      </c>
      <c r="I522" s="2">
        <v>4</v>
      </c>
      <c r="J522" s="2">
        <v>2</v>
      </c>
      <c r="K522" s="2" t="s">
        <v>61</v>
      </c>
      <c r="L522" s="6" t="s">
        <v>113</v>
      </c>
      <c r="M522" s="5">
        <v>750000000</v>
      </c>
      <c r="N522" s="2">
        <v>0</v>
      </c>
      <c r="O522" s="2">
        <v>4.6816683430000001</v>
      </c>
      <c r="P522" s="2">
        <v>-74.109606740000004</v>
      </c>
      <c r="Q522" s="2" t="s">
        <v>2502</v>
      </c>
      <c r="R522" s="2">
        <v>2777777.7779999999</v>
      </c>
      <c r="S522" s="2">
        <v>0</v>
      </c>
      <c r="T522" s="2" t="s">
        <v>49</v>
      </c>
      <c r="U522" s="2" t="s">
        <v>476</v>
      </c>
      <c r="V522" s="2" t="s">
        <v>28</v>
      </c>
      <c r="W522" s="2" t="s">
        <v>49</v>
      </c>
      <c r="X522" s="2" t="s">
        <v>477</v>
      </c>
      <c r="Y522" s="2">
        <v>3.8149618154946201</v>
      </c>
      <c r="Z522" s="2">
        <v>4.6782416666666702</v>
      </c>
      <c r="AA522" s="2">
        <v>-74.143819444444404</v>
      </c>
      <c r="AB522" s="2">
        <v>2551</v>
      </c>
      <c r="AC522" s="2" t="s">
        <v>31</v>
      </c>
      <c r="AD522" s="2" t="s">
        <v>32</v>
      </c>
      <c r="AE522" s="2" t="s">
        <v>33</v>
      </c>
      <c r="AF522" s="2" t="s">
        <v>34</v>
      </c>
      <c r="AG522" s="2" t="s">
        <v>363</v>
      </c>
      <c r="AH522" s="2">
        <v>1.1127185204499801</v>
      </c>
      <c r="AI522" s="2">
        <v>5.0844437684896597</v>
      </c>
      <c r="AJ522" s="2">
        <v>1.2097271765092801</v>
      </c>
      <c r="AK522" s="2">
        <v>0.21668948660232201</v>
      </c>
      <c r="AL522" s="2">
        <v>0.214730035871953</v>
      </c>
      <c r="AM522" s="2">
        <v>15.8</v>
      </c>
      <c r="AN522" s="2">
        <v>17.100000000000001</v>
      </c>
      <c r="AO522" s="2">
        <v>23</v>
      </c>
      <c r="AP522" s="2">
        <v>565</v>
      </c>
      <c r="AQ522" s="2">
        <v>68</v>
      </c>
      <c r="AR522" s="2">
        <v>2.2999999999999998</v>
      </c>
      <c r="AS522" s="2">
        <v>68</v>
      </c>
      <c r="AT522" s="2">
        <v>17.600000000000001</v>
      </c>
      <c r="AU522" s="2">
        <v>162</v>
      </c>
      <c r="AV522" s="2">
        <v>19.7</v>
      </c>
      <c r="AW522" s="2">
        <v>16.7</v>
      </c>
      <c r="AX522" s="2">
        <v>36.4</v>
      </c>
      <c r="AY522" s="2">
        <v>0.66</v>
      </c>
      <c r="AZ522" s="2">
        <v>5.6</v>
      </c>
      <c r="BA522" s="2">
        <v>1.5</v>
      </c>
      <c r="BB522" s="2">
        <v>7.5</v>
      </c>
      <c r="BC522" s="2">
        <v>2.9</v>
      </c>
      <c r="BD522" s="2">
        <f>+AN522*EXP(-0.0495*Y522)</f>
        <v>14.157405635420933</v>
      </c>
      <c r="BE522" s="2">
        <f>+AO522*EXP(-0.024*Y522)</f>
        <v>20.987670208341783</v>
      </c>
    </row>
    <row r="523" spans="1:57" x14ac:dyDescent="0.2">
      <c r="A523" s="2" t="s">
        <v>2270</v>
      </c>
      <c r="B523" s="2" t="s">
        <v>19</v>
      </c>
      <c r="C523" s="2" t="s">
        <v>1907</v>
      </c>
      <c r="D523" s="2" t="s">
        <v>21</v>
      </c>
      <c r="E523" s="2" t="s">
        <v>2271</v>
      </c>
      <c r="F523" s="2">
        <v>4</v>
      </c>
      <c r="G523" s="2">
        <v>251.9</v>
      </c>
      <c r="H523" s="2">
        <v>5</v>
      </c>
      <c r="I523" s="2">
        <v>3</v>
      </c>
      <c r="J523" s="2">
        <v>2</v>
      </c>
      <c r="K523" s="2" t="s">
        <v>61</v>
      </c>
      <c r="L523" s="6" t="s">
        <v>113</v>
      </c>
      <c r="M523" s="5">
        <v>975000000</v>
      </c>
      <c r="N523" s="2">
        <v>0</v>
      </c>
      <c r="O523" s="2">
        <v>4.6659135999999997</v>
      </c>
      <c r="P523" s="2">
        <v>-74.123000000000005</v>
      </c>
      <c r="Q523" s="2" t="s">
        <v>2272</v>
      </c>
      <c r="R523" s="2">
        <v>3870583.5649999999</v>
      </c>
      <c r="S523" s="2">
        <v>0</v>
      </c>
      <c r="T523" s="2" t="s">
        <v>49</v>
      </c>
      <c r="U523" s="2" t="s">
        <v>476</v>
      </c>
      <c r="V523" s="2" t="s">
        <v>28</v>
      </c>
      <c r="W523" s="2" t="s">
        <v>49</v>
      </c>
      <c r="X523" s="2" t="s">
        <v>477</v>
      </c>
      <c r="Y523" s="2">
        <v>2.68682626044499</v>
      </c>
      <c r="Z523" s="2">
        <v>4.6782416666666702</v>
      </c>
      <c r="AA523" s="2">
        <v>-74.143819444444404</v>
      </c>
      <c r="AB523" s="2">
        <v>2551</v>
      </c>
      <c r="AC523" s="2" t="s">
        <v>31</v>
      </c>
      <c r="AD523" s="2" t="s">
        <v>32</v>
      </c>
      <c r="AE523" s="2" t="s">
        <v>33</v>
      </c>
      <c r="AF523" s="2" t="s">
        <v>34</v>
      </c>
      <c r="AG523" s="2" t="s">
        <v>43</v>
      </c>
      <c r="AH523" s="2">
        <v>1.13077486135129</v>
      </c>
      <c r="AI523" s="2">
        <v>3.8446715249949199</v>
      </c>
      <c r="AJ523" s="2">
        <v>2.0069434210405501</v>
      </c>
      <c r="AK523" s="2">
        <v>0.24090825573283001</v>
      </c>
      <c r="AL523" s="2">
        <v>0.21791688120348601</v>
      </c>
      <c r="AM523" s="2">
        <v>15.8</v>
      </c>
      <c r="AN523" s="2">
        <v>17.100000000000001</v>
      </c>
      <c r="AO523" s="2">
        <v>23</v>
      </c>
      <c r="AP523" s="2">
        <v>565</v>
      </c>
      <c r="AQ523" s="2">
        <v>68</v>
      </c>
      <c r="AR523" s="2">
        <v>2.2999999999999998</v>
      </c>
      <c r="AS523" s="2">
        <v>68</v>
      </c>
      <c r="AT523" s="2">
        <v>17.600000000000001</v>
      </c>
      <c r="AU523" s="2">
        <v>162</v>
      </c>
      <c r="AV523" s="2">
        <v>19.7</v>
      </c>
      <c r="AW523" s="2">
        <v>16.7</v>
      </c>
      <c r="AX523" s="2">
        <v>36.4</v>
      </c>
      <c r="AY523" s="2">
        <v>0.66</v>
      </c>
      <c r="AZ523" s="2">
        <v>5.6</v>
      </c>
      <c r="BA523" s="2">
        <v>1.5</v>
      </c>
      <c r="BB523" s="2">
        <v>7.5</v>
      </c>
      <c r="BC523" s="2">
        <v>2.9</v>
      </c>
      <c r="BD523" s="2">
        <f>+AN523*EXP(-0.0495*Y523)</f>
        <v>14.970484514660862</v>
      </c>
      <c r="BE523" s="2">
        <f>+AO523*EXP(-0.024*Y523)</f>
        <v>21.563679304496908</v>
      </c>
    </row>
    <row r="524" spans="1:57" x14ac:dyDescent="0.2">
      <c r="A524" s="2" t="s">
        <v>3041</v>
      </c>
      <c r="B524" s="2" t="s">
        <v>19</v>
      </c>
      <c r="C524" s="2" t="s">
        <v>1907</v>
      </c>
      <c r="D524" s="2" t="s">
        <v>21</v>
      </c>
      <c r="E524" s="2" t="s">
        <v>2675</v>
      </c>
      <c r="F524" s="2">
        <v>4</v>
      </c>
      <c r="G524" s="2">
        <v>250</v>
      </c>
      <c r="H524" s="2">
        <v>4</v>
      </c>
      <c r="I524" s="2">
        <v>5</v>
      </c>
      <c r="J524" s="2">
        <v>2</v>
      </c>
      <c r="K524" s="2" t="s">
        <v>61</v>
      </c>
      <c r="L524" s="6" t="s">
        <v>62</v>
      </c>
      <c r="M524" s="5">
        <v>1580000000</v>
      </c>
      <c r="N524" s="2">
        <v>0</v>
      </c>
      <c r="O524" s="2">
        <v>4.6639929999999996</v>
      </c>
      <c r="P524" s="2">
        <v>-74.127719999999997</v>
      </c>
      <c r="Q524" s="2" t="s">
        <v>3042</v>
      </c>
      <c r="R524" s="2">
        <v>6320000</v>
      </c>
      <c r="S524" s="2">
        <v>0</v>
      </c>
      <c r="T524" s="2" t="s">
        <v>47</v>
      </c>
      <c r="U524" s="2" t="s">
        <v>48</v>
      </c>
      <c r="V524" s="2" t="s">
        <v>28</v>
      </c>
      <c r="W524" s="2" t="s">
        <v>49</v>
      </c>
      <c r="X524" s="2" t="s">
        <v>50</v>
      </c>
      <c r="Y524" s="2">
        <v>2.3483057717577598</v>
      </c>
      <c r="Z524" s="2">
        <v>4.6680000000000001</v>
      </c>
      <c r="AA524" s="2">
        <v>-74.148499999999999</v>
      </c>
      <c r="AB524" s="2">
        <v>2547</v>
      </c>
      <c r="AC524" s="2" t="s">
        <v>31</v>
      </c>
      <c r="AD524" s="2" t="s">
        <v>51</v>
      </c>
      <c r="AE524" s="2" t="s">
        <v>33</v>
      </c>
      <c r="AF524" s="2" t="s">
        <v>34</v>
      </c>
      <c r="AG524" s="2" t="s">
        <v>43</v>
      </c>
      <c r="AH524" s="2">
        <v>1.6913924336327399</v>
      </c>
      <c r="AI524" s="2">
        <v>3.3114081232669799</v>
      </c>
      <c r="AJ524" s="2">
        <v>2.2757497451890498</v>
      </c>
      <c r="AK524" s="2">
        <v>0.28880218829566301</v>
      </c>
      <c r="AL524" s="2">
        <v>6.1982828366065598E-2</v>
      </c>
      <c r="AM524" s="2">
        <v>15.8</v>
      </c>
      <c r="AN524" s="2">
        <v>17.100000000000001</v>
      </c>
      <c r="AO524" s="2">
        <v>23</v>
      </c>
      <c r="AP524" s="2">
        <v>565</v>
      </c>
      <c r="AQ524" s="2">
        <v>68</v>
      </c>
      <c r="AR524" s="2">
        <v>2.2999999999999998</v>
      </c>
      <c r="AS524" s="2">
        <v>68</v>
      </c>
      <c r="AT524" s="2">
        <v>17.600000000000001</v>
      </c>
      <c r="AU524" s="2">
        <v>162</v>
      </c>
      <c r="AV524" s="2">
        <v>19.7</v>
      </c>
      <c r="AW524" s="2">
        <v>16.7</v>
      </c>
      <c r="AX524" s="2">
        <v>36.4</v>
      </c>
      <c r="AY524" s="2">
        <v>0.66</v>
      </c>
      <c r="AZ524" s="2">
        <v>5.6</v>
      </c>
      <c r="BA524" s="2">
        <v>1.5</v>
      </c>
      <c r="BB524" s="2">
        <v>7.5</v>
      </c>
      <c r="BC524" s="2">
        <v>2.9</v>
      </c>
      <c r="BD524" s="2">
        <f>+AN524*EXP(-0.0495*Y524)</f>
        <v>15.223454957258328</v>
      </c>
      <c r="BE524" s="2">
        <f>+AO524*EXP(-0.024*Y524)</f>
        <v>21.739586850746004</v>
      </c>
    </row>
    <row r="525" spans="1:57" x14ac:dyDescent="0.2">
      <c r="A525" s="2" t="s">
        <v>2186</v>
      </c>
      <c r="B525" s="2" t="s">
        <v>19</v>
      </c>
      <c r="C525" s="2" t="s">
        <v>1907</v>
      </c>
      <c r="D525" s="2" t="s">
        <v>21</v>
      </c>
      <c r="E525" s="2" t="s">
        <v>2187</v>
      </c>
      <c r="F525" s="2">
        <v>4</v>
      </c>
      <c r="G525" s="2">
        <v>250</v>
      </c>
      <c r="H525" s="2">
        <v>4</v>
      </c>
      <c r="I525" s="2">
        <v>4</v>
      </c>
      <c r="J525" s="2">
        <v>2</v>
      </c>
      <c r="K525" s="2" t="s">
        <v>61</v>
      </c>
      <c r="L525" s="6" t="s">
        <v>113</v>
      </c>
      <c r="M525" s="5">
        <v>1397000000</v>
      </c>
      <c r="N525" s="2">
        <v>0</v>
      </c>
      <c r="O525" s="2">
        <v>4.6946525570000004</v>
      </c>
      <c r="P525" s="2">
        <v>-74.124359130000002</v>
      </c>
      <c r="Q525" s="2" t="s">
        <v>2188</v>
      </c>
      <c r="R525" s="2">
        <v>5588000</v>
      </c>
      <c r="S525" s="2">
        <v>0</v>
      </c>
      <c r="T525" s="2" t="s">
        <v>49</v>
      </c>
      <c r="U525" s="2" t="s">
        <v>476</v>
      </c>
      <c r="V525" s="2" t="s">
        <v>28</v>
      </c>
      <c r="W525" s="2" t="s">
        <v>49</v>
      </c>
      <c r="X525" s="2" t="s">
        <v>477</v>
      </c>
      <c r="Y525" s="2">
        <v>2.8282450786611002</v>
      </c>
      <c r="Z525" s="2">
        <v>4.6782416666666702</v>
      </c>
      <c r="AA525" s="2">
        <v>-74.143819444444404</v>
      </c>
      <c r="AB525" s="2">
        <v>2551</v>
      </c>
      <c r="AC525" s="2" t="s">
        <v>31</v>
      </c>
      <c r="AD525" s="2" t="s">
        <v>32</v>
      </c>
      <c r="AE525" s="2" t="s">
        <v>33</v>
      </c>
      <c r="AF525" s="2" t="s">
        <v>34</v>
      </c>
      <c r="AG525" s="2" t="s">
        <v>43</v>
      </c>
      <c r="AH525" s="2">
        <v>1.477017589253</v>
      </c>
      <c r="AI525" s="2">
        <v>3.2464484889171499</v>
      </c>
      <c r="AJ525" s="2">
        <v>1.8382949017263499</v>
      </c>
      <c r="AK525" s="2">
        <v>0.42329788250661299</v>
      </c>
      <c r="AL525" s="2">
        <v>0.283699423134321</v>
      </c>
      <c r="AM525" s="2">
        <v>15.8</v>
      </c>
      <c r="AN525" s="2">
        <v>17.100000000000001</v>
      </c>
      <c r="AO525" s="2">
        <v>23</v>
      </c>
      <c r="AP525" s="2">
        <v>565</v>
      </c>
      <c r="AQ525" s="2">
        <v>68</v>
      </c>
      <c r="AR525" s="2">
        <v>2.2999999999999998</v>
      </c>
      <c r="AS525" s="2">
        <v>68</v>
      </c>
      <c r="AT525" s="2">
        <v>17.600000000000001</v>
      </c>
      <c r="AU525" s="2">
        <v>162</v>
      </c>
      <c r="AV525" s="2">
        <v>19.7</v>
      </c>
      <c r="AW525" s="2">
        <v>16.7</v>
      </c>
      <c r="AX525" s="2">
        <v>36.4</v>
      </c>
      <c r="AY525" s="2">
        <v>0.66</v>
      </c>
      <c r="AZ525" s="2">
        <v>5.6</v>
      </c>
      <c r="BA525" s="2">
        <v>1.5</v>
      </c>
      <c r="BB525" s="2">
        <v>7.5</v>
      </c>
      <c r="BC525" s="2">
        <v>2.9</v>
      </c>
      <c r="BD525" s="2">
        <f>+AN525*EXP(-0.0495*Y525)</f>
        <v>14.866053604094683</v>
      </c>
      <c r="BE525" s="2">
        <f>+AO525*EXP(-0.024*Y525)</f>
        <v>21.490615125387155</v>
      </c>
    </row>
    <row r="526" spans="1:57" x14ac:dyDescent="0.2">
      <c r="A526" s="2" t="s">
        <v>2674</v>
      </c>
      <c r="B526" s="2" t="s">
        <v>19</v>
      </c>
      <c r="C526" s="2" t="s">
        <v>1907</v>
      </c>
      <c r="D526" s="2" t="s">
        <v>21</v>
      </c>
      <c r="E526" s="2" t="s">
        <v>2675</v>
      </c>
      <c r="F526" s="2">
        <v>4</v>
      </c>
      <c r="G526" s="2">
        <v>200</v>
      </c>
      <c r="H526" s="2">
        <v>5</v>
      </c>
      <c r="I526" s="2">
        <v>3</v>
      </c>
      <c r="J526" s="2">
        <v>3</v>
      </c>
      <c r="K526" s="2" t="s">
        <v>61</v>
      </c>
      <c r="L526" s="6" t="s">
        <v>113</v>
      </c>
      <c r="M526" s="5">
        <v>890000000</v>
      </c>
      <c r="N526" s="2">
        <v>0</v>
      </c>
      <c r="O526" s="2">
        <v>4.6633535999999998</v>
      </c>
      <c r="P526" s="2">
        <v>-74.127148800000001</v>
      </c>
      <c r="Q526" s="2" t="s">
        <v>2676</v>
      </c>
      <c r="R526" s="2">
        <v>4450000</v>
      </c>
      <c r="S526" s="2">
        <v>0</v>
      </c>
      <c r="T526" s="2" t="s">
        <v>47</v>
      </c>
      <c r="U526" s="2" t="s">
        <v>48</v>
      </c>
      <c r="V526" s="2" t="s">
        <v>28</v>
      </c>
      <c r="W526" s="2" t="s">
        <v>49</v>
      </c>
      <c r="X526" s="2" t="s">
        <v>50</v>
      </c>
      <c r="Y526" s="2">
        <v>2.4247381309621998</v>
      </c>
      <c r="Z526" s="2">
        <v>4.6680000000000001</v>
      </c>
      <c r="AA526" s="2">
        <v>-74.148499999999999</v>
      </c>
      <c r="AB526" s="2">
        <v>2547</v>
      </c>
      <c r="AC526" s="2" t="s">
        <v>31</v>
      </c>
      <c r="AD526" s="2" t="s">
        <v>51</v>
      </c>
      <c r="AE526" s="2" t="s">
        <v>33</v>
      </c>
      <c r="AF526" s="2" t="s">
        <v>34</v>
      </c>
      <c r="AG526" s="2" t="s">
        <v>43</v>
      </c>
      <c r="AH526" s="2">
        <v>1.6599847292983401</v>
      </c>
      <c r="AI526" s="2">
        <v>3.3739052492994701</v>
      </c>
      <c r="AJ526" s="2">
        <v>2.33848322549265</v>
      </c>
      <c r="AK526" s="2">
        <v>0.35241925267041702</v>
      </c>
      <c r="AL526" s="2">
        <v>0.15687291479628901</v>
      </c>
      <c r="AM526" s="2">
        <v>15.8</v>
      </c>
      <c r="AN526" s="2">
        <v>17.100000000000001</v>
      </c>
      <c r="AO526" s="2">
        <v>23</v>
      </c>
      <c r="AP526" s="2">
        <v>565</v>
      </c>
      <c r="AQ526" s="2">
        <v>68</v>
      </c>
      <c r="AR526" s="2">
        <v>2.2999999999999998</v>
      </c>
      <c r="AS526" s="2">
        <v>68</v>
      </c>
      <c r="AT526" s="2">
        <v>17.600000000000001</v>
      </c>
      <c r="AU526" s="2">
        <v>162</v>
      </c>
      <c r="AV526" s="2">
        <v>19.7</v>
      </c>
      <c r="AW526" s="2">
        <v>16.7</v>
      </c>
      <c r="AX526" s="2">
        <v>36.4</v>
      </c>
      <c r="AY526" s="2">
        <v>0.66</v>
      </c>
      <c r="AZ526" s="2">
        <v>5.6</v>
      </c>
      <c r="BA526" s="2">
        <v>1.5</v>
      </c>
      <c r="BB526" s="2">
        <v>7.5</v>
      </c>
      <c r="BC526" s="2">
        <v>2.9</v>
      </c>
      <c r="BD526" s="2">
        <f>+AN526*EXP(-0.0495*Y526)</f>
        <v>15.165967328637857</v>
      </c>
      <c r="BE526" s="2">
        <f>+AO526*EXP(-0.024*Y526)</f>
        <v>21.699744814700715</v>
      </c>
    </row>
    <row r="527" spans="1:57" x14ac:dyDescent="0.2">
      <c r="A527" s="2" t="s">
        <v>2991</v>
      </c>
      <c r="B527" s="2" t="s">
        <v>19</v>
      </c>
      <c r="C527" s="2" t="s">
        <v>1907</v>
      </c>
      <c r="D527" s="2" t="s">
        <v>21</v>
      </c>
      <c r="E527" s="2" t="s">
        <v>122</v>
      </c>
      <c r="F527" s="2">
        <v>5</v>
      </c>
      <c r="G527" s="2">
        <v>200</v>
      </c>
      <c r="H527" s="2">
        <v>4</v>
      </c>
      <c r="I527" s="2">
        <v>3</v>
      </c>
      <c r="J527" s="2">
        <v>2</v>
      </c>
      <c r="K527" s="2" t="s">
        <v>61</v>
      </c>
      <c r="L527" s="6" t="s">
        <v>113</v>
      </c>
      <c r="M527" s="5">
        <v>820000000</v>
      </c>
      <c r="N527" s="2">
        <v>0</v>
      </c>
      <c r="O527" s="2">
        <v>4.6714000000000002</v>
      </c>
      <c r="P527" s="2">
        <v>-74.118189999999998</v>
      </c>
      <c r="Q527" s="2" t="s">
        <v>2992</v>
      </c>
      <c r="R527" s="2">
        <v>4100000</v>
      </c>
      <c r="S527" s="2">
        <v>0</v>
      </c>
      <c r="T527" s="2" t="s">
        <v>49</v>
      </c>
      <c r="U527" s="2" t="s">
        <v>476</v>
      </c>
      <c r="V527" s="2" t="s">
        <v>28</v>
      </c>
      <c r="W527" s="2" t="s">
        <v>49</v>
      </c>
      <c r="X527" s="2" t="s">
        <v>477</v>
      </c>
      <c r="Y527" s="2">
        <v>2.9437927034342701</v>
      </c>
      <c r="Z527" s="2">
        <v>4.6782416666666702</v>
      </c>
      <c r="AA527" s="2">
        <v>-74.143819444444404</v>
      </c>
      <c r="AB527" s="2">
        <v>2551</v>
      </c>
      <c r="AC527" s="2" t="s">
        <v>31</v>
      </c>
      <c r="AD527" s="2" t="s">
        <v>32</v>
      </c>
      <c r="AE527" s="2" t="s">
        <v>33</v>
      </c>
      <c r="AF527" s="2" t="s">
        <v>34</v>
      </c>
      <c r="AG527" s="2" t="s">
        <v>43</v>
      </c>
      <c r="AH527" s="2">
        <v>0.41693430957668798</v>
      </c>
      <c r="AI527" s="2">
        <v>4.4168663750516703</v>
      </c>
      <c r="AJ527" s="2">
        <v>1.96076222510931</v>
      </c>
      <c r="AK527" s="2">
        <v>0.29190279887174603</v>
      </c>
      <c r="AL527" s="2">
        <v>0.15639431205704901</v>
      </c>
      <c r="AM527" s="2">
        <v>15.8</v>
      </c>
      <c r="AN527" s="2">
        <v>17.100000000000001</v>
      </c>
      <c r="AO527" s="2">
        <v>23</v>
      </c>
      <c r="AP527" s="2">
        <v>565</v>
      </c>
      <c r="AQ527" s="2">
        <v>68</v>
      </c>
      <c r="AR527" s="2">
        <v>2.2999999999999998</v>
      </c>
      <c r="AS527" s="2">
        <v>68</v>
      </c>
      <c r="AT527" s="2">
        <v>17.600000000000001</v>
      </c>
      <c r="AU527" s="2">
        <v>162</v>
      </c>
      <c r="AV527" s="2">
        <v>19.7</v>
      </c>
      <c r="AW527" s="2">
        <v>16.7</v>
      </c>
      <c r="AX527" s="2">
        <v>36.4</v>
      </c>
      <c r="AY527" s="2">
        <v>0.66</v>
      </c>
      <c r="AZ527" s="2">
        <v>5.6</v>
      </c>
      <c r="BA527" s="2">
        <v>1.5</v>
      </c>
      <c r="BB527" s="2">
        <v>7.5</v>
      </c>
      <c r="BC527" s="2">
        <v>2.9</v>
      </c>
      <c r="BD527" s="2">
        <f>+AN527*EXP(-0.0495*Y527)</f>
        <v>14.781268313927052</v>
      </c>
      <c r="BE527" s="2">
        <f>+AO527*EXP(-0.024*Y527)</f>
        <v>21.431101135146186</v>
      </c>
    </row>
    <row r="528" spans="1:57" x14ac:dyDescent="0.2">
      <c r="A528" s="2" t="s">
        <v>2198</v>
      </c>
      <c r="B528" s="2" t="s">
        <v>19</v>
      </c>
      <c r="C528" s="2" t="s">
        <v>1907</v>
      </c>
      <c r="D528" s="2" t="s">
        <v>21</v>
      </c>
      <c r="E528" s="2" t="s">
        <v>2199</v>
      </c>
      <c r="F528" s="2">
        <v>3</v>
      </c>
      <c r="G528" s="2">
        <v>180</v>
      </c>
      <c r="H528" s="2">
        <v>5</v>
      </c>
      <c r="I528" s="2">
        <v>3</v>
      </c>
      <c r="J528" s="2">
        <v>1</v>
      </c>
      <c r="K528" s="2" t="s">
        <v>61</v>
      </c>
      <c r="L528" s="6" t="s">
        <v>113</v>
      </c>
      <c r="M528" s="5">
        <v>490000000</v>
      </c>
      <c r="N528" s="2">
        <v>0</v>
      </c>
      <c r="O528" s="2">
        <v>4.6978931429999999</v>
      </c>
      <c r="P528" s="2">
        <v>-74.120048519999997</v>
      </c>
      <c r="Q528" s="2" t="s">
        <v>2200</v>
      </c>
      <c r="R528" s="2">
        <v>2722222.2220000001</v>
      </c>
      <c r="S528" s="2">
        <v>0</v>
      </c>
      <c r="T528" s="2" t="s">
        <v>49</v>
      </c>
      <c r="U528" s="2" t="s">
        <v>476</v>
      </c>
      <c r="V528" s="2" t="s">
        <v>28</v>
      </c>
      <c r="W528" s="2" t="s">
        <v>49</v>
      </c>
      <c r="X528" s="2" t="s">
        <v>477</v>
      </c>
      <c r="Y528" s="2">
        <v>3.4265123251021001</v>
      </c>
      <c r="Z528" s="2">
        <v>4.6782416666666702</v>
      </c>
      <c r="AA528" s="2">
        <v>-74.143819444444404</v>
      </c>
      <c r="AB528" s="2">
        <v>2551</v>
      </c>
      <c r="AC528" s="2" t="s">
        <v>31</v>
      </c>
      <c r="AD528" s="2" t="s">
        <v>32</v>
      </c>
      <c r="AE528" s="2" t="s">
        <v>33</v>
      </c>
      <c r="AF528" s="2" t="s">
        <v>34</v>
      </c>
      <c r="AG528" s="2" t="s">
        <v>363</v>
      </c>
      <c r="AH528" s="2">
        <v>1.58906530990648</v>
      </c>
      <c r="AI528" s="2">
        <v>2.9995104024796801</v>
      </c>
      <c r="AJ528" s="2">
        <v>1.47154916301021</v>
      </c>
      <c r="AK528" s="2">
        <v>0.26947243753189298</v>
      </c>
      <c r="AL528" s="2">
        <v>0.14554393770333099</v>
      </c>
      <c r="AM528" s="2">
        <v>15.8</v>
      </c>
      <c r="AN528" s="2">
        <v>17.100000000000001</v>
      </c>
      <c r="AO528" s="2">
        <v>23</v>
      </c>
      <c r="AP528" s="2">
        <v>565</v>
      </c>
      <c r="AQ528" s="2">
        <v>68</v>
      </c>
      <c r="AR528" s="2">
        <v>2.2999999999999998</v>
      </c>
      <c r="AS528" s="2">
        <v>68</v>
      </c>
      <c r="AT528" s="2">
        <v>17.600000000000001</v>
      </c>
      <c r="AU528" s="2">
        <v>162</v>
      </c>
      <c r="AV528" s="2">
        <v>19.7</v>
      </c>
      <c r="AW528" s="2">
        <v>16.7</v>
      </c>
      <c r="AX528" s="2">
        <v>36.4</v>
      </c>
      <c r="AY528" s="2">
        <v>0.66</v>
      </c>
      <c r="AZ528" s="2">
        <v>5.6</v>
      </c>
      <c r="BA528" s="2">
        <v>1.5</v>
      </c>
      <c r="BB528" s="2">
        <v>7.5</v>
      </c>
      <c r="BC528" s="2">
        <v>2.9</v>
      </c>
      <c r="BD528" s="2">
        <f>+AN528*EXP(-0.0495*Y528)</f>
        <v>14.432261800237011</v>
      </c>
      <c r="BE528" s="2">
        <f>+AO528*EXP(-0.024*Y528)</f>
        <v>21.184248709502569</v>
      </c>
    </row>
    <row r="529" spans="1:57" x14ac:dyDescent="0.2">
      <c r="A529" s="2" t="s">
        <v>2726</v>
      </c>
      <c r="B529" s="2" t="s">
        <v>19</v>
      </c>
      <c r="C529" s="2" t="s">
        <v>1907</v>
      </c>
      <c r="D529" s="2" t="s">
        <v>21</v>
      </c>
      <c r="E529" s="2" t="s">
        <v>1308</v>
      </c>
      <c r="F529" s="2">
        <v>2</v>
      </c>
      <c r="G529" s="2">
        <v>170</v>
      </c>
      <c r="H529" s="2">
        <v>3</v>
      </c>
      <c r="I529" s="2">
        <v>3</v>
      </c>
      <c r="J529" s="2">
        <v>1</v>
      </c>
      <c r="K529" s="2" t="s">
        <v>61</v>
      </c>
      <c r="L529" s="6" t="s">
        <v>62</v>
      </c>
      <c r="M529" s="5">
        <v>420000000</v>
      </c>
      <c r="N529" s="2">
        <v>0</v>
      </c>
      <c r="O529" s="2">
        <v>4.6499509809999999</v>
      </c>
      <c r="P529" s="2">
        <v>-74.14043427</v>
      </c>
      <c r="Q529" s="2" t="s">
        <v>2727</v>
      </c>
      <c r="R529" s="2">
        <v>2470588.2349999999</v>
      </c>
      <c r="S529" s="2">
        <v>0</v>
      </c>
      <c r="T529" s="2" t="s">
        <v>47</v>
      </c>
      <c r="U529" s="2" t="s">
        <v>48</v>
      </c>
      <c r="V529" s="2" t="s">
        <v>28</v>
      </c>
      <c r="W529" s="2" t="s">
        <v>49</v>
      </c>
      <c r="X529" s="2" t="s">
        <v>50</v>
      </c>
      <c r="Y529" s="2">
        <v>2.19949364775391</v>
      </c>
      <c r="Z529" s="2">
        <v>4.6680000000000001</v>
      </c>
      <c r="AA529" s="2">
        <v>-74.148499999999999</v>
      </c>
      <c r="AB529" s="2">
        <v>2547</v>
      </c>
      <c r="AC529" s="2" t="s">
        <v>31</v>
      </c>
      <c r="AD529" s="2" t="s">
        <v>51</v>
      </c>
      <c r="AE529" s="2" t="s">
        <v>33</v>
      </c>
      <c r="AF529" s="2" t="s">
        <v>34</v>
      </c>
      <c r="AG529" s="2" t="s">
        <v>172</v>
      </c>
      <c r="AH529" s="2">
        <v>2.11160952099234</v>
      </c>
      <c r="AI529" s="2">
        <v>2.2235053059765799</v>
      </c>
      <c r="AJ529" s="2">
        <v>2.2237273982233101</v>
      </c>
      <c r="AK529" s="2">
        <v>0.59256680459234901</v>
      </c>
      <c r="AL529" s="2">
        <v>0.16357664492709401</v>
      </c>
      <c r="AM529" s="2">
        <v>15.8</v>
      </c>
      <c r="AN529" s="2">
        <v>17.100000000000001</v>
      </c>
      <c r="AO529" s="2">
        <v>23</v>
      </c>
      <c r="AP529" s="2">
        <v>565</v>
      </c>
      <c r="AQ529" s="2">
        <v>68</v>
      </c>
      <c r="AR529" s="2">
        <v>2.2999999999999998</v>
      </c>
      <c r="AS529" s="2">
        <v>68</v>
      </c>
      <c r="AT529" s="2">
        <v>17.600000000000001</v>
      </c>
      <c r="AU529" s="2">
        <v>162</v>
      </c>
      <c r="AV529" s="2">
        <v>19.7</v>
      </c>
      <c r="AW529" s="2">
        <v>16.7</v>
      </c>
      <c r="AX529" s="2">
        <v>36.4</v>
      </c>
      <c r="AY529" s="2">
        <v>0.66</v>
      </c>
      <c r="AZ529" s="2">
        <v>5.6</v>
      </c>
      <c r="BA529" s="2">
        <v>1.5</v>
      </c>
      <c r="BB529" s="2">
        <v>7.5</v>
      </c>
      <c r="BC529" s="2">
        <v>2.9</v>
      </c>
      <c r="BD529" s="2">
        <f>+AN529*EXP(-0.0495*Y529)</f>
        <v>15.336008008483564</v>
      </c>
      <c r="BE529" s="2">
        <f>+AO529*EXP(-0.024*Y529)</f>
        <v>21.817368404387047</v>
      </c>
    </row>
    <row r="530" spans="1:57" x14ac:dyDescent="0.2">
      <c r="A530" s="2" t="s">
        <v>2426</v>
      </c>
      <c r="B530" s="2" t="s">
        <v>19</v>
      </c>
      <c r="C530" s="2" t="s">
        <v>1907</v>
      </c>
      <c r="D530" s="2" t="s">
        <v>21</v>
      </c>
      <c r="E530" s="2" t="s">
        <v>122</v>
      </c>
      <c r="F530" s="2">
        <v>4</v>
      </c>
      <c r="G530" s="2">
        <v>160</v>
      </c>
      <c r="H530" s="2">
        <v>4</v>
      </c>
      <c r="I530" s="2">
        <v>3</v>
      </c>
      <c r="J530" s="2">
        <v>2</v>
      </c>
      <c r="K530" s="2" t="s">
        <v>61</v>
      </c>
      <c r="L530" s="6" t="s">
        <v>75</v>
      </c>
      <c r="M530" s="5">
        <v>1000000000</v>
      </c>
      <c r="N530" s="2">
        <v>0</v>
      </c>
      <c r="O530" s="2">
        <v>4.6648716930000003</v>
      </c>
      <c r="P530" s="2">
        <v>-74.116088869999999</v>
      </c>
      <c r="Q530" s="2" t="s">
        <v>2427</v>
      </c>
      <c r="R530" s="2">
        <v>6250000</v>
      </c>
      <c r="S530" s="2">
        <v>0</v>
      </c>
      <c r="T530" s="2" t="s">
        <v>49</v>
      </c>
      <c r="U530" s="2" t="s">
        <v>476</v>
      </c>
      <c r="V530" s="2" t="s">
        <v>28</v>
      </c>
      <c r="W530" s="2" t="s">
        <v>49</v>
      </c>
      <c r="X530" s="2" t="s">
        <v>477</v>
      </c>
      <c r="Y530" s="2">
        <v>3.4177806938029298</v>
      </c>
      <c r="Z530" s="2">
        <v>4.6782416666666702</v>
      </c>
      <c r="AA530" s="2">
        <v>-74.143819444444404</v>
      </c>
      <c r="AB530" s="2">
        <v>2551</v>
      </c>
      <c r="AC530" s="2" t="s">
        <v>31</v>
      </c>
      <c r="AD530" s="2" t="s">
        <v>32</v>
      </c>
      <c r="AE530" s="2" t="s">
        <v>33</v>
      </c>
      <c r="AF530" s="2" t="s">
        <v>34</v>
      </c>
      <c r="AG530" s="2" t="s">
        <v>43</v>
      </c>
      <c r="AH530" s="2">
        <v>0.55320343135838301</v>
      </c>
      <c r="AI530" s="2">
        <v>4.6034994482287903</v>
      </c>
      <c r="AJ530" s="2">
        <v>1.2913844940769801</v>
      </c>
      <c r="AK530" s="2">
        <v>5.86339351141658E-2</v>
      </c>
      <c r="AL530" s="2">
        <v>0.37671231297514202</v>
      </c>
      <c r="AM530" s="2">
        <v>15.8</v>
      </c>
      <c r="AN530" s="2">
        <v>17.100000000000001</v>
      </c>
      <c r="AO530" s="2">
        <v>23</v>
      </c>
      <c r="AP530" s="2">
        <v>565</v>
      </c>
      <c r="AQ530" s="2">
        <v>68</v>
      </c>
      <c r="AR530" s="2">
        <v>2.2999999999999998</v>
      </c>
      <c r="AS530" s="2">
        <v>68</v>
      </c>
      <c r="AT530" s="2">
        <v>17.600000000000001</v>
      </c>
      <c r="AU530" s="2">
        <v>162</v>
      </c>
      <c r="AV530" s="2">
        <v>19.7</v>
      </c>
      <c r="AW530" s="2">
        <v>16.7</v>
      </c>
      <c r="AX530" s="2">
        <v>36.4</v>
      </c>
      <c r="AY530" s="2">
        <v>0.66</v>
      </c>
      <c r="AZ530" s="2">
        <v>5.6</v>
      </c>
      <c r="BA530" s="2">
        <v>1.5</v>
      </c>
      <c r="BB530" s="2">
        <v>7.5</v>
      </c>
      <c r="BC530" s="2">
        <v>2.9</v>
      </c>
      <c r="BD530" s="2">
        <f>+AN530*EXP(-0.0495*Y530)</f>
        <v>14.438500999328149</v>
      </c>
      <c r="BE530" s="2">
        <f>+AO530*EXP(-0.024*Y530)</f>
        <v>21.188688527866553</v>
      </c>
    </row>
    <row r="531" spans="1:57" x14ac:dyDescent="0.2">
      <c r="A531" s="2" t="s">
        <v>3197</v>
      </c>
      <c r="B531" s="2" t="s">
        <v>19</v>
      </c>
      <c r="C531" s="2" t="s">
        <v>1907</v>
      </c>
      <c r="D531" s="2" t="s">
        <v>21</v>
      </c>
      <c r="E531" s="2" t="s">
        <v>3198</v>
      </c>
      <c r="F531" s="2">
        <v>3</v>
      </c>
      <c r="G531" s="2">
        <v>140</v>
      </c>
      <c r="H531" s="2">
        <v>4</v>
      </c>
      <c r="I531" s="2">
        <v>2</v>
      </c>
      <c r="J531" s="2">
        <v>2</v>
      </c>
      <c r="K531" s="2" t="s">
        <v>61</v>
      </c>
      <c r="L531" s="6" t="s">
        <v>75</v>
      </c>
      <c r="M531" s="5">
        <v>590000000</v>
      </c>
      <c r="N531" s="2">
        <v>0</v>
      </c>
      <c r="O531" s="2">
        <v>4.6812558170000003</v>
      </c>
      <c r="P531" s="2">
        <v>-74.115737920000001</v>
      </c>
      <c r="Q531" s="2" t="s">
        <v>3199</v>
      </c>
      <c r="R531" s="2">
        <v>4214285.7139999997</v>
      </c>
      <c r="S531" s="2">
        <v>0</v>
      </c>
      <c r="T531" s="2" t="s">
        <v>49</v>
      </c>
      <c r="U531" s="2" t="s">
        <v>476</v>
      </c>
      <c r="V531" s="2" t="s">
        <v>28</v>
      </c>
      <c r="W531" s="2" t="s">
        <v>49</v>
      </c>
      <c r="X531" s="2" t="s">
        <v>477</v>
      </c>
      <c r="Y531" s="2">
        <v>3.1336152595909499</v>
      </c>
      <c r="Z531" s="2">
        <v>4.6782416666666702</v>
      </c>
      <c r="AA531" s="2">
        <v>-74.143819444444404</v>
      </c>
      <c r="AB531" s="2">
        <v>2551</v>
      </c>
      <c r="AC531" s="2" t="s">
        <v>31</v>
      </c>
      <c r="AD531" s="2" t="s">
        <v>32</v>
      </c>
      <c r="AE531" s="2" t="s">
        <v>33</v>
      </c>
      <c r="AF531" s="2" t="s">
        <v>34</v>
      </c>
      <c r="AG531" s="2" t="s">
        <v>363</v>
      </c>
      <c r="AH531" s="2">
        <v>0.628911863919839</v>
      </c>
      <c r="AI531" s="2">
        <v>4.8984784812609501</v>
      </c>
      <c r="AJ531" s="2">
        <v>1.5135121304509001</v>
      </c>
      <c r="AK531" s="2">
        <v>0.79308469363054201</v>
      </c>
      <c r="AL531" s="2">
        <v>0.14971141089172599</v>
      </c>
      <c r="AM531" s="2">
        <v>15.8</v>
      </c>
      <c r="AN531" s="2">
        <v>17.100000000000001</v>
      </c>
      <c r="AO531" s="2">
        <v>23</v>
      </c>
      <c r="AP531" s="2">
        <v>565</v>
      </c>
      <c r="AQ531" s="2">
        <v>68</v>
      </c>
      <c r="AR531" s="2">
        <v>2.2999999999999998</v>
      </c>
      <c r="AS531" s="2">
        <v>68</v>
      </c>
      <c r="AT531" s="2">
        <v>17.600000000000001</v>
      </c>
      <c r="AU531" s="2">
        <v>162</v>
      </c>
      <c r="AV531" s="2">
        <v>19.7</v>
      </c>
      <c r="AW531" s="2">
        <v>16.7</v>
      </c>
      <c r="AX531" s="2">
        <v>36.4</v>
      </c>
      <c r="AY531" s="2">
        <v>0.66</v>
      </c>
      <c r="AZ531" s="2">
        <v>5.6</v>
      </c>
      <c r="BA531" s="2">
        <v>1.5</v>
      </c>
      <c r="BB531" s="2">
        <v>7.5</v>
      </c>
      <c r="BC531" s="2">
        <v>2.9</v>
      </c>
      <c r="BD531" s="2">
        <f>+AN531*EXP(-0.0495*Y531)</f>
        <v>14.643030788195388</v>
      </c>
      <c r="BE531" s="2">
        <f>+AO531*EXP(-0.024*Y531)</f>
        <v>21.333688643116801</v>
      </c>
    </row>
    <row r="532" spans="1:57" x14ac:dyDescent="0.2">
      <c r="A532" s="2" t="s">
        <v>2625</v>
      </c>
      <c r="B532" s="2" t="s">
        <v>19</v>
      </c>
      <c r="C532" s="2" t="s">
        <v>1907</v>
      </c>
      <c r="D532" s="2" t="s">
        <v>21</v>
      </c>
      <c r="E532" s="2" t="s">
        <v>2626</v>
      </c>
      <c r="F532" s="2">
        <v>4</v>
      </c>
      <c r="G532" s="2">
        <v>138</v>
      </c>
      <c r="H532" s="2">
        <v>4</v>
      </c>
      <c r="I532" s="2">
        <v>3</v>
      </c>
      <c r="J532" s="2">
        <v>2</v>
      </c>
      <c r="K532" s="2" t="s">
        <v>61</v>
      </c>
      <c r="L532" s="6" t="s">
        <v>113</v>
      </c>
      <c r="M532" s="5">
        <v>700000000</v>
      </c>
      <c r="N532" s="2">
        <v>0</v>
      </c>
      <c r="O532" s="2">
        <v>4.6686357999999997</v>
      </c>
      <c r="P532" s="2">
        <v>-74.130108699999994</v>
      </c>
      <c r="Q532" s="2" t="s">
        <v>2627</v>
      </c>
      <c r="R532" s="2">
        <v>5072463.7680000002</v>
      </c>
      <c r="S532" s="2">
        <v>0</v>
      </c>
      <c r="T532" s="2" t="s">
        <v>49</v>
      </c>
      <c r="U532" s="2" t="s">
        <v>476</v>
      </c>
      <c r="V532" s="2" t="s">
        <v>28</v>
      </c>
      <c r="W532" s="2" t="s">
        <v>49</v>
      </c>
      <c r="X532" s="2" t="s">
        <v>477</v>
      </c>
      <c r="Y532" s="2">
        <v>1.8594329634112301</v>
      </c>
      <c r="Z532" s="2">
        <v>4.6782416666666702</v>
      </c>
      <c r="AA532" s="2">
        <v>-74.143819444444404</v>
      </c>
      <c r="AB532" s="2">
        <v>2551</v>
      </c>
      <c r="AC532" s="2" t="s">
        <v>31</v>
      </c>
      <c r="AD532" s="2" t="s">
        <v>32</v>
      </c>
      <c r="AE532" s="2" t="s">
        <v>33</v>
      </c>
      <c r="AF532" s="2" t="s">
        <v>34</v>
      </c>
      <c r="AG532" s="2" t="s">
        <v>43</v>
      </c>
      <c r="AH532" s="2">
        <v>1.6013083388804299</v>
      </c>
      <c r="AI532" s="2">
        <v>3.0749938620921502</v>
      </c>
      <c r="AJ532" s="2">
        <v>1.6989205514526</v>
      </c>
      <c r="AK532" s="2">
        <v>0.54586158603437096</v>
      </c>
      <c r="AL532" s="2">
        <v>0.496714281020328</v>
      </c>
      <c r="AM532" s="2">
        <v>15.8</v>
      </c>
      <c r="AN532" s="2">
        <v>17.100000000000001</v>
      </c>
      <c r="AO532" s="2">
        <v>23</v>
      </c>
      <c r="AP532" s="2">
        <v>565</v>
      </c>
      <c r="AQ532" s="2">
        <v>68</v>
      </c>
      <c r="AR532" s="2">
        <v>2.2999999999999998</v>
      </c>
      <c r="AS532" s="2">
        <v>68</v>
      </c>
      <c r="AT532" s="2">
        <v>17.600000000000001</v>
      </c>
      <c r="AU532" s="2">
        <v>162</v>
      </c>
      <c r="AV532" s="2">
        <v>19.7</v>
      </c>
      <c r="AW532" s="2">
        <v>16.7</v>
      </c>
      <c r="AX532" s="2">
        <v>36.4</v>
      </c>
      <c r="AY532" s="2">
        <v>0.66</v>
      </c>
      <c r="AZ532" s="2">
        <v>5.6</v>
      </c>
      <c r="BA532" s="2">
        <v>1.5</v>
      </c>
      <c r="BB532" s="2">
        <v>7.5</v>
      </c>
      <c r="BC532" s="2">
        <v>2.9</v>
      </c>
      <c r="BD532" s="2">
        <f>+AN532*EXP(-0.0495*Y532)</f>
        <v>15.596344062463075</v>
      </c>
      <c r="BE532" s="2">
        <f>+AO532*EXP(-0.024*Y532)</f>
        <v>21.996158507304127</v>
      </c>
    </row>
    <row r="533" spans="1:57" x14ac:dyDescent="0.2">
      <c r="A533" s="2" t="s">
        <v>2606</v>
      </c>
      <c r="B533" s="2" t="s">
        <v>19</v>
      </c>
      <c r="C533" s="2" t="s">
        <v>1907</v>
      </c>
      <c r="D533" s="2" t="s">
        <v>21</v>
      </c>
      <c r="E533" s="2" t="s">
        <v>2607</v>
      </c>
      <c r="F533" s="2">
        <v>2</v>
      </c>
      <c r="G533" s="2">
        <v>135</v>
      </c>
      <c r="H533" s="2">
        <v>5</v>
      </c>
      <c r="I533" s="2">
        <v>3</v>
      </c>
      <c r="J533" s="2">
        <v>1</v>
      </c>
      <c r="K533" s="2" t="s">
        <v>61</v>
      </c>
      <c r="L533" s="6" t="s">
        <v>62</v>
      </c>
      <c r="M533" s="5">
        <v>370000000</v>
      </c>
      <c r="N533" s="2">
        <v>0</v>
      </c>
      <c r="O533" s="2">
        <v>4.6932577000000002</v>
      </c>
      <c r="P533" s="2">
        <v>-74.170095200000006</v>
      </c>
      <c r="Q533" s="2" t="s">
        <v>2608</v>
      </c>
      <c r="R533" s="2">
        <v>2740740.7409999999</v>
      </c>
      <c r="S533" s="2">
        <v>0</v>
      </c>
      <c r="T533" s="2" t="s">
        <v>49</v>
      </c>
      <c r="U533" s="2" t="s">
        <v>476</v>
      </c>
      <c r="V533" s="2" t="s">
        <v>28</v>
      </c>
      <c r="W533" s="2" t="s">
        <v>49</v>
      </c>
      <c r="X533" s="2" t="s">
        <v>477</v>
      </c>
      <c r="Y533" s="2">
        <v>3.3604645729473299</v>
      </c>
      <c r="Z533" s="2">
        <v>4.6782416666666702</v>
      </c>
      <c r="AA533" s="2">
        <v>-74.143819444444404</v>
      </c>
      <c r="AB533" s="2">
        <v>2551</v>
      </c>
      <c r="AC533" s="2" t="s">
        <v>31</v>
      </c>
      <c r="AD533" s="2" t="s">
        <v>32</v>
      </c>
      <c r="AE533" s="2" t="s">
        <v>33</v>
      </c>
      <c r="AF533" s="2" t="s">
        <v>34</v>
      </c>
      <c r="AG533" s="2" t="s">
        <v>43</v>
      </c>
      <c r="AH533" s="2">
        <v>5.5506998345702696</v>
      </c>
      <c r="AI533" s="2">
        <v>6.86927213503849E-2</v>
      </c>
      <c r="AJ533" s="2">
        <v>3.78962071593795</v>
      </c>
      <c r="AK533" s="2">
        <v>0.95283916654385203</v>
      </c>
      <c r="AL533" s="2">
        <v>0.26708452563705998</v>
      </c>
      <c r="AM533" s="2">
        <v>15.8</v>
      </c>
      <c r="AN533" s="2">
        <v>17.100000000000001</v>
      </c>
      <c r="AO533" s="2">
        <v>23</v>
      </c>
      <c r="AP533" s="2">
        <v>565</v>
      </c>
      <c r="AQ533" s="2">
        <v>68</v>
      </c>
      <c r="AR533" s="2">
        <v>2.2999999999999998</v>
      </c>
      <c r="AS533" s="2">
        <v>68</v>
      </c>
      <c r="AT533" s="2">
        <v>17.600000000000001</v>
      </c>
      <c r="AU533" s="2">
        <v>162</v>
      </c>
      <c r="AV533" s="2">
        <v>19.7</v>
      </c>
      <c r="AW533" s="2">
        <v>16.7</v>
      </c>
      <c r="AX533" s="2">
        <v>36.4</v>
      </c>
      <c r="AY533" s="2">
        <v>0.66</v>
      </c>
      <c r="AZ533" s="2">
        <v>5.6</v>
      </c>
      <c r="BA533" s="2">
        <v>1.5</v>
      </c>
      <c r="BB533" s="2">
        <v>7.5</v>
      </c>
      <c r="BC533" s="2">
        <v>2.9</v>
      </c>
      <c r="BD533" s="2">
        <f>+AN533*EXP(-0.0495*Y533)</f>
        <v>14.47952332899939</v>
      </c>
      <c r="BE533" s="2">
        <f>+AO533*EXP(-0.024*Y533)</f>
        <v>21.217855466475093</v>
      </c>
    </row>
    <row r="534" spans="1:57" x14ac:dyDescent="0.2">
      <c r="A534" s="2" t="s">
        <v>2547</v>
      </c>
      <c r="B534" s="2" t="s">
        <v>19</v>
      </c>
      <c r="C534" s="2" t="s">
        <v>1907</v>
      </c>
      <c r="D534" s="2" t="s">
        <v>21</v>
      </c>
      <c r="E534" s="2" t="s">
        <v>2548</v>
      </c>
      <c r="F534" s="2">
        <v>3</v>
      </c>
      <c r="G534" s="2">
        <v>110</v>
      </c>
      <c r="H534" s="2">
        <v>3</v>
      </c>
      <c r="I534" s="2">
        <v>1</v>
      </c>
      <c r="J534" s="2">
        <v>1</v>
      </c>
      <c r="K534" s="2" t="s">
        <v>61</v>
      </c>
      <c r="L534" s="6" t="s">
        <v>113</v>
      </c>
      <c r="M534" s="5">
        <v>380000000</v>
      </c>
      <c r="N534" s="2">
        <v>0</v>
      </c>
      <c r="O534" s="2">
        <v>4.6967678069999996</v>
      </c>
      <c r="P534" s="2">
        <v>-74.104644780000001</v>
      </c>
      <c r="Q534" s="2" t="s">
        <v>2549</v>
      </c>
      <c r="R534" s="2">
        <v>3454545.4550000001</v>
      </c>
      <c r="S534" s="2">
        <v>0</v>
      </c>
      <c r="T534" s="2" t="s">
        <v>49</v>
      </c>
      <c r="U534" s="2" t="s">
        <v>476</v>
      </c>
      <c r="V534" s="2" t="s">
        <v>28</v>
      </c>
      <c r="W534" s="2" t="s">
        <v>49</v>
      </c>
      <c r="X534" s="2" t="s">
        <v>477</v>
      </c>
      <c r="Y534" s="2">
        <v>4.8107838678486203</v>
      </c>
      <c r="Z534" s="2">
        <v>4.6782416666666702</v>
      </c>
      <c r="AA534" s="2">
        <v>-74.143819444444404</v>
      </c>
      <c r="AB534" s="2">
        <v>2551</v>
      </c>
      <c r="AC534" s="2" t="s">
        <v>31</v>
      </c>
      <c r="AD534" s="2" t="s">
        <v>32</v>
      </c>
      <c r="AE534" s="2" t="s">
        <v>33</v>
      </c>
      <c r="AF534" s="2" t="s">
        <v>34</v>
      </c>
      <c r="AG534" s="2" t="s">
        <v>363</v>
      </c>
      <c r="AH534" s="2">
        <v>0.79504371453580802</v>
      </c>
      <c r="AI534" s="2">
        <v>3.9231290626925701</v>
      </c>
      <c r="AJ534" s="2">
        <v>0.59683576023654505</v>
      </c>
      <c r="AK534" s="2">
        <v>0.16446442401070799</v>
      </c>
      <c r="AL534" s="2">
        <v>0.267473478855626</v>
      </c>
      <c r="AM534" s="2">
        <v>15.8</v>
      </c>
      <c r="AN534" s="2">
        <v>17.100000000000001</v>
      </c>
      <c r="AO534" s="2">
        <v>23</v>
      </c>
      <c r="AP534" s="2">
        <v>565</v>
      </c>
      <c r="AQ534" s="2">
        <v>68</v>
      </c>
      <c r="AR534" s="2">
        <v>2.2999999999999998</v>
      </c>
      <c r="AS534" s="2">
        <v>68</v>
      </c>
      <c r="AT534" s="2">
        <v>17.600000000000001</v>
      </c>
      <c r="AU534" s="2">
        <v>162</v>
      </c>
      <c r="AV534" s="2">
        <v>19.7</v>
      </c>
      <c r="AW534" s="2">
        <v>16.7</v>
      </c>
      <c r="AX534" s="2">
        <v>36.4</v>
      </c>
      <c r="AY534" s="2">
        <v>0.66</v>
      </c>
      <c r="AZ534" s="2">
        <v>5.6</v>
      </c>
      <c r="BA534" s="2">
        <v>1.5</v>
      </c>
      <c r="BB534" s="2">
        <v>7.5</v>
      </c>
      <c r="BC534" s="2">
        <v>2.9</v>
      </c>
      <c r="BD534" s="2">
        <f>+AN534*EXP(-0.0495*Y534)</f>
        <v>13.476462726696338</v>
      </c>
      <c r="BE534" s="2">
        <f>+AO534*EXP(-0.024*Y534)</f>
        <v>20.492017152299439</v>
      </c>
    </row>
    <row r="535" spans="1:57" x14ac:dyDescent="0.2">
      <c r="A535" s="2" t="s">
        <v>2998</v>
      </c>
      <c r="B535" s="2" t="s">
        <v>19</v>
      </c>
      <c r="C535" s="2" t="s">
        <v>1907</v>
      </c>
      <c r="D535" s="2" t="s">
        <v>21</v>
      </c>
      <c r="E535" s="2" t="s">
        <v>2999</v>
      </c>
      <c r="F535" s="2">
        <v>3</v>
      </c>
      <c r="G535" s="2">
        <v>109.8</v>
      </c>
      <c r="H535" s="2">
        <v>3</v>
      </c>
      <c r="I535" s="2">
        <v>3</v>
      </c>
      <c r="J535" s="2">
        <v>1</v>
      </c>
      <c r="K535" s="2" t="s">
        <v>61</v>
      </c>
      <c r="L535" s="6" t="s">
        <v>113</v>
      </c>
      <c r="M535" s="5">
        <v>410000000</v>
      </c>
      <c r="N535" s="2">
        <v>0</v>
      </c>
      <c r="O535" s="2">
        <v>4.6782188419999997</v>
      </c>
      <c r="P535" s="2">
        <v>-74.143638609999996</v>
      </c>
      <c r="Q535" s="2" t="s">
        <v>3000</v>
      </c>
      <c r="R535" s="2">
        <v>3734061.9309999999</v>
      </c>
      <c r="S535" s="2">
        <v>0</v>
      </c>
      <c r="T535" s="2" t="s">
        <v>49</v>
      </c>
      <c r="U535" s="2" t="s">
        <v>476</v>
      </c>
      <c r="V535" s="2" t="s">
        <v>28</v>
      </c>
      <c r="W535" s="2" t="s">
        <v>49</v>
      </c>
      <c r="X535" s="2" t="s">
        <v>477</v>
      </c>
      <c r="Y535" s="2">
        <v>2.02235788497294E-2</v>
      </c>
      <c r="Z535" s="2">
        <v>4.6782416666666702</v>
      </c>
      <c r="AA535" s="2">
        <v>-74.143819444444404</v>
      </c>
      <c r="AB535" s="2">
        <v>2551</v>
      </c>
      <c r="AC535" s="2" t="s">
        <v>31</v>
      </c>
      <c r="AD535" s="2" t="s">
        <v>32</v>
      </c>
      <c r="AE535" s="2" t="s">
        <v>33</v>
      </c>
      <c r="AF535" s="2" t="s">
        <v>34</v>
      </c>
      <c r="AG535" s="2" t="s">
        <v>43</v>
      </c>
      <c r="AH535" s="2">
        <v>2.49463431516069</v>
      </c>
      <c r="AI535" s="2">
        <v>1.95740879351187</v>
      </c>
      <c r="AJ535" s="2">
        <v>0.76053502368320303</v>
      </c>
      <c r="AK535" s="2">
        <v>3.2721931808737101E-2</v>
      </c>
      <c r="AL535" s="2">
        <v>0.30778130936017201</v>
      </c>
      <c r="AM535" s="2">
        <v>15.8</v>
      </c>
      <c r="AN535" s="2">
        <v>17.100000000000001</v>
      </c>
      <c r="AO535" s="2">
        <v>23</v>
      </c>
      <c r="AP535" s="2">
        <v>565</v>
      </c>
      <c r="AQ535" s="2">
        <v>68</v>
      </c>
      <c r="AR535" s="2">
        <v>2.2999999999999998</v>
      </c>
      <c r="AS535" s="2">
        <v>68</v>
      </c>
      <c r="AT535" s="2">
        <v>17.600000000000001</v>
      </c>
      <c r="AU535" s="2">
        <v>162</v>
      </c>
      <c r="AV535" s="2">
        <v>19.7</v>
      </c>
      <c r="AW535" s="2">
        <v>16.7</v>
      </c>
      <c r="AX535" s="2">
        <v>36.4</v>
      </c>
      <c r="AY535" s="2">
        <v>0.66</v>
      </c>
      <c r="AZ535" s="2">
        <v>5.6</v>
      </c>
      <c r="BA535" s="2">
        <v>1.5</v>
      </c>
      <c r="BB535" s="2">
        <v>7.5</v>
      </c>
      <c r="BC535" s="2">
        <v>2.9</v>
      </c>
      <c r="BD535" s="2">
        <f>+AN535*EXP(-0.0495*Y535)</f>
        <v>17.082890317082285</v>
      </c>
      <c r="BE535" s="2">
        <f>+AO535*EXP(-0.024*Y535)</f>
        <v>22.98883929320726</v>
      </c>
    </row>
    <row r="536" spans="1:57" x14ac:dyDescent="0.2">
      <c r="A536" s="2" t="s">
        <v>2038</v>
      </c>
      <c r="B536" s="2" t="s">
        <v>19</v>
      </c>
      <c r="C536" s="2" t="s">
        <v>1907</v>
      </c>
      <c r="D536" s="2" t="s">
        <v>21</v>
      </c>
      <c r="E536" s="2" t="s">
        <v>2039</v>
      </c>
      <c r="F536" s="2">
        <v>4</v>
      </c>
      <c r="G536" s="2">
        <v>106</v>
      </c>
      <c r="H536" s="2">
        <v>3</v>
      </c>
      <c r="I536" s="2">
        <v>2</v>
      </c>
      <c r="J536" s="2">
        <v>2</v>
      </c>
      <c r="K536" s="2" t="s">
        <v>61</v>
      </c>
      <c r="L536" s="6" t="s">
        <v>75</v>
      </c>
      <c r="M536" s="5">
        <v>560000000</v>
      </c>
      <c r="N536" s="2">
        <v>0</v>
      </c>
      <c r="O536" s="2">
        <v>4.6720933999999996</v>
      </c>
      <c r="P536" s="2">
        <v>-74.130210000000005</v>
      </c>
      <c r="Q536" s="2" t="s">
        <v>2040</v>
      </c>
      <c r="R536" s="2">
        <v>5283018.8679999998</v>
      </c>
      <c r="S536" s="2">
        <v>0</v>
      </c>
      <c r="T536" s="2" t="s">
        <v>49</v>
      </c>
      <c r="U536" s="2" t="s">
        <v>476</v>
      </c>
      <c r="V536" s="2" t="s">
        <v>28</v>
      </c>
      <c r="W536" s="2" t="s">
        <v>49</v>
      </c>
      <c r="X536" s="2" t="s">
        <v>477</v>
      </c>
      <c r="Y536" s="2">
        <v>1.6578298125391999</v>
      </c>
      <c r="Z536" s="2">
        <v>4.6782416666666702</v>
      </c>
      <c r="AA536" s="2">
        <v>-74.143819444444404</v>
      </c>
      <c r="AB536" s="2">
        <v>2551</v>
      </c>
      <c r="AC536" s="2" t="s">
        <v>31</v>
      </c>
      <c r="AD536" s="2" t="s">
        <v>32</v>
      </c>
      <c r="AE536" s="2" t="s">
        <v>33</v>
      </c>
      <c r="AF536" s="2" t="s">
        <v>34</v>
      </c>
      <c r="AG536" s="2" t="s">
        <v>43</v>
      </c>
      <c r="AH536" s="2">
        <v>1.43654357021495</v>
      </c>
      <c r="AI536" s="2">
        <v>3.10617672851108</v>
      </c>
      <c r="AJ536" s="2">
        <v>1.37570059396282</v>
      </c>
      <c r="AK536" s="2">
        <v>0.57075762897945403</v>
      </c>
      <c r="AL536" s="2">
        <v>0.72552339315860503</v>
      </c>
      <c r="AM536" s="2">
        <v>15.8</v>
      </c>
      <c r="AN536" s="2">
        <v>17.100000000000001</v>
      </c>
      <c r="AO536" s="2">
        <v>23</v>
      </c>
      <c r="AP536" s="2">
        <v>565</v>
      </c>
      <c r="AQ536" s="2">
        <v>68</v>
      </c>
      <c r="AR536" s="2">
        <v>2.2999999999999998</v>
      </c>
      <c r="AS536" s="2">
        <v>68</v>
      </c>
      <c r="AT536" s="2">
        <v>17.600000000000001</v>
      </c>
      <c r="AU536" s="2">
        <v>162</v>
      </c>
      <c r="AV536" s="2">
        <v>19.7</v>
      </c>
      <c r="AW536" s="2">
        <v>16.7</v>
      </c>
      <c r="AX536" s="2">
        <v>36.4</v>
      </c>
      <c r="AY536" s="2">
        <v>0.66</v>
      </c>
      <c r="AZ536" s="2">
        <v>5.6</v>
      </c>
      <c r="BA536" s="2">
        <v>1.5</v>
      </c>
      <c r="BB536" s="2">
        <v>7.5</v>
      </c>
      <c r="BC536" s="2">
        <v>2.9</v>
      </c>
      <c r="BD536" s="2">
        <f>+AN536*EXP(-0.0495*Y536)</f>
        <v>15.752764722259844</v>
      </c>
      <c r="BE536" s="2">
        <f>+AO536*EXP(-0.024*Y536)</f>
        <v>22.102844274103088</v>
      </c>
    </row>
    <row r="537" spans="1:57" x14ac:dyDescent="0.2">
      <c r="A537" s="2" t="s">
        <v>2813</v>
      </c>
      <c r="B537" s="2" t="s">
        <v>19</v>
      </c>
      <c r="C537" s="2" t="s">
        <v>1907</v>
      </c>
      <c r="D537" s="2" t="s">
        <v>21</v>
      </c>
      <c r="E537" s="2" t="s">
        <v>531</v>
      </c>
      <c r="F537" s="2">
        <v>3</v>
      </c>
      <c r="G537" s="2">
        <v>102.58</v>
      </c>
      <c r="H537" s="2">
        <v>4</v>
      </c>
      <c r="I537" s="2">
        <v>2</v>
      </c>
      <c r="J537" s="2">
        <v>2</v>
      </c>
      <c r="K537" s="2" t="s">
        <v>61</v>
      </c>
      <c r="L537" s="6" t="s">
        <v>113</v>
      </c>
      <c r="M537" s="5">
        <v>780000000</v>
      </c>
      <c r="N537" s="2">
        <v>0</v>
      </c>
      <c r="O537" s="2">
        <v>4.6718945500000002</v>
      </c>
      <c r="P537" s="2">
        <v>-74.119651790000006</v>
      </c>
      <c r="Q537" s="2" t="s">
        <v>2814</v>
      </c>
      <c r="R537" s="2">
        <v>7603821.4079999998</v>
      </c>
      <c r="S537" s="2">
        <v>0</v>
      </c>
      <c r="T537" s="2" t="s">
        <v>49</v>
      </c>
      <c r="U537" s="2" t="s">
        <v>476</v>
      </c>
      <c r="V537" s="2" t="s">
        <v>28</v>
      </c>
      <c r="W537" s="2" t="s">
        <v>49</v>
      </c>
      <c r="X537" s="2" t="s">
        <v>477</v>
      </c>
      <c r="Y537" s="2">
        <v>2.7729088022003499</v>
      </c>
      <c r="Z537" s="2">
        <v>4.6782416666666702</v>
      </c>
      <c r="AA537" s="2">
        <v>-74.143819444444404</v>
      </c>
      <c r="AB537" s="2">
        <v>2551</v>
      </c>
      <c r="AC537" s="2" t="s">
        <v>31</v>
      </c>
      <c r="AD537" s="2" t="s">
        <v>32</v>
      </c>
      <c r="AE537" s="2" t="s">
        <v>33</v>
      </c>
      <c r="AF537" s="2" t="s">
        <v>34</v>
      </c>
      <c r="AG537" s="2" t="s">
        <v>43</v>
      </c>
      <c r="AH537" s="2">
        <v>0.44361690435800799</v>
      </c>
      <c r="AI537" s="2">
        <v>4.2618667925977096</v>
      </c>
      <c r="AJ537" s="2">
        <v>2.1089146903686098</v>
      </c>
      <c r="AK537" s="2">
        <v>0.193201885174939</v>
      </c>
      <c r="AL537" s="2">
        <v>7.6407823448298101E-3</v>
      </c>
      <c r="AM537" s="2">
        <v>15.8</v>
      </c>
      <c r="AN537" s="2">
        <v>17.100000000000001</v>
      </c>
      <c r="AO537" s="2">
        <v>23</v>
      </c>
      <c r="AP537" s="2">
        <v>565</v>
      </c>
      <c r="AQ537" s="2">
        <v>68</v>
      </c>
      <c r="AR537" s="2">
        <v>2.2999999999999998</v>
      </c>
      <c r="AS537" s="2">
        <v>68</v>
      </c>
      <c r="AT537" s="2">
        <v>17.600000000000001</v>
      </c>
      <c r="AU537" s="2">
        <v>162</v>
      </c>
      <c r="AV537" s="2">
        <v>19.7</v>
      </c>
      <c r="AW537" s="2">
        <v>16.7</v>
      </c>
      <c r="AX537" s="2">
        <v>36.4</v>
      </c>
      <c r="AY537" s="2">
        <v>0.66</v>
      </c>
      <c r="AZ537" s="2">
        <v>5.6</v>
      </c>
      <c r="BA537" s="2">
        <v>1.5</v>
      </c>
      <c r="BB537" s="2">
        <v>7.5</v>
      </c>
      <c r="BC537" s="2">
        <v>2.9</v>
      </c>
      <c r="BD537" s="2">
        <f>+AN537*EXP(-0.0495*Y537)</f>
        <v>14.906829711028143</v>
      </c>
      <c r="BE537" s="2">
        <f>+AO537*EXP(-0.024*Y537)</f>
        <v>21.519175140925725</v>
      </c>
    </row>
    <row r="538" spans="1:57" x14ac:dyDescent="0.2">
      <c r="A538" s="2" t="s">
        <v>249</v>
      </c>
      <c r="B538" s="2" t="s">
        <v>19</v>
      </c>
      <c r="C538" s="2" t="s">
        <v>20</v>
      </c>
      <c r="D538" s="2" t="s">
        <v>21</v>
      </c>
      <c r="E538" s="2" t="s">
        <v>45</v>
      </c>
      <c r="F538" s="2">
        <v>4</v>
      </c>
      <c r="G538" s="2">
        <v>83</v>
      </c>
      <c r="H538" s="2">
        <v>3</v>
      </c>
      <c r="I538" s="2">
        <v>2</v>
      </c>
      <c r="J538" s="2">
        <v>1</v>
      </c>
      <c r="K538" s="2" t="s">
        <v>23</v>
      </c>
      <c r="L538" s="6" t="s">
        <v>24</v>
      </c>
      <c r="M538" s="5">
        <v>950000000</v>
      </c>
      <c r="N538" s="2">
        <v>0</v>
      </c>
      <c r="O538" s="2">
        <v>4.6550174000000002</v>
      </c>
      <c r="P538" s="2">
        <v>-74.12885</v>
      </c>
      <c r="Q538" s="2" t="s">
        <v>250</v>
      </c>
      <c r="R538" s="2">
        <v>11445783.130000001</v>
      </c>
      <c r="S538" s="2">
        <v>0</v>
      </c>
      <c r="T538" s="2" t="s">
        <v>47</v>
      </c>
      <c r="U538" s="2" t="s">
        <v>48</v>
      </c>
      <c r="V538" s="2" t="s">
        <v>28</v>
      </c>
      <c r="W538" s="2" t="s">
        <v>49</v>
      </c>
      <c r="X538" s="2" t="s">
        <v>50</v>
      </c>
      <c r="Y538" s="2">
        <v>2.6157005846235499</v>
      </c>
      <c r="Z538" s="2">
        <v>4.6680000000000001</v>
      </c>
      <c r="AA538" s="2">
        <v>-74.148499999999999</v>
      </c>
      <c r="AB538" s="2">
        <v>2547</v>
      </c>
      <c r="AC538" s="2" t="s">
        <v>31</v>
      </c>
      <c r="AD538" s="2" t="s">
        <v>51</v>
      </c>
      <c r="AE538" s="2" t="s">
        <v>33</v>
      </c>
      <c r="AF538" s="2" t="s">
        <v>34</v>
      </c>
      <c r="AG538" s="2" t="s">
        <v>43</v>
      </c>
      <c r="AH538" s="2">
        <v>2.31767707106675</v>
      </c>
      <c r="AI538" s="2">
        <v>3.2650120229677202</v>
      </c>
      <c r="AJ538" s="2">
        <v>1.7080571710976</v>
      </c>
      <c r="AK538" s="2">
        <v>0.23079639949212499</v>
      </c>
      <c r="AL538" s="2">
        <v>0.19120396449708599</v>
      </c>
      <c r="AM538" s="2">
        <v>15.8</v>
      </c>
      <c r="AN538" s="2">
        <v>17.100000000000001</v>
      </c>
      <c r="AO538" s="2">
        <v>23</v>
      </c>
      <c r="AP538" s="2">
        <v>565</v>
      </c>
      <c r="AQ538" s="2">
        <v>68</v>
      </c>
      <c r="AR538" s="2">
        <v>2.2999999999999998</v>
      </c>
      <c r="AS538" s="2">
        <v>68</v>
      </c>
      <c r="AT538" s="2">
        <v>17.600000000000001</v>
      </c>
      <c r="AU538" s="2">
        <v>162</v>
      </c>
      <c r="AV538" s="2">
        <v>19.7</v>
      </c>
      <c r="AW538" s="2">
        <v>16.7</v>
      </c>
      <c r="AX538" s="2">
        <v>36.4</v>
      </c>
      <c r="AY538" s="2">
        <v>0.66</v>
      </c>
      <c r="AZ538" s="2">
        <v>5.6</v>
      </c>
      <c r="BA538" s="2">
        <v>1.5</v>
      </c>
      <c r="BB538" s="2">
        <v>7.5</v>
      </c>
      <c r="BC538" s="2">
        <v>2.9</v>
      </c>
      <c r="BD538" s="2">
        <f>+AN538*EXP(-0.0495*Y538)</f>
        <v>15.023284305295343</v>
      </c>
      <c r="BE538" s="2">
        <f>+AO538*EXP(-0.024*Y538)</f>
        <v>21.60052028996035</v>
      </c>
    </row>
    <row r="539" spans="1:57" x14ac:dyDescent="0.2">
      <c r="A539" s="2" t="s">
        <v>169</v>
      </c>
      <c r="B539" s="2" t="s">
        <v>19</v>
      </c>
      <c r="C539" s="2" t="s">
        <v>20</v>
      </c>
      <c r="D539" s="2" t="s">
        <v>21</v>
      </c>
      <c r="E539" s="2" t="s">
        <v>170</v>
      </c>
      <c r="F539" s="2">
        <v>3</v>
      </c>
      <c r="G539" s="2">
        <v>81.150000000000006</v>
      </c>
      <c r="H539" s="2">
        <v>3</v>
      </c>
      <c r="I539" s="2">
        <v>2</v>
      </c>
      <c r="J539" s="2">
        <v>1</v>
      </c>
      <c r="K539" s="2" t="s">
        <v>61</v>
      </c>
      <c r="L539" s="6" t="s">
        <v>84</v>
      </c>
      <c r="M539" s="5">
        <v>479900000</v>
      </c>
      <c r="N539" s="2">
        <v>0</v>
      </c>
      <c r="O539" s="2">
        <v>4.6489329340000003</v>
      </c>
      <c r="P539" s="2">
        <v>-74.150238040000005</v>
      </c>
      <c r="Q539" s="2" t="s">
        <v>171</v>
      </c>
      <c r="R539" s="2">
        <v>5913739.9879999999</v>
      </c>
      <c r="S539" s="2">
        <v>0</v>
      </c>
      <c r="T539" s="2" t="s">
        <v>47</v>
      </c>
      <c r="U539" s="2" t="s">
        <v>48</v>
      </c>
      <c r="V539" s="2" t="s">
        <v>28</v>
      </c>
      <c r="W539" s="2" t="s">
        <v>49</v>
      </c>
      <c r="X539" s="2" t="s">
        <v>50</v>
      </c>
      <c r="Y539" s="2">
        <v>2.13127804838724</v>
      </c>
      <c r="Z539" s="2">
        <v>4.6680000000000001</v>
      </c>
      <c r="AA539" s="2">
        <v>-74.148499999999999</v>
      </c>
      <c r="AB539" s="2">
        <v>2547</v>
      </c>
      <c r="AC539" s="2" t="s">
        <v>31</v>
      </c>
      <c r="AD539" s="2" t="s">
        <v>51</v>
      </c>
      <c r="AE539" s="2" t="s">
        <v>33</v>
      </c>
      <c r="AF539" s="2" t="s">
        <v>34</v>
      </c>
      <c r="AG539" s="2" t="s">
        <v>172</v>
      </c>
      <c r="AH539" s="2">
        <v>1.58308052116895</v>
      </c>
      <c r="AI539" s="2">
        <v>1.47416307247789</v>
      </c>
      <c r="AJ539" s="2">
        <v>3.1996024337237801</v>
      </c>
      <c r="AK539" s="2">
        <v>0.34406525069849803</v>
      </c>
      <c r="AL539" s="2">
        <v>6.0955763350634497E-2</v>
      </c>
      <c r="AM539" s="2">
        <v>15.8</v>
      </c>
      <c r="AN539" s="2">
        <v>17.100000000000001</v>
      </c>
      <c r="AO539" s="2">
        <v>23</v>
      </c>
      <c r="AP539" s="2">
        <v>565</v>
      </c>
      <c r="AQ539" s="2">
        <v>68</v>
      </c>
      <c r="AR539" s="2">
        <v>2.2999999999999998</v>
      </c>
      <c r="AS539" s="2">
        <v>68</v>
      </c>
      <c r="AT539" s="2">
        <v>17.600000000000001</v>
      </c>
      <c r="AU539" s="2">
        <v>162</v>
      </c>
      <c r="AV539" s="2">
        <v>19.7</v>
      </c>
      <c r="AW539" s="2">
        <v>16.7</v>
      </c>
      <c r="AX539" s="2">
        <v>36.4</v>
      </c>
      <c r="AY539" s="2">
        <v>0.66</v>
      </c>
      <c r="AZ539" s="2">
        <v>5.6</v>
      </c>
      <c r="BA539" s="2">
        <v>1.5</v>
      </c>
      <c r="BB539" s="2">
        <v>7.5</v>
      </c>
      <c r="BC539" s="2">
        <v>2.9</v>
      </c>
      <c r="BD539" s="2">
        <f>+AN539*EXP(-0.0495*Y539)</f>
        <v>15.387880208323912</v>
      </c>
      <c r="BE539" s="2">
        <f>+AO539*EXP(-0.024*Y539)</f>
        <v>21.85311649602767</v>
      </c>
    </row>
    <row r="540" spans="1:57" x14ac:dyDescent="0.2">
      <c r="A540" s="2" t="s">
        <v>1307</v>
      </c>
      <c r="B540" s="2" t="s">
        <v>19</v>
      </c>
      <c r="C540" s="2" t="s">
        <v>20</v>
      </c>
      <c r="D540" s="2" t="s">
        <v>21</v>
      </c>
      <c r="E540" s="2" t="s">
        <v>1308</v>
      </c>
      <c r="F540" s="2">
        <v>3</v>
      </c>
      <c r="G540" s="2">
        <v>73</v>
      </c>
      <c r="H540" s="2">
        <v>3</v>
      </c>
      <c r="I540" s="2">
        <v>2</v>
      </c>
      <c r="J540" s="2">
        <v>1</v>
      </c>
      <c r="K540" s="2" t="s">
        <v>61</v>
      </c>
      <c r="L540" s="6" t="s">
        <v>84</v>
      </c>
      <c r="M540" s="5">
        <v>435000000</v>
      </c>
      <c r="N540" s="2">
        <v>0</v>
      </c>
      <c r="O540" s="2">
        <v>4.6485030959999998</v>
      </c>
      <c r="P540" s="2">
        <v>-74.144797330000003</v>
      </c>
      <c r="Q540" s="2" t="s">
        <v>1309</v>
      </c>
      <c r="R540" s="2">
        <v>5958904.1100000003</v>
      </c>
      <c r="S540" s="2">
        <v>0</v>
      </c>
      <c r="T540" s="2" t="s">
        <v>47</v>
      </c>
      <c r="U540" s="2" t="s">
        <v>48</v>
      </c>
      <c r="V540" s="2" t="s">
        <v>28</v>
      </c>
      <c r="W540" s="2" t="s">
        <v>49</v>
      </c>
      <c r="X540" s="2" t="s">
        <v>50</v>
      </c>
      <c r="Y540" s="2">
        <v>2.2089237627755902</v>
      </c>
      <c r="Z540" s="2">
        <v>4.6680000000000001</v>
      </c>
      <c r="AA540" s="2">
        <v>-74.148499999999999</v>
      </c>
      <c r="AB540" s="2">
        <v>2547</v>
      </c>
      <c r="AC540" s="2" t="s">
        <v>31</v>
      </c>
      <c r="AD540" s="2" t="s">
        <v>51</v>
      </c>
      <c r="AE540" s="2" t="s">
        <v>33</v>
      </c>
      <c r="AF540" s="2" t="s">
        <v>34</v>
      </c>
      <c r="AG540" s="2" t="s">
        <v>172</v>
      </c>
      <c r="AH540" s="2">
        <v>1.7749704958241801</v>
      </c>
      <c r="AI540" s="2">
        <v>1.91809471222672</v>
      </c>
      <c r="AJ540" s="2">
        <v>2.6094570116436899</v>
      </c>
      <c r="AK540" s="2">
        <v>0.557413833512308</v>
      </c>
      <c r="AL540" s="2">
        <v>0.126629473869114</v>
      </c>
      <c r="AM540" s="2">
        <v>15.8</v>
      </c>
      <c r="AN540" s="2">
        <v>17.100000000000001</v>
      </c>
      <c r="AO540" s="2">
        <v>23</v>
      </c>
      <c r="AP540" s="2">
        <v>565</v>
      </c>
      <c r="AQ540" s="2">
        <v>68</v>
      </c>
      <c r="AR540" s="2">
        <v>2.2999999999999998</v>
      </c>
      <c r="AS540" s="2">
        <v>68</v>
      </c>
      <c r="AT540" s="2">
        <v>17.600000000000001</v>
      </c>
      <c r="AU540" s="2">
        <v>162</v>
      </c>
      <c r="AV540" s="2">
        <v>19.7</v>
      </c>
      <c r="AW540" s="2">
        <v>16.7</v>
      </c>
      <c r="AX540" s="2">
        <v>36.4</v>
      </c>
      <c r="AY540" s="2">
        <v>0.66</v>
      </c>
      <c r="AZ540" s="2">
        <v>5.6</v>
      </c>
      <c r="BA540" s="2">
        <v>1.5</v>
      </c>
      <c r="BB540" s="2">
        <v>7.5</v>
      </c>
      <c r="BC540" s="2">
        <v>2.9</v>
      </c>
      <c r="BD540" s="2">
        <f>+AN540*EXP(-0.0495*Y540)</f>
        <v>15.328850973217323</v>
      </c>
      <c r="BE540" s="2">
        <f>+AO540*EXP(-0.024*Y540)</f>
        <v>21.812431196064857</v>
      </c>
    </row>
    <row r="541" spans="1:57" x14ac:dyDescent="0.2">
      <c r="A541" s="2" t="s">
        <v>44</v>
      </c>
      <c r="B541" s="2" t="s">
        <v>19</v>
      </c>
      <c r="C541" s="2" t="s">
        <v>20</v>
      </c>
      <c r="D541" s="2" t="s">
        <v>21</v>
      </c>
      <c r="E541" s="2" t="s">
        <v>45</v>
      </c>
      <c r="F541" s="2">
        <v>4</v>
      </c>
      <c r="G541" s="2">
        <v>72</v>
      </c>
      <c r="H541" s="2">
        <v>2</v>
      </c>
      <c r="I541" s="2">
        <v>2</v>
      </c>
      <c r="J541" s="2">
        <v>1</v>
      </c>
      <c r="K541" s="2" t="s">
        <v>23</v>
      </c>
      <c r="L541" s="6" t="s">
        <v>24</v>
      </c>
      <c r="M541" s="5">
        <v>820000000</v>
      </c>
      <c r="N541" s="2">
        <v>0</v>
      </c>
      <c r="O541" s="2">
        <v>4.6550174000000002</v>
      </c>
      <c r="P541" s="2">
        <v>-74.12885</v>
      </c>
      <c r="Q541" s="2" t="s">
        <v>46</v>
      </c>
      <c r="R541" s="2">
        <v>11388888.890000001</v>
      </c>
      <c r="S541" s="2">
        <v>0</v>
      </c>
      <c r="T541" s="2" t="s">
        <v>47</v>
      </c>
      <c r="U541" s="2" t="s">
        <v>48</v>
      </c>
      <c r="V541" s="2" t="s">
        <v>28</v>
      </c>
      <c r="W541" s="2" t="s">
        <v>49</v>
      </c>
      <c r="X541" s="2" t="s">
        <v>50</v>
      </c>
      <c r="Y541" s="2">
        <v>2.6157005846235499</v>
      </c>
      <c r="Z541" s="2">
        <v>4.6680000000000001</v>
      </c>
      <c r="AA541" s="2">
        <v>-74.148499999999999</v>
      </c>
      <c r="AB541" s="2">
        <v>2547</v>
      </c>
      <c r="AC541" s="2" t="s">
        <v>31</v>
      </c>
      <c r="AD541" s="2" t="s">
        <v>51</v>
      </c>
      <c r="AE541" s="2" t="s">
        <v>33</v>
      </c>
      <c r="AF541" s="2" t="s">
        <v>34</v>
      </c>
      <c r="AG541" s="2" t="s">
        <v>43</v>
      </c>
      <c r="AH541" s="2">
        <v>2.31767707106675</v>
      </c>
      <c r="AI541" s="2">
        <v>3.2650120229677202</v>
      </c>
      <c r="AJ541" s="2">
        <v>1.7080571710976</v>
      </c>
      <c r="AK541" s="2">
        <v>0.23079639949212499</v>
      </c>
      <c r="AL541" s="2">
        <v>0.19120396449708599</v>
      </c>
      <c r="AM541" s="2">
        <v>15.8</v>
      </c>
      <c r="AN541" s="2">
        <v>17.100000000000001</v>
      </c>
      <c r="AO541" s="2">
        <v>23</v>
      </c>
      <c r="AP541" s="2">
        <v>565</v>
      </c>
      <c r="AQ541" s="2">
        <v>68</v>
      </c>
      <c r="AR541" s="2">
        <v>2.2999999999999998</v>
      </c>
      <c r="AS541" s="2">
        <v>68</v>
      </c>
      <c r="AT541" s="2">
        <v>17.600000000000001</v>
      </c>
      <c r="AU541" s="2">
        <v>162</v>
      </c>
      <c r="AV541" s="2">
        <v>19.7</v>
      </c>
      <c r="AW541" s="2">
        <v>16.7</v>
      </c>
      <c r="AX541" s="2">
        <v>36.4</v>
      </c>
      <c r="AY541" s="2">
        <v>0.66</v>
      </c>
      <c r="AZ541" s="2">
        <v>5.6</v>
      </c>
      <c r="BA541" s="2">
        <v>1.5</v>
      </c>
      <c r="BB541" s="2">
        <v>7.5</v>
      </c>
      <c r="BC541" s="2">
        <v>2.9</v>
      </c>
      <c r="BD541" s="2">
        <f>+AN541*EXP(-0.0495*Y541)</f>
        <v>15.023284305295343</v>
      </c>
      <c r="BE541" s="2">
        <f>+AO541*EXP(-0.024*Y541)</f>
        <v>21.60052028996035</v>
      </c>
    </row>
    <row r="542" spans="1:57" x14ac:dyDescent="0.2">
      <c r="A542" s="2" t="s">
        <v>2945</v>
      </c>
      <c r="B542" s="2" t="s">
        <v>19</v>
      </c>
      <c r="C542" s="2" t="s">
        <v>1907</v>
      </c>
      <c r="D542" s="2" t="s">
        <v>21</v>
      </c>
      <c r="E542" s="2" t="s">
        <v>94</v>
      </c>
      <c r="F542" s="2">
        <v>4</v>
      </c>
      <c r="G542" s="2">
        <v>72</v>
      </c>
      <c r="H542" s="2">
        <v>3</v>
      </c>
      <c r="I542" s="2">
        <v>2</v>
      </c>
      <c r="J542" s="2">
        <v>1</v>
      </c>
      <c r="K542" s="2" t="s">
        <v>61</v>
      </c>
      <c r="L542" s="6" t="s">
        <v>75</v>
      </c>
      <c r="M542" s="5">
        <v>459000000</v>
      </c>
      <c r="N542" s="2">
        <v>0</v>
      </c>
      <c r="O542" s="2">
        <v>4.6615896000000001</v>
      </c>
      <c r="P542" s="2">
        <v>-74.129005000000006</v>
      </c>
      <c r="Q542" s="2" t="s">
        <v>2946</v>
      </c>
      <c r="R542" s="2">
        <v>6375000</v>
      </c>
      <c r="S542" s="2">
        <v>0</v>
      </c>
      <c r="T542" s="2" t="s">
        <v>47</v>
      </c>
      <c r="U542" s="2" t="s">
        <v>48</v>
      </c>
      <c r="V542" s="2" t="s">
        <v>28</v>
      </c>
      <c r="W542" s="2" t="s">
        <v>49</v>
      </c>
      <c r="X542" s="2" t="s">
        <v>50</v>
      </c>
      <c r="Y542" s="2">
        <v>2.27765933104267</v>
      </c>
      <c r="Z542" s="2">
        <v>4.6680000000000001</v>
      </c>
      <c r="AA542" s="2">
        <v>-74.148499999999999</v>
      </c>
      <c r="AB542" s="2">
        <v>2547</v>
      </c>
      <c r="AC542" s="2" t="s">
        <v>31</v>
      </c>
      <c r="AD542" s="2" t="s">
        <v>51</v>
      </c>
      <c r="AE542" s="2" t="s">
        <v>33</v>
      </c>
      <c r="AF542" s="2" t="s">
        <v>34</v>
      </c>
      <c r="AG542" s="2" t="s">
        <v>43</v>
      </c>
      <c r="AH542" s="2">
        <v>1.9268249029163</v>
      </c>
      <c r="AI542" s="2">
        <v>3.17382039942167</v>
      </c>
      <c r="AJ542" s="2">
        <v>2.3938608967991399</v>
      </c>
      <c r="AK542" s="2">
        <v>0.27442081801699503</v>
      </c>
      <c r="AL542" s="2">
        <v>0.156472348299243</v>
      </c>
      <c r="AM542" s="2">
        <v>15.8</v>
      </c>
      <c r="AN542" s="2">
        <v>17.100000000000001</v>
      </c>
      <c r="AO542" s="2">
        <v>23</v>
      </c>
      <c r="AP542" s="2">
        <v>565</v>
      </c>
      <c r="AQ542" s="2">
        <v>68</v>
      </c>
      <c r="AR542" s="2">
        <v>2.2999999999999998</v>
      </c>
      <c r="AS542" s="2">
        <v>68</v>
      </c>
      <c r="AT542" s="2">
        <v>17.600000000000001</v>
      </c>
      <c r="AU542" s="2">
        <v>162</v>
      </c>
      <c r="AV542" s="2">
        <v>19.7</v>
      </c>
      <c r="AW542" s="2">
        <v>16.7</v>
      </c>
      <c r="AX542" s="2">
        <v>36.4</v>
      </c>
      <c r="AY542" s="2">
        <v>0.66</v>
      </c>
      <c r="AZ542" s="2">
        <v>5.6</v>
      </c>
      <c r="BA542" s="2">
        <v>1.5</v>
      </c>
      <c r="BB542" s="2">
        <v>7.5</v>
      </c>
      <c r="BC542" s="2">
        <v>2.9</v>
      </c>
      <c r="BD542" s="2">
        <f>+AN542*EXP(-0.0495*Y542)</f>
        <v>15.276784553630483</v>
      </c>
      <c r="BE542" s="2">
        <f>+AO542*EXP(-0.024*Y542)</f>
        <v>21.776477902973561</v>
      </c>
    </row>
    <row r="543" spans="1:57" x14ac:dyDescent="0.2">
      <c r="A543" s="2" t="s">
        <v>607</v>
      </c>
      <c r="B543" s="2" t="s">
        <v>19</v>
      </c>
      <c r="C543" s="2" t="s">
        <v>20</v>
      </c>
      <c r="D543" s="2" t="s">
        <v>21</v>
      </c>
      <c r="E543" s="2" t="s">
        <v>94</v>
      </c>
      <c r="F543" s="2">
        <v>4</v>
      </c>
      <c r="G543" s="2">
        <v>71</v>
      </c>
      <c r="H543" s="2">
        <v>3</v>
      </c>
      <c r="I543" s="2">
        <v>2</v>
      </c>
      <c r="J543" s="2">
        <v>1</v>
      </c>
      <c r="K543" s="2" t="s">
        <v>61</v>
      </c>
      <c r="L543" s="6" t="s">
        <v>84</v>
      </c>
      <c r="M543" s="5">
        <v>540000000</v>
      </c>
      <c r="N543" s="2">
        <v>0</v>
      </c>
      <c r="O543" s="2">
        <v>4.6581070000000002</v>
      </c>
      <c r="P543" s="2">
        <v>-74.130790000000005</v>
      </c>
      <c r="Q543" s="2" t="s">
        <v>608</v>
      </c>
      <c r="R543" s="2">
        <v>7605633.8030000003</v>
      </c>
      <c r="S543" s="2">
        <v>0</v>
      </c>
      <c r="T543" s="2" t="s">
        <v>47</v>
      </c>
      <c r="U543" s="2" t="s">
        <v>48</v>
      </c>
      <c r="V543" s="2" t="s">
        <v>28</v>
      </c>
      <c r="W543" s="2" t="s">
        <v>49</v>
      </c>
      <c r="X543" s="2" t="s">
        <v>50</v>
      </c>
      <c r="Y543" s="2">
        <v>2.2525153640490099</v>
      </c>
      <c r="Z543" s="2">
        <v>4.6680000000000001</v>
      </c>
      <c r="AA543" s="2">
        <v>-74.148499999999999</v>
      </c>
      <c r="AB543" s="2">
        <v>2547</v>
      </c>
      <c r="AC543" s="2" t="s">
        <v>31</v>
      </c>
      <c r="AD543" s="2" t="s">
        <v>51</v>
      </c>
      <c r="AE543" s="2" t="s">
        <v>33</v>
      </c>
      <c r="AF543" s="2" t="s">
        <v>34</v>
      </c>
      <c r="AG543" s="2" t="s">
        <v>43</v>
      </c>
      <c r="AH543" s="2">
        <v>2.2850314385386401</v>
      </c>
      <c r="AI543" s="2">
        <v>3.01226059155979</v>
      </c>
      <c r="AJ543" s="2">
        <v>2.1085222664652798</v>
      </c>
      <c r="AK543" s="2">
        <v>0.35716805008795499</v>
      </c>
      <c r="AL543" s="2">
        <v>0.12404246251522399</v>
      </c>
      <c r="AM543" s="2">
        <v>15.8</v>
      </c>
      <c r="AN543" s="2">
        <v>17.100000000000001</v>
      </c>
      <c r="AO543" s="2">
        <v>23</v>
      </c>
      <c r="AP543" s="2">
        <v>565</v>
      </c>
      <c r="AQ543" s="2">
        <v>68</v>
      </c>
      <c r="AR543" s="2">
        <v>2.2999999999999998</v>
      </c>
      <c r="AS543" s="2">
        <v>68</v>
      </c>
      <c r="AT543" s="2">
        <v>17.600000000000001</v>
      </c>
      <c r="AU543" s="2">
        <v>162</v>
      </c>
      <c r="AV543" s="2">
        <v>19.7</v>
      </c>
      <c r="AW543" s="2">
        <v>16.7</v>
      </c>
      <c r="AX543" s="2">
        <v>36.4</v>
      </c>
      <c r="AY543" s="2">
        <v>0.66</v>
      </c>
      <c r="AZ543" s="2">
        <v>5.6</v>
      </c>
      <c r="BA543" s="2">
        <v>1.5</v>
      </c>
      <c r="BB543" s="2">
        <v>7.5</v>
      </c>
      <c r="BC543" s="2">
        <v>2.9</v>
      </c>
      <c r="BD543" s="2">
        <f>+AN543*EXP(-0.0495*Y543)</f>
        <v>15.295810279980749</v>
      </c>
      <c r="BE543" s="2">
        <f>+AO543*EXP(-0.024*Y543)</f>
        <v>21.789622997811755</v>
      </c>
    </row>
    <row r="544" spans="1:57" x14ac:dyDescent="0.2">
      <c r="A544" s="2" t="s">
        <v>2046</v>
      </c>
      <c r="B544" s="2" t="s">
        <v>19</v>
      </c>
      <c r="C544" s="2" t="s">
        <v>1907</v>
      </c>
      <c r="D544" s="2" t="s">
        <v>21</v>
      </c>
      <c r="E544" s="2" t="s">
        <v>2047</v>
      </c>
      <c r="F544" s="2">
        <v>3</v>
      </c>
      <c r="G544" s="2">
        <v>69</v>
      </c>
      <c r="H544" s="2">
        <v>2</v>
      </c>
      <c r="I544" s="2">
        <v>2</v>
      </c>
      <c r="J544" s="2">
        <v>0</v>
      </c>
      <c r="K544" s="2" t="s">
        <v>61</v>
      </c>
      <c r="L544" s="6" t="s">
        <v>113</v>
      </c>
      <c r="M544" s="5">
        <v>250000000</v>
      </c>
      <c r="N544" s="2">
        <v>0</v>
      </c>
      <c r="O544" s="2">
        <v>4.6690040000000002</v>
      </c>
      <c r="P544" s="2">
        <v>-74.149253999999999</v>
      </c>
      <c r="Q544" s="2" t="s">
        <v>2048</v>
      </c>
      <c r="R544" s="2">
        <v>3623188.406</v>
      </c>
      <c r="S544" s="2">
        <v>0</v>
      </c>
      <c r="T544" s="2" t="s">
        <v>47</v>
      </c>
      <c r="U544" s="2" t="s">
        <v>48</v>
      </c>
      <c r="V544" s="2" t="s">
        <v>28</v>
      </c>
      <c r="W544" s="2" t="s">
        <v>49</v>
      </c>
      <c r="X544" s="2" t="s">
        <v>50</v>
      </c>
      <c r="Y544" s="2">
        <v>0.139605733261989</v>
      </c>
      <c r="Z544" s="2">
        <v>4.6680000000000001</v>
      </c>
      <c r="AA544" s="2">
        <v>-74.148499999999999</v>
      </c>
      <c r="AB544" s="2">
        <v>2547</v>
      </c>
      <c r="AC544" s="2" t="s">
        <v>31</v>
      </c>
      <c r="AD544" s="2" t="s">
        <v>51</v>
      </c>
      <c r="AE544" s="2" t="s">
        <v>33</v>
      </c>
      <c r="AF544" s="2" t="s">
        <v>34</v>
      </c>
      <c r="AG544" s="2" t="s">
        <v>43</v>
      </c>
      <c r="AH544" s="2">
        <v>3.3889895908961098</v>
      </c>
      <c r="AI544" s="2">
        <v>0.96711833423230797</v>
      </c>
      <c r="AJ544" s="2">
        <v>1.90594844967544</v>
      </c>
      <c r="AK544" s="2">
        <v>0.37066723017313602</v>
      </c>
      <c r="AL544" s="2">
        <v>8.6850850598136894E-2</v>
      </c>
      <c r="AM544" s="2">
        <v>15.8</v>
      </c>
      <c r="AN544" s="2">
        <v>17.100000000000001</v>
      </c>
      <c r="AO544" s="2">
        <v>23</v>
      </c>
      <c r="AP544" s="2">
        <v>565</v>
      </c>
      <c r="AQ544" s="2">
        <v>68</v>
      </c>
      <c r="AR544" s="2">
        <v>2.2999999999999998</v>
      </c>
      <c r="AS544" s="2">
        <v>68</v>
      </c>
      <c r="AT544" s="2">
        <v>17.600000000000001</v>
      </c>
      <c r="AU544" s="2">
        <v>162</v>
      </c>
      <c r="AV544" s="2">
        <v>19.7</v>
      </c>
      <c r="AW544" s="2">
        <v>16.7</v>
      </c>
      <c r="AX544" s="2">
        <v>36.4</v>
      </c>
      <c r="AY544" s="2">
        <v>0.66</v>
      </c>
      <c r="AZ544" s="2">
        <v>5.6</v>
      </c>
      <c r="BA544" s="2">
        <v>1.5</v>
      </c>
      <c r="BB544" s="2">
        <v>7.5</v>
      </c>
      <c r="BC544" s="2">
        <v>2.9</v>
      </c>
      <c r="BD544" s="2">
        <f>+AN544*EXP(-0.0495*Y544)</f>
        <v>16.982238091601165</v>
      </c>
      <c r="BE544" s="2">
        <f>+AO544*EXP(-0.024*Y544)</f>
        <v>22.923066591350352</v>
      </c>
    </row>
    <row r="545" spans="1:57" x14ac:dyDescent="0.2">
      <c r="A545" s="2" t="s">
        <v>2469</v>
      </c>
      <c r="B545" s="2" t="s">
        <v>19</v>
      </c>
      <c r="C545" s="2" t="s">
        <v>1907</v>
      </c>
      <c r="D545" s="2" t="s">
        <v>21</v>
      </c>
      <c r="E545" s="2" t="s">
        <v>1086</v>
      </c>
      <c r="F545" s="2">
        <v>3</v>
      </c>
      <c r="G545" s="2">
        <v>67</v>
      </c>
      <c r="H545" s="2">
        <v>4</v>
      </c>
      <c r="I545" s="2">
        <v>2</v>
      </c>
      <c r="J545" s="2">
        <v>1</v>
      </c>
      <c r="K545" s="2" t="s">
        <v>61</v>
      </c>
      <c r="L545" s="6" t="s">
        <v>113</v>
      </c>
      <c r="M545" s="5">
        <v>238000000</v>
      </c>
      <c r="N545" s="2">
        <v>0</v>
      </c>
      <c r="O545" s="2">
        <v>4.6516156000000004</v>
      </c>
      <c r="P545" s="2">
        <v>-74.151275999999996</v>
      </c>
      <c r="Q545" s="2" t="s">
        <v>2470</v>
      </c>
      <c r="R545" s="2">
        <v>3552238.8059999999</v>
      </c>
      <c r="S545" s="2">
        <v>0</v>
      </c>
      <c r="T545" s="2" t="s">
        <v>47</v>
      </c>
      <c r="U545" s="2" t="s">
        <v>48</v>
      </c>
      <c r="V545" s="2" t="s">
        <v>28</v>
      </c>
      <c r="W545" s="2" t="s">
        <v>49</v>
      </c>
      <c r="X545" s="2" t="s">
        <v>50</v>
      </c>
      <c r="Y545" s="2">
        <v>1.84972627548743</v>
      </c>
      <c r="Z545" s="2">
        <v>4.6680000000000001</v>
      </c>
      <c r="AA545" s="2">
        <v>-74.148499999999999</v>
      </c>
      <c r="AB545" s="2">
        <v>2547</v>
      </c>
      <c r="AC545" s="2" t="s">
        <v>31</v>
      </c>
      <c r="AD545" s="2" t="s">
        <v>51</v>
      </c>
      <c r="AE545" s="2" t="s">
        <v>33</v>
      </c>
      <c r="AF545" s="2" t="s">
        <v>34</v>
      </c>
      <c r="AG545" s="2" t="s">
        <v>172</v>
      </c>
      <c r="AH545" s="2">
        <v>1.7598602944939801</v>
      </c>
      <c r="AI545" s="2">
        <v>1.168076498242</v>
      </c>
      <c r="AJ545" s="2">
        <v>3.40156828463935</v>
      </c>
      <c r="AK545" s="2">
        <v>0.282909811287819</v>
      </c>
      <c r="AL545" s="2">
        <v>8.3521733240493001E-2</v>
      </c>
      <c r="AM545" s="2">
        <v>15.8</v>
      </c>
      <c r="AN545" s="2">
        <v>17.100000000000001</v>
      </c>
      <c r="AO545" s="2">
        <v>23</v>
      </c>
      <c r="AP545" s="2">
        <v>565</v>
      </c>
      <c r="AQ545" s="2">
        <v>68</v>
      </c>
      <c r="AR545" s="2">
        <v>2.2999999999999998</v>
      </c>
      <c r="AS545" s="2">
        <v>68</v>
      </c>
      <c r="AT545" s="2">
        <v>17.600000000000001</v>
      </c>
      <c r="AU545" s="2">
        <v>162</v>
      </c>
      <c r="AV545" s="2">
        <v>19.7</v>
      </c>
      <c r="AW545" s="2">
        <v>16.7</v>
      </c>
      <c r="AX545" s="2">
        <v>36.4</v>
      </c>
      <c r="AY545" s="2">
        <v>0.66</v>
      </c>
      <c r="AZ545" s="2">
        <v>5.6</v>
      </c>
      <c r="BA545" s="2">
        <v>1.5</v>
      </c>
      <c r="BB545" s="2">
        <v>7.5</v>
      </c>
      <c r="BC545" s="2">
        <v>2.9</v>
      </c>
      <c r="BD545" s="2">
        <f>+AN545*EXP(-0.0495*Y545)</f>
        <v>15.603839610859405</v>
      </c>
      <c r="BE545" s="2">
        <f>+AO545*EXP(-0.024*Y545)</f>
        <v>22.001283340530499</v>
      </c>
    </row>
    <row r="546" spans="1:57" x14ac:dyDescent="0.2">
      <c r="A546" s="2" t="s">
        <v>844</v>
      </c>
      <c r="B546" s="2" t="s">
        <v>19</v>
      </c>
      <c r="C546" s="2" t="s">
        <v>20</v>
      </c>
      <c r="D546" s="2" t="s">
        <v>21</v>
      </c>
      <c r="E546" s="2" t="s">
        <v>593</v>
      </c>
      <c r="F546" s="2">
        <v>4</v>
      </c>
      <c r="G546" s="2">
        <v>66</v>
      </c>
      <c r="H546" s="2">
        <v>3</v>
      </c>
      <c r="I546" s="2">
        <v>2</v>
      </c>
      <c r="J546" s="2">
        <v>1</v>
      </c>
      <c r="K546" s="2" t="s">
        <v>61</v>
      </c>
      <c r="L546" s="6" t="s">
        <v>75</v>
      </c>
      <c r="M546" s="5">
        <v>410000000</v>
      </c>
      <c r="N546" s="2">
        <v>0</v>
      </c>
      <c r="O546" s="2">
        <v>4.6609927000000004</v>
      </c>
      <c r="P546" s="2">
        <v>-74.130124100000003</v>
      </c>
      <c r="Q546" s="2" t="s">
        <v>845</v>
      </c>
      <c r="R546" s="2">
        <v>6212121.2120000003</v>
      </c>
      <c r="S546" s="2">
        <v>0</v>
      </c>
      <c r="T546" s="2" t="s">
        <v>47</v>
      </c>
      <c r="U546" s="2" t="s">
        <v>48</v>
      </c>
      <c r="V546" s="2" t="s">
        <v>28</v>
      </c>
      <c r="W546" s="2" t="s">
        <v>49</v>
      </c>
      <c r="X546" s="2" t="s">
        <v>50</v>
      </c>
      <c r="Y546" s="2">
        <v>2.1829490628480599</v>
      </c>
      <c r="Z546" s="2">
        <v>4.6680000000000001</v>
      </c>
      <c r="AA546" s="2">
        <v>-74.148499999999999</v>
      </c>
      <c r="AB546" s="2">
        <v>2547</v>
      </c>
      <c r="AC546" s="2" t="s">
        <v>31</v>
      </c>
      <c r="AD546" s="2" t="s">
        <v>51</v>
      </c>
      <c r="AE546" s="2" t="s">
        <v>33</v>
      </c>
      <c r="AF546" s="2" t="s">
        <v>34</v>
      </c>
      <c r="AG546" s="2" t="s">
        <v>43</v>
      </c>
      <c r="AH546" s="2">
        <v>2.0672043879903699</v>
      </c>
      <c r="AI546" s="2">
        <v>3.0547987361889</v>
      </c>
      <c r="AJ546" s="2">
        <v>2.3723324811210902</v>
      </c>
      <c r="AK546" s="2">
        <v>0.236599677913652</v>
      </c>
      <c r="AL546" s="2">
        <v>0.117983463940457</v>
      </c>
      <c r="AM546" s="2">
        <v>15.8</v>
      </c>
      <c r="AN546" s="2">
        <v>17.100000000000001</v>
      </c>
      <c r="AO546" s="2">
        <v>23</v>
      </c>
      <c r="AP546" s="2">
        <v>565</v>
      </c>
      <c r="AQ546" s="2">
        <v>68</v>
      </c>
      <c r="AR546" s="2">
        <v>2.2999999999999998</v>
      </c>
      <c r="AS546" s="2">
        <v>68</v>
      </c>
      <c r="AT546" s="2">
        <v>17.600000000000001</v>
      </c>
      <c r="AU546" s="2">
        <v>162</v>
      </c>
      <c r="AV546" s="2">
        <v>19.7</v>
      </c>
      <c r="AW546" s="2">
        <v>16.7</v>
      </c>
      <c r="AX546" s="2">
        <v>36.4</v>
      </c>
      <c r="AY546" s="2">
        <v>0.66</v>
      </c>
      <c r="AZ546" s="2">
        <v>5.6</v>
      </c>
      <c r="BA546" s="2">
        <v>1.5</v>
      </c>
      <c r="BB546" s="2">
        <v>7.5</v>
      </c>
      <c r="BC546" s="2">
        <v>2.9</v>
      </c>
      <c r="BD546" s="2">
        <f>+AN546*EXP(-0.0495*Y546)</f>
        <v>15.348572683132497</v>
      </c>
      <c r="BE546" s="2">
        <f>+AO546*EXP(-0.024*Y546)</f>
        <v>21.826033147823928</v>
      </c>
    </row>
    <row r="547" spans="1:57" x14ac:dyDescent="0.2">
      <c r="A547" s="2" t="s">
        <v>93</v>
      </c>
      <c r="B547" s="2" t="s">
        <v>19</v>
      </c>
      <c r="C547" s="2" t="s">
        <v>20</v>
      </c>
      <c r="D547" s="2" t="s">
        <v>21</v>
      </c>
      <c r="E547" s="2" t="s">
        <v>94</v>
      </c>
      <c r="F547" s="2">
        <v>4</v>
      </c>
      <c r="G547" s="2">
        <v>65</v>
      </c>
      <c r="H547" s="2">
        <v>3</v>
      </c>
      <c r="I547" s="2">
        <v>2</v>
      </c>
      <c r="J547" s="2">
        <v>2</v>
      </c>
      <c r="K547" s="2" t="s">
        <v>61</v>
      </c>
      <c r="L547" s="6" t="s">
        <v>75</v>
      </c>
      <c r="M547" s="5">
        <v>480000000</v>
      </c>
      <c r="N547" s="2">
        <v>0</v>
      </c>
      <c r="O547" s="2">
        <v>4.6608289999999997</v>
      </c>
      <c r="P547" s="2">
        <v>-74.129570000000001</v>
      </c>
      <c r="Q547" s="2" t="s">
        <v>95</v>
      </c>
      <c r="R547" s="2">
        <v>7384615.3849999998</v>
      </c>
      <c r="S547" s="2">
        <v>0</v>
      </c>
      <c r="T547" s="2" t="s">
        <v>47</v>
      </c>
      <c r="U547" s="2" t="s">
        <v>48</v>
      </c>
      <c r="V547" s="2" t="s">
        <v>28</v>
      </c>
      <c r="W547" s="2" t="s">
        <v>49</v>
      </c>
      <c r="X547" s="2" t="s">
        <v>50</v>
      </c>
      <c r="Y547" s="2">
        <v>2.24688528614469</v>
      </c>
      <c r="Z547" s="2">
        <v>4.6680000000000001</v>
      </c>
      <c r="AA547" s="2">
        <v>-74.148499999999999</v>
      </c>
      <c r="AB547" s="2">
        <v>2547</v>
      </c>
      <c r="AC547" s="2" t="s">
        <v>31</v>
      </c>
      <c r="AD547" s="2" t="s">
        <v>51</v>
      </c>
      <c r="AE547" s="2" t="s">
        <v>33</v>
      </c>
      <c r="AF547" s="2" t="s">
        <v>34</v>
      </c>
      <c r="AG547" s="2" t="s">
        <v>43</v>
      </c>
      <c r="AH547" s="2">
        <v>2.0198940681111699</v>
      </c>
      <c r="AI547" s="2">
        <v>3.1175640559997602</v>
      </c>
      <c r="AJ547" s="2">
        <v>2.3341082719081099</v>
      </c>
      <c r="AK547" s="2">
        <v>0.29682931327228401</v>
      </c>
      <c r="AL547" s="2">
        <v>0.17384014810023601</v>
      </c>
      <c r="AM547" s="2">
        <v>15.8</v>
      </c>
      <c r="AN547" s="2">
        <v>17.100000000000001</v>
      </c>
      <c r="AO547" s="2">
        <v>23</v>
      </c>
      <c r="AP547" s="2">
        <v>565</v>
      </c>
      <c r="AQ547" s="2">
        <v>68</v>
      </c>
      <c r="AR547" s="2">
        <v>2.2999999999999998</v>
      </c>
      <c r="AS547" s="2">
        <v>68</v>
      </c>
      <c r="AT547" s="2">
        <v>17.600000000000001</v>
      </c>
      <c r="AU547" s="2">
        <v>162</v>
      </c>
      <c r="AV547" s="2">
        <v>19.7</v>
      </c>
      <c r="AW547" s="2">
        <v>16.7</v>
      </c>
      <c r="AX547" s="2">
        <v>36.4</v>
      </c>
      <c r="AY547" s="2">
        <v>0.66</v>
      </c>
      <c r="AZ547" s="2">
        <v>5.6</v>
      </c>
      <c r="BA547" s="2">
        <v>1.5</v>
      </c>
      <c r="BB547" s="2">
        <v>7.5</v>
      </c>
      <c r="BC547" s="2">
        <v>2.9</v>
      </c>
      <c r="BD547" s="2">
        <f>+AN547*EXP(-0.0495*Y547)</f>
        <v>15.300073645901998</v>
      </c>
      <c r="BE547" s="2">
        <f>+AO547*EXP(-0.024*Y547)</f>
        <v>21.792567451336911</v>
      </c>
    </row>
    <row r="548" spans="1:57" x14ac:dyDescent="0.2">
      <c r="A548" s="2" t="s">
        <v>592</v>
      </c>
      <c r="B548" s="2" t="s">
        <v>19</v>
      </c>
      <c r="C548" s="2" t="s">
        <v>20</v>
      </c>
      <c r="D548" s="2" t="s">
        <v>21</v>
      </c>
      <c r="E548" s="2" t="s">
        <v>593</v>
      </c>
      <c r="F548" s="2">
        <v>4</v>
      </c>
      <c r="G548" s="2">
        <v>64.959999999999994</v>
      </c>
      <c r="H548" s="2">
        <v>3</v>
      </c>
      <c r="I548" s="2">
        <v>2</v>
      </c>
      <c r="J548" s="2">
        <v>1</v>
      </c>
      <c r="K548" s="2" t="s">
        <v>23</v>
      </c>
      <c r="L548" s="6" t="s">
        <v>24</v>
      </c>
      <c r="M548" s="5">
        <v>596370000</v>
      </c>
      <c r="N548" s="2">
        <v>0</v>
      </c>
      <c r="O548" s="2">
        <v>4.6582165</v>
      </c>
      <c r="P548" s="2">
        <v>-74.133414999999999</v>
      </c>
      <c r="Q548" s="2" t="s">
        <v>594</v>
      </c>
      <c r="R548" s="2">
        <v>9180572.6600000001</v>
      </c>
      <c r="S548" s="2">
        <v>0</v>
      </c>
      <c r="T548" s="2" t="s">
        <v>47</v>
      </c>
      <c r="U548" s="2" t="s">
        <v>48</v>
      </c>
      <c r="V548" s="2" t="s">
        <v>28</v>
      </c>
      <c r="W548" s="2" t="s">
        <v>49</v>
      </c>
      <c r="X548" s="2" t="s">
        <v>50</v>
      </c>
      <c r="Y548" s="2">
        <v>1.9968437177741001</v>
      </c>
      <c r="Z548" s="2">
        <v>4.6680000000000001</v>
      </c>
      <c r="AA548" s="2">
        <v>-74.148499999999999</v>
      </c>
      <c r="AB548" s="2">
        <v>2547</v>
      </c>
      <c r="AC548" s="2" t="s">
        <v>31</v>
      </c>
      <c r="AD548" s="2" t="s">
        <v>51</v>
      </c>
      <c r="AE548" s="2" t="s">
        <v>33</v>
      </c>
      <c r="AF548" s="2" t="s">
        <v>34</v>
      </c>
      <c r="AG548" s="2" t="s">
        <v>43</v>
      </c>
      <c r="AH548" s="2">
        <v>2.53128333907389</v>
      </c>
      <c r="AI548" s="2">
        <v>2.72100738321737</v>
      </c>
      <c r="AJ548" s="2">
        <v>2.26083219664313</v>
      </c>
      <c r="AK548" s="2">
        <v>0.46071011628966502</v>
      </c>
      <c r="AL548" s="2">
        <v>0.32445228469366799</v>
      </c>
      <c r="AM548" s="2">
        <v>15.8</v>
      </c>
      <c r="AN548" s="2">
        <v>17.100000000000001</v>
      </c>
      <c r="AO548" s="2">
        <v>23</v>
      </c>
      <c r="AP548" s="2">
        <v>565</v>
      </c>
      <c r="AQ548" s="2">
        <v>68</v>
      </c>
      <c r="AR548" s="2">
        <v>2.2999999999999998</v>
      </c>
      <c r="AS548" s="2">
        <v>68</v>
      </c>
      <c r="AT548" s="2">
        <v>17.600000000000001</v>
      </c>
      <c r="AU548" s="2">
        <v>162</v>
      </c>
      <c r="AV548" s="2">
        <v>19.7</v>
      </c>
      <c r="AW548" s="2">
        <v>16.7</v>
      </c>
      <c r="AX548" s="2">
        <v>36.4</v>
      </c>
      <c r="AY548" s="2">
        <v>0.66</v>
      </c>
      <c r="AZ548" s="2">
        <v>5.6</v>
      </c>
      <c r="BA548" s="2">
        <v>1.5</v>
      </c>
      <c r="BB548" s="2">
        <v>7.5</v>
      </c>
      <c r="BC548" s="2">
        <v>2.9</v>
      </c>
      <c r="BD548" s="2">
        <f>+AN548*EXP(-0.0495*Y548)</f>
        <v>15.490620310244887</v>
      </c>
      <c r="BE548" s="2">
        <f>+AO548*EXP(-0.024*Y548)</f>
        <v>21.92373777997615</v>
      </c>
    </row>
    <row r="549" spans="1:57" x14ac:dyDescent="0.2">
      <c r="A549" s="2" t="s">
        <v>273</v>
      </c>
      <c r="B549" s="2" t="s">
        <v>19</v>
      </c>
      <c r="C549" s="2" t="s">
        <v>20</v>
      </c>
      <c r="D549" s="2" t="s">
        <v>21</v>
      </c>
      <c r="E549" s="2" t="s">
        <v>274</v>
      </c>
      <c r="F549" s="2">
        <v>4</v>
      </c>
      <c r="G549" s="2">
        <v>64</v>
      </c>
      <c r="H549" s="2">
        <v>3</v>
      </c>
      <c r="I549" s="2">
        <v>3</v>
      </c>
      <c r="J549" s="2">
        <v>1</v>
      </c>
      <c r="K549" s="2" t="s">
        <v>61</v>
      </c>
      <c r="L549" s="6" t="s">
        <v>75</v>
      </c>
      <c r="M549" s="5">
        <v>328000000</v>
      </c>
      <c r="N549" s="2">
        <v>0</v>
      </c>
      <c r="O549" s="2">
        <v>4.666699886</v>
      </c>
      <c r="P549" s="2">
        <v>-74.136291499999999</v>
      </c>
      <c r="Q549" s="2" t="s">
        <v>275</v>
      </c>
      <c r="R549" s="2">
        <v>5125000</v>
      </c>
      <c r="S549" s="2">
        <v>0</v>
      </c>
      <c r="T549" s="2" t="s">
        <v>47</v>
      </c>
      <c r="U549" s="2" t="s">
        <v>48</v>
      </c>
      <c r="V549" s="2" t="s">
        <v>28</v>
      </c>
      <c r="W549" s="2" t="s">
        <v>49</v>
      </c>
      <c r="X549" s="2" t="s">
        <v>50</v>
      </c>
      <c r="Y549" s="2">
        <v>1.3622472255877001</v>
      </c>
      <c r="Z549" s="2">
        <v>4.6680000000000001</v>
      </c>
      <c r="AA549" s="2">
        <v>-74.148499999999999</v>
      </c>
      <c r="AB549" s="2">
        <v>2547</v>
      </c>
      <c r="AC549" s="2" t="s">
        <v>31</v>
      </c>
      <c r="AD549" s="2" t="s">
        <v>51</v>
      </c>
      <c r="AE549" s="2" t="s">
        <v>33</v>
      </c>
      <c r="AF549" s="2" t="s">
        <v>34</v>
      </c>
      <c r="AG549" s="2" t="s">
        <v>43</v>
      </c>
      <c r="AH549" s="2">
        <v>2.31361260169753</v>
      </c>
      <c r="AI549" s="2">
        <v>2.3841486566616399</v>
      </c>
      <c r="AJ549" s="2">
        <v>1.6891301696622101</v>
      </c>
      <c r="AK549" s="2">
        <v>0.19786088320654599</v>
      </c>
      <c r="AL549" s="2">
        <v>3.5668064354588497E-2</v>
      </c>
      <c r="AM549" s="2">
        <v>15.8</v>
      </c>
      <c r="AN549" s="2">
        <v>17.100000000000001</v>
      </c>
      <c r="AO549" s="2">
        <v>23</v>
      </c>
      <c r="AP549" s="2">
        <v>565</v>
      </c>
      <c r="AQ549" s="2">
        <v>68</v>
      </c>
      <c r="AR549" s="2">
        <v>2.2999999999999998</v>
      </c>
      <c r="AS549" s="2">
        <v>68</v>
      </c>
      <c r="AT549" s="2">
        <v>17.600000000000001</v>
      </c>
      <c r="AU549" s="2">
        <v>162</v>
      </c>
      <c r="AV549" s="2">
        <v>19.7</v>
      </c>
      <c r="AW549" s="2">
        <v>16.7</v>
      </c>
      <c r="AX549" s="2">
        <v>36.4</v>
      </c>
      <c r="AY549" s="2">
        <v>0.66</v>
      </c>
      <c r="AZ549" s="2">
        <v>5.6</v>
      </c>
      <c r="BA549" s="2">
        <v>1.5</v>
      </c>
      <c r="BB549" s="2">
        <v>7.5</v>
      </c>
      <c r="BC549" s="2">
        <v>2.9</v>
      </c>
      <c r="BD549" s="2">
        <f>+AN549*EXP(-0.0495*Y549)</f>
        <v>15.984943146734645</v>
      </c>
      <c r="BE549" s="2">
        <f>+AO549*EXP(-0.024*Y549)</f>
        <v>22.260198931110693</v>
      </c>
    </row>
    <row r="550" spans="1:57" x14ac:dyDescent="0.2">
      <c r="A550" s="2" t="s">
        <v>1485</v>
      </c>
      <c r="B550" s="2" t="s">
        <v>19</v>
      </c>
      <c r="C550" s="2" t="s">
        <v>20</v>
      </c>
      <c r="D550" s="2" t="s">
        <v>21</v>
      </c>
      <c r="E550" s="2" t="s">
        <v>593</v>
      </c>
      <c r="F550" s="2">
        <v>4</v>
      </c>
      <c r="G550" s="2">
        <v>62.62</v>
      </c>
      <c r="H550" s="2">
        <v>3</v>
      </c>
      <c r="I550" s="2">
        <v>2</v>
      </c>
      <c r="J550" s="2">
        <v>1</v>
      </c>
      <c r="K550" s="2" t="s">
        <v>23</v>
      </c>
      <c r="L550" s="6" t="s">
        <v>24</v>
      </c>
      <c r="M550" s="5">
        <v>511995000</v>
      </c>
      <c r="N550" s="2">
        <v>0</v>
      </c>
      <c r="O550" s="2">
        <v>4.6582165</v>
      </c>
      <c r="P550" s="2">
        <v>-74.133414999999999</v>
      </c>
      <c r="Q550" s="2" t="s">
        <v>1486</v>
      </c>
      <c r="R550" s="2">
        <v>8176221.6540000001</v>
      </c>
      <c r="S550" s="2">
        <v>0</v>
      </c>
      <c r="T550" s="2" t="s">
        <v>47</v>
      </c>
      <c r="U550" s="2" t="s">
        <v>48</v>
      </c>
      <c r="V550" s="2" t="s">
        <v>28</v>
      </c>
      <c r="W550" s="2" t="s">
        <v>49</v>
      </c>
      <c r="X550" s="2" t="s">
        <v>50</v>
      </c>
      <c r="Y550" s="2">
        <v>1.9968437177741001</v>
      </c>
      <c r="Z550" s="2">
        <v>4.6680000000000001</v>
      </c>
      <c r="AA550" s="2">
        <v>-74.148499999999999</v>
      </c>
      <c r="AB550" s="2">
        <v>2547</v>
      </c>
      <c r="AC550" s="2" t="s">
        <v>31</v>
      </c>
      <c r="AD550" s="2" t="s">
        <v>51</v>
      </c>
      <c r="AE550" s="2" t="s">
        <v>33</v>
      </c>
      <c r="AF550" s="2" t="s">
        <v>34</v>
      </c>
      <c r="AG550" s="2" t="s">
        <v>43</v>
      </c>
      <c r="AH550" s="2">
        <v>2.53128333907389</v>
      </c>
      <c r="AI550" s="2">
        <v>2.72100738321737</v>
      </c>
      <c r="AJ550" s="2">
        <v>2.26083219664313</v>
      </c>
      <c r="AK550" s="2">
        <v>0.46071011628966502</v>
      </c>
      <c r="AL550" s="2">
        <v>0.32445228469366799</v>
      </c>
      <c r="AM550" s="2">
        <v>15.8</v>
      </c>
      <c r="AN550" s="2">
        <v>17.100000000000001</v>
      </c>
      <c r="AO550" s="2">
        <v>23</v>
      </c>
      <c r="AP550" s="2">
        <v>565</v>
      </c>
      <c r="AQ550" s="2">
        <v>68</v>
      </c>
      <c r="AR550" s="2">
        <v>2.2999999999999998</v>
      </c>
      <c r="AS550" s="2">
        <v>68</v>
      </c>
      <c r="AT550" s="2">
        <v>17.600000000000001</v>
      </c>
      <c r="AU550" s="2">
        <v>162</v>
      </c>
      <c r="AV550" s="2">
        <v>19.7</v>
      </c>
      <c r="AW550" s="2">
        <v>16.7</v>
      </c>
      <c r="AX550" s="2">
        <v>36.4</v>
      </c>
      <c r="AY550" s="2">
        <v>0.66</v>
      </c>
      <c r="AZ550" s="2">
        <v>5.6</v>
      </c>
      <c r="BA550" s="2">
        <v>1.5</v>
      </c>
      <c r="BB550" s="2">
        <v>7.5</v>
      </c>
      <c r="BC550" s="2">
        <v>2.9</v>
      </c>
      <c r="BD550" s="2">
        <f>+AN550*EXP(-0.0495*Y550)</f>
        <v>15.490620310244887</v>
      </c>
      <c r="BE550" s="2">
        <f>+AO550*EXP(-0.024*Y550)</f>
        <v>21.92373777997615</v>
      </c>
    </row>
    <row r="551" spans="1:57" x14ac:dyDescent="0.2">
      <c r="A551" s="2" t="s">
        <v>1443</v>
      </c>
      <c r="B551" s="2" t="s">
        <v>19</v>
      </c>
      <c r="C551" s="2" t="s">
        <v>20</v>
      </c>
      <c r="D551" s="2" t="s">
        <v>21</v>
      </c>
      <c r="E551" s="2" t="s">
        <v>1086</v>
      </c>
      <c r="F551" s="2">
        <v>3</v>
      </c>
      <c r="G551" s="2">
        <v>61</v>
      </c>
      <c r="H551" s="2">
        <v>3</v>
      </c>
      <c r="I551" s="2">
        <v>2</v>
      </c>
      <c r="J551" s="2">
        <v>1</v>
      </c>
      <c r="K551" s="2" t="s">
        <v>61</v>
      </c>
      <c r="L551" s="6" t="s">
        <v>84</v>
      </c>
      <c r="M551" s="5">
        <v>349000000</v>
      </c>
      <c r="N551" s="2">
        <v>0</v>
      </c>
      <c r="O551" s="2">
        <v>4.6554484370000004</v>
      </c>
      <c r="P551" s="2">
        <v>-74.154464719999993</v>
      </c>
      <c r="Q551" s="2" t="s">
        <v>1444</v>
      </c>
      <c r="R551" s="2">
        <v>5721311.4749999996</v>
      </c>
      <c r="S551" s="2">
        <v>0</v>
      </c>
      <c r="T551" s="2" t="s">
        <v>47</v>
      </c>
      <c r="U551" s="2" t="s">
        <v>48</v>
      </c>
      <c r="V551" s="2" t="s">
        <v>28</v>
      </c>
      <c r="W551" s="2" t="s">
        <v>49</v>
      </c>
      <c r="X551" s="2" t="s">
        <v>50</v>
      </c>
      <c r="Y551" s="2">
        <v>1.54603744403634</v>
      </c>
      <c r="Z551" s="2">
        <v>4.6680000000000001</v>
      </c>
      <c r="AA551" s="2">
        <v>-74.148499999999999</v>
      </c>
      <c r="AB551" s="2">
        <v>2547</v>
      </c>
      <c r="AC551" s="2" t="s">
        <v>31</v>
      </c>
      <c r="AD551" s="2" t="s">
        <v>51</v>
      </c>
      <c r="AE551" s="2" t="s">
        <v>33</v>
      </c>
      <c r="AF551" s="2" t="s">
        <v>34</v>
      </c>
      <c r="AG551" s="2" t="s">
        <v>172</v>
      </c>
      <c r="AH551" s="2">
        <v>2.01286222119619</v>
      </c>
      <c r="AI551" s="2">
        <v>0.61642758825353505</v>
      </c>
      <c r="AJ551" s="2">
        <v>3.4560375435519002</v>
      </c>
      <c r="AK551" s="2">
        <v>0.76238652785065197</v>
      </c>
      <c r="AL551" s="2">
        <v>3.77829052393511E-2</v>
      </c>
      <c r="AM551" s="2">
        <v>15.8</v>
      </c>
      <c r="AN551" s="2">
        <v>17.100000000000001</v>
      </c>
      <c r="AO551" s="2">
        <v>23</v>
      </c>
      <c r="AP551" s="2">
        <v>565</v>
      </c>
      <c r="AQ551" s="2">
        <v>68</v>
      </c>
      <c r="AR551" s="2">
        <v>2.2999999999999998</v>
      </c>
      <c r="AS551" s="2">
        <v>68</v>
      </c>
      <c r="AT551" s="2">
        <v>17.600000000000001</v>
      </c>
      <c r="AU551" s="2">
        <v>162</v>
      </c>
      <c r="AV551" s="2">
        <v>19.7</v>
      </c>
      <c r="AW551" s="2">
        <v>16.7</v>
      </c>
      <c r="AX551" s="2">
        <v>36.4</v>
      </c>
      <c r="AY551" s="2">
        <v>0.66</v>
      </c>
      <c r="AZ551" s="2">
        <v>5.6</v>
      </c>
      <c r="BA551" s="2">
        <v>1.5</v>
      </c>
      <c r="BB551" s="2">
        <v>7.5</v>
      </c>
      <c r="BC551" s="2">
        <v>2.9</v>
      </c>
      <c r="BD551" s="2">
        <f>+AN551*EXP(-0.0495*Y551)</f>
        <v>15.840177783495452</v>
      </c>
      <c r="BE551" s="2">
        <f>+AO551*EXP(-0.024*Y551)</f>
        <v>22.162226203328384</v>
      </c>
    </row>
    <row r="552" spans="1:57" x14ac:dyDescent="0.2">
      <c r="A552" s="2" t="s">
        <v>637</v>
      </c>
      <c r="B552" s="2" t="s">
        <v>19</v>
      </c>
      <c r="C552" s="2" t="s">
        <v>20</v>
      </c>
      <c r="D552" s="2" t="s">
        <v>21</v>
      </c>
      <c r="E552" s="2" t="s">
        <v>94</v>
      </c>
      <c r="F552" s="2">
        <v>4</v>
      </c>
      <c r="G552" s="2">
        <v>60.29</v>
      </c>
      <c r="H552" s="2">
        <v>3</v>
      </c>
      <c r="I552" s="2">
        <v>2</v>
      </c>
      <c r="J552" s="2">
        <v>1</v>
      </c>
      <c r="K552" s="2" t="s">
        <v>61</v>
      </c>
      <c r="L552" s="6" t="s">
        <v>75</v>
      </c>
      <c r="M552" s="5">
        <v>450000000</v>
      </c>
      <c r="N552" s="2">
        <v>0</v>
      </c>
      <c r="O552" s="2">
        <v>4.661721</v>
      </c>
      <c r="P552" s="2">
        <v>-74.132940000000005</v>
      </c>
      <c r="Q552" s="2" t="s">
        <v>638</v>
      </c>
      <c r="R552" s="2">
        <v>7463924.3660000004</v>
      </c>
      <c r="S552" s="2">
        <v>0</v>
      </c>
      <c r="T552" s="2" t="s">
        <v>47</v>
      </c>
      <c r="U552" s="2" t="s">
        <v>48</v>
      </c>
      <c r="V552" s="2" t="s">
        <v>28</v>
      </c>
      <c r="W552" s="2" t="s">
        <v>49</v>
      </c>
      <c r="X552" s="2" t="s">
        <v>50</v>
      </c>
      <c r="Y552" s="2">
        <v>1.8625253586691699</v>
      </c>
      <c r="Z552" s="2">
        <v>4.6680000000000001</v>
      </c>
      <c r="AA552" s="2">
        <v>-74.148499999999999</v>
      </c>
      <c r="AB552" s="2">
        <v>2547</v>
      </c>
      <c r="AC552" s="2" t="s">
        <v>31</v>
      </c>
      <c r="AD552" s="2" t="s">
        <v>51</v>
      </c>
      <c r="AE552" s="2" t="s">
        <v>33</v>
      </c>
      <c r="AF552" s="2" t="s">
        <v>34</v>
      </c>
      <c r="AG552" s="2" t="s">
        <v>43</v>
      </c>
      <c r="AH552" s="2">
        <v>2.2865533359268801</v>
      </c>
      <c r="AI552" s="2">
        <v>2.73742347956117</v>
      </c>
      <c r="AJ552" s="2">
        <v>2.29593506034692</v>
      </c>
      <c r="AK552" s="2">
        <v>0.144650787147099</v>
      </c>
      <c r="AL552" s="2">
        <v>2.6414868766456798E-2</v>
      </c>
      <c r="AM552" s="2">
        <v>15.8</v>
      </c>
      <c r="AN552" s="2">
        <v>17.100000000000001</v>
      </c>
      <c r="AO552" s="2">
        <v>23</v>
      </c>
      <c r="AP552" s="2">
        <v>565</v>
      </c>
      <c r="AQ552" s="2">
        <v>68</v>
      </c>
      <c r="AR552" s="2">
        <v>2.2999999999999998</v>
      </c>
      <c r="AS552" s="2">
        <v>68</v>
      </c>
      <c r="AT552" s="2">
        <v>17.600000000000001</v>
      </c>
      <c r="AU552" s="2">
        <v>162</v>
      </c>
      <c r="AV552" s="2">
        <v>19.7</v>
      </c>
      <c r="AW552" s="2">
        <v>16.7</v>
      </c>
      <c r="AX552" s="2">
        <v>36.4</v>
      </c>
      <c r="AY552" s="2">
        <v>0.66</v>
      </c>
      <c r="AZ552" s="2">
        <v>5.6</v>
      </c>
      <c r="BA552" s="2">
        <v>1.5</v>
      </c>
      <c r="BB552" s="2">
        <v>7.5</v>
      </c>
      <c r="BC552" s="2">
        <v>2.9</v>
      </c>
      <c r="BD552" s="2">
        <f>+AN552*EXP(-0.0495*Y552)</f>
        <v>15.593956857185958</v>
      </c>
      <c r="BE552" s="2">
        <f>+AO552*EXP(-0.024*Y552)</f>
        <v>21.994526068292377</v>
      </c>
    </row>
    <row r="553" spans="1:57" x14ac:dyDescent="0.2">
      <c r="A553" s="2" t="s">
        <v>2018</v>
      </c>
      <c r="B553" s="2" t="s">
        <v>19</v>
      </c>
      <c r="C553" s="2" t="s">
        <v>1907</v>
      </c>
      <c r="D553" s="2" t="s">
        <v>21</v>
      </c>
      <c r="E553" s="2" t="s">
        <v>2019</v>
      </c>
      <c r="F553" s="2">
        <v>2</v>
      </c>
      <c r="G553" s="2">
        <v>58</v>
      </c>
      <c r="H553" s="2">
        <v>3</v>
      </c>
      <c r="I553" s="2">
        <v>1</v>
      </c>
      <c r="J553" s="2">
        <v>0</v>
      </c>
      <c r="K553" s="2" t="s">
        <v>61</v>
      </c>
      <c r="L553" s="6" t="s">
        <v>84</v>
      </c>
      <c r="M553" s="5">
        <v>225000000</v>
      </c>
      <c r="N553" s="2">
        <v>0</v>
      </c>
      <c r="O553" s="2">
        <v>4.6572532649999996</v>
      </c>
      <c r="P553" s="2">
        <v>-74.157806399999998</v>
      </c>
      <c r="Q553" s="2" t="s">
        <v>2020</v>
      </c>
      <c r="R553" s="2">
        <v>3879310.3450000002</v>
      </c>
      <c r="S553" s="2">
        <v>0</v>
      </c>
      <c r="T553" s="2" t="s">
        <v>47</v>
      </c>
      <c r="U553" s="2" t="s">
        <v>48</v>
      </c>
      <c r="V553" s="2" t="s">
        <v>28</v>
      </c>
      <c r="W553" s="2" t="s">
        <v>49</v>
      </c>
      <c r="X553" s="2" t="s">
        <v>50</v>
      </c>
      <c r="Y553" s="2">
        <v>1.5803020071933001</v>
      </c>
      <c r="Z553" s="2">
        <v>4.6680000000000001</v>
      </c>
      <c r="AA553" s="2">
        <v>-74.148499999999999</v>
      </c>
      <c r="AB553" s="2">
        <v>2547</v>
      </c>
      <c r="AC553" s="2" t="s">
        <v>31</v>
      </c>
      <c r="AD553" s="2" t="s">
        <v>51</v>
      </c>
      <c r="AE553" s="2" t="s">
        <v>33</v>
      </c>
      <c r="AF553" s="2" t="s">
        <v>34</v>
      </c>
      <c r="AG553" s="2" t="s">
        <v>172</v>
      </c>
      <c r="AH553" s="2">
        <v>2.14484260152024</v>
      </c>
      <c r="AI553" s="2">
        <v>0.246180248479277</v>
      </c>
      <c r="AJ553" s="2">
        <v>3.51006846651826</v>
      </c>
      <c r="AK553" s="2">
        <v>1.18213585091739</v>
      </c>
      <c r="AL553" s="2">
        <v>0.243694528934737</v>
      </c>
      <c r="AM553" s="2">
        <v>15.8</v>
      </c>
      <c r="AN553" s="2">
        <v>17.100000000000001</v>
      </c>
      <c r="AO553" s="2">
        <v>23</v>
      </c>
      <c r="AP553" s="2">
        <v>565</v>
      </c>
      <c r="AQ553" s="2">
        <v>68</v>
      </c>
      <c r="AR553" s="2">
        <v>2.2999999999999998</v>
      </c>
      <c r="AS553" s="2">
        <v>68</v>
      </c>
      <c r="AT553" s="2">
        <v>17.600000000000001</v>
      </c>
      <c r="AU553" s="2">
        <v>162</v>
      </c>
      <c r="AV553" s="2">
        <v>19.7</v>
      </c>
      <c r="AW553" s="2">
        <v>16.7</v>
      </c>
      <c r="AX553" s="2">
        <v>36.4</v>
      </c>
      <c r="AY553" s="2">
        <v>0.66</v>
      </c>
      <c r="AZ553" s="2">
        <v>5.6</v>
      </c>
      <c r="BA553" s="2">
        <v>1.5</v>
      </c>
      <c r="BB553" s="2">
        <v>7.5</v>
      </c>
      <c r="BC553" s="2">
        <v>2.9</v>
      </c>
      <c r="BD553" s="2">
        <f>+AN553*EXP(-0.0495*Y553)</f>
        <v>15.813334094447834</v>
      </c>
      <c r="BE553" s="2">
        <f>+AO553*EXP(-0.024*Y553)</f>
        <v>22.144008598987462</v>
      </c>
    </row>
    <row r="554" spans="1:57" x14ac:dyDescent="0.2">
      <c r="A554" s="2" t="s">
        <v>1585</v>
      </c>
      <c r="B554" s="2" t="s">
        <v>19</v>
      </c>
      <c r="C554" s="2" t="s">
        <v>20</v>
      </c>
      <c r="D554" s="2" t="s">
        <v>21</v>
      </c>
      <c r="E554" s="2" t="s">
        <v>1586</v>
      </c>
      <c r="F554" s="2">
        <v>4</v>
      </c>
      <c r="G554" s="2">
        <v>57</v>
      </c>
      <c r="H554" s="2">
        <v>3</v>
      </c>
      <c r="I554" s="2">
        <v>2</v>
      </c>
      <c r="J554" s="2">
        <v>1</v>
      </c>
      <c r="K554" s="2" t="s">
        <v>61</v>
      </c>
      <c r="L554" s="6" t="s">
        <v>75</v>
      </c>
      <c r="M554" s="5">
        <v>360000000</v>
      </c>
      <c r="N554" s="2">
        <v>0</v>
      </c>
      <c r="O554" s="2">
        <v>4.6637187000000004</v>
      </c>
      <c r="P554" s="2">
        <v>-74.137630000000001</v>
      </c>
      <c r="Q554" s="2" t="s">
        <v>1587</v>
      </c>
      <c r="R554" s="2">
        <v>6315789.4740000004</v>
      </c>
      <c r="S554" s="2">
        <v>0</v>
      </c>
      <c r="T554" s="2" t="s">
        <v>47</v>
      </c>
      <c r="U554" s="2" t="s">
        <v>48</v>
      </c>
      <c r="V554" s="2" t="s">
        <v>28</v>
      </c>
      <c r="W554" s="2" t="s">
        <v>49</v>
      </c>
      <c r="X554" s="2" t="s">
        <v>50</v>
      </c>
      <c r="Y554" s="2">
        <v>1.29678650395194</v>
      </c>
      <c r="Z554" s="2">
        <v>4.6680000000000001</v>
      </c>
      <c r="AA554" s="2">
        <v>-74.148499999999999</v>
      </c>
      <c r="AB554" s="2">
        <v>2547</v>
      </c>
      <c r="AC554" s="2" t="s">
        <v>31</v>
      </c>
      <c r="AD554" s="2" t="s">
        <v>51</v>
      </c>
      <c r="AE554" s="2" t="s">
        <v>33</v>
      </c>
      <c r="AF554" s="2" t="s">
        <v>34</v>
      </c>
      <c r="AG554" s="2" t="s">
        <v>43</v>
      </c>
      <c r="AH554" s="2">
        <v>2.5922500896491898</v>
      </c>
      <c r="AI554" s="2">
        <v>2.2121278230105998</v>
      </c>
      <c r="AJ554" s="2">
        <v>2.0099185513914399</v>
      </c>
      <c r="AK554" s="2">
        <v>0.18081688298949899</v>
      </c>
      <c r="AL554" s="2">
        <v>0.27945497358733001</v>
      </c>
      <c r="AM554" s="2">
        <v>15.8</v>
      </c>
      <c r="AN554" s="2">
        <v>17.100000000000001</v>
      </c>
      <c r="AO554" s="2">
        <v>23</v>
      </c>
      <c r="AP554" s="2">
        <v>565</v>
      </c>
      <c r="AQ554" s="2">
        <v>68</v>
      </c>
      <c r="AR554" s="2">
        <v>2.2999999999999998</v>
      </c>
      <c r="AS554" s="2">
        <v>68</v>
      </c>
      <c r="AT554" s="2">
        <v>17.600000000000001</v>
      </c>
      <c r="AU554" s="2">
        <v>162</v>
      </c>
      <c r="AV554" s="2">
        <v>19.7</v>
      </c>
      <c r="AW554" s="2">
        <v>16.7</v>
      </c>
      <c r="AX554" s="2">
        <v>36.4</v>
      </c>
      <c r="AY554" s="2">
        <v>0.66</v>
      </c>
      <c r="AZ554" s="2">
        <v>5.6</v>
      </c>
      <c r="BA554" s="2">
        <v>1.5</v>
      </c>
      <c r="BB554" s="2">
        <v>7.5</v>
      </c>
      <c r="BC554" s="2">
        <v>2.9</v>
      </c>
      <c r="BD554" s="2">
        <f>+AN554*EXP(-0.0495*Y554)</f>
        <v>16.036823257779421</v>
      </c>
      <c r="BE554" s="2">
        <f>+AO554*EXP(-0.024*Y554)</f>
        <v>22.295198465508019</v>
      </c>
    </row>
    <row r="555" spans="1:57" x14ac:dyDescent="0.2">
      <c r="A555" s="2" t="s">
        <v>846</v>
      </c>
      <c r="B555" s="2" t="s">
        <v>19</v>
      </c>
      <c r="C555" s="2" t="s">
        <v>20</v>
      </c>
      <c r="D555" s="2" t="s">
        <v>21</v>
      </c>
      <c r="E555" s="2" t="s">
        <v>593</v>
      </c>
      <c r="F555" s="2">
        <v>4</v>
      </c>
      <c r="G555" s="2">
        <v>56</v>
      </c>
      <c r="H555" s="2">
        <v>3</v>
      </c>
      <c r="I555" s="2">
        <v>2</v>
      </c>
      <c r="J555" s="2">
        <v>1</v>
      </c>
      <c r="K555" s="2" t="s">
        <v>61</v>
      </c>
      <c r="L555" s="6" t="s">
        <v>75</v>
      </c>
      <c r="M555" s="5">
        <v>387000001</v>
      </c>
      <c r="N555" s="2">
        <v>0</v>
      </c>
      <c r="O555" s="2">
        <v>4.6639184</v>
      </c>
      <c r="P555" s="2">
        <v>-74.137392199999994</v>
      </c>
      <c r="Q555" s="2" t="s">
        <v>847</v>
      </c>
      <c r="R555" s="2">
        <v>6910714.3039999995</v>
      </c>
      <c r="S555" s="2">
        <v>0</v>
      </c>
      <c r="T555" s="2" t="s">
        <v>47</v>
      </c>
      <c r="U555" s="2" t="s">
        <v>48</v>
      </c>
      <c r="V555" s="2" t="s">
        <v>28</v>
      </c>
      <c r="W555" s="2" t="s">
        <v>49</v>
      </c>
      <c r="X555" s="2" t="s">
        <v>50</v>
      </c>
      <c r="Y555" s="2">
        <v>1.3135050093561</v>
      </c>
      <c r="Z555" s="2">
        <v>4.6680000000000001</v>
      </c>
      <c r="AA555" s="2">
        <v>-74.148499999999999</v>
      </c>
      <c r="AB555" s="2">
        <v>2547</v>
      </c>
      <c r="AC555" s="2" t="s">
        <v>31</v>
      </c>
      <c r="AD555" s="2" t="s">
        <v>51</v>
      </c>
      <c r="AE555" s="2" t="s">
        <v>33</v>
      </c>
      <c r="AF555" s="2" t="s">
        <v>34</v>
      </c>
      <c r="AG555" s="2" t="s">
        <v>43</v>
      </c>
      <c r="AH555" s="2">
        <v>2.5585173230090201</v>
      </c>
      <c r="AI555" s="2">
        <v>2.2390384413871098</v>
      </c>
      <c r="AJ555" s="2">
        <v>1.98834310510723</v>
      </c>
      <c r="AK555" s="2">
        <v>0.157920779806448</v>
      </c>
      <c r="AL555" s="2">
        <v>0.245080756210485</v>
      </c>
      <c r="AM555" s="2">
        <v>15.8</v>
      </c>
      <c r="AN555" s="2">
        <v>17.100000000000001</v>
      </c>
      <c r="AO555" s="2">
        <v>23</v>
      </c>
      <c r="AP555" s="2">
        <v>565</v>
      </c>
      <c r="AQ555" s="2">
        <v>68</v>
      </c>
      <c r="AR555" s="2">
        <v>2.2999999999999998</v>
      </c>
      <c r="AS555" s="2">
        <v>68</v>
      </c>
      <c r="AT555" s="2">
        <v>17.600000000000001</v>
      </c>
      <c r="AU555" s="2">
        <v>162</v>
      </c>
      <c r="AV555" s="2">
        <v>19.7</v>
      </c>
      <c r="AW555" s="2">
        <v>16.7</v>
      </c>
      <c r="AX555" s="2">
        <v>36.4</v>
      </c>
      <c r="AY555" s="2">
        <v>0.66</v>
      </c>
      <c r="AZ555" s="2">
        <v>5.6</v>
      </c>
      <c r="BA555" s="2">
        <v>1.5</v>
      </c>
      <c r="BB555" s="2">
        <v>7.5</v>
      </c>
      <c r="BC555" s="2">
        <v>2.9</v>
      </c>
      <c r="BD555" s="2">
        <f>+AN555*EXP(-0.0495*Y555)</f>
        <v>16.023557217841578</v>
      </c>
      <c r="BE555" s="2">
        <f>+AO555*EXP(-0.024*Y555)</f>
        <v>22.2862544424916</v>
      </c>
    </row>
    <row r="556" spans="1:57" x14ac:dyDescent="0.2">
      <c r="A556" s="2" t="s">
        <v>617</v>
      </c>
      <c r="B556" s="2" t="s">
        <v>19</v>
      </c>
      <c r="C556" s="2" t="s">
        <v>20</v>
      </c>
      <c r="D556" s="2" t="s">
        <v>21</v>
      </c>
      <c r="E556" s="2" t="s">
        <v>618</v>
      </c>
      <c r="F556" s="2">
        <v>3</v>
      </c>
      <c r="G556" s="2">
        <v>54</v>
      </c>
      <c r="H556" s="2">
        <v>3</v>
      </c>
      <c r="I556" s="2">
        <v>2</v>
      </c>
      <c r="J556" s="2">
        <v>1</v>
      </c>
      <c r="K556" s="2" t="s">
        <v>61</v>
      </c>
      <c r="L556" s="6" t="s">
        <v>75</v>
      </c>
      <c r="M556" s="5">
        <v>320000000</v>
      </c>
      <c r="N556" s="2">
        <v>0</v>
      </c>
      <c r="O556" s="2">
        <v>4.6598119740000001</v>
      </c>
      <c r="P556" s="2">
        <v>-74.15359497</v>
      </c>
      <c r="Q556" s="2" t="s">
        <v>619</v>
      </c>
      <c r="R556" s="2">
        <v>5925925.926</v>
      </c>
      <c r="S556" s="2">
        <v>0</v>
      </c>
      <c r="T556" s="2" t="s">
        <v>47</v>
      </c>
      <c r="U556" s="2" t="s">
        <v>48</v>
      </c>
      <c r="V556" s="2" t="s">
        <v>28</v>
      </c>
      <c r="W556" s="2" t="s">
        <v>49</v>
      </c>
      <c r="X556" s="2" t="s">
        <v>50</v>
      </c>
      <c r="Y556" s="2">
        <v>1.0725496602983899</v>
      </c>
      <c r="Z556" s="2">
        <v>4.6680000000000001</v>
      </c>
      <c r="AA556" s="2">
        <v>-74.148499999999999</v>
      </c>
      <c r="AB556" s="2">
        <v>2547</v>
      </c>
      <c r="AC556" s="2" t="s">
        <v>31</v>
      </c>
      <c r="AD556" s="2" t="s">
        <v>51</v>
      </c>
      <c r="AE556" s="2" t="s">
        <v>33</v>
      </c>
      <c r="AF556" s="2" t="s">
        <v>34</v>
      </c>
      <c r="AG556" s="2" t="s">
        <v>172</v>
      </c>
      <c r="AH556" s="2">
        <v>2.5035319779227398</v>
      </c>
      <c r="AI556" s="2">
        <v>0.47743449929361298</v>
      </c>
      <c r="AJ556" s="2">
        <v>3.0017797563824899</v>
      </c>
      <c r="AK556" s="2">
        <v>0.75347656402439001</v>
      </c>
      <c r="AL556" s="2">
        <v>0.259330880628586</v>
      </c>
      <c r="AM556" s="2">
        <v>15.8</v>
      </c>
      <c r="AN556" s="2">
        <v>17.100000000000001</v>
      </c>
      <c r="AO556" s="2">
        <v>23</v>
      </c>
      <c r="AP556" s="2">
        <v>565</v>
      </c>
      <c r="AQ556" s="2">
        <v>68</v>
      </c>
      <c r="AR556" s="2">
        <v>2.2999999999999998</v>
      </c>
      <c r="AS556" s="2">
        <v>68</v>
      </c>
      <c r="AT556" s="2">
        <v>17.600000000000001</v>
      </c>
      <c r="AU556" s="2">
        <v>162</v>
      </c>
      <c r="AV556" s="2">
        <v>19.7</v>
      </c>
      <c r="AW556" s="2">
        <v>16.7</v>
      </c>
      <c r="AX556" s="2">
        <v>36.4</v>
      </c>
      <c r="AY556" s="2">
        <v>0.66</v>
      </c>
      <c r="AZ556" s="2">
        <v>5.6</v>
      </c>
      <c r="BA556" s="2">
        <v>1.5</v>
      </c>
      <c r="BB556" s="2">
        <v>7.5</v>
      </c>
      <c r="BC556" s="2">
        <v>2.9</v>
      </c>
      <c r="BD556" s="2">
        <f>+AN556*EXP(-0.0495*Y556)</f>
        <v>16.215819130568629</v>
      </c>
      <c r="BE556" s="2">
        <f>+AO556*EXP(-0.024*Y556)</f>
        <v>22.415507626475787</v>
      </c>
    </row>
    <row r="557" spans="1:57" x14ac:dyDescent="0.2">
      <c r="A557" s="2" t="s">
        <v>1191</v>
      </c>
      <c r="B557" s="2" t="s">
        <v>19</v>
      </c>
      <c r="C557" s="2" t="s">
        <v>20</v>
      </c>
      <c r="D557" s="2" t="s">
        <v>21</v>
      </c>
      <c r="E557" s="2" t="s">
        <v>1192</v>
      </c>
      <c r="F557" s="2">
        <v>3</v>
      </c>
      <c r="G557" s="2">
        <v>53.57</v>
      </c>
      <c r="H557" s="2">
        <v>2</v>
      </c>
      <c r="I557" s="2">
        <v>1</v>
      </c>
      <c r="J557" s="2">
        <v>1</v>
      </c>
      <c r="K557" s="2" t="s">
        <v>61</v>
      </c>
      <c r="L557" s="6" t="s">
        <v>113</v>
      </c>
      <c r="M557" s="5">
        <v>295000000</v>
      </c>
      <c r="N557" s="2">
        <v>0</v>
      </c>
      <c r="O557" s="2">
        <v>4.7007117000000003</v>
      </c>
      <c r="P557" s="2">
        <v>-74.116104000000007</v>
      </c>
      <c r="Q557" s="2" t="s">
        <v>1193</v>
      </c>
      <c r="R557" s="2">
        <v>5506813.5149999997</v>
      </c>
      <c r="S557" s="2">
        <v>0</v>
      </c>
      <c r="T557" s="2" t="s">
        <v>49</v>
      </c>
      <c r="U557" s="2" t="s">
        <v>476</v>
      </c>
      <c r="V557" s="2" t="s">
        <v>28</v>
      </c>
      <c r="W557" s="2" t="s">
        <v>49</v>
      </c>
      <c r="X557" s="2" t="s">
        <v>477</v>
      </c>
      <c r="Y557" s="2">
        <v>3.96383993757967</v>
      </c>
      <c r="Z557" s="2">
        <v>4.6782416666666702</v>
      </c>
      <c r="AA557" s="2">
        <v>-74.143819444444404</v>
      </c>
      <c r="AB557" s="2">
        <v>2551</v>
      </c>
      <c r="AC557" s="2" t="s">
        <v>31</v>
      </c>
      <c r="AD557" s="2" t="s">
        <v>32</v>
      </c>
      <c r="AE557" s="2" t="s">
        <v>33</v>
      </c>
      <c r="AF557" s="2" t="s">
        <v>34</v>
      </c>
      <c r="AG557" s="2" t="s">
        <v>363</v>
      </c>
      <c r="AH557" s="2">
        <v>1.0528471532133199</v>
      </c>
      <c r="AI557" s="2">
        <v>2.8722059791107002</v>
      </c>
      <c r="AJ557" s="2">
        <v>1.2845315028761199</v>
      </c>
      <c r="AK557" s="2">
        <v>7.3914209807117104E-2</v>
      </c>
      <c r="AL557" s="2">
        <v>0.20221264735864</v>
      </c>
      <c r="AM557" s="2">
        <v>15.8</v>
      </c>
      <c r="AN557" s="2">
        <v>17.100000000000001</v>
      </c>
      <c r="AO557" s="2">
        <v>23</v>
      </c>
      <c r="AP557" s="2">
        <v>565</v>
      </c>
      <c r="AQ557" s="2">
        <v>68</v>
      </c>
      <c r="AR557" s="2">
        <v>2.2999999999999998</v>
      </c>
      <c r="AS557" s="2">
        <v>68</v>
      </c>
      <c r="AT557" s="2">
        <v>17.600000000000001</v>
      </c>
      <c r="AU557" s="2">
        <v>162</v>
      </c>
      <c r="AV557" s="2">
        <v>19.7</v>
      </c>
      <c r="AW557" s="2">
        <v>16.7</v>
      </c>
      <c r="AX557" s="2">
        <v>36.4</v>
      </c>
      <c r="AY557" s="2">
        <v>0.66</v>
      </c>
      <c r="AZ557" s="2">
        <v>5.6</v>
      </c>
      <c r="BA557" s="2">
        <v>1.5</v>
      </c>
      <c r="BB557" s="2">
        <v>7.5</v>
      </c>
      <c r="BC557" s="2">
        <v>2.9</v>
      </c>
      <c r="BD557" s="2">
        <f>+AN557*EXP(-0.0495*Y557)</f>
        <v>14.05345659613028</v>
      </c>
      <c r="BE557" s="2">
        <f>+AO557*EXP(-0.024*Y557)</f>
        <v>20.912813504027582</v>
      </c>
    </row>
    <row r="558" spans="1:57" x14ac:dyDescent="0.2">
      <c r="A558" s="2" t="s">
        <v>2093</v>
      </c>
      <c r="B558" s="2" t="s">
        <v>19</v>
      </c>
      <c r="C558" s="2" t="s">
        <v>1907</v>
      </c>
      <c r="D558" s="2" t="s">
        <v>21</v>
      </c>
      <c r="E558" s="2" t="s">
        <v>2094</v>
      </c>
      <c r="F558" s="2">
        <v>2</v>
      </c>
      <c r="G558" s="2">
        <v>53</v>
      </c>
      <c r="H558" s="2">
        <v>3</v>
      </c>
      <c r="I558" s="2">
        <v>2</v>
      </c>
      <c r="J558" s="2">
        <v>0</v>
      </c>
      <c r="K558" s="2" t="s">
        <v>61</v>
      </c>
      <c r="L558" s="6" t="s">
        <v>75</v>
      </c>
      <c r="M558" s="5">
        <v>240000000</v>
      </c>
      <c r="N558" s="2">
        <v>0</v>
      </c>
      <c r="O558" s="2">
        <v>4.653060913</v>
      </c>
      <c r="P558" s="2">
        <v>-74.162765500000006</v>
      </c>
      <c r="Q558" s="2" t="s">
        <v>2095</v>
      </c>
      <c r="R558" s="2">
        <v>4528301.8870000001</v>
      </c>
      <c r="S558" s="2">
        <v>0</v>
      </c>
      <c r="T558" s="2" t="s">
        <v>47</v>
      </c>
      <c r="U558" s="2" t="s">
        <v>48</v>
      </c>
      <c r="V558" s="2" t="s">
        <v>28</v>
      </c>
      <c r="W558" s="2" t="s">
        <v>49</v>
      </c>
      <c r="X558" s="2" t="s">
        <v>50</v>
      </c>
      <c r="Y558" s="2">
        <v>2.2958205818549202</v>
      </c>
      <c r="Z558" s="2">
        <v>4.6680000000000001</v>
      </c>
      <c r="AA558" s="2">
        <v>-74.148499999999999</v>
      </c>
      <c r="AB558" s="2">
        <v>2547</v>
      </c>
      <c r="AC558" s="2" t="s">
        <v>31</v>
      </c>
      <c r="AD558" s="2" t="s">
        <v>51</v>
      </c>
      <c r="AE558" s="2" t="s">
        <v>33</v>
      </c>
      <c r="AF558" s="2" t="s">
        <v>34</v>
      </c>
      <c r="AG558" s="2" t="s">
        <v>172</v>
      </c>
      <c r="AH558" s="2">
        <v>1.7168943266785801</v>
      </c>
      <c r="AI558" s="2">
        <v>0.35913204590724301</v>
      </c>
      <c r="AJ558" s="2">
        <v>4.2185686553393502</v>
      </c>
      <c r="AK558" s="2">
        <v>0.75083378698478698</v>
      </c>
      <c r="AL558" s="2">
        <v>0.21249559296550299</v>
      </c>
      <c r="AM558" s="2">
        <v>15.8</v>
      </c>
      <c r="AN558" s="2">
        <v>17.100000000000001</v>
      </c>
      <c r="AO558" s="2">
        <v>23</v>
      </c>
      <c r="AP558" s="2">
        <v>565</v>
      </c>
      <c r="AQ558" s="2">
        <v>68</v>
      </c>
      <c r="AR558" s="2">
        <v>2.2999999999999998</v>
      </c>
      <c r="AS558" s="2">
        <v>68</v>
      </c>
      <c r="AT558" s="2">
        <v>17.600000000000001</v>
      </c>
      <c r="AU558" s="2">
        <v>162</v>
      </c>
      <c r="AV558" s="2">
        <v>19.7</v>
      </c>
      <c r="AW558" s="2">
        <v>16.7</v>
      </c>
      <c r="AX558" s="2">
        <v>36.4</v>
      </c>
      <c r="AY558" s="2">
        <v>0.66</v>
      </c>
      <c r="AZ558" s="2">
        <v>5.6</v>
      </c>
      <c r="BA558" s="2">
        <v>1.5</v>
      </c>
      <c r="BB558" s="2">
        <v>7.5</v>
      </c>
      <c r="BC558" s="2">
        <v>2.9</v>
      </c>
      <c r="BD558" s="2">
        <f>+AN558*EXP(-0.0495*Y558)</f>
        <v>15.263057171852749</v>
      </c>
      <c r="BE558" s="2">
        <f>+AO558*EXP(-0.024*Y558)</f>
        <v>21.766988257401721</v>
      </c>
    </row>
    <row r="559" spans="1:57" x14ac:dyDescent="0.2">
      <c r="A559" s="2" t="s">
        <v>1392</v>
      </c>
      <c r="B559" s="2" t="s">
        <v>19</v>
      </c>
      <c r="C559" s="2" t="s">
        <v>20</v>
      </c>
      <c r="D559" s="2" t="s">
        <v>21</v>
      </c>
      <c r="E559" s="2" t="s">
        <v>1393</v>
      </c>
      <c r="F559" s="2">
        <v>3</v>
      </c>
      <c r="G559" s="2">
        <v>53</v>
      </c>
      <c r="H559" s="2">
        <v>3</v>
      </c>
      <c r="I559" s="2">
        <v>1</v>
      </c>
      <c r="J559" s="2">
        <v>0</v>
      </c>
      <c r="K559" s="2" t="s">
        <v>61</v>
      </c>
      <c r="L559" s="6" t="s">
        <v>84</v>
      </c>
      <c r="M559" s="5">
        <v>230500000</v>
      </c>
      <c r="N559" s="2">
        <v>0</v>
      </c>
      <c r="O559" s="2">
        <v>4.6906603799999997</v>
      </c>
      <c r="P559" s="2">
        <v>-74.159280219999999</v>
      </c>
      <c r="Q559" s="2" t="s">
        <v>1394</v>
      </c>
      <c r="R559" s="2">
        <v>4349056.6040000003</v>
      </c>
      <c r="S559" s="2">
        <v>0</v>
      </c>
      <c r="T559" s="2" t="s">
        <v>49</v>
      </c>
      <c r="U559" s="2" t="s">
        <v>476</v>
      </c>
      <c r="V559" s="2" t="s">
        <v>28</v>
      </c>
      <c r="W559" s="2" t="s">
        <v>49</v>
      </c>
      <c r="X559" s="2" t="s">
        <v>477</v>
      </c>
      <c r="Y559" s="2">
        <v>2.20307356415343</v>
      </c>
      <c r="Z559" s="2">
        <v>4.6782416666666702</v>
      </c>
      <c r="AA559" s="2">
        <v>-74.143819444444404</v>
      </c>
      <c r="AB559" s="2">
        <v>2551</v>
      </c>
      <c r="AC559" s="2" t="s">
        <v>31</v>
      </c>
      <c r="AD559" s="2" t="s">
        <v>32</v>
      </c>
      <c r="AE559" s="2" t="s">
        <v>33</v>
      </c>
      <c r="AF559" s="2" t="s">
        <v>34</v>
      </c>
      <c r="AG559" s="2" t="s">
        <v>43</v>
      </c>
      <c r="AH559" s="2">
        <v>4.3176268582664497</v>
      </c>
      <c r="AI559" s="2">
        <v>0.82164688079355397</v>
      </c>
      <c r="AJ559" s="2">
        <v>2.56612303561031</v>
      </c>
      <c r="AK559" s="2">
        <v>0.35474225408070298</v>
      </c>
      <c r="AL559" s="2">
        <v>1.07268241901297E-2</v>
      </c>
      <c r="AM559" s="2">
        <v>15.8</v>
      </c>
      <c r="AN559" s="2">
        <v>17.100000000000001</v>
      </c>
      <c r="AO559" s="2">
        <v>23</v>
      </c>
      <c r="AP559" s="2">
        <v>565</v>
      </c>
      <c r="AQ559" s="2">
        <v>68</v>
      </c>
      <c r="AR559" s="2">
        <v>2.2999999999999998</v>
      </c>
      <c r="AS559" s="2">
        <v>68</v>
      </c>
      <c r="AT559" s="2">
        <v>17.600000000000001</v>
      </c>
      <c r="AU559" s="2">
        <v>162</v>
      </c>
      <c r="AV559" s="2">
        <v>19.7</v>
      </c>
      <c r="AW559" s="2">
        <v>16.7</v>
      </c>
      <c r="AX559" s="2">
        <v>36.4</v>
      </c>
      <c r="AY559" s="2">
        <v>0.66</v>
      </c>
      <c r="AZ559" s="2">
        <v>5.6</v>
      </c>
      <c r="BA559" s="2">
        <v>1.5</v>
      </c>
      <c r="BB559" s="2">
        <v>7.5</v>
      </c>
      <c r="BC559" s="2">
        <v>2.9</v>
      </c>
      <c r="BD559" s="2">
        <f>+AN559*EXP(-0.0495*Y559)</f>
        <v>15.333290618744019</v>
      </c>
      <c r="BE559" s="2">
        <f>+AO559*EXP(-0.024*Y559)</f>
        <v>21.815493980392887</v>
      </c>
    </row>
    <row r="560" spans="1:57" x14ac:dyDescent="0.2">
      <c r="A560" s="2" t="s">
        <v>2380</v>
      </c>
      <c r="B560" s="2" t="s">
        <v>19</v>
      </c>
      <c r="C560" s="2" t="s">
        <v>1907</v>
      </c>
      <c r="D560" s="2" t="s">
        <v>21</v>
      </c>
      <c r="E560" s="2" t="s">
        <v>1086</v>
      </c>
      <c r="F560" s="2">
        <v>2</v>
      </c>
      <c r="G560" s="2">
        <v>51</v>
      </c>
      <c r="H560" s="2">
        <v>3</v>
      </c>
      <c r="I560" s="2">
        <v>1</v>
      </c>
      <c r="J560" s="2">
        <v>0</v>
      </c>
      <c r="K560" s="2" t="s">
        <v>61</v>
      </c>
      <c r="L560" s="6" t="s">
        <v>113</v>
      </c>
      <c r="M560" s="5">
        <v>233000000</v>
      </c>
      <c r="N560" s="2">
        <v>0</v>
      </c>
      <c r="O560" s="2">
        <v>4.6555761919999998</v>
      </c>
      <c r="P560" s="2">
        <v>-74.156816849999998</v>
      </c>
      <c r="Q560" s="2" t="s">
        <v>2381</v>
      </c>
      <c r="R560" s="2">
        <v>4568627.4510000004</v>
      </c>
      <c r="S560" s="2">
        <v>0</v>
      </c>
      <c r="T560" s="2" t="s">
        <v>47</v>
      </c>
      <c r="U560" s="2" t="s">
        <v>48</v>
      </c>
      <c r="V560" s="2" t="s">
        <v>28</v>
      </c>
      <c r="W560" s="2" t="s">
        <v>49</v>
      </c>
      <c r="X560" s="2" t="s">
        <v>50</v>
      </c>
      <c r="Y560" s="2">
        <v>1.66259340108682</v>
      </c>
      <c r="Z560" s="2">
        <v>4.6680000000000001</v>
      </c>
      <c r="AA560" s="2">
        <v>-74.148499999999999</v>
      </c>
      <c r="AB560" s="2">
        <v>2547</v>
      </c>
      <c r="AC560" s="2" t="s">
        <v>31</v>
      </c>
      <c r="AD560" s="2" t="s">
        <v>51</v>
      </c>
      <c r="AE560" s="2" t="s">
        <v>33</v>
      </c>
      <c r="AF560" s="2" t="s">
        <v>34</v>
      </c>
      <c r="AG560" s="2" t="s">
        <v>172</v>
      </c>
      <c r="AH560" s="2">
        <v>1.97277683330077</v>
      </c>
      <c r="AI560" s="2">
        <v>0.46150719011986602</v>
      </c>
      <c r="AJ560" s="2">
        <v>3.5904205893655599</v>
      </c>
      <c r="AK560" s="2">
        <v>0.996659377598482</v>
      </c>
      <c r="AL560" s="2">
        <v>0.12934801301194199</v>
      </c>
      <c r="AM560" s="2">
        <v>15.8</v>
      </c>
      <c r="AN560" s="2">
        <v>17.100000000000001</v>
      </c>
      <c r="AO560" s="2">
        <v>23</v>
      </c>
      <c r="AP560" s="2">
        <v>565</v>
      </c>
      <c r="AQ560" s="2">
        <v>68</v>
      </c>
      <c r="AR560" s="2">
        <v>2.2999999999999998</v>
      </c>
      <c r="AS560" s="2">
        <v>68</v>
      </c>
      <c r="AT560" s="2">
        <v>17.600000000000001</v>
      </c>
      <c r="AU560" s="2">
        <v>162</v>
      </c>
      <c r="AV560" s="2">
        <v>19.7</v>
      </c>
      <c r="AW560" s="2">
        <v>16.7</v>
      </c>
      <c r="AX560" s="2">
        <v>36.4</v>
      </c>
      <c r="AY560" s="2">
        <v>0.66</v>
      </c>
      <c r="AZ560" s="2">
        <v>5.6</v>
      </c>
      <c r="BA560" s="2">
        <v>1.5</v>
      </c>
      <c r="BB560" s="2">
        <v>7.5</v>
      </c>
      <c r="BC560" s="2">
        <v>2.9</v>
      </c>
      <c r="BD560" s="2">
        <f>+AN560*EXP(-0.0495*Y560)</f>
        <v>15.749050695520006</v>
      </c>
      <c r="BE560" s="2">
        <f>+AO560*EXP(-0.024*Y560)</f>
        <v>22.100317486004293</v>
      </c>
    </row>
    <row r="561" spans="1:57" x14ac:dyDescent="0.2">
      <c r="A561" s="2" t="s">
        <v>1085</v>
      </c>
      <c r="B561" s="2" t="s">
        <v>19</v>
      </c>
      <c r="C561" s="2" t="s">
        <v>20</v>
      </c>
      <c r="D561" s="2" t="s">
        <v>21</v>
      </c>
      <c r="E561" s="2" t="s">
        <v>1086</v>
      </c>
      <c r="F561" s="2">
        <v>3</v>
      </c>
      <c r="G561" s="2">
        <v>51</v>
      </c>
      <c r="H561" s="2">
        <v>3</v>
      </c>
      <c r="I561" s="2">
        <v>2</v>
      </c>
      <c r="J561" s="2">
        <v>0</v>
      </c>
      <c r="K561" s="2" t="s">
        <v>61</v>
      </c>
      <c r="L561" s="6" t="s">
        <v>75</v>
      </c>
      <c r="M561" s="5">
        <v>215000000</v>
      </c>
      <c r="N561" s="2">
        <v>0</v>
      </c>
      <c r="O561" s="2">
        <v>4.6541914999999996</v>
      </c>
      <c r="P561" s="2">
        <v>-74.156350000000003</v>
      </c>
      <c r="Q561" s="2" t="s">
        <v>1087</v>
      </c>
      <c r="R561" s="2">
        <v>4215686.2750000004</v>
      </c>
      <c r="S561" s="2">
        <v>0</v>
      </c>
      <c r="T561" s="2" t="s">
        <v>47</v>
      </c>
      <c r="U561" s="2" t="s">
        <v>48</v>
      </c>
      <c r="V561" s="2" t="s">
        <v>28</v>
      </c>
      <c r="W561" s="2" t="s">
        <v>49</v>
      </c>
      <c r="X561" s="2" t="s">
        <v>50</v>
      </c>
      <c r="Y561" s="2">
        <v>1.76675727881623</v>
      </c>
      <c r="Z561" s="2">
        <v>4.6680000000000001</v>
      </c>
      <c r="AA561" s="2">
        <v>-74.148499999999999</v>
      </c>
      <c r="AB561" s="2">
        <v>2547</v>
      </c>
      <c r="AC561" s="2" t="s">
        <v>31</v>
      </c>
      <c r="AD561" s="2" t="s">
        <v>51</v>
      </c>
      <c r="AE561" s="2" t="s">
        <v>33</v>
      </c>
      <c r="AF561" s="2" t="s">
        <v>34</v>
      </c>
      <c r="AG561" s="2" t="s">
        <v>172</v>
      </c>
      <c r="AH561" s="2">
        <v>1.83014593903602</v>
      </c>
      <c r="AI561" s="2">
        <v>0.61871990759384299</v>
      </c>
      <c r="AJ561" s="2">
        <v>3.68645603738431</v>
      </c>
      <c r="AK561" s="2">
        <v>0.89093029688855796</v>
      </c>
      <c r="AL561" s="2">
        <v>4.9056596374538199E-4</v>
      </c>
      <c r="AM561" s="2">
        <v>15.8</v>
      </c>
      <c r="AN561" s="2">
        <v>17.100000000000001</v>
      </c>
      <c r="AO561" s="2">
        <v>23</v>
      </c>
      <c r="AP561" s="2">
        <v>565</v>
      </c>
      <c r="AQ561" s="2">
        <v>68</v>
      </c>
      <c r="AR561" s="2">
        <v>2.2999999999999998</v>
      </c>
      <c r="AS561" s="2">
        <v>68</v>
      </c>
      <c r="AT561" s="2">
        <v>17.600000000000001</v>
      </c>
      <c r="AU561" s="2">
        <v>162</v>
      </c>
      <c r="AV561" s="2">
        <v>19.7</v>
      </c>
      <c r="AW561" s="2">
        <v>16.7</v>
      </c>
      <c r="AX561" s="2">
        <v>36.4</v>
      </c>
      <c r="AY561" s="2">
        <v>0.66</v>
      </c>
      <c r="AZ561" s="2">
        <v>5.6</v>
      </c>
      <c r="BA561" s="2">
        <v>1.5</v>
      </c>
      <c r="BB561" s="2">
        <v>7.5</v>
      </c>
      <c r="BC561" s="2">
        <v>2.9</v>
      </c>
      <c r="BD561" s="2">
        <f>+AN561*EXP(-0.0495*Y561)</f>
        <v>15.668055815839431</v>
      </c>
      <c r="BE561" s="2">
        <f>+AO561*EXP(-0.024*Y561)</f>
        <v>22.045137173844523</v>
      </c>
    </row>
    <row r="562" spans="1:57" x14ac:dyDescent="0.2">
      <c r="A562" s="2" t="s">
        <v>1660</v>
      </c>
      <c r="B562" s="2" t="s">
        <v>19</v>
      </c>
      <c r="C562" s="2" t="s">
        <v>20</v>
      </c>
      <c r="D562" s="2" t="s">
        <v>21</v>
      </c>
      <c r="E562" s="2" t="s">
        <v>1661</v>
      </c>
      <c r="F562" s="2">
        <v>4</v>
      </c>
      <c r="G562" s="2">
        <v>50.51</v>
      </c>
      <c r="H562" s="2">
        <v>2</v>
      </c>
      <c r="I562" s="2">
        <v>2</v>
      </c>
      <c r="J562" s="2">
        <v>1</v>
      </c>
      <c r="K562" s="2" t="s">
        <v>61</v>
      </c>
      <c r="L562" s="6" t="s">
        <v>62</v>
      </c>
      <c r="M562" s="5">
        <v>550000000</v>
      </c>
      <c r="N562" s="2">
        <v>0</v>
      </c>
      <c r="O562" s="2">
        <v>4.6763199999999996</v>
      </c>
      <c r="P562" s="2">
        <v>-74.12594</v>
      </c>
      <c r="Q562" s="2" t="s">
        <v>1662</v>
      </c>
      <c r="R562" s="2">
        <v>10888932.880000001</v>
      </c>
      <c r="S562" s="2">
        <v>0</v>
      </c>
      <c r="T562" s="2" t="s">
        <v>49</v>
      </c>
      <c r="U562" s="2" t="s">
        <v>476</v>
      </c>
      <c r="V562" s="2" t="s">
        <v>28</v>
      </c>
      <c r="W562" s="2" t="s">
        <v>49</v>
      </c>
      <c r="X562" s="2" t="s">
        <v>477</v>
      </c>
      <c r="Y562" s="2">
        <v>1.99520343066376</v>
      </c>
      <c r="Z562" s="2">
        <v>4.6782416666666702</v>
      </c>
      <c r="AA562" s="2">
        <v>-74.143819444444404</v>
      </c>
      <c r="AB562" s="2">
        <v>2551</v>
      </c>
      <c r="AC562" s="2" t="s">
        <v>31</v>
      </c>
      <c r="AD562" s="2" t="s">
        <v>32</v>
      </c>
      <c r="AE562" s="2" t="s">
        <v>33</v>
      </c>
      <c r="AF562" s="2" t="s">
        <v>34</v>
      </c>
      <c r="AG562" s="2" t="s">
        <v>43</v>
      </c>
      <c r="AH562" s="2">
        <v>0.77264655943489002</v>
      </c>
      <c r="AI562" s="2">
        <v>3.6698938668426</v>
      </c>
      <c r="AJ562" s="2">
        <v>1.4573320277645501</v>
      </c>
      <c r="AK562" s="2">
        <v>0.37965798317886701</v>
      </c>
      <c r="AL562" s="2">
        <v>0.57637484163340202</v>
      </c>
      <c r="AM562" s="2">
        <v>15.8</v>
      </c>
      <c r="AN562" s="2">
        <v>17.100000000000001</v>
      </c>
      <c r="AO562" s="2">
        <v>23</v>
      </c>
      <c r="AP562" s="2">
        <v>565</v>
      </c>
      <c r="AQ562" s="2">
        <v>68</v>
      </c>
      <c r="AR562" s="2">
        <v>2.2999999999999998</v>
      </c>
      <c r="AS562" s="2">
        <v>68</v>
      </c>
      <c r="AT562" s="2">
        <v>17.600000000000001</v>
      </c>
      <c r="AU562" s="2">
        <v>162</v>
      </c>
      <c r="AV562" s="2">
        <v>19.7</v>
      </c>
      <c r="AW562" s="2">
        <v>16.7</v>
      </c>
      <c r="AX562" s="2">
        <v>36.4</v>
      </c>
      <c r="AY562" s="2">
        <v>0.66</v>
      </c>
      <c r="AZ562" s="2">
        <v>5.6</v>
      </c>
      <c r="BA562" s="2">
        <v>1.5</v>
      </c>
      <c r="BB562" s="2">
        <v>7.5</v>
      </c>
      <c r="BC562" s="2">
        <v>2.9</v>
      </c>
      <c r="BD562" s="2">
        <f>+AN562*EXP(-0.0495*Y562)</f>
        <v>15.491878110016119</v>
      </c>
      <c r="BE562" s="2">
        <f>+AO562*EXP(-0.024*Y562)</f>
        <v>21.924600866352336</v>
      </c>
    </row>
    <row r="563" spans="1:57" x14ac:dyDescent="0.2">
      <c r="A563" s="2" t="s">
        <v>1611</v>
      </c>
      <c r="B563" s="2" t="s">
        <v>19</v>
      </c>
      <c r="C563" s="2" t="s">
        <v>20</v>
      </c>
      <c r="D563" s="2" t="s">
        <v>21</v>
      </c>
      <c r="E563" s="2" t="s">
        <v>1612</v>
      </c>
      <c r="F563" s="2">
        <v>3</v>
      </c>
      <c r="G563" s="2">
        <v>50</v>
      </c>
      <c r="H563" s="2">
        <v>3</v>
      </c>
      <c r="I563" s="2">
        <v>2</v>
      </c>
      <c r="J563" s="2">
        <v>0</v>
      </c>
      <c r="K563" s="2" t="s">
        <v>61</v>
      </c>
      <c r="L563" s="6" t="s">
        <v>75</v>
      </c>
      <c r="M563" s="5">
        <v>284000000</v>
      </c>
      <c r="N563" s="2">
        <v>0</v>
      </c>
      <c r="O563" s="2">
        <v>4.6469329659999996</v>
      </c>
      <c r="P563" s="2">
        <v>-74.139750559999996</v>
      </c>
      <c r="Q563" s="2" t="s">
        <v>1613</v>
      </c>
      <c r="R563" s="2">
        <v>5680000</v>
      </c>
      <c r="S563" s="2">
        <v>0</v>
      </c>
      <c r="T563" s="2" t="s">
        <v>47</v>
      </c>
      <c r="U563" s="2" t="s">
        <v>48</v>
      </c>
      <c r="V563" s="2" t="s">
        <v>28</v>
      </c>
      <c r="W563" s="2" t="s">
        <v>49</v>
      </c>
      <c r="X563" s="2" t="s">
        <v>50</v>
      </c>
      <c r="Y563" s="2">
        <v>2.53815248047778</v>
      </c>
      <c r="Z563" s="2">
        <v>4.6680000000000001</v>
      </c>
      <c r="AA563" s="2">
        <v>-74.148499999999999</v>
      </c>
      <c r="AB563" s="2">
        <v>2547</v>
      </c>
      <c r="AC563" s="2" t="s">
        <v>31</v>
      </c>
      <c r="AD563" s="2" t="s">
        <v>51</v>
      </c>
      <c r="AE563" s="2" t="s">
        <v>33</v>
      </c>
      <c r="AF563" s="2" t="s">
        <v>34</v>
      </c>
      <c r="AG563" s="2" t="s">
        <v>172</v>
      </c>
      <c r="AH563" s="2">
        <v>1.7841719871312101</v>
      </c>
      <c r="AI563" s="2">
        <v>2.4664160961080102</v>
      </c>
      <c r="AJ563" s="2">
        <v>2.02378974470246</v>
      </c>
      <c r="AK563" s="2">
        <v>0.65278360913875999</v>
      </c>
      <c r="AL563" s="2">
        <v>9.7198182274510995E-3</v>
      </c>
      <c r="AM563" s="2">
        <v>15.8</v>
      </c>
      <c r="AN563" s="2">
        <v>17.100000000000001</v>
      </c>
      <c r="AO563" s="2">
        <v>23</v>
      </c>
      <c r="AP563" s="2">
        <v>565</v>
      </c>
      <c r="AQ563" s="2">
        <v>68</v>
      </c>
      <c r="AR563" s="2">
        <v>2.2999999999999998</v>
      </c>
      <c r="AS563" s="2">
        <v>68</v>
      </c>
      <c r="AT563" s="2">
        <v>17.600000000000001</v>
      </c>
      <c r="AU563" s="2">
        <v>162</v>
      </c>
      <c r="AV563" s="2">
        <v>19.7</v>
      </c>
      <c r="AW563" s="2">
        <v>16.7</v>
      </c>
      <c r="AX563" s="2">
        <v>36.4</v>
      </c>
      <c r="AY563" s="2">
        <v>0.66</v>
      </c>
      <c r="AZ563" s="2">
        <v>5.6</v>
      </c>
      <c r="BA563" s="2">
        <v>1.5</v>
      </c>
      <c r="BB563" s="2">
        <v>7.5</v>
      </c>
      <c r="BC563" s="2">
        <v>2.9</v>
      </c>
      <c r="BD563" s="2">
        <f>+AN563*EXP(-0.0495*Y563)</f>
        <v>15.081063978962014</v>
      </c>
      <c r="BE563" s="2">
        <f>+AO563*EXP(-0.024*Y563)</f>
        <v>21.640759629688208</v>
      </c>
    </row>
    <row r="564" spans="1:57" x14ac:dyDescent="0.2">
      <c r="A564" s="2" t="s">
        <v>1343</v>
      </c>
      <c r="B564" s="2" t="s">
        <v>19</v>
      </c>
      <c r="C564" s="2" t="s">
        <v>20</v>
      </c>
      <c r="D564" s="2" t="s">
        <v>21</v>
      </c>
      <c r="E564" s="2" t="s">
        <v>1344</v>
      </c>
      <c r="F564" s="2">
        <v>2</v>
      </c>
      <c r="G564" s="2">
        <v>49.63</v>
      </c>
      <c r="H564" s="2">
        <v>2</v>
      </c>
      <c r="I564" s="2">
        <v>1</v>
      </c>
      <c r="J564" s="2">
        <v>1</v>
      </c>
      <c r="K564" s="2" t="s">
        <v>61</v>
      </c>
      <c r="L564" s="6" t="s">
        <v>75</v>
      </c>
      <c r="M564" s="5">
        <v>173000000</v>
      </c>
      <c r="N564" s="2">
        <v>0</v>
      </c>
      <c r="O564" s="2">
        <v>4.6512073999999997</v>
      </c>
      <c r="P564" s="2">
        <v>-74.168959999999998</v>
      </c>
      <c r="Q564" s="2" t="s">
        <v>1345</v>
      </c>
      <c r="R564" s="2">
        <v>3485794.8820000002</v>
      </c>
      <c r="S564" s="2">
        <v>0</v>
      </c>
      <c r="T564" s="2" t="s">
        <v>47</v>
      </c>
      <c r="U564" s="2" t="s">
        <v>48</v>
      </c>
      <c r="V564" s="2" t="s">
        <v>28</v>
      </c>
      <c r="W564" s="2" t="s">
        <v>49</v>
      </c>
      <c r="X564" s="2" t="s">
        <v>50</v>
      </c>
      <c r="Y564" s="2">
        <v>2.9406903209090798</v>
      </c>
      <c r="Z564" s="2">
        <v>4.6680000000000001</v>
      </c>
      <c r="AA564" s="2">
        <v>-74.148499999999999</v>
      </c>
      <c r="AB564" s="2">
        <v>2547</v>
      </c>
      <c r="AC564" s="2" t="s">
        <v>31</v>
      </c>
      <c r="AD564" s="2" t="s">
        <v>51</v>
      </c>
      <c r="AE564" s="2" t="s">
        <v>33</v>
      </c>
      <c r="AF564" s="2" t="s">
        <v>34</v>
      </c>
      <c r="AG564" s="2" t="s">
        <v>172</v>
      </c>
      <c r="AH564" s="2">
        <v>1.81532575548857</v>
      </c>
      <c r="AI564" s="2">
        <v>0.383717421286359</v>
      </c>
      <c r="AJ564" s="2">
        <v>4.8386062396225</v>
      </c>
      <c r="AK564" s="2">
        <v>0.29435177498174298</v>
      </c>
      <c r="AL564" s="2">
        <v>0.14618691510259599</v>
      </c>
      <c r="AM564" s="2">
        <v>15.8</v>
      </c>
      <c r="AN564" s="2">
        <v>17.100000000000001</v>
      </c>
      <c r="AO564" s="2">
        <v>23</v>
      </c>
      <c r="AP564" s="2">
        <v>565</v>
      </c>
      <c r="AQ564" s="2">
        <v>68</v>
      </c>
      <c r="AR564" s="2">
        <v>2.2999999999999998</v>
      </c>
      <c r="AS564" s="2">
        <v>68</v>
      </c>
      <c r="AT564" s="2">
        <v>17.600000000000001</v>
      </c>
      <c r="AU564" s="2">
        <v>162</v>
      </c>
      <c r="AV564" s="2">
        <v>19.7</v>
      </c>
      <c r="AW564" s="2">
        <v>16.7</v>
      </c>
      <c r="AX564" s="2">
        <v>36.4</v>
      </c>
      <c r="AY564" s="2">
        <v>0.66</v>
      </c>
      <c r="AZ564" s="2">
        <v>5.6</v>
      </c>
      <c r="BA564" s="2">
        <v>1.5</v>
      </c>
      <c r="BB564" s="2">
        <v>7.5</v>
      </c>
      <c r="BC564" s="2">
        <v>2.9</v>
      </c>
      <c r="BD564" s="2">
        <f>+AN564*EXP(-0.0495*Y564)</f>
        <v>14.783538417081724</v>
      </c>
      <c r="BE564" s="2">
        <f>+AO564*EXP(-0.024*Y564)</f>
        <v>21.432696893921072</v>
      </c>
    </row>
    <row r="565" spans="1:57" x14ac:dyDescent="0.2">
      <c r="A565" s="2" t="s">
        <v>428</v>
      </c>
      <c r="B565" s="2" t="s">
        <v>19</v>
      </c>
      <c r="C565" s="2" t="s">
        <v>20</v>
      </c>
      <c r="D565" s="2" t="s">
        <v>21</v>
      </c>
      <c r="E565" s="2" t="s">
        <v>429</v>
      </c>
      <c r="F565" s="2">
        <v>3</v>
      </c>
      <c r="G565" s="2">
        <v>45</v>
      </c>
      <c r="H565" s="2">
        <v>3</v>
      </c>
      <c r="I565" s="2">
        <v>1</v>
      </c>
      <c r="J565" s="2">
        <v>0</v>
      </c>
      <c r="K565" s="2" t="s">
        <v>23</v>
      </c>
      <c r="L565" s="6" t="s">
        <v>24</v>
      </c>
      <c r="M565" s="5">
        <v>282000000</v>
      </c>
      <c r="N565" s="2">
        <v>0</v>
      </c>
      <c r="O565" s="2">
        <v>4.6518053999999998</v>
      </c>
      <c r="P565" s="2">
        <v>-74.153109999999998</v>
      </c>
      <c r="Q565" s="2" t="s">
        <v>430</v>
      </c>
      <c r="R565" s="2">
        <v>6266666.6670000004</v>
      </c>
      <c r="S565" s="2">
        <v>0</v>
      </c>
      <c r="T565" s="2" t="s">
        <v>47</v>
      </c>
      <c r="U565" s="2" t="s">
        <v>48</v>
      </c>
      <c r="V565" s="2" t="s">
        <v>28</v>
      </c>
      <c r="W565" s="2" t="s">
        <v>49</v>
      </c>
      <c r="X565" s="2" t="s">
        <v>50</v>
      </c>
      <c r="Y565" s="2">
        <v>1.8739303104424501</v>
      </c>
      <c r="Z565" s="2">
        <v>4.6680000000000001</v>
      </c>
      <c r="AA565" s="2">
        <v>-74.148499999999999</v>
      </c>
      <c r="AB565" s="2">
        <v>2547</v>
      </c>
      <c r="AC565" s="2" t="s">
        <v>31</v>
      </c>
      <c r="AD565" s="2" t="s">
        <v>51</v>
      </c>
      <c r="AE565" s="2" t="s">
        <v>33</v>
      </c>
      <c r="AF565" s="2" t="s">
        <v>34</v>
      </c>
      <c r="AG565" s="2" t="s">
        <v>172</v>
      </c>
      <c r="AH565" s="2">
        <v>1.68469055499353</v>
      </c>
      <c r="AI565" s="2">
        <v>1.03351492778607</v>
      </c>
      <c r="AJ565" s="2">
        <v>3.5999379737038799</v>
      </c>
      <c r="AK565" s="2">
        <v>0.48655260633810499</v>
      </c>
      <c r="AL565" s="2">
        <v>0.213251667907493</v>
      </c>
      <c r="AM565" s="2">
        <v>15.8</v>
      </c>
      <c r="AN565" s="2">
        <v>17.100000000000001</v>
      </c>
      <c r="AO565" s="2">
        <v>23</v>
      </c>
      <c r="AP565" s="2">
        <v>565</v>
      </c>
      <c r="AQ565" s="2">
        <v>68</v>
      </c>
      <c r="AR565" s="2">
        <v>2.2999999999999998</v>
      </c>
      <c r="AS565" s="2">
        <v>68</v>
      </c>
      <c r="AT565" s="2">
        <v>17.600000000000001</v>
      </c>
      <c r="AU565" s="2">
        <v>162</v>
      </c>
      <c r="AV565" s="2">
        <v>19.7</v>
      </c>
      <c r="AW565" s="2">
        <v>16.7</v>
      </c>
      <c r="AX565" s="2">
        <v>36.4</v>
      </c>
      <c r="AY565" s="2">
        <v>0.66</v>
      </c>
      <c r="AZ565" s="2">
        <v>5.6</v>
      </c>
      <c r="BA565" s="2">
        <v>1.5</v>
      </c>
      <c r="BB565" s="2">
        <v>7.5</v>
      </c>
      <c r="BC565" s="2">
        <v>2.9</v>
      </c>
      <c r="BD565" s="2">
        <f>+AN565*EXP(-0.0495*Y565)</f>
        <v>15.58515584957004</v>
      </c>
      <c r="BE565" s="2">
        <f>+AO565*EXP(-0.024*Y565)</f>
        <v>21.98850657593616</v>
      </c>
    </row>
    <row r="566" spans="1:57" x14ac:dyDescent="0.2">
      <c r="A566" s="2" t="s">
        <v>1594</v>
      </c>
      <c r="B566" s="2" t="s">
        <v>19</v>
      </c>
      <c r="C566" s="2" t="s">
        <v>20</v>
      </c>
      <c r="D566" s="2" t="s">
        <v>21</v>
      </c>
      <c r="E566" s="2" t="s">
        <v>1351</v>
      </c>
      <c r="F566" s="2">
        <v>3</v>
      </c>
      <c r="G566" s="2">
        <v>44.55</v>
      </c>
      <c r="H566" s="2">
        <v>3</v>
      </c>
      <c r="I566" s="2">
        <v>1</v>
      </c>
      <c r="J566" s="2">
        <v>0</v>
      </c>
      <c r="K566" s="2" t="s">
        <v>23</v>
      </c>
      <c r="L566" s="6" t="s">
        <v>24</v>
      </c>
      <c r="M566" s="5">
        <v>217110000</v>
      </c>
      <c r="N566" s="2">
        <v>0</v>
      </c>
      <c r="O566" s="2">
        <v>4.6970150000000004</v>
      </c>
      <c r="P566" s="2">
        <v>-74.162284999999997</v>
      </c>
      <c r="Q566" s="2" t="s">
        <v>1595</v>
      </c>
      <c r="R566" s="2">
        <v>4873400.6730000004</v>
      </c>
      <c r="S566" s="2">
        <v>0</v>
      </c>
      <c r="T566" s="2" t="s">
        <v>49</v>
      </c>
      <c r="U566" s="2" t="s">
        <v>476</v>
      </c>
      <c r="V566" s="2" t="s">
        <v>28</v>
      </c>
      <c r="W566" s="2" t="s">
        <v>49</v>
      </c>
      <c r="X566" s="2" t="s">
        <v>477</v>
      </c>
      <c r="Y566" s="2">
        <v>2.9265331013148801</v>
      </c>
      <c r="Z566" s="2">
        <v>4.6782416666666702</v>
      </c>
      <c r="AA566" s="2">
        <v>-74.143819444444404</v>
      </c>
      <c r="AB566" s="2">
        <v>2551</v>
      </c>
      <c r="AC566" s="2" t="s">
        <v>31</v>
      </c>
      <c r="AD566" s="2" t="s">
        <v>32</v>
      </c>
      <c r="AE566" s="2" t="s">
        <v>33</v>
      </c>
      <c r="AF566" s="2" t="s">
        <v>34</v>
      </c>
      <c r="AG566" s="2" t="s">
        <v>43</v>
      </c>
      <c r="AH566" s="2">
        <v>4.8423098954149797</v>
      </c>
      <c r="AI566" s="2">
        <v>0.66428139805175002</v>
      </c>
      <c r="AJ566" s="2">
        <v>3.1830872530870602</v>
      </c>
      <c r="AK566" s="2">
        <v>0.99478315765783198</v>
      </c>
      <c r="AL566" s="2">
        <v>0.119626150454304</v>
      </c>
      <c r="AM566" s="2">
        <v>15.8</v>
      </c>
      <c r="AN566" s="2">
        <v>17.100000000000001</v>
      </c>
      <c r="AO566" s="2">
        <v>23</v>
      </c>
      <c r="AP566" s="2">
        <v>565</v>
      </c>
      <c r="AQ566" s="2">
        <v>68</v>
      </c>
      <c r="AR566" s="2">
        <v>2.2999999999999998</v>
      </c>
      <c r="AS566" s="2">
        <v>68</v>
      </c>
      <c r="AT566" s="2">
        <v>17.600000000000001</v>
      </c>
      <c r="AU566" s="2">
        <v>162</v>
      </c>
      <c r="AV566" s="2">
        <v>19.7</v>
      </c>
      <c r="AW566" s="2">
        <v>16.7</v>
      </c>
      <c r="AX566" s="2">
        <v>36.4</v>
      </c>
      <c r="AY566" s="2">
        <v>0.66</v>
      </c>
      <c r="AZ566" s="2">
        <v>5.6</v>
      </c>
      <c r="BA566" s="2">
        <v>1.5</v>
      </c>
      <c r="BB566" s="2">
        <v>7.5</v>
      </c>
      <c r="BC566" s="2">
        <v>2.9</v>
      </c>
      <c r="BD566" s="2">
        <f>+AN566*EXP(-0.0495*Y566)</f>
        <v>14.793902091085229</v>
      </c>
      <c r="BE566" s="2">
        <f>+AO566*EXP(-0.024*Y566)</f>
        <v>21.439980388733584</v>
      </c>
    </row>
    <row r="567" spans="1:57" x14ac:dyDescent="0.2">
      <c r="A567" s="2" t="s">
        <v>96</v>
      </c>
      <c r="B567" s="2" t="s">
        <v>19</v>
      </c>
      <c r="C567" s="2" t="s">
        <v>20</v>
      </c>
      <c r="D567" s="2" t="s">
        <v>21</v>
      </c>
      <c r="E567" s="2" t="s">
        <v>97</v>
      </c>
      <c r="F567" s="2">
        <v>3</v>
      </c>
      <c r="G567" s="2">
        <v>43</v>
      </c>
      <c r="H567" s="2">
        <v>2</v>
      </c>
      <c r="I567" s="2">
        <v>1</v>
      </c>
      <c r="J567" s="2">
        <v>0</v>
      </c>
      <c r="K567" s="2" t="s">
        <v>61</v>
      </c>
      <c r="L567" s="6" t="s">
        <v>62</v>
      </c>
      <c r="M567" s="5">
        <v>220000000</v>
      </c>
      <c r="N567" s="2">
        <v>0</v>
      </c>
      <c r="O567" s="2">
        <v>4.6709193999999998</v>
      </c>
      <c r="P567" s="2">
        <v>-74.148526899999993</v>
      </c>
      <c r="Q567" s="2" t="s">
        <v>98</v>
      </c>
      <c r="R567" s="2">
        <v>5116279.07</v>
      </c>
      <c r="S567" s="2">
        <v>0</v>
      </c>
      <c r="T567" s="2" t="s">
        <v>47</v>
      </c>
      <c r="U567" s="2" t="s">
        <v>48</v>
      </c>
      <c r="V567" s="2" t="s">
        <v>28</v>
      </c>
      <c r="W567" s="2" t="s">
        <v>49</v>
      </c>
      <c r="X567" s="2" t="s">
        <v>50</v>
      </c>
      <c r="Y567" s="2">
        <v>0.32499982567282898</v>
      </c>
      <c r="Z567" s="2">
        <v>4.6680000000000001</v>
      </c>
      <c r="AA567" s="2">
        <v>-74.148499999999999</v>
      </c>
      <c r="AB567" s="2">
        <v>2547</v>
      </c>
      <c r="AC567" s="2" t="s">
        <v>31</v>
      </c>
      <c r="AD567" s="2" t="s">
        <v>51</v>
      </c>
      <c r="AE567" s="2" t="s">
        <v>33</v>
      </c>
      <c r="AF567" s="2" t="s">
        <v>34</v>
      </c>
      <c r="AG567" s="2" t="s">
        <v>43</v>
      </c>
      <c r="AH567" s="2">
        <v>3.23235221450149</v>
      </c>
      <c r="AI567" s="2">
        <v>1.1006010146863601</v>
      </c>
      <c r="AJ567" s="2">
        <v>1.6959944614316</v>
      </c>
      <c r="AK567" s="2">
        <v>0.27530202413228899</v>
      </c>
      <c r="AL567" s="2">
        <v>1.1622553337690401E-2</v>
      </c>
      <c r="AM567" s="2">
        <v>15.8</v>
      </c>
      <c r="AN567" s="2">
        <v>17.100000000000001</v>
      </c>
      <c r="AO567" s="2">
        <v>23</v>
      </c>
      <c r="AP567" s="2">
        <v>565</v>
      </c>
      <c r="AQ567" s="2">
        <v>68</v>
      </c>
      <c r="AR567" s="2">
        <v>2.2999999999999998</v>
      </c>
      <c r="AS567" s="2">
        <v>68</v>
      </c>
      <c r="AT567" s="2">
        <v>17.600000000000001</v>
      </c>
      <c r="AU567" s="2">
        <v>162</v>
      </c>
      <c r="AV567" s="2">
        <v>19.7</v>
      </c>
      <c r="AW567" s="2">
        <v>16.7</v>
      </c>
      <c r="AX567" s="2">
        <v>36.4</v>
      </c>
      <c r="AY567" s="2">
        <v>0.66</v>
      </c>
      <c r="AZ567" s="2">
        <v>5.6</v>
      </c>
      <c r="BA567" s="2">
        <v>1.5</v>
      </c>
      <c r="BB567" s="2">
        <v>7.5</v>
      </c>
      <c r="BC567" s="2">
        <v>2.9</v>
      </c>
      <c r="BD567" s="2">
        <f>+AN567*EXP(-0.0495*Y567)</f>
        <v>16.827104882067129</v>
      </c>
      <c r="BE567" s="2">
        <f>+AO567*EXP(-0.024*Y567)</f>
        <v>22.821297939906685</v>
      </c>
    </row>
    <row r="568" spans="1:57" x14ac:dyDescent="0.2">
      <c r="A568" s="2" t="s">
        <v>1350</v>
      </c>
      <c r="B568" s="2" t="s">
        <v>19</v>
      </c>
      <c r="C568" s="2" t="s">
        <v>20</v>
      </c>
      <c r="D568" s="2" t="s">
        <v>21</v>
      </c>
      <c r="E568" s="2" t="s">
        <v>1351</v>
      </c>
      <c r="F568" s="2">
        <v>3</v>
      </c>
      <c r="G568" s="2">
        <v>40.67</v>
      </c>
      <c r="H568" s="2">
        <v>2</v>
      </c>
      <c r="I568" s="2">
        <v>1</v>
      </c>
      <c r="J568" s="2">
        <v>0</v>
      </c>
      <c r="K568" s="2" t="s">
        <v>23</v>
      </c>
      <c r="L568" s="6" t="s">
        <v>24</v>
      </c>
      <c r="M568" s="5">
        <v>204420000</v>
      </c>
      <c r="N568" s="2">
        <v>0</v>
      </c>
      <c r="O568" s="2">
        <v>4.6973609999999999</v>
      </c>
      <c r="P568" s="2">
        <v>-74.162750000000003</v>
      </c>
      <c r="Q568" s="2" t="s">
        <v>1352</v>
      </c>
      <c r="R568" s="2">
        <v>5026309.3190000001</v>
      </c>
      <c r="S568" s="2">
        <v>0</v>
      </c>
      <c r="T568" s="2" t="s">
        <v>49</v>
      </c>
      <c r="U568" s="2" t="s">
        <v>476</v>
      </c>
      <c r="V568" s="2" t="s">
        <v>28</v>
      </c>
      <c r="W568" s="2" t="s">
        <v>49</v>
      </c>
      <c r="X568" s="2" t="s">
        <v>477</v>
      </c>
      <c r="Y568" s="2">
        <v>2.9901692575456802</v>
      </c>
      <c r="Z568" s="2">
        <v>4.6782416666666702</v>
      </c>
      <c r="AA568" s="2">
        <v>-74.143819444444404</v>
      </c>
      <c r="AB568" s="2">
        <v>2551</v>
      </c>
      <c r="AC568" s="2" t="s">
        <v>31</v>
      </c>
      <c r="AD568" s="2" t="s">
        <v>32</v>
      </c>
      <c r="AE568" s="2" t="s">
        <v>33</v>
      </c>
      <c r="AF568" s="2" t="s">
        <v>34</v>
      </c>
      <c r="AG568" s="2" t="s">
        <v>43</v>
      </c>
      <c r="AH568" s="2">
        <v>4.9040485476309197</v>
      </c>
      <c r="AI568" s="2">
        <v>0.60380484964673198</v>
      </c>
      <c r="AJ568" s="2">
        <v>3.2470477176471002</v>
      </c>
      <c r="AK568" s="2">
        <v>1.0288303034660899</v>
      </c>
      <c r="AL568" s="2">
        <v>0.13031375265860701</v>
      </c>
      <c r="AM568" s="2">
        <v>15.8</v>
      </c>
      <c r="AN568" s="2">
        <v>17.100000000000001</v>
      </c>
      <c r="AO568" s="2">
        <v>23</v>
      </c>
      <c r="AP568" s="2">
        <v>565</v>
      </c>
      <c r="AQ568" s="2">
        <v>68</v>
      </c>
      <c r="AR568" s="2">
        <v>2.2999999999999998</v>
      </c>
      <c r="AS568" s="2">
        <v>68</v>
      </c>
      <c r="AT568" s="2">
        <v>17.600000000000001</v>
      </c>
      <c r="AU568" s="2">
        <v>162</v>
      </c>
      <c r="AV568" s="2">
        <v>19.7</v>
      </c>
      <c r="AW568" s="2">
        <v>16.7</v>
      </c>
      <c r="AX568" s="2">
        <v>36.4</v>
      </c>
      <c r="AY568" s="2">
        <v>0.66</v>
      </c>
      <c r="AZ568" s="2">
        <v>5.6</v>
      </c>
      <c r="BA568" s="2">
        <v>1.5</v>
      </c>
      <c r="BB568" s="2">
        <v>7.5</v>
      </c>
      <c r="BC568" s="2">
        <v>2.9</v>
      </c>
      <c r="BD568" s="2">
        <f>+AN568*EXP(-0.0495*Y568)</f>
        <v>14.747374770144686</v>
      </c>
      <c r="BE568" s="2">
        <f>+AO568*EXP(-0.024*Y568)</f>
        <v>21.407260790288859</v>
      </c>
    </row>
    <row r="569" spans="1:57" x14ac:dyDescent="0.2">
      <c r="A569" s="2" t="s">
        <v>1155</v>
      </c>
      <c r="B569" s="2" t="s">
        <v>19</v>
      </c>
      <c r="C569" s="2" t="s">
        <v>20</v>
      </c>
      <c r="D569" s="2" t="s">
        <v>21</v>
      </c>
      <c r="E569" s="2" t="s">
        <v>1156</v>
      </c>
      <c r="F569" s="2">
        <v>3</v>
      </c>
      <c r="G569" s="2">
        <v>40</v>
      </c>
      <c r="H569" s="2">
        <v>2</v>
      </c>
      <c r="I569" s="2">
        <v>1</v>
      </c>
      <c r="J569" s="2">
        <v>0</v>
      </c>
      <c r="K569" s="2" t="s">
        <v>61</v>
      </c>
      <c r="L569" s="6" t="s">
        <v>75</v>
      </c>
      <c r="M569" s="5">
        <v>224000000</v>
      </c>
      <c r="N569" s="2">
        <v>0</v>
      </c>
      <c r="O569" s="2">
        <v>4.6450316999999997</v>
      </c>
      <c r="P569" s="2">
        <v>-74.1401501</v>
      </c>
      <c r="Q569" s="2" t="s">
        <v>1157</v>
      </c>
      <c r="R569" s="2">
        <v>5600000</v>
      </c>
      <c r="S569" s="2">
        <v>0</v>
      </c>
      <c r="T569" s="2" t="s">
        <v>47</v>
      </c>
      <c r="U569" s="2" t="s">
        <v>48</v>
      </c>
      <c r="V569" s="2" t="s">
        <v>28</v>
      </c>
      <c r="W569" s="2" t="s">
        <v>49</v>
      </c>
      <c r="X569" s="2" t="s">
        <v>50</v>
      </c>
      <c r="Y569" s="2">
        <v>2.7194878535503899</v>
      </c>
      <c r="Z569" s="2">
        <v>4.6680000000000001</v>
      </c>
      <c r="AA569" s="2">
        <v>-74.148499999999999</v>
      </c>
      <c r="AB569" s="2">
        <v>2547</v>
      </c>
      <c r="AC569" s="2" t="s">
        <v>31</v>
      </c>
      <c r="AD569" s="2" t="s">
        <v>51</v>
      </c>
      <c r="AE569" s="2" t="s">
        <v>33</v>
      </c>
      <c r="AF569" s="2" t="s">
        <v>34</v>
      </c>
      <c r="AG569" s="2" t="s">
        <v>172</v>
      </c>
      <c r="AH569" s="2">
        <v>1.5709480200586801</v>
      </c>
      <c r="AI569" s="2">
        <v>2.5593209636741601</v>
      </c>
      <c r="AJ569" s="2">
        <v>2.0081388237925801</v>
      </c>
      <c r="AK569" s="2">
        <v>0.50528285345214197</v>
      </c>
      <c r="AL569" s="2">
        <v>1.8299437842310601E-2</v>
      </c>
      <c r="AM569" s="2">
        <v>15.8</v>
      </c>
      <c r="AN569" s="2">
        <v>17.100000000000001</v>
      </c>
      <c r="AO569" s="2">
        <v>23</v>
      </c>
      <c r="AP569" s="2">
        <v>565</v>
      </c>
      <c r="AQ569" s="2">
        <v>68</v>
      </c>
      <c r="AR569" s="2">
        <v>2.2999999999999998</v>
      </c>
      <c r="AS569" s="2">
        <v>68</v>
      </c>
      <c r="AT569" s="2">
        <v>17.600000000000001</v>
      </c>
      <c r="AU569" s="2">
        <v>162</v>
      </c>
      <c r="AV569" s="2">
        <v>19.7</v>
      </c>
      <c r="AW569" s="2">
        <v>16.7</v>
      </c>
      <c r="AX569" s="2">
        <v>36.4</v>
      </c>
      <c r="AY569" s="2">
        <v>0.66</v>
      </c>
      <c r="AZ569" s="2">
        <v>5.6</v>
      </c>
      <c r="BA569" s="2">
        <v>1.5</v>
      </c>
      <c r="BB569" s="2">
        <v>7.5</v>
      </c>
      <c r="BC569" s="2">
        <v>2.9</v>
      </c>
      <c r="BD569" s="2">
        <f>+AN569*EXP(-0.0495*Y569)</f>
        <v>14.946300555869053</v>
      </c>
      <c r="BE569" s="2">
        <f>+AO569*EXP(-0.024*Y569)</f>
        <v>21.546782628967026</v>
      </c>
    </row>
    <row r="570" spans="1:57" x14ac:dyDescent="0.2">
      <c r="A570" s="2" t="s">
        <v>473</v>
      </c>
      <c r="B570" s="2" t="s">
        <v>19</v>
      </c>
      <c r="C570" s="2" t="s">
        <v>20</v>
      </c>
      <c r="D570" s="2" t="s">
        <v>21</v>
      </c>
      <c r="E570" s="2" t="s">
        <v>474</v>
      </c>
      <c r="F570" s="2">
        <v>3</v>
      </c>
      <c r="G570" s="2">
        <v>39</v>
      </c>
      <c r="H570" s="2">
        <v>2</v>
      </c>
      <c r="I570" s="2">
        <v>2</v>
      </c>
      <c r="J570" s="2">
        <v>0</v>
      </c>
      <c r="K570" s="2" t="s">
        <v>61</v>
      </c>
      <c r="L570" s="6" t="s">
        <v>62</v>
      </c>
      <c r="M570" s="5">
        <v>230000000</v>
      </c>
      <c r="N570" s="2">
        <v>0</v>
      </c>
      <c r="O570" s="2">
        <v>4.6874897000000004</v>
      </c>
      <c r="P570" s="2">
        <v>-74.154052100000001</v>
      </c>
      <c r="Q570" s="2" t="s">
        <v>475</v>
      </c>
      <c r="R570" s="2">
        <v>5897435.8969999999</v>
      </c>
      <c r="S570" s="2">
        <v>0</v>
      </c>
      <c r="T570" s="2" t="s">
        <v>49</v>
      </c>
      <c r="U570" s="2" t="s">
        <v>476</v>
      </c>
      <c r="V570" s="2" t="s">
        <v>28</v>
      </c>
      <c r="W570" s="2" t="s">
        <v>49</v>
      </c>
      <c r="X570" s="2" t="s">
        <v>477</v>
      </c>
      <c r="Y570" s="2">
        <v>1.5325563723265201</v>
      </c>
      <c r="Z570" s="2">
        <v>4.6782416666666702</v>
      </c>
      <c r="AA570" s="2">
        <v>-74.143819444444404</v>
      </c>
      <c r="AB570" s="2">
        <v>2551</v>
      </c>
      <c r="AC570" s="2" t="s">
        <v>31</v>
      </c>
      <c r="AD570" s="2" t="s">
        <v>32</v>
      </c>
      <c r="AE570" s="2" t="s">
        <v>33</v>
      </c>
      <c r="AF570" s="2" t="s">
        <v>34</v>
      </c>
      <c r="AG570" s="2" t="s">
        <v>43</v>
      </c>
      <c r="AH570" s="2">
        <v>3.6783993932203201</v>
      </c>
      <c r="AI570" s="2">
        <v>1.36393878226527</v>
      </c>
      <c r="AJ570" s="2">
        <v>1.9000281037933899</v>
      </c>
      <c r="AK570" s="2">
        <v>0.27809285504889097</v>
      </c>
      <c r="AL570" s="2">
        <v>0.10576564092219901</v>
      </c>
      <c r="AM570" s="2">
        <v>15.8</v>
      </c>
      <c r="AN570" s="2">
        <v>17.100000000000001</v>
      </c>
      <c r="AO570" s="2">
        <v>23</v>
      </c>
      <c r="AP570" s="2">
        <v>565</v>
      </c>
      <c r="AQ570" s="2">
        <v>68</v>
      </c>
      <c r="AR570" s="2">
        <v>2.2999999999999998</v>
      </c>
      <c r="AS570" s="2">
        <v>68</v>
      </c>
      <c r="AT570" s="2">
        <v>17.600000000000001</v>
      </c>
      <c r="AU570" s="2">
        <v>162</v>
      </c>
      <c r="AV570" s="2">
        <v>19.7</v>
      </c>
      <c r="AW570" s="2">
        <v>16.7</v>
      </c>
      <c r="AX570" s="2">
        <v>36.4</v>
      </c>
      <c r="AY570" s="2">
        <v>0.66</v>
      </c>
      <c r="AZ570" s="2">
        <v>5.6</v>
      </c>
      <c r="BA570" s="2">
        <v>1.5</v>
      </c>
      <c r="BB570" s="2">
        <v>7.5</v>
      </c>
      <c r="BC570" s="2">
        <v>2.9</v>
      </c>
      <c r="BD570" s="2">
        <f>+AN570*EXP(-0.0495*Y570)</f>
        <v>15.85075166849227</v>
      </c>
      <c r="BE570" s="2">
        <f>+AO570*EXP(-0.024*Y570)</f>
        <v>22.169397856901448</v>
      </c>
    </row>
    <row r="571" spans="1:57" x14ac:dyDescent="0.2">
      <c r="A571" s="2" t="s">
        <v>923</v>
      </c>
      <c r="B571" s="2" t="s">
        <v>19</v>
      </c>
      <c r="C571" s="2" t="s">
        <v>20</v>
      </c>
      <c r="D571" s="2" t="s">
        <v>21</v>
      </c>
      <c r="E571" s="2" t="s">
        <v>924</v>
      </c>
      <c r="F571" s="2">
        <v>3</v>
      </c>
      <c r="G571" s="2">
        <v>38</v>
      </c>
      <c r="H571" s="2">
        <v>2</v>
      </c>
      <c r="I571" s="2">
        <v>2</v>
      </c>
      <c r="J571" s="2">
        <v>0</v>
      </c>
      <c r="K571" s="2" t="s">
        <v>61</v>
      </c>
      <c r="L571" s="6" t="s">
        <v>62</v>
      </c>
      <c r="M571" s="5">
        <v>260000000</v>
      </c>
      <c r="N571" s="2">
        <v>0</v>
      </c>
      <c r="O571" s="2">
        <v>4.6856350000000004</v>
      </c>
      <c r="P571" s="2">
        <v>-74.152339999999995</v>
      </c>
      <c r="Q571" s="2" t="s">
        <v>925</v>
      </c>
      <c r="R571" s="2">
        <v>6842105.2630000003</v>
      </c>
      <c r="S571" s="2">
        <v>0</v>
      </c>
      <c r="T571" s="2" t="s">
        <v>49</v>
      </c>
      <c r="U571" s="2" t="s">
        <v>476</v>
      </c>
      <c r="V571" s="2" t="s">
        <v>28</v>
      </c>
      <c r="W571" s="2" t="s">
        <v>49</v>
      </c>
      <c r="X571" s="2" t="s">
        <v>477</v>
      </c>
      <c r="Y571" s="2">
        <v>1.25340776593609</v>
      </c>
      <c r="Z571" s="2">
        <v>4.6782416666666702</v>
      </c>
      <c r="AA571" s="2">
        <v>-74.143819444444404</v>
      </c>
      <c r="AB571" s="2">
        <v>2551</v>
      </c>
      <c r="AC571" s="2" t="s">
        <v>31</v>
      </c>
      <c r="AD571" s="2" t="s">
        <v>32</v>
      </c>
      <c r="AE571" s="2" t="s">
        <v>33</v>
      </c>
      <c r="AF571" s="2" t="s">
        <v>34</v>
      </c>
      <c r="AG571" s="2" t="s">
        <v>43</v>
      </c>
      <c r="AH571" s="2">
        <v>3.4594943658000701</v>
      </c>
      <c r="AI571" s="2">
        <v>1.5734894353009199</v>
      </c>
      <c r="AJ571" s="2">
        <v>1.6591661427008899</v>
      </c>
      <c r="AK571" s="2">
        <v>6.07768158931596E-2</v>
      </c>
      <c r="AL571" s="2">
        <v>0.174040307773907</v>
      </c>
      <c r="AM571" s="2">
        <v>15.8</v>
      </c>
      <c r="AN571" s="2">
        <v>17.100000000000001</v>
      </c>
      <c r="AO571" s="2">
        <v>23</v>
      </c>
      <c r="AP571" s="2">
        <v>565</v>
      </c>
      <c r="AQ571" s="2">
        <v>68</v>
      </c>
      <c r="AR571" s="2">
        <v>2.2999999999999998</v>
      </c>
      <c r="AS571" s="2">
        <v>68</v>
      </c>
      <c r="AT571" s="2">
        <v>17.600000000000001</v>
      </c>
      <c r="AU571" s="2">
        <v>162</v>
      </c>
      <c r="AV571" s="2">
        <v>19.7</v>
      </c>
      <c r="AW571" s="2">
        <v>16.7</v>
      </c>
      <c r="AX571" s="2">
        <v>36.4</v>
      </c>
      <c r="AY571" s="2">
        <v>0.66</v>
      </c>
      <c r="AZ571" s="2">
        <v>5.6</v>
      </c>
      <c r="BA571" s="2">
        <v>1.5</v>
      </c>
      <c r="BB571" s="2">
        <v>7.5</v>
      </c>
      <c r="BC571" s="2">
        <v>2.9</v>
      </c>
      <c r="BD571" s="2">
        <f>+AN571*EXP(-0.0495*Y571)</f>
        <v>16.071295283678687</v>
      </c>
      <c r="BE571" s="2">
        <f>+AO571*EXP(-0.024*Y571)</f>
        <v>22.318421853983764</v>
      </c>
    </row>
    <row r="572" spans="1:57" x14ac:dyDescent="0.2">
      <c r="A572" s="2" t="s">
        <v>1417</v>
      </c>
      <c r="B572" s="2" t="s">
        <v>19</v>
      </c>
      <c r="C572" s="2" t="s">
        <v>20</v>
      </c>
      <c r="D572" s="2" t="s">
        <v>21</v>
      </c>
      <c r="E572" s="2" t="s">
        <v>618</v>
      </c>
      <c r="F572" s="2">
        <v>2</v>
      </c>
      <c r="G572" s="2">
        <v>38</v>
      </c>
      <c r="H572" s="2">
        <v>2</v>
      </c>
      <c r="I572" s="2">
        <v>1</v>
      </c>
      <c r="J572" s="2">
        <v>0</v>
      </c>
      <c r="K572" s="2" t="s">
        <v>61</v>
      </c>
      <c r="L572" s="6" t="s">
        <v>62</v>
      </c>
      <c r="M572" s="5">
        <v>253000000</v>
      </c>
      <c r="N572" s="2">
        <v>0</v>
      </c>
      <c r="O572" s="2">
        <v>4.6564688900000002</v>
      </c>
      <c r="P572" s="2">
        <v>-74.134372720000002</v>
      </c>
      <c r="Q572" s="2" t="s">
        <v>1418</v>
      </c>
      <c r="R572" s="2">
        <v>6657894.7369999997</v>
      </c>
      <c r="S572" s="2">
        <v>0</v>
      </c>
      <c r="T572" s="2" t="s">
        <v>47</v>
      </c>
      <c r="U572" s="2" t="s">
        <v>48</v>
      </c>
      <c r="V572" s="2" t="s">
        <v>28</v>
      </c>
      <c r="W572" s="2" t="s">
        <v>49</v>
      </c>
      <c r="X572" s="2" t="s">
        <v>50</v>
      </c>
      <c r="Y572" s="2">
        <v>2.02597795089912</v>
      </c>
      <c r="Z572" s="2">
        <v>4.6680000000000001</v>
      </c>
      <c r="AA572" s="2">
        <v>-74.148499999999999</v>
      </c>
      <c r="AB572" s="2">
        <v>2547</v>
      </c>
      <c r="AC572" s="2" t="s">
        <v>31</v>
      </c>
      <c r="AD572" s="2" t="s">
        <v>51</v>
      </c>
      <c r="AE572" s="2" t="s">
        <v>33</v>
      </c>
      <c r="AF572" s="2" t="s">
        <v>34</v>
      </c>
      <c r="AG572" s="2" t="s">
        <v>43</v>
      </c>
      <c r="AH572" s="2">
        <v>2.7186220905371599</v>
      </c>
      <c r="AI572" s="2">
        <v>2.6353008457633398</v>
      </c>
      <c r="AJ572" s="2">
        <v>2.1631079835831</v>
      </c>
      <c r="AK572" s="2">
        <v>0.420623749448781</v>
      </c>
      <c r="AL572" s="2">
        <v>0.33396800448733499</v>
      </c>
      <c r="AM572" s="2">
        <v>15.8</v>
      </c>
      <c r="AN572" s="2">
        <v>17.100000000000001</v>
      </c>
      <c r="AO572" s="2">
        <v>23</v>
      </c>
      <c r="AP572" s="2">
        <v>565</v>
      </c>
      <c r="AQ572" s="2">
        <v>68</v>
      </c>
      <c r="AR572" s="2">
        <v>2.2999999999999998</v>
      </c>
      <c r="AS572" s="2">
        <v>68</v>
      </c>
      <c r="AT572" s="2">
        <v>17.600000000000001</v>
      </c>
      <c r="AU572" s="2">
        <v>162</v>
      </c>
      <c r="AV572" s="2">
        <v>19.7</v>
      </c>
      <c r="AW572" s="2">
        <v>16.7</v>
      </c>
      <c r="AX572" s="2">
        <v>36.4</v>
      </c>
      <c r="AY572" s="2">
        <v>0.66</v>
      </c>
      <c r="AZ572" s="2">
        <v>5.6</v>
      </c>
      <c r="BA572" s="2">
        <v>1.5</v>
      </c>
      <c r="BB572" s="2">
        <v>7.5</v>
      </c>
      <c r="BC572" s="2">
        <v>2.9</v>
      </c>
      <c r="BD572" s="2">
        <f>+AN572*EXP(-0.0495*Y572)</f>
        <v>15.468296697555173</v>
      </c>
      <c r="BE572" s="2">
        <f>+AO572*EXP(-0.024*Y572)</f>
        <v>21.908413587204866</v>
      </c>
    </row>
    <row r="573" spans="1:57" x14ac:dyDescent="0.2">
      <c r="A573" s="2" t="s">
        <v>884</v>
      </c>
      <c r="B573" s="2" t="s">
        <v>19</v>
      </c>
      <c r="C573" s="2" t="s">
        <v>20</v>
      </c>
      <c r="D573" s="2" t="s">
        <v>21</v>
      </c>
      <c r="E573" s="2" t="s">
        <v>885</v>
      </c>
      <c r="F573" s="2">
        <v>3</v>
      </c>
      <c r="G573" s="2">
        <v>37.96</v>
      </c>
      <c r="H573" s="2">
        <v>1</v>
      </c>
      <c r="I573" s="2">
        <v>1</v>
      </c>
      <c r="J573" s="2">
        <v>0</v>
      </c>
      <c r="K573" s="2" t="s">
        <v>23</v>
      </c>
      <c r="L573" s="6" t="s">
        <v>24</v>
      </c>
      <c r="M573" s="5">
        <v>216087300</v>
      </c>
      <c r="N573" s="2">
        <v>0</v>
      </c>
      <c r="O573" s="2">
        <v>4.6890153999999997</v>
      </c>
      <c r="P573" s="2">
        <v>-74.163529999999994</v>
      </c>
      <c r="Q573" s="2" t="s">
        <v>886</v>
      </c>
      <c r="R573" s="2">
        <v>5692500</v>
      </c>
      <c r="S573" s="2">
        <v>0</v>
      </c>
      <c r="T573" s="2" t="s">
        <v>49</v>
      </c>
      <c r="U573" s="2" t="s">
        <v>476</v>
      </c>
      <c r="V573" s="2" t="s">
        <v>28</v>
      </c>
      <c r="W573" s="2" t="s">
        <v>49</v>
      </c>
      <c r="X573" s="2" t="s">
        <v>477</v>
      </c>
      <c r="Y573" s="2">
        <v>2.4941256266604501</v>
      </c>
      <c r="Z573" s="2">
        <v>4.6782416666666702</v>
      </c>
      <c r="AA573" s="2">
        <v>-74.143819444444404</v>
      </c>
      <c r="AB573" s="2">
        <v>2551</v>
      </c>
      <c r="AC573" s="2" t="s">
        <v>31</v>
      </c>
      <c r="AD573" s="2" t="s">
        <v>32</v>
      </c>
      <c r="AE573" s="2" t="s">
        <v>33</v>
      </c>
      <c r="AF573" s="2" t="s">
        <v>34</v>
      </c>
      <c r="AG573" s="2" t="s">
        <v>43</v>
      </c>
      <c r="AH573" s="2">
        <v>4.7426465940418199</v>
      </c>
      <c r="AI573" s="2">
        <v>0.32056654139808199</v>
      </c>
      <c r="AJ573" s="2">
        <v>2.95435289999994</v>
      </c>
      <c r="AK573" s="2">
        <v>0.110041892967467</v>
      </c>
      <c r="AL573" s="2">
        <v>0.167554895125858</v>
      </c>
      <c r="AM573" s="2">
        <v>15.8</v>
      </c>
      <c r="AN573" s="2">
        <v>17.100000000000001</v>
      </c>
      <c r="AO573" s="2">
        <v>23</v>
      </c>
      <c r="AP573" s="2">
        <v>565</v>
      </c>
      <c r="AQ573" s="2">
        <v>68</v>
      </c>
      <c r="AR573" s="2">
        <v>2.2999999999999998</v>
      </c>
      <c r="AS573" s="2">
        <v>68</v>
      </c>
      <c r="AT573" s="2">
        <v>17.600000000000001</v>
      </c>
      <c r="AU573" s="2">
        <v>162</v>
      </c>
      <c r="AV573" s="2">
        <v>19.7</v>
      </c>
      <c r="AW573" s="2">
        <v>16.7</v>
      </c>
      <c r="AX573" s="2">
        <v>36.4</v>
      </c>
      <c r="AY573" s="2">
        <v>0.66</v>
      </c>
      <c r="AZ573" s="2">
        <v>5.6</v>
      </c>
      <c r="BA573" s="2">
        <v>1.5</v>
      </c>
      <c r="BB573" s="2">
        <v>7.5</v>
      </c>
      <c r="BC573" s="2">
        <v>2.9</v>
      </c>
      <c r="BD573" s="2">
        <f>+AN573*EXP(-0.0495*Y573)</f>
        <v>15.11396642262971</v>
      </c>
      <c r="BE573" s="2">
        <f>+AO573*EXP(-0.024*Y573)</f>
        <v>21.663638304329403</v>
      </c>
    </row>
    <row r="574" spans="1:57" x14ac:dyDescent="0.2">
      <c r="A574" s="2" t="s">
        <v>4277</v>
      </c>
      <c r="B574" s="2" t="s">
        <v>19</v>
      </c>
      <c r="C574" s="2" t="s">
        <v>3245</v>
      </c>
      <c r="D574" s="2" t="s">
        <v>21</v>
      </c>
      <c r="E574" s="2" t="s">
        <v>618</v>
      </c>
      <c r="F574" s="2">
        <v>3</v>
      </c>
      <c r="G574" s="2">
        <v>36.9</v>
      </c>
      <c r="H574" s="2">
        <v>1</v>
      </c>
      <c r="I574" s="2">
        <v>1</v>
      </c>
      <c r="J574" s="2">
        <v>1</v>
      </c>
      <c r="K574" s="2" t="s">
        <v>61</v>
      </c>
      <c r="L574" s="6" t="s">
        <v>62</v>
      </c>
      <c r="M574" s="5">
        <v>235000000</v>
      </c>
      <c r="N574" s="2">
        <v>0</v>
      </c>
      <c r="O574" s="2">
        <v>4.6559901239999997</v>
      </c>
      <c r="P574" s="2">
        <v>-74.134445189999994</v>
      </c>
      <c r="Q574" s="2" t="s">
        <v>4278</v>
      </c>
      <c r="R574" s="2">
        <v>6368563.6859999998</v>
      </c>
      <c r="S574" s="2">
        <v>0</v>
      </c>
      <c r="T574" s="2" t="s">
        <v>47</v>
      </c>
      <c r="U574" s="2" t="s">
        <v>48</v>
      </c>
      <c r="V574" s="2" t="s">
        <v>28</v>
      </c>
      <c r="W574" s="2" t="s">
        <v>49</v>
      </c>
      <c r="X574" s="2" t="s">
        <v>50</v>
      </c>
      <c r="Y574" s="2">
        <v>2.0540478287683599</v>
      </c>
      <c r="Z574" s="2">
        <v>4.6680000000000001</v>
      </c>
      <c r="AA574" s="2">
        <v>-74.148499999999999</v>
      </c>
      <c r="AB574" s="2">
        <v>2547</v>
      </c>
      <c r="AC574" s="2" t="s">
        <v>31</v>
      </c>
      <c r="AD574" s="2" t="s">
        <v>51</v>
      </c>
      <c r="AE574" s="2" t="s">
        <v>33</v>
      </c>
      <c r="AF574" s="2" t="s">
        <v>34</v>
      </c>
      <c r="AG574" s="2" t="s">
        <v>43</v>
      </c>
      <c r="AH574" s="2">
        <v>2.75281928600119</v>
      </c>
      <c r="AI574" s="2">
        <v>2.6353548089794399</v>
      </c>
      <c r="AJ574" s="2">
        <v>2.1263486013816602</v>
      </c>
      <c r="AK574" s="2">
        <v>0.40905429835483798</v>
      </c>
      <c r="AL574" s="2">
        <v>0.29264758189829898</v>
      </c>
      <c r="AM574" s="2">
        <v>15.8</v>
      </c>
      <c r="AN574" s="2">
        <v>17.100000000000001</v>
      </c>
      <c r="AO574" s="2">
        <v>23</v>
      </c>
      <c r="AP574" s="2">
        <v>565</v>
      </c>
      <c r="AQ574" s="2">
        <v>68</v>
      </c>
      <c r="AR574" s="2">
        <v>2.2999999999999998</v>
      </c>
      <c r="AS574" s="2">
        <v>68</v>
      </c>
      <c r="AT574" s="2">
        <v>17.600000000000001</v>
      </c>
      <c r="AU574" s="2">
        <v>162</v>
      </c>
      <c r="AV574" s="2">
        <v>19.7</v>
      </c>
      <c r="AW574" s="2">
        <v>16.7</v>
      </c>
      <c r="AX574" s="2">
        <v>36.4</v>
      </c>
      <c r="AY574" s="2">
        <v>0.66</v>
      </c>
      <c r="AZ574" s="2">
        <v>5.6</v>
      </c>
      <c r="BA574" s="2">
        <v>1.5</v>
      </c>
      <c r="BB574" s="2">
        <v>7.5</v>
      </c>
      <c r="BC574" s="2">
        <v>2.9</v>
      </c>
      <c r="BD574" s="2">
        <f>+AN574*EXP(-0.0495*Y574)</f>
        <v>15.446819058801601</v>
      </c>
      <c r="BE574" s="2">
        <f>+AO574*EXP(-0.024*Y574)</f>
        <v>21.893659361705726</v>
      </c>
    </row>
    <row r="575" spans="1:57" x14ac:dyDescent="0.2">
      <c r="A575" s="2" t="s">
        <v>4564</v>
      </c>
      <c r="B575" s="2" t="s">
        <v>19</v>
      </c>
      <c r="C575" s="2" t="s">
        <v>3245</v>
      </c>
      <c r="D575" s="2" t="s">
        <v>21</v>
      </c>
      <c r="E575" s="2" t="s">
        <v>4565</v>
      </c>
      <c r="F575" s="2">
        <v>3</v>
      </c>
      <c r="G575" s="2">
        <v>36.200000000000003</v>
      </c>
      <c r="H575" s="2">
        <v>1</v>
      </c>
      <c r="I575" s="2">
        <v>2</v>
      </c>
      <c r="J575" s="2">
        <v>0</v>
      </c>
      <c r="K575" s="2" t="s">
        <v>61</v>
      </c>
      <c r="L575" s="6" t="s">
        <v>62</v>
      </c>
      <c r="M575" s="5">
        <v>245000000</v>
      </c>
      <c r="N575" s="2">
        <v>0</v>
      </c>
      <c r="O575" s="2">
        <v>4.6666400000000001</v>
      </c>
      <c r="P575" s="2">
        <v>-74.144990000000007</v>
      </c>
      <c r="Q575" s="2" t="s">
        <v>4566</v>
      </c>
      <c r="R575" s="2">
        <v>6767955.801</v>
      </c>
      <c r="S575" s="2">
        <v>0</v>
      </c>
      <c r="T575" s="2" t="s">
        <v>47</v>
      </c>
      <c r="U575" s="2" t="s">
        <v>48</v>
      </c>
      <c r="V575" s="2" t="s">
        <v>28</v>
      </c>
      <c r="W575" s="2" t="s">
        <v>49</v>
      </c>
      <c r="X575" s="2" t="s">
        <v>50</v>
      </c>
      <c r="Y575" s="2">
        <v>0.41782829737251598</v>
      </c>
      <c r="Z575" s="2">
        <v>4.6680000000000001</v>
      </c>
      <c r="AA575" s="2">
        <v>-74.148499999999999</v>
      </c>
      <c r="AB575" s="2">
        <v>2547</v>
      </c>
      <c r="AC575" s="2" t="s">
        <v>31</v>
      </c>
      <c r="AD575" s="2" t="s">
        <v>51</v>
      </c>
      <c r="AE575" s="2" t="s">
        <v>33</v>
      </c>
      <c r="AF575" s="2" t="s">
        <v>34</v>
      </c>
      <c r="AG575" s="2" t="s">
        <v>43</v>
      </c>
      <c r="AH575" s="2">
        <v>3.09594260651324</v>
      </c>
      <c r="AI575" s="2">
        <v>1.41964256706022</v>
      </c>
      <c r="AJ575" s="2">
        <v>1.8636559060478599</v>
      </c>
      <c r="AK575" s="2">
        <v>0.32788929129016298</v>
      </c>
      <c r="AL575" s="2">
        <v>4.02558368532328E-2</v>
      </c>
      <c r="AM575" s="2">
        <v>15.8</v>
      </c>
      <c r="AN575" s="2">
        <v>17.100000000000001</v>
      </c>
      <c r="AO575" s="2">
        <v>23</v>
      </c>
      <c r="AP575" s="2">
        <v>565</v>
      </c>
      <c r="AQ575" s="2">
        <v>68</v>
      </c>
      <c r="AR575" s="2">
        <v>2.2999999999999998</v>
      </c>
      <c r="AS575" s="2">
        <v>68</v>
      </c>
      <c r="AT575" s="2">
        <v>17.600000000000001</v>
      </c>
      <c r="AU575" s="2">
        <v>162</v>
      </c>
      <c r="AV575" s="2">
        <v>19.7</v>
      </c>
      <c r="AW575" s="2">
        <v>16.7</v>
      </c>
      <c r="AX575" s="2">
        <v>36.4</v>
      </c>
      <c r="AY575" s="2">
        <v>0.66</v>
      </c>
      <c r="AZ575" s="2">
        <v>5.6</v>
      </c>
      <c r="BA575" s="2">
        <v>1.5</v>
      </c>
      <c r="BB575" s="2">
        <v>7.5</v>
      </c>
      <c r="BC575" s="2">
        <v>2.9</v>
      </c>
      <c r="BD575" s="2">
        <f>+AN575*EXP(-0.0495*Y575)</f>
        <v>16.749961550713916</v>
      </c>
      <c r="BE575" s="2">
        <f>+AO575*EXP(-0.024*Y575)</f>
        <v>22.770511345177642</v>
      </c>
    </row>
    <row r="576" spans="1:57" x14ac:dyDescent="0.2">
      <c r="A576" s="2" t="s">
        <v>2743</v>
      </c>
      <c r="B576" s="2" t="s">
        <v>19</v>
      </c>
      <c r="C576" s="2" t="s">
        <v>1907</v>
      </c>
      <c r="D576" s="2" t="s">
        <v>21</v>
      </c>
      <c r="E576" s="2" t="s">
        <v>2187</v>
      </c>
      <c r="F576" s="2">
        <v>2</v>
      </c>
      <c r="G576" s="2">
        <v>36</v>
      </c>
      <c r="H576" s="2">
        <v>4</v>
      </c>
      <c r="I576" s="2">
        <v>3</v>
      </c>
      <c r="J576" s="2">
        <v>1</v>
      </c>
      <c r="K576" s="2" t="s">
        <v>61</v>
      </c>
      <c r="L576" s="6" t="s">
        <v>75</v>
      </c>
      <c r="M576" s="5">
        <v>290000000</v>
      </c>
      <c r="N576" s="2">
        <v>0</v>
      </c>
      <c r="O576" s="2">
        <v>4.6959271429999996</v>
      </c>
      <c r="P576" s="2">
        <v>-74.124885559999996</v>
      </c>
      <c r="Q576" s="2" t="s">
        <v>2744</v>
      </c>
      <c r="R576" s="2">
        <v>8055555.5559999999</v>
      </c>
      <c r="S576" s="2">
        <v>0</v>
      </c>
      <c r="T576" s="2" t="s">
        <v>49</v>
      </c>
      <c r="U576" s="2" t="s">
        <v>476</v>
      </c>
      <c r="V576" s="2" t="s">
        <v>28</v>
      </c>
      <c r="W576" s="2" t="s">
        <v>49</v>
      </c>
      <c r="X576" s="2" t="s">
        <v>477</v>
      </c>
      <c r="Y576" s="2">
        <v>2.8790120351097799</v>
      </c>
      <c r="Z576" s="2">
        <v>4.6782416666666702</v>
      </c>
      <c r="AA576" s="2">
        <v>-74.143819444444404</v>
      </c>
      <c r="AB576" s="2">
        <v>2551</v>
      </c>
      <c r="AC576" s="2" t="s">
        <v>31</v>
      </c>
      <c r="AD576" s="2" t="s">
        <v>32</v>
      </c>
      <c r="AE576" s="2" t="s">
        <v>33</v>
      </c>
      <c r="AF576" s="2" t="s">
        <v>34</v>
      </c>
      <c r="AG576" s="2" t="s">
        <v>363</v>
      </c>
      <c r="AH576" s="2">
        <v>1.6275305152771999</v>
      </c>
      <c r="AI576" s="2">
        <v>3.0990301724071099</v>
      </c>
      <c r="AJ576" s="2">
        <v>1.9190831841007401</v>
      </c>
      <c r="AK576" s="2">
        <v>0.47249767775058499</v>
      </c>
      <c r="AL576" s="2">
        <v>0.14243436204142901</v>
      </c>
      <c r="AM576" s="2">
        <v>15.8</v>
      </c>
      <c r="AN576" s="2">
        <v>17.100000000000001</v>
      </c>
      <c r="AO576" s="2">
        <v>23</v>
      </c>
      <c r="AP576" s="2">
        <v>565</v>
      </c>
      <c r="AQ576" s="2">
        <v>68</v>
      </c>
      <c r="AR576" s="2">
        <v>2.2999999999999998</v>
      </c>
      <c r="AS576" s="2">
        <v>68</v>
      </c>
      <c r="AT576" s="2">
        <v>17.600000000000001</v>
      </c>
      <c r="AU576" s="2">
        <v>162</v>
      </c>
      <c r="AV576" s="2">
        <v>19.7</v>
      </c>
      <c r="AW576" s="2">
        <v>16.7</v>
      </c>
      <c r="AX576" s="2">
        <v>36.4</v>
      </c>
      <c r="AY576" s="2">
        <v>0.66</v>
      </c>
      <c r="AZ576" s="2">
        <v>5.6</v>
      </c>
      <c r="BA576" s="2">
        <v>1.5</v>
      </c>
      <c r="BB576" s="2">
        <v>7.5</v>
      </c>
      <c r="BC576" s="2">
        <v>2.9</v>
      </c>
      <c r="BD576" s="2">
        <f>+AN576*EXP(-0.0495*Y576)</f>
        <v>14.82874264164249</v>
      </c>
      <c r="BE576" s="2">
        <f>+AO576*EXP(-0.024*Y576)</f>
        <v>21.464446755555315</v>
      </c>
    </row>
    <row r="577" spans="1:57" x14ac:dyDescent="0.2">
      <c r="A577" s="2" t="s">
        <v>881</v>
      </c>
      <c r="B577" s="2" t="s">
        <v>19</v>
      </c>
      <c r="C577" s="2" t="s">
        <v>20</v>
      </c>
      <c r="D577" s="2" t="s">
        <v>21</v>
      </c>
      <c r="E577" s="2" t="s">
        <v>882</v>
      </c>
      <c r="F577" s="2">
        <v>3</v>
      </c>
      <c r="G577" s="2">
        <v>35.39</v>
      </c>
      <c r="H577" s="2">
        <v>2</v>
      </c>
      <c r="I577" s="2">
        <v>1</v>
      </c>
      <c r="J577" s="2">
        <v>1</v>
      </c>
      <c r="K577" s="2" t="s">
        <v>61</v>
      </c>
      <c r="L577" s="6" t="s">
        <v>113</v>
      </c>
      <c r="M577" s="5">
        <v>170000000</v>
      </c>
      <c r="N577" s="2">
        <v>0</v>
      </c>
      <c r="O577" s="2">
        <v>4.6998499999999996</v>
      </c>
      <c r="P577" s="2">
        <v>-74.112755000000007</v>
      </c>
      <c r="Q577" s="2" t="s">
        <v>883</v>
      </c>
      <c r="R577" s="2">
        <v>4803616.841</v>
      </c>
      <c r="S577" s="2">
        <v>0</v>
      </c>
      <c r="T577" s="2" t="s">
        <v>49</v>
      </c>
      <c r="U577" s="2" t="s">
        <v>476</v>
      </c>
      <c r="V577" s="2" t="s">
        <v>28</v>
      </c>
      <c r="W577" s="2" t="s">
        <v>49</v>
      </c>
      <c r="X577" s="2" t="s">
        <v>477</v>
      </c>
      <c r="Y577" s="2">
        <v>4.2029129421448603</v>
      </c>
      <c r="Z577" s="2">
        <v>4.6782416666666702</v>
      </c>
      <c r="AA577" s="2">
        <v>-74.143819444444404</v>
      </c>
      <c r="AB577" s="2">
        <v>2551</v>
      </c>
      <c r="AC577" s="2" t="s">
        <v>31</v>
      </c>
      <c r="AD577" s="2" t="s">
        <v>32</v>
      </c>
      <c r="AE577" s="2" t="s">
        <v>33</v>
      </c>
      <c r="AF577" s="2" t="s">
        <v>34</v>
      </c>
      <c r="AG577" s="2" t="s">
        <v>363</v>
      </c>
      <c r="AH577" s="2">
        <v>0.88066170351808204</v>
      </c>
      <c r="AI577" s="2">
        <v>3.1328673163373999</v>
      </c>
      <c r="AJ577" s="2">
        <v>0.97467449588586597</v>
      </c>
      <c r="AK577" s="2">
        <v>0.21263976178871999</v>
      </c>
      <c r="AL577" s="2">
        <v>0.26719838360912002</v>
      </c>
      <c r="AM577" s="2">
        <v>15.8</v>
      </c>
      <c r="AN577" s="2">
        <v>17.100000000000001</v>
      </c>
      <c r="AO577" s="2">
        <v>23</v>
      </c>
      <c r="AP577" s="2">
        <v>565</v>
      </c>
      <c r="AQ577" s="2">
        <v>68</v>
      </c>
      <c r="AR577" s="2">
        <v>2.2999999999999998</v>
      </c>
      <c r="AS577" s="2">
        <v>68</v>
      </c>
      <c r="AT577" s="2">
        <v>17.600000000000001</v>
      </c>
      <c r="AU577" s="2">
        <v>162</v>
      </c>
      <c r="AV577" s="2">
        <v>19.7</v>
      </c>
      <c r="AW577" s="2">
        <v>16.7</v>
      </c>
      <c r="AX577" s="2">
        <v>36.4</v>
      </c>
      <c r="AY577" s="2">
        <v>0.66</v>
      </c>
      <c r="AZ577" s="2">
        <v>5.6</v>
      </c>
      <c r="BA577" s="2">
        <v>1.5</v>
      </c>
      <c r="BB577" s="2">
        <v>7.5</v>
      </c>
      <c r="BC577" s="2">
        <v>2.9</v>
      </c>
      <c r="BD577" s="2">
        <f>+AN577*EXP(-0.0495*Y577)</f>
        <v>13.888126589064319</v>
      </c>
      <c r="BE577" s="2">
        <f>+AO577*EXP(-0.024*Y577)</f>
        <v>20.793164550500393</v>
      </c>
    </row>
    <row r="578" spans="1:57" x14ac:dyDescent="0.2">
      <c r="A578" s="2" t="s">
        <v>1487</v>
      </c>
      <c r="B578" s="2" t="s">
        <v>19</v>
      </c>
      <c r="C578" s="2" t="s">
        <v>20</v>
      </c>
      <c r="D578" s="2" t="s">
        <v>21</v>
      </c>
      <c r="E578" s="2" t="s">
        <v>1488</v>
      </c>
      <c r="F578" s="2">
        <v>4</v>
      </c>
      <c r="G578" s="2">
        <v>33</v>
      </c>
      <c r="H578" s="2">
        <v>1</v>
      </c>
      <c r="I578" s="2">
        <v>1</v>
      </c>
      <c r="J578" s="2">
        <v>0</v>
      </c>
      <c r="K578" s="2" t="s">
        <v>23</v>
      </c>
      <c r="L578" s="6" t="s">
        <v>24</v>
      </c>
      <c r="M578" s="5">
        <v>362000000</v>
      </c>
      <c r="N578" s="2">
        <v>0</v>
      </c>
      <c r="O578" s="2">
        <v>4.6846450229999999</v>
      </c>
      <c r="P578" s="2">
        <v>-74.114883430000006</v>
      </c>
      <c r="Q578" s="2" t="s">
        <v>1489</v>
      </c>
      <c r="R578" s="2">
        <v>10969696.970000001</v>
      </c>
      <c r="S578" s="2">
        <v>0</v>
      </c>
      <c r="T578" s="2" t="s">
        <v>49</v>
      </c>
      <c r="U578" s="2" t="s">
        <v>476</v>
      </c>
      <c r="V578" s="2" t="s">
        <v>28</v>
      </c>
      <c r="W578" s="2" t="s">
        <v>49</v>
      </c>
      <c r="X578" s="2" t="s">
        <v>477</v>
      </c>
      <c r="Y578" s="2">
        <v>3.28857934401135</v>
      </c>
      <c r="Z578" s="2">
        <v>4.6782416666666702</v>
      </c>
      <c r="AA578" s="2">
        <v>-74.143819444444404</v>
      </c>
      <c r="AB578" s="2">
        <v>2551</v>
      </c>
      <c r="AC578" s="2" t="s">
        <v>31</v>
      </c>
      <c r="AD578" s="2" t="s">
        <v>32</v>
      </c>
      <c r="AE578" s="2" t="s">
        <v>33</v>
      </c>
      <c r="AF578" s="2" t="s">
        <v>34</v>
      </c>
      <c r="AG578" s="2" t="s">
        <v>363</v>
      </c>
      <c r="AH578" s="2">
        <v>0.79586970433375004</v>
      </c>
      <c r="AI578" s="2">
        <v>4.5682287159530404</v>
      </c>
      <c r="AJ578" s="2">
        <v>1.16028279646916</v>
      </c>
      <c r="AK578" s="2">
        <v>0.47533682500290603</v>
      </c>
      <c r="AL578" s="2">
        <v>0.13003522681295299</v>
      </c>
      <c r="AM578" s="2">
        <v>15.8</v>
      </c>
      <c r="AN578" s="2">
        <v>17.100000000000001</v>
      </c>
      <c r="AO578" s="2">
        <v>23</v>
      </c>
      <c r="AP578" s="2">
        <v>565</v>
      </c>
      <c r="AQ578" s="2">
        <v>68</v>
      </c>
      <c r="AR578" s="2">
        <v>2.2999999999999998</v>
      </c>
      <c r="AS578" s="2">
        <v>68</v>
      </c>
      <c r="AT578" s="2">
        <v>17.600000000000001</v>
      </c>
      <c r="AU578" s="2">
        <v>162</v>
      </c>
      <c r="AV578" s="2">
        <v>19.7</v>
      </c>
      <c r="AW578" s="2">
        <v>16.7</v>
      </c>
      <c r="AX578" s="2">
        <v>36.4</v>
      </c>
      <c r="AY578" s="2">
        <v>0.66</v>
      </c>
      <c r="AZ578" s="2">
        <v>5.6</v>
      </c>
      <c r="BA578" s="2">
        <v>1.5</v>
      </c>
      <c r="BB578" s="2">
        <v>7.5</v>
      </c>
      <c r="BC578" s="2">
        <v>2.9</v>
      </c>
      <c r="BD578" s="2">
        <f>+AN578*EXP(-0.0495*Y578)</f>
        <v>14.531137865572553</v>
      </c>
      <c r="BE578" s="2">
        <f>+AO578*EXP(-0.024*Y578)</f>
        <v>21.254493071364625</v>
      </c>
    </row>
    <row r="579" spans="1:57" x14ac:dyDescent="0.2">
      <c r="A579" s="2" t="s">
        <v>1694</v>
      </c>
      <c r="B579" s="2" t="s">
        <v>19</v>
      </c>
      <c r="C579" s="2" t="s">
        <v>20</v>
      </c>
      <c r="D579" s="2" t="s">
        <v>21</v>
      </c>
      <c r="E579" s="2" t="s">
        <v>618</v>
      </c>
      <c r="F579" s="2">
        <v>3</v>
      </c>
      <c r="G579" s="2">
        <v>33</v>
      </c>
      <c r="H579" s="2">
        <v>1</v>
      </c>
      <c r="I579" s="2">
        <v>1</v>
      </c>
      <c r="J579" s="2">
        <v>0</v>
      </c>
      <c r="K579" s="2" t="s">
        <v>61</v>
      </c>
      <c r="L579" s="6" t="s">
        <v>62</v>
      </c>
      <c r="M579" s="5">
        <v>232000000</v>
      </c>
      <c r="N579" s="2">
        <v>0</v>
      </c>
      <c r="O579" s="2">
        <v>4.6559667999999999</v>
      </c>
      <c r="P579" s="2">
        <v>-74.134730000000005</v>
      </c>
      <c r="Q579" s="2" t="s">
        <v>1695</v>
      </c>
      <c r="R579" s="2">
        <v>7030303.0300000003</v>
      </c>
      <c r="S579" s="2">
        <v>0</v>
      </c>
      <c r="T579" s="2" t="s">
        <v>47</v>
      </c>
      <c r="U579" s="2" t="s">
        <v>48</v>
      </c>
      <c r="V579" s="2" t="s">
        <v>28</v>
      </c>
      <c r="W579" s="2" t="s">
        <v>49</v>
      </c>
      <c r="X579" s="2" t="s">
        <v>50</v>
      </c>
      <c r="Y579" s="2">
        <v>2.0318726226641601</v>
      </c>
      <c r="Z579" s="2">
        <v>4.6680000000000001</v>
      </c>
      <c r="AA579" s="2">
        <v>-74.148499999999999</v>
      </c>
      <c r="AB579" s="2">
        <v>2547</v>
      </c>
      <c r="AC579" s="2" t="s">
        <v>31</v>
      </c>
      <c r="AD579" s="2" t="s">
        <v>51</v>
      </c>
      <c r="AE579" s="2" t="s">
        <v>33</v>
      </c>
      <c r="AF579" s="2" t="s">
        <v>34</v>
      </c>
      <c r="AG579" s="2" t="s">
        <v>43</v>
      </c>
      <c r="AH579" s="2">
        <v>2.7811283108301201</v>
      </c>
      <c r="AI579" s="2">
        <v>2.6046125292456601</v>
      </c>
      <c r="AJ579" s="2">
        <v>2.1441545192556801</v>
      </c>
      <c r="AK579" s="2">
        <v>0.43856536667551399</v>
      </c>
      <c r="AL579" s="2">
        <v>0.26700731057520599</v>
      </c>
      <c r="AM579" s="2">
        <v>15.8</v>
      </c>
      <c r="AN579" s="2">
        <v>17.100000000000001</v>
      </c>
      <c r="AO579" s="2">
        <v>23</v>
      </c>
      <c r="AP579" s="2">
        <v>565</v>
      </c>
      <c r="AQ579" s="2">
        <v>68</v>
      </c>
      <c r="AR579" s="2">
        <v>2.2999999999999998</v>
      </c>
      <c r="AS579" s="2">
        <v>68</v>
      </c>
      <c r="AT579" s="2">
        <v>17.600000000000001</v>
      </c>
      <c r="AU579" s="2">
        <v>162</v>
      </c>
      <c r="AV579" s="2">
        <v>19.7</v>
      </c>
      <c r="AW579" s="2">
        <v>16.7</v>
      </c>
      <c r="AX579" s="2">
        <v>36.4</v>
      </c>
      <c r="AY579" s="2">
        <v>0.66</v>
      </c>
      <c r="AZ579" s="2">
        <v>5.6</v>
      </c>
      <c r="BA579" s="2">
        <v>1.5</v>
      </c>
      <c r="BB579" s="2">
        <v>7.5</v>
      </c>
      <c r="BC579" s="2">
        <v>2.9</v>
      </c>
      <c r="BD579" s="2">
        <f>+AN579*EXP(-0.0495*Y579)</f>
        <v>15.46378391964655</v>
      </c>
      <c r="BE579" s="2">
        <f>+AO579*EXP(-0.024*Y579)</f>
        <v>21.905314376668237</v>
      </c>
    </row>
    <row r="580" spans="1:57" x14ac:dyDescent="0.2">
      <c r="A580" s="2" t="s">
        <v>4058</v>
      </c>
      <c r="B580" s="2" t="s">
        <v>19</v>
      </c>
      <c r="C580" s="2" t="s">
        <v>3245</v>
      </c>
      <c r="D580" s="2" t="s">
        <v>21</v>
      </c>
      <c r="E580" s="2" t="s">
        <v>4059</v>
      </c>
      <c r="F580" s="2">
        <v>3</v>
      </c>
      <c r="G580" s="2">
        <v>32</v>
      </c>
      <c r="H580" s="2">
        <v>1</v>
      </c>
      <c r="I580" s="2">
        <v>1</v>
      </c>
      <c r="J580" s="2">
        <v>1</v>
      </c>
      <c r="K580" s="2" t="s">
        <v>61</v>
      </c>
      <c r="L580" s="6" t="s">
        <v>62</v>
      </c>
      <c r="M580" s="5">
        <v>265000000</v>
      </c>
      <c r="N580" s="2">
        <v>0</v>
      </c>
      <c r="O580" s="2">
        <v>4.6935150380000001</v>
      </c>
      <c r="P580" s="2">
        <v>-74.106534809999999</v>
      </c>
      <c r="Q580" s="2" t="s">
        <v>4060</v>
      </c>
      <c r="R580" s="2">
        <v>8281250</v>
      </c>
      <c r="S580" s="2">
        <v>0</v>
      </c>
      <c r="T580" s="2" t="s">
        <v>49</v>
      </c>
      <c r="U580" s="2" t="s">
        <v>476</v>
      </c>
      <c r="V580" s="2" t="s">
        <v>28</v>
      </c>
      <c r="W580" s="2" t="s">
        <v>49</v>
      </c>
      <c r="X580" s="2" t="s">
        <v>477</v>
      </c>
      <c r="Y580" s="2">
        <v>4.4724153845992802</v>
      </c>
      <c r="Z580" s="2">
        <v>4.6782416666666702</v>
      </c>
      <c r="AA580" s="2">
        <v>-74.143819444444404</v>
      </c>
      <c r="AB580" s="2">
        <v>2551</v>
      </c>
      <c r="AC580" s="2" t="s">
        <v>31</v>
      </c>
      <c r="AD580" s="2" t="s">
        <v>32</v>
      </c>
      <c r="AE580" s="2" t="s">
        <v>33</v>
      </c>
      <c r="AF580" s="2" t="s">
        <v>34</v>
      </c>
      <c r="AG580" s="2" t="s">
        <v>363</v>
      </c>
      <c r="AH580" s="2">
        <v>1.2090149999071</v>
      </c>
      <c r="AI580" s="2">
        <v>4.0918873106609404</v>
      </c>
      <c r="AJ580" s="2">
        <v>0.191434889366289</v>
      </c>
      <c r="AK580" s="2">
        <v>0.26953148568234803</v>
      </c>
      <c r="AL580" s="2">
        <v>0.103355155138903</v>
      </c>
      <c r="AM580" s="2">
        <v>15.8</v>
      </c>
      <c r="AN580" s="2">
        <v>17.100000000000001</v>
      </c>
      <c r="AO580" s="2">
        <v>23</v>
      </c>
      <c r="AP580" s="2">
        <v>565</v>
      </c>
      <c r="AQ580" s="2">
        <v>68</v>
      </c>
      <c r="AR580" s="2">
        <v>2.2999999999999998</v>
      </c>
      <c r="AS580" s="2">
        <v>68</v>
      </c>
      <c r="AT580" s="2">
        <v>17.600000000000001</v>
      </c>
      <c r="AU580" s="2">
        <v>162</v>
      </c>
      <c r="AV580" s="2">
        <v>19.7</v>
      </c>
      <c r="AW580" s="2">
        <v>16.7</v>
      </c>
      <c r="AX580" s="2">
        <v>36.4</v>
      </c>
      <c r="AY580" s="2">
        <v>0.66</v>
      </c>
      <c r="AZ580" s="2">
        <v>5.6</v>
      </c>
      <c r="BA580" s="2">
        <v>1.5</v>
      </c>
      <c r="BB580" s="2">
        <v>7.5</v>
      </c>
      <c r="BC580" s="2">
        <v>2.9</v>
      </c>
      <c r="BD580" s="2">
        <f>+AN580*EXP(-0.0495*Y580)</f>
        <v>13.70408415582529</v>
      </c>
      <c r="BE580" s="2">
        <f>+AO580*EXP(-0.024*Y580)</f>
        <v>20.659107156223442</v>
      </c>
    </row>
    <row r="581" spans="1:57" x14ac:dyDescent="0.2">
      <c r="A581" s="2" t="s">
        <v>3363</v>
      </c>
      <c r="B581" s="2" t="s">
        <v>19</v>
      </c>
      <c r="C581" s="2" t="s">
        <v>3245</v>
      </c>
      <c r="D581" s="2" t="s">
        <v>21</v>
      </c>
      <c r="E581" s="2" t="s">
        <v>885</v>
      </c>
      <c r="F581" s="2">
        <v>3</v>
      </c>
      <c r="G581" s="2">
        <v>32</v>
      </c>
      <c r="H581" s="2">
        <v>1</v>
      </c>
      <c r="I581" s="2">
        <v>1</v>
      </c>
      <c r="J581" s="2">
        <v>0</v>
      </c>
      <c r="K581" s="2" t="s">
        <v>61</v>
      </c>
      <c r="L581" s="6" t="s">
        <v>62</v>
      </c>
      <c r="M581" s="5">
        <v>168000000</v>
      </c>
      <c r="N581" s="2">
        <v>0</v>
      </c>
      <c r="O581" s="2">
        <v>4.6886406000000003</v>
      </c>
      <c r="P581" s="2">
        <v>-74.162315000000007</v>
      </c>
      <c r="Q581" s="2" t="s">
        <v>3364</v>
      </c>
      <c r="R581" s="2">
        <v>5250000</v>
      </c>
      <c r="S581" s="2">
        <v>0</v>
      </c>
      <c r="T581" s="2" t="s">
        <v>49</v>
      </c>
      <c r="U581" s="2" t="s">
        <v>476</v>
      </c>
      <c r="V581" s="2" t="s">
        <v>28</v>
      </c>
      <c r="W581" s="2" t="s">
        <v>49</v>
      </c>
      <c r="X581" s="2" t="s">
        <v>477</v>
      </c>
      <c r="Y581" s="2">
        <v>2.35603901627479</v>
      </c>
      <c r="Z581" s="2">
        <v>4.6782416666666702</v>
      </c>
      <c r="AA581" s="2">
        <v>-74.143819444444404</v>
      </c>
      <c r="AB581" s="2">
        <v>2551</v>
      </c>
      <c r="AC581" s="2" t="s">
        <v>31</v>
      </c>
      <c r="AD581" s="2" t="s">
        <v>32</v>
      </c>
      <c r="AE581" s="2" t="s">
        <v>33</v>
      </c>
      <c r="AF581" s="2" t="s">
        <v>34</v>
      </c>
      <c r="AG581" s="2" t="s">
        <v>43</v>
      </c>
      <c r="AH581" s="2">
        <v>4.6028355469553297</v>
      </c>
      <c r="AI581" s="2">
        <v>0.44853409728048499</v>
      </c>
      <c r="AJ581" s="2">
        <v>2.8134680357537798</v>
      </c>
      <c r="AK581" s="2">
        <v>0.120333201489253</v>
      </c>
      <c r="AL581" s="2">
        <v>8.9207257667484705E-2</v>
      </c>
      <c r="AM581" s="2">
        <v>15.8</v>
      </c>
      <c r="AN581" s="2">
        <v>17.100000000000001</v>
      </c>
      <c r="AO581" s="2">
        <v>23</v>
      </c>
      <c r="AP581" s="2">
        <v>565</v>
      </c>
      <c r="AQ581" s="2">
        <v>68</v>
      </c>
      <c r="AR581" s="2">
        <v>2.2999999999999998</v>
      </c>
      <c r="AS581" s="2">
        <v>68</v>
      </c>
      <c r="AT581" s="2">
        <v>17.600000000000001</v>
      </c>
      <c r="AU581" s="2">
        <v>162</v>
      </c>
      <c r="AV581" s="2">
        <v>19.7</v>
      </c>
      <c r="AW581" s="2">
        <v>16.7</v>
      </c>
      <c r="AX581" s="2">
        <v>36.4</v>
      </c>
      <c r="AY581" s="2">
        <v>0.66</v>
      </c>
      <c r="AZ581" s="2">
        <v>5.6</v>
      </c>
      <c r="BA581" s="2">
        <v>1.5</v>
      </c>
      <c r="BB581" s="2">
        <v>7.5</v>
      </c>
      <c r="BC581" s="2">
        <v>2.9</v>
      </c>
      <c r="BD581" s="2">
        <f>+AN581*EXP(-0.0495*Y581)</f>
        <v>15.217628600852148</v>
      </c>
      <c r="BE581" s="2">
        <f>+AO581*EXP(-0.024*Y581)</f>
        <v>21.735552404170342</v>
      </c>
    </row>
    <row r="582" spans="1:57" x14ac:dyDescent="0.2">
      <c r="A582" s="2" t="s">
        <v>3966</v>
      </c>
      <c r="B582" s="2" t="s">
        <v>19</v>
      </c>
      <c r="C582" s="2" t="s">
        <v>3245</v>
      </c>
      <c r="D582" s="2" t="s">
        <v>21</v>
      </c>
      <c r="E582" s="2" t="s">
        <v>170</v>
      </c>
      <c r="F582" s="2">
        <v>3</v>
      </c>
      <c r="G582" s="2">
        <v>31</v>
      </c>
      <c r="H582" s="2">
        <v>1</v>
      </c>
      <c r="I582" s="2">
        <v>1</v>
      </c>
      <c r="J582" s="2">
        <v>0</v>
      </c>
      <c r="K582" s="2" t="s">
        <v>61</v>
      </c>
      <c r="L582" s="6" t="s">
        <v>62</v>
      </c>
      <c r="M582" s="5">
        <v>200000000</v>
      </c>
      <c r="N582" s="2">
        <v>0</v>
      </c>
      <c r="O582" s="2">
        <v>4.6491661070000001</v>
      </c>
      <c r="P582" s="2">
        <v>-74.149971010000002</v>
      </c>
      <c r="Q582" s="2" t="s">
        <v>3967</v>
      </c>
      <c r="R582" s="2">
        <v>6451612.9029999999</v>
      </c>
      <c r="S582" s="2">
        <v>0</v>
      </c>
      <c r="T582" s="2" t="s">
        <v>47</v>
      </c>
      <c r="U582" s="2" t="s">
        <v>48</v>
      </c>
      <c r="V582" s="2" t="s">
        <v>28</v>
      </c>
      <c r="W582" s="2" t="s">
        <v>49</v>
      </c>
      <c r="X582" s="2" t="s">
        <v>50</v>
      </c>
      <c r="Y582" s="2">
        <v>2.1029224794946799</v>
      </c>
      <c r="Z582" s="2">
        <v>4.6680000000000001</v>
      </c>
      <c r="AA582" s="2">
        <v>-74.148499999999999</v>
      </c>
      <c r="AB582" s="2">
        <v>2547</v>
      </c>
      <c r="AC582" s="2" t="s">
        <v>31</v>
      </c>
      <c r="AD582" s="2" t="s">
        <v>51</v>
      </c>
      <c r="AE582" s="2" t="s">
        <v>33</v>
      </c>
      <c r="AF582" s="2" t="s">
        <v>34</v>
      </c>
      <c r="AG582" s="2" t="s">
        <v>172</v>
      </c>
      <c r="AH582" s="2">
        <v>1.6218314588654601</v>
      </c>
      <c r="AI582" s="2">
        <v>1.4706902053192401</v>
      </c>
      <c r="AJ582" s="2">
        <v>3.1784352316468798</v>
      </c>
      <c r="AK582" s="2">
        <v>0.30741516414161901</v>
      </c>
      <c r="AL582" s="2">
        <v>6.3162157201595098E-2</v>
      </c>
      <c r="AM582" s="2">
        <v>15.8</v>
      </c>
      <c r="AN582" s="2">
        <v>17.100000000000001</v>
      </c>
      <c r="AO582" s="2">
        <v>23</v>
      </c>
      <c r="AP582" s="2">
        <v>565</v>
      </c>
      <c r="AQ582" s="2">
        <v>68</v>
      </c>
      <c r="AR582" s="2">
        <v>2.2999999999999998</v>
      </c>
      <c r="AS582" s="2">
        <v>68</v>
      </c>
      <c r="AT582" s="2">
        <v>17.600000000000001</v>
      </c>
      <c r="AU582" s="2">
        <v>162</v>
      </c>
      <c r="AV582" s="2">
        <v>19.7</v>
      </c>
      <c r="AW582" s="2">
        <v>16.7</v>
      </c>
      <c r="AX582" s="2">
        <v>36.4</v>
      </c>
      <c r="AY582" s="2">
        <v>0.66</v>
      </c>
      <c r="AZ582" s="2">
        <v>5.6</v>
      </c>
      <c r="BA582" s="2">
        <v>1.5</v>
      </c>
      <c r="BB582" s="2">
        <v>7.5</v>
      </c>
      <c r="BC582" s="2">
        <v>2.9</v>
      </c>
      <c r="BD582" s="2">
        <f>+AN582*EXP(-0.0495*Y582)</f>
        <v>15.409493812028924</v>
      </c>
      <c r="BE582" s="2">
        <f>+AO582*EXP(-0.024*Y582)</f>
        <v>21.86799333875727</v>
      </c>
    </row>
    <row r="583" spans="1:57" x14ac:dyDescent="0.2">
      <c r="A583" s="2" t="s">
        <v>4010</v>
      </c>
      <c r="B583" s="2" t="s">
        <v>19</v>
      </c>
      <c r="C583" s="2" t="s">
        <v>3245</v>
      </c>
      <c r="D583" s="2" t="s">
        <v>21</v>
      </c>
      <c r="E583" s="2" t="s">
        <v>618</v>
      </c>
      <c r="F583" s="2">
        <v>3</v>
      </c>
      <c r="G583" s="2">
        <v>29</v>
      </c>
      <c r="H583" s="2">
        <v>1</v>
      </c>
      <c r="I583" s="2">
        <v>1</v>
      </c>
      <c r="J583" s="2">
        <v>0</v>
      </c>
      <c r="K583" s="2" t="s">
        <v>61</v>
      </c>
      <c r="L583" s="6" t="s">
        <v>62</v>
      </c>
      <c r="M583" s="5">
        <v>215000000</v>
      </c>
      <c r="N583" s="2">
        <v>0</v>
      </c>
      <c r="O583" s="2">
        <v>4.6560511590000004</v>
      </c>
      <c r="P583" s="2">
        <v>-74.134437559999995</v>
      </c>
      <c r="Q583" s="2" t="s">
        <v>4011</v>
      </c>
      <c r="R583" s="2">
        <v>7413793.1030000001</v>
      </c>
      <c r="S583" s="2">
        <v>0</v>
      </c>
      <c r="T583" s="2" t="s">
        <v>47</v>
      </c>
      <c r="U583" s="2" t="s">
        <v>48</v>
      </c>
      <c r="V583" s="2" t="s">
        <v>28</v>
      </c>
      <c r="W583" s="2" t="s">
        <v>49</v>
      </c>
      <c r="X583" s="2" t="s">
        <v>50</v>
      </c>
      <c r="Y583" s="2">
        <v>2.0502761065160202</v>
      </c>
      <c r="Z583" s="2">
        <v>4.6680000000000001</v>
      </c>
      <c r="AA583" s="2">
        <v>-74.148499999999999</v>
      </c>
      <c r="AB583" s="2">
        <v>2547</v>
      </c>
      <c r="AC583" s="2" t="s">
        <v>31</v>
      </c>
      <c r="AD583" s="2" t="s">
        <v>51</v>
      </c>
      <c r="AE583" s="2" t="s">
        <v>33</v>
      </c>
      <c r="AF583" s="2" t="s">
        <v>34</v>
      </c>
      <c r="AG583" s="2" t="s">
        <v>43</v>
      </c>
      <c r="AH583" s="2">
        <v>2.7485776640169099</v>
      </c>
      <c r="AI583" s="2">
        <v>2.6351113519770699</v>
      </c>
      <c r="AJ583" s="2">
        <v>2.1311060867553802</v>
      </c>
      <c r="AK583" s="2">
        <v>0.41032842140883002</v>
      </c>
      <c r="AL583" s="2">
        <v>0.297569964541058</v>
      </c>
      <c r="AM583" s="2">
        <v>15.8</v>
      </c>
      <c r="AN583" s="2">
        <v>17.100000000000001</v>
      </c>
      <c r="AO583" s="2">
        <v>23</v>
      </c>
      <c r="AP583" s="2">
        <v>565</v>
      </c>
      <c r="AQ583" s="2">
        <v>68</v>
      </c>
      <c r="AR583" s="2">
        <v>2.2999999999999998</v>
      </c>
      <c r="AS583" s="2">
        <v>68</v>
      </c>
      <c r="AT583" s="2">
        <v>17.600000000000001</v>
      </c>
      <c r="AU583" s="2">
        <v>162</v>
      </c>
      <c r="AV583" s="2">
        <v>19.7</v>
      </c>
      <c r="AW583" s="2">
        <v>16.7</v>
      </c>
      <c r="AX583" s="2">
        <v>36.4</v>
      </c>
      <c r="AY583" s="2">
        <v>0.66</v>
      </c>
      <c r="AZ583" s="2">
        <v>5.6</v>
      </c>
      <c r="BA583" s="2">
        <v>1.5</v>
      </c>
      <c r="BB583" s="2">
        <v>7.5</v>
      </c>
      <c r="BC583" s="2">
        <v>2.9</v>
      </c>
      <c r="BD583" s="2">
        <f>+AN583*EXP(-0.0495*Y583)</f>
        <v>15.449703253036128</v>
      </c>
      <c r="BE583" s="2">
        <f>+AO583*EXP(-0.024*Y583)</f>
        <v>21.895641294660773</v>
      </c>
    </row>
    <row r="584" spans="1:57" x14ac:dyDescent="0.2">
      <c r="A584" s="2" t="s">
        <v>3699</v>
      </c>
      <c r="B584" s="2" t="s">
        <v>19</v>
      </c>
      <c r="C584" s="2" t="s">
        <v>3245</v>
      </c>
      <c r="D584" s="2" t="s">
        <v>21</v>
      </c>
      <c r="E584" s="2" t="s">
        <v>3700</v>
      </c>
      <c r="F584" s="2">
        <v>3</v>
      </c>
      <c r="G584" s="2">
        <v>29</v>
      </c>
      <c r="H584" s="2">
        <v>2</v>
      </c>
      <c r="I584" s="2">
        <v>1</v>
      </c>
      <c r="J584" s="2">
        <v>0</v>
      </c>
      <c r="K584" s="2" t="s">
        <v>61</v>
      </c>
      <c r="L584" s="6" t="s">
        <v>62</v>
      </c>
      <c r="M584" s="5">
        <v>149000000</v>
      </c>
      <c r="N584" s="2">
        <v>0</v>
      </c>
      <c r="O584" s="2">
        <v>4.6861588999999997</v>
      </c>
      <c r="P584" s="2">
        <v>-74.152987499999995</v>
      </c>
      <c r="Q584" s="2" t="s">
        <v>3701</v>
      </c>
      <c r="R584" s="2">
        <v>5137931.034</v>
      </c>
      <c r="S584" s="2">
        <v>0</v>
      </c>
      <c r="T584" s="2" t="s">
        <v>49</v>
      </c>
      <c r="U584" s="2" t="s">
        <v>476</v>
      </c>
      <c r="V584" s="2" t="s">
        <v>28</v>
      </c>
      <c r="W584" s="2" t="s">
        <v>49</v>
      </c>
      <c r="X584" s="2" t="s">
        <v>477</v>
      </c>
      <c r="Y584" s="2">
        <v>1.3458878912664001</v>
      </c>
      <c r="Z584" s="2">
        <v>4.6782416666666702</v>
      </c>
      <c r="AA584" s="2">
        <v>-74.143819444444404</v>
      </c>
      <c r="AB584" s="2">
        <v>2551</v>
      </c>
      <c r="AC584" s="2" t="s">
        <v>31</v>
      </c>
      <c r="AD584" s="2" t="s">
        <v>32</v>
      </c>
      <c r="AE584" s="2" t="s">
        <v>33</v>
      </c>
      <c r="AF584" s="2" t="s">
        <v>34</v>
      </c>
      <c r="AG584" s="2" t="s">
        <v>43</v>
      </c>
      <c r="AH584" s="2">
        <v>3.5384489371574399</v>
      </c>
      <c r="AI584" s="2">
        <v>1.49427030593077</v>
      </c>
      <c r="AJ584" s="2">
        <v>1.7435181006673399</v>
      </c>
      <c r="AK584" s="2">
        <v>9.5669238281378396E-2</v>
      </c>
      <c r="AL584" s="2">
        <v>0.182388934764943</v>
      </c>
      <c r="AM584" s="2">
        <v>15.8</v>
      </c>
      <c r="AN584" s="2">
        <v>17.100000000000001</v>
      </c>
      <c r="AO584" s="2">
        <v>23</v>
      </c>
      <c r="AP584" s="2">
        <v>565</v>
      </c>
      <c r="AQ584" s="2">
        <v>68</v>
      </c>
      <c r="AR584" s="2">
        <v>2.2999999999999998</v>
      </c>
      <c r="AS584" s="2">
        <v>68</v>
      </c>
      <c r="AT584" s="2">
        <v>17.600000000000001</v>
      </c>
      <c r="AU584" s="2">
        <v>162</v>
      </c>
      <c r="AV584" s="2">
        <v>19.7</v>
      </c>
      <c r="AW584" s="2">
        <v>16.7</v>
      </c>
      <c r="AX584" s="2">
        <v>36.4</v>
      </c>
      <c r="AY584" s="2">
        <v>0.66</v>
      </c>
      <c r="AZ584" s="2">
        <v>5.6</v>
      </c>
      <c r="BA584" s="2">
        <v>1.5</v>
      </c>
      <c r="BB584" s="2">
        <v>7.5</v>
      </c>
      <c r="BC584" s="2">
        <v>2.9</v>
      </c>
      <c r="BD584" s="2">
        <f>+AN584*EXP(-0.0495*Y584)</f>
        <v>15.997892789191068</v>
      </c>
      <c r="BE584" s="2">
        <f>+AO584*EXP(-0.024*Y584)</f>
        <v>22.268940535953373</v>
      </c>
    </row>
    <row r="585" spans="1:57" x14ac:dyDescent="0.2">
      <c r="A585" s="2" t="s">
        <v>3318</v>
      </c>
      <c r="B585" s="2" t="s">
        <v>19</v>
      </c>
      <c r="C585" s="2" t="s">
        <v>3245</v>
      </c>
      <c r="D585" s="2" t="s">
        <v>21</v>
      </c>
      <c r="E585" s="2" t="s">
        <v>3319</v>
      </c>
      <c r="F585" s="2">
        <v>4</v>
      </c>
      <c r="G585" s="2">
        <v>28</v>
      </c>
      <c r="H585" s="2">
        <v>1</v>
      </c>
      <c r="I585" s="2">
        <v>1</v>
      </c>
      <c r="J585" s="2">
        <v>0</v>
      </c>
      <c r="K585" s="2" t="s">
        <v>61</v>
      </c>
      <c r="L585" s="6" t="s">
        <v>62</v>
      </c>
      <c r="M585" s="5">
        <v>300000000</v>
      </c>
      <c r="N585" s="2">
        <v>0</v>
      </c>
      <c r="O585" s="2">
        <v>4.6775263999999996</v>
      </c>
      <c r="P585" s="2">
        <v>-74.119883999999999</v>
      </c>
      <c r="Q585" s="2" t="s">
        <v>3320</v>
      </c>
      <c r="R585" s="2">
        <v>10714285.710000001</v>
      </c>
      <c r="S585" s="2">
        <v>0</v>
      </c>
      <c r="T585" s="2" t="s">
        <v>49</v>
      </c>
      <c r="U585" s="2" t="s">
        <v>476</v>
      </c>
      <c r="V585" s="2" t="s">
        <v>28</v>
      </c>
      <c r="W585" s="2" t="s">
        <v>49</v>
      </c>
      <c r="X585" s="2" t="s">
        <v>477</v>
      </c>
      <c r="Y585" s="2">
        <v>2.6567993442554898</v>
      </c>
      <c r="Z585" s="2">
        <v>4.6782416666666702</v>
      </c>
      <c r="AA585" s="2">
        <v>-74.143819444444404</v>
      </c>
      <c r="AB585" s="2">
        <v>2551</v>
      </c>
      <c r="AC585" s="2" t="s">
        <v>31</v>
      </c>
      <c r="AD585" s="2" t="s">
        <v>32</v>
      </c>
      <c r="AE585" s="2" t="s">
        <v>33</v>
      </c>
      <c r="AF585" s="2" t="s">
        <v>34</v>
      </c>
      <c r="AG585" s="2" t="s">
        <v>43</v>
      </c>
      <c r="AH585" s="2">
        <v>0.41053481582298001</v>
      </c>
      <c r="AI585" s="2">
        <v>4.3529636613182596</v>
      </c>
      <c r="AJ585" s="2">
        <v>2.0496386507610902</v>
      </c>
      <c r="AK585" s="2">
        <v>0.27563597463184902</v>
      </c>
      <c r="AL585" s="2">
        <v>0.48677636219418402</v>
      </c>
      <c r="AM585" s="2">
        <v>15.8</v>
      </c>
      <c r="AN585" s="2">
        <v>17.100000000000001</v>
      </c>
      <c r="AO585" s="2">
        <v>23</v>
      </c>
      <c r="AP585" s="2">
        <v>565</v>
      </c>
      <c r="AQ585" s="2">
        <v>68</v>
      </c>
      <c r="AR585" s="2">
        <v>2.2999999999999998</v>
      </c>
      <c r="AS585" s="2">
        <v>68</v>
      </c>
      <c r="AT585" s="2">
        <v>17.600000000000001</v>
      </c>
      <c r="AU585" s="2">
        <v>162</v>
      </c>
      <c r="AV585" s="2">
        <v>19.7</v>
      </c>
      <c r="AW585" s="2">
        <v>16.7</v>
      </c>
      <c r="AX585" s="2">
        <v>36.4</v>
      </c>
      <c r="AY585" s="2">
        <v>0.66</v>
      </c>
      <c r="AZ585" s="2">
        <v>5.6</v>
      </c>
      <c r="BA585" s="2">
        <v>1.5</v>
      </c>
      <c r="BB585" s="2">
        <v>7.5</v>
      </c>
      <c r="BC585" s="2">
        <v>2.9</v>
      </c>
      <c r="BD585" s="2">
        <f>+AN585*EXP(-0.0495*Y585)</f>
        <v>14.992752174583062</v>
      </c>
      <c r="BE585" s="2">
        <f>+AO585*EXP(-0.024*Y585)</f>
        <v>21.579224684171013</v>
      </c>
    </row>
    <row r="586" spans="1:57" x14ac:dyDescent="0.2">
      <c r="A586" s="2" t="s">
        <v>4302</v>
      </c>
      <c r="B586" s="2" t="s">
        <v>19</v>
      </c>
      <c r="C586" s="2" t="s">
        <v>3245</v>
      </c>
      <c r="D586" s="2" t="s">
        <v>21</v>
      </c>
      <c r="E586" s="2" t="s">
        <v>3198</v>
      </c>
      <c r="F586" s="2">
        <v>3</v>
      </c>
      <c r="G586" s="2">
        <v>28</v>
      </c>
      <c r="H586" s="2">
        <v>1</v>
      </c>
      <c r="I586" s="2">
        <v>1</v>
      </c>
      <c r="J586" s="2">
        <v>0</v>
      </c>
      <c r="K586" s="2" t="s">
        <v>61</v>
      </c>
      <c r="L586" s="6" t="s">
        <v>62</v>
      </c>
      <c r="M586" s="5">
        <v>280000000</v>
      </c>
      <c r="N586" s="2">
        <v>0</v>
      </c>
      <c r="O586" s="2">
        <v>4.6818942999999997</v>
      </c>
      <c r="P586" s="2">
        <v>-74.115380000000002</v>
      </c>
      <c r="Q586" s="2" t="s">
        <v>4303</v>
      </c>
      <c r="R586" s="2">
        <v>10000000</v>
      </c>
      <c r="S586" s="2">
        <v>0</v>
      </c>
      <c r="T586" s="2" t="s">
        <v>49</v>
      </c>
      <c r="U586" s="2" t="s">
        <v>476</v>
      </c>
      <c r="V586" s="2" t="s">
        <v>28</v>
      </c>
      <c r="W586" s="2" t="s">
        <v>49</v>
      </c>
      <c r="X586" s="2" t="s">
        <v>477</v>
      </c>
      <c r="Y586" s="2">
        <v>3.1813999525808101</v>
      </c>
      <c r="Z586" s="2">
        <v>4.6782416666666702</v>
      </c>
      <c r="AA586" s="2">
        <v>-74.143819444444404</v>
      </c>
      <c r="AB586" s="2">
        <v>2551</v>
      </c>
      <c r="AC586" s="2" t="s">
        <v>31</v>
      </c>
      <c r="AD586" s="2" t="s">
        <v>32</v>
      </c>
      <c r="AE586" s="2" t="s">
        <v>33</v>
      </c>
      <c r="AF586" s="2" t="s">
        <v>34</v>
      </c>
      <c r="AG586" s="2" t="s">
        <v>363</v>
      </c>
      <c r="AH586" s="2">
        <v>0.667973250117466</v>
      </c>
      <c r="AI586" s="2">
        <v>4.84180512139109</v>
      </c>
      <c r="AJ586" s="2">
        <v>1.4329603711194501</v>
      </c>
      <c r="AK586" s="2">
        <v>0.76619809149033102</v>
      </c>
      <c r="AL586" s="2">
        <v>0.175726923509361</v>
      </c>
      <c r="AM586" s="2">
        <v>15.8</v>
      </c>
      <c r="AN586" s="2">
        <v>17.100000000000001</v>
      </c>
      <c r="AO586" s="2">
        <v>23</v>
      </c>
      <c r="AP586" s="2">
        <v>565</v>
      </c>
      <c r="AQ586" s="2">
        <v>68</v>
      </c>
      <c r="AR586" s="2">
        <v>2.2999999999999998</v>
      </c>
      <c r="AS586" s="2">
        <v>68</v>
      </c>
      <c r="AT586" s="2">
        <v>17.600000000000001</v>
      </c>
      <c r="AU586" s="2">
        <v>162</v>
      </c>
      <c r="AV586" s="2">
        <v>19.7</v>
      </c>
      <c r="AW586" s="2">
        <v>16.7</v>
      </c>
      <c r="AX586" s="2">
        <v>36.4</v>
      </c>
      <c r="AY586" s="2">
        <v>0.66</v>
      </c>
      <c r="AZ586" s="2">
        <v>5.6</v>
      </c>
      <c r="BA586" s="2">
        <v>1.5</v>
      </c>
      <c r="BB586" s="2">
        <v>7.5</v>
      </c>
      <c r="BC586" s="2">
        <v>2.9</v>
      </c>
      <c r="BD586" s="2">
        <f>+AN586*EXP(-0.0495*Y586)</f>
        <v>14.608435938488105</v>
      </c>
      <c r="BE586" s="2">
        <f>+AO586*EXP(-0.024*Y586)</f>
        <v>21.309236496764822</v>
      </c>
    </row>
    <row r="587" spans="1:57" x14ac:dyDescent="0.2">
      <c r="A587" s="2" t="s">
        <v>4537</v>
      </c>
      <c r="B587" s="2" t="s">
        <v>19</v>
      </c>
      <c r="C587" s="2" t="s">
        <v>3245</v>
      </c>
      <c r="D587" s="2" t="s">
        <v>21</v>
      </c>
      <c r="E587" s="2" t="s">
        <v>618</v>
      </c>
      <c r="F587" s="2">
        <v>3</v>
      </c>
      <c r="G587" s="2">
        <v>28</v>
      </c>
      <c r="H587" s="2">
        <v>1</v>
      </c>
      <c r="I587" s="2">
        <v>1</v>
      </c>
      <c r="J587" s="2">
        <v>0</v>
      </c>
      <c r="K587" s="2" t="s">
        <v>61</v>
      </c>
      <c r="L587" s="6" t="s">
        <v>62</v>
      </c>
      <c r="M587" s="5">
        <v>213000000</v>
      </c>
      <c r="N587" s="2">
        <v>0</v>
      </c>
      <c r="O587" s="2">
        <v>4.6562218670000002</v>
      </c>
      <c r="P587" s="2">
        <v>-74.134658810000005</v>
      </c>
      <c r="Q587" s="2" t="s">
        <v>4538</v>
      </c>
      <c r="R587" s="2">
        <v>7607142.8569999998</v>
      </c>
      <c r="S587" s="2">
        <v>0</v>
      </c>
      <c r="T587" s="2" t="s">
        <v>47</v>
      </c>
      <c r="U587" s="2" t="s">
        <v>48</v>
      </c>
      <c r="V587" s="2" t="s">
        <v>28</v>
      </c>
      <c r="W587" s="2" t="s">
        <v>49</v>
      </c>
      <c r="X587" s="2" t="s">
        <v>50</v>
      </c>
      <c r="Y587" s="2">
        <v>2.0192672082227201</v>
      </c>
      <c r="Z587" s="2">
        <v>4.6680000000000001</v>
      </c>
      <c r="AA587" s="2">
        <v>-74.148499999999999</v>
      </c>
      <c r="AB587" s="2">
        <v>2547</v>
      </c>
      <c r="AC587" s="2" t="s">
        <v>31</v>
      </c>
      <c r="AD587" s="2" t="s">
        <v>51</v>
      </c>
      <c r="AE587" s="2" t="s">
        <v>33</v>
      </c>
      <c r="AF587" s="2" t="s">
        <v>34</v>
      </c>
      <c r="AG587" s="2" t="s">
        <v>43</v>
      </c>
      <c r="AH587" s="2">
        <v>2.75984063733326</v>
      </c>
      <c r="AI587" s="2">
        <v>2.6079369607723502</v>
      </c>
      <c r="AJ587" s="2">
        <v>2.16113970375971</v>
      </c>
      <c r="AK587" s="2">
        <v>0.43968335389395102</v>
      </c>
      <c r="AL587" s="2">
        <v>0.29218221307577902</v>
      </c>
      <c r="AM587" s="2">
        <v>15.8</v>
      </c>
      <c r="AN587" s="2">
        <v>17.100000000000001</v>
      </c>
      <c r="AO587" s="2">
        <v>23</v>
      </c>
      <c r="AP587" s="2">
        <v>565</v>
      </c>
      <c r="AQ587" s="2">
        <v>68</v>
      </c>
      <c r="AR587" s="2">
        <v>2.2999999999999998</v>
      </c>
      <c r="AS587" s="2">
        <v>68</v>
      </c>
      <c r="AT587" s="2">
        <v>17.600000000000001</v>
      </c>
      <c r="AU587" s="2">
        <v>162</v>
      </c>
      <c r="AV587" s="2">
        <v>19.7</v>
      </c>
      <c r="AW587" s="2">
        <v>16.7</v>
      </c>
      <c r="AX587" s="2">
        <v>36.4</v>
      </c>
      <c r="AY587" s="2">
        <v>0.66</v>
      </c>
      <c r="AZ587" s="2">
        <v>5.6</v>
      </c>
      <c r="BA587" s="2">
        <v>1.5</v>
      </c>
      <c r="BB587" s="2">
        <v>7.5</v>
      </c>
      <c r="BC587" s="2">
        <v>2.9</v>
      </c>
      <c r="BD587" s="2">
        <f>+AN587*EXP(-0.0495*Y587)</f>
        <v>15.473435837131722</v>
      </c>
      <c r="BE587" s="2">
        <f>+AO587*EXP(-0.024*Y587)</f>
        <v>21.911942392792877</v>
      </c>
    </row>
    <row r="588" spans="1:57" x14ac:dyDescent="0.2">
      <c r="A588" s="2" t="s">
        <v>4087</v>
      </c>
      <c r="B588" s="2" t="s">
        <v>19</v>
      </c>
      <c r="C588" s="2" t="s">
        <v>3245</v>
      </c>
      <c r="D588" s="2" t="s">
        <v>21</v>
      </c>
      <c r="E588" s="2" t="s">
        <v>531</v>
      </c>
      <c r="F588" s="2">
        <v>4</v>
      </c>
      <c r="G588" s="2">
        <v>27</v>
      </c>
      <c r="H588" s="2">
        <v>1</v>
      </c>
      <c r="I588" s="2">
        <v>1</v>
      </c>
      <c r="J588" s="2">
        <v>0</v>
      </c>
      <c r="K588" s="2" t="s">
        <v>61</v>
      </c>
      <c r="L588" s="6" t="s">
        <v>62</v>
      </c>
      <c r="M588" s="5">
        <v>320000000</v>
      </c>
      <c r="N588" s="2">
        <v>0</v>
      </c>
      <c r="O588" s="2">
        <v>4.6773571970000001</v>
      </c>
      <c r="P588" s="2">
        <v>-74.120048519999997</v>
      </c>
      <c r="Q588" s="2" t="s">
        <v>4088</v>
      </c>
      <c r="R588" s="2">
        <v>11851851.85</v>
      </c>
      <c r="S588" s="2">
        <v>0</v>
      </c>
      <c r="T588" s="2" t="s">
        <v>49</v>
      </c>
      <c r="U588" s="2" t="s">
        <v>476</v>
      </c>
      <c r="V588" s="2" t="s">
        <v>28</v>
      </c>
      <c r="W588" s="2" t="s">
        <v>49</v>
      </c>
      <c r="X588" s="2" t="s">
        <v>477</v>
      </c>
      <c r="Y588" s="2">
        <v>2.6391901930959101</v>
      </c>
      <c r="Z588" s="2">
        <v>4.6782416666666702</v>
      </c>
      <c r="AA588" s="2">
        <v>-74.143819444444404</v>
      </c>
      <c r="AB588" s="2">
        <v>2551</v>
      </c>
      <c r="AC588" s="2" t="s">
        <v>31</v>
      </c>
      <c r="AD588" s="2" t="s">
        <v>32</v>
      </c>
      <c r="AE588" s="2" t="s">
        <v>33</v>
      </c>
      <c r="AF588" s="2" t="s">
        <v>34</v>
      </c>
      <c r="AG588" s="2" t="s">
        <v>43</v>
      </c>
      <c r="AH588" s="2">
        <v>0.41225459928212199</v>
      </c>
      <c r="AI588" s="2">
        <v>4.3305775206930903</v>
      </c>
      <c r="AJ588" s="2">
        <v>2.0364499204625202</v>
      </c>
      <c r="AK588" s="2">
        <v>0.26196747097847201</v>
      </c>
      <c r="AL588" s="2">
        <v>0.48021397844741998</v>
      </c>
      <c r="AM588" s="2">
        <v>15.8</v>
      </c>
      <c r="AN588" s="2">
        <v>17.100000000000001</v>
      </c>
      <c r="AO588" s="2">
        <v>23</v>
      </c>
      <c r="AP588" s="2">
        <v>565</v>
      </c>
      <c r="AQ588" s="2">
        <v>68</v>
      </c>
      <c r="AR588" s="2">
        <v>2.2999999999999998</v>
      </c>
      <c r="AS588" s="2">
        <v>68</v>
      </c>
      <c r="AT588" s="2">
        <v>17.600000000000001</v>
      </c>
      <c r="AU588" s="2">
        <v>162</v>
      </c>
      <c r="AV588" s="2">
        <v>19.7</v>
      </c>
      <c r="AW588" s="2">
        <v>16.7</v>
      </c>
      <c r="AX588" s="2">
        <v>36.4</v>
      </c>
      <c r="AY588" s="2">
        <v>0.66</v>
      </c>
      <c r="AZ588" s="2">
        <v>5.6</v>
      </c>
      <c r="BA588" s="2">
        <v>1.5</v>
      </c>
      <c r="BB588" s="2">
        <v>7.5</v>
      </c>
      <c r="BC588" s="2">
        <v>2.9</v>
      </c>
      <c r="BD588" s="2">
        <f>+AN588*EXP(-0.0495*Y588)</f>
        <v>15.005826348974168</v>
      </c>
      <c r="BE588" s="2">
        <f>+AO588*EXP(-0.024*Y588)</f>
        <v>21.588346415451468</v>
      </c>
    </row>
    <row r="589" spans="1:57" x14ac:dyDescent="0.2">
      <c r="A589" s="2" t="s">
        <v>4052</v>
      </c>
      <c r="B589" s="2" t="s">
        <v>19</v>
      </c>
      <c r="C589" s="2" t="s">
        <v>3245</v>
      </c>
      <c r="D589" s="2" t="s">
        <v>21</v>
      </c>
      <c r="E589" s="2" t="s">
        <v>531</v>
      </c>
      <c r="F589" s="2">
        <v>3</v>
      </c>
      <c r="G589" s="2">
        <v>26</v>
      </c>
      <c r="H589" s="2">
        <v>1</v>
      </c>
      <c r="I589" s="2">
        <v>1</v>
      </c>
      <c r="J589" s="2">
        <v>0</v>
      </c>
      <c r="K589" s="2" t="s">
        <v>61</v>
      </c>
      <c r="L589" s="6" t="s">
        <v>62</v>
      </c>
      <c r="M589" s="5">
        <v>340000000</v>
      </c>
      <c r="N589" s="2">
        <v>0</v>
      </c>
      <c r="O589" s="2">
        <v>4.6775264740000004</v>
      </c>
      <c r="P589" s="2">
        <v>-74.119880679999994</v>
      </c>
      <c r="Q589" s="2" t="s">
        <v>4053</v>
      </c>
      <c r="R589" s="2">
        <v>13076923.08</v>
      </c>
      <c r="S589" s="2">
        <v>0</v>
      </c>
      <c r="T589" s="2" t="s">
        <v>49</v>
      </c>
      <c r="U589" s="2" t="s">
        <v>476</v>
      </c>
      <c r="V589" s="2" t="s">
        <v>28</v>
      </c>
      <c r="W589" s="2" t="s">
        <v>49</v>
      </c>
      <c r="X589" s="2" t="s">
        <v>477</v>
      </c>
      <c r="Y589" s="2">
        <v>2.6571672814616898</v>
      </c>
      <c r="Z589" s="2">
        <v>4.6782416666666702</v>
      </c>
      <c r="AA589" s="2">
        <v>-74.143819444444404</v>
      </c>
      <c r="AB589" s="2">
        <v>2551</v>
      </c>
      <c r="AC589" s="2" t="s">
        <v>31</v>
      </c>
      <c r="AD589" s="2" t="s">
        <v>32</v>
      </c>
      <c r="AE589" s="2" t="s">
        <v>33</v>
      </c>
      <c r="AF589" s="2" t="s">
        <v>34</v>
      </c>
      <c r="AG589" s="2" t="s">
        <v>43</v>
      </c>
      <c r="AH589" s="2">
        <v>0.410268267727665</v>
      </c>
      <c r="AI589" s="2">
        <v>4.3533217166260396</v>
      </c>
      <c r="AJ589" s="2">
        <v>2.0499944517778999</v>
      </c>
      <c r="AK589" s="2">
        <v>0.275996595087805</v>
      </c>
      <c r="AL589" s="2">
        <v>0.48659287861390099</v>
      </c>
      <c r="AM589" s="2">
        <v>15.8</v>
      </c>
      <c r="AN589" s="2">
        <v>17.100000000000001</v>
      </c>
      <c r="AO589" s="2">
        <v>23</v>
      </c>
      <c r="AP589" s="2">
        <v>565</v>
      </c>
      <c r="AQ589" s="2">
        <v>68</v>
      </c>
      <c r="AR589" s="2">
        <v>2.2999999999999998</v>
      </c>
      <c r="AS589" s="2">
        <v>68</v>
      </c>
      <c r="AT589" s="2">
        <v>17.600000000000001</v>
      </c>
      <c r="AU589" s="2">
        <v>162</v>
      </c>
      <c r="AV589" s="2">
        <v>19.7</v>
      </c>
      <c r="AW589" s="2">
        <v>16.7</v>
      </c>
      <c r="AX589" s="2">
        <v>36.4</v>
      </c>
      <c r="AY589" s="2">
        <v>0.66</v>
      </c>
      <c r="AZ589" s="2">
        <v>5.6</v>
      </c>
      <c r="BA589" s="2">
        <v>1.5</v>
      </c>
      <c r="BB589" s="2">
        <v>7.5</v>
      </c>
      <c r="BC589" s="2">
        <v>2.9</v>
      </c>
      <c r="BD589" s="2">
        <f>+AN589*EXP(-0.0495*Y589)</f>
        <v>14.99247911569792</v>
      </c>
      <c r="BE589" s="2">
        <f>+AO589*EXP(-0.024*Y589)</f>
        <v>21.579034129820947</v>
      </c>
    </row>
    <row r="590" spans="1:57" x14ac:dyDescent="0.2">
      <c r="A590" s="2" t="s">
        <v>3864</v>
      </c>
      <c r="B590" s="2" t="s">
        <v>19</v>
      </c>
      <c r="C590" s="2" t="s">
        <v>3245</v>
      </c>
      <c r="D590" s="2" t="s">
        <v>21</v>
      </c>
      <c r="E590" s="2" t="s">
        <v>3477</v>
      </c>
      <c r="F590" s="2">
        <v>4</v>
      </c>
      <c r="G590" s="2">
        <v>26</v>
      </c>
      <c r="H590" s="2">
        <v>1</v>
      </c>
      <c r="I590" s="2">
        <v>1</v>
      </c>
      <c r="J590" s="2">
        <v>0</v>
      </c>
      <c r="K590" s="2" t="s">
        <v>61</v>
      </c>
      <c r="L590" s="6" t="s">
        <v>62</v>
      </c>
      <c r="M590" s="5">
        <v>320000000</v>
      </c>
      <c r="N590" s="2">
        <v>0</v>
      </c>
      <c r="O590" s="2">
        <v>4.6739145000000004</v>
      </c>
      <c r="P590" s="2">
        <v>-74.143316900000002</v>
      </c>
      <c r="Q590" s="2" t="s">
        <v>3865</v>
      </c>
      <c r="R590" s="2">
        <v>12307692.310000001</v>
      </c>
      <c r="S590" s="2">
        <v>0</v>
      </c>
      <c r="T590" s="2" t="s">
        <v>49</v>
      </c>
      <c r="U590" s="2" t="s">
        <v>476</v>
      </c>
      <c r="V590" s="2" t="s">
        <v>28</v>
      </c>
      <c r="W590" s="2" t="s">
        <v>49</v>
      </c>
      <c r="X590" s="2" t="s">
        <v>477</v>
      </c>
      <c r="Y590" s="2">
        <v>0.48491419103580002</v>
      </c>
      <c r="Z590" s="2">
        <v>4.6782416666666702</v>
      </c>
      <c r="AA590" s="2">
        <v>-74.143819444444404</v>
      </c>
      <c r="AB590" s="2">
        <v>2551</v>
      </c>
      <c r="AC590" s="2" t="s">
        <v>31</v>
      </c>
      <c r="AD590" s="2" t="s">
        <v>32</v>
      </c>
      <c r="AE590" s="2" t="s">
        <v>33</v>
      </c>
      <c r="AF590" s="2" t="s">
        <v>34</v>
      </c>
      <c r="AG590" s="2" t="s">
        <v>43</v>
      </c>
      <c r="AH590" s="2">
        <v>2.5753963873878498</v>
      </c>
      <c r="AI590" s="2">
        <v>1.7588991649925301</v>
      </c>
      <c r="AJ590" s="2">
        <v>1.0712817881946399</v>
      </c>
      <c r="AK590" s="2">
        <v>3.3743318274031903E-2</v>
      </c>
      <c r="AL590" s="2">
        <v>0.104500180638314</v>
      </c>
      <c r="AM590" s="2">
        <v>15.8</v>
      </c>
      <c r="AN590" s="2">
        <v>17.100000000000001</v>
      </c>
      <c r="AO590" s="2">
        <v>23</v>
      </c>
      <c r="AP590" s="2">
        <v>565</v>
      </c>
      <c r="AQ590" s="2">
        <v>68</v>
      </c>
      <c r="AR590" s="2">
        <v>2.2999999999999998</v>
      </c>
      <c r="AS590" s="2">
        <v>68</v>
      </c>
      <c r="AT590" s="2">
        <v>17.600000000000001</v>
      </c>
      <c r="AU590" s="2">
        <v>162</v>
      </c>
      <c r="AV590" s="2">
        <v>19.7</v>
      </c>
      <c r="AW590" s="2">
        <v>16.7</v>
      </c>
      <c r="AX590" s="2">
        <v>36.4</v>
      </c>
      <c r="AY590" s="2">
        <v>0.66</v>
      </c>
      <c r="AZ590" s="2">
        <v>5.6</v>
      </c>
      <c r="BA590" s="2">
        <v>1.5</v>
      </c>
      <c r="BB590" s="2">
        <v>7.5</v>
      </c>
      <c r="BC590" s="2">
        <v>2.9</v>
      </c>
      <c r="BD590" s="2">
        <f>+AN590*EXP(-0.0495*Y590)</f>
        <v>16.694431338864032</v>
      </c>
      <c r="BE590" s="2">
        <f>+AO590*EXP(-0.024*Y590)</f>
        <v>22.733878920851957</v>
      </c>
    </row>
    <row r="591" spans="1:57" x14ac:dyDescent="0.2">
      <c r="A591" s="2" t="s">
        <v>4182</v>
      </c>
      <c r="B591" s="2" t="s">
        <v>19</v>
      </c>
      <c r="C591" s="2" t="s">
        <v>3245</v>
      </c>
      <c r="D591" s="2" t="s">
        <v>21</v>
      </c>
      <c r="E591" s="2" t="s">
        <v>122</v>
      </c>
      <c r="F591" s="2">
        <v>3</v>
      </c>
      <c r="G591" s="2">
        <v>26</v>
      </c>
      <c r="H591" s="2">
        <v>1</v>
      </c>
      <c r="I591" s="2">
        <v>1</v>
      </c>
      <c r="J591" s="2">
        <v>0</v>
      </c>
      <c r="K591" s="2" t="s">
        <v>61</v>
      </c>
      <c r="L591" s="6" t="s">
        <v>62</v>
      </c>
      <c r="M591" s="5">
        <v>240000000</v>
      </c>
      <c r="N591" s="2">
        <v>0</v>
      </c>
      <c r="O591" s="2">
        <v>4.6990800000000004</v>
      </c>
      <c r="P591" s="2">
        <v>-74.111750000000001</v>
      </c>
      <c r="Q591" s="2" t="s">
        <v>4183</v>
      </c>
      <c r="R591" s="2">
        <v>9230769.2310000006</v>
      </c>
      <c r="S591" s="2">
        <v>0</v>
      </c>
      <c r="T591" s="2" t="s">
        <v>49</v>
      </c>
      <c r="U591" s="2" t="s">
        <v>476</v>
      </c>
      <c r="V591" s="2" t="s">
        <v>28</v>
      </c>
      <c r="W591" s="2" t="s">
        <v>49</v>
      </c>
      <c r="X591" s="2" t="s">
        <v>477</v>
      </c>
      <c r="Y591" s="2">
        <v>4.24740923985176</v>
      </c>
      <c r="Z591" s="2">
        <v>4.6782416666666702</v>
      </c>
      <c r="AA591" s="2">
        <v>-74.143819444444404</v>
      </c>
      <c r="AB591" s="2">
        <v>2551</v>
      </c>
      <c r="AC591" s="2" t="s">
        <v>31</v>
      </c>
      <c r="AD591" s="2" t="s">
        <v>32</v>
      </c>
      <c r="AE591" s="2" t="s">
        <v>33</v>
      </c>
      <c r="AF591" s="2" t="s">
        <v>34</v>
      </c>
      <c r="AG591" s="2" t="s">
        <v>363</v>
      </c>
      <c r="AH591" s="2">
        <v>0.90846262019854196</v>
      </c>
      <c r="AI591" s="2">
        <v>3.26283262949116</v>
      </c>
      <c r="AJ591" s="2">
        <v>0.84359603110584103</v>
      </c>
      <c r="AK591" s="2">
        <v>0.25184963768967999</v>
      </c>
      <c r="AL591" s="2">
        <v>0.16404495256610899</v>
      </c>
      <c r="AM591" s="2">
        <v>15.8</v>
      </c>
      <c r="AN591" s="2">
        <v>17.100000000000001</v>
      </c>
      <c r="AO591" s="2">
        <v>23</v>
      </c>
      <c r="AP591" s="2">
        <v>565</v>
      </c>
      <c r="AQ591" s="2">
        <v>68</v>
      </c>
      <c r="AR591" s="2">
        <v>2.2999999999999998</v>
      </c>
      <c r="AS591" s="2">
        <v>68</v>
      </c>
      <c r="AT591" s="2">
        <v>17.600000000000001</v>
      </c>
      <c r="AU591" s="2">
        <v>162</v>
      </c>
      <c r="AV591" s="2">
        <v>19.7</v>
      </c>
      <c r="AW591" s="2">
        <v>16.7</v>
      </c>
      <c r="AX591" s="2">
        <v>36.4</v>
      </c>
      <c r="AY591" s="2">
        <v>0.66</v>
      </c>
      <c r="AZ591" s="2">
        <v>5.6</v>
      </c>
      <c r="BA591" s="2">
        <v>1.5</v>
      </c>
      <c r="BB591" s="2">
        <v>7.5</v>
      </c>
      <c r="BC591" s="2">
        <v>2.9</v>
      </c>
      <c r="BD591" s="2">
        <f>+AN591*EXP(-0.0495*Y591)</f>
        <v>13.857570726423361</v>
      </c>
      <c r="BE591" s="2">
        <f>+AO591*EXP(-0.024*Y591)</f>
        <v>20.770971150736461</v>
      </c>
    </row>
    <row r="592" spans="1:57" x14ac:dyDescent="0.2">
      <c r="A592" s="2" t="s">
        <v>3659</v>
      </c>
      <c r="B592" s="2" t="s">
        <v>19</v>
      </c>
      <c r="C592" s="2" t="s">
        <v>3245</v>
      </c>
      <c r="D592" s="2" t="s">
        <v>21</v>
      </c>
      <c r="E592" s="2" t="s">
        <v>3198</v>
      </c>
      <c r="F592" s="2">
        <v>4</v>
      </c>
      <c r="G592" s="2">
        <v>26</v>
      </c>
      <c r="H592" s="2">
        <v>1</v>
      </c>
      <c r="I592" s="2">
        <v>1</v>
      </c>
      <c r="J592" s="2">
        <v>0</v>
      </c>
      <c r="K592" s="2" t="s">
        <v>61</v>
      </c>
      <c r="L592" s="6" t="s">
        <v>62</v>
      </c>
      <c r="M592" s="5">
        <v>240000000</v>
      </c>
      <c r="N592" s="2">
        <v>0</v>
      </c>
      <c r="O592" s="2">
        <v>4.6886299999999999</v>
      </c>
      <c r="P592" s="2">
        <v>-74.120400000000004</v>
      </c>
      <c r="Q592" s="2" t="s">
        <v>3660</v>
      </c>
      <c r="R592" s="2">
        <v>9230769.2310000006</v>
      </c>
      <c r="S592" s="2">
        <v>0</v>
      </c>
      <c r="T592" s="2" t="s">
        <v>49</v>
      </c>
      <c r="U592" s="2" t="s">
        <v>476</v>
      </c>
      <c r="V592" s="2" t="s">
        <v>28</v>
      </c>
      <c r="W592" s="2" t="s">
        <v>49</v>
      </c>
      <c r="X592" s="2" t="s">
        <v>477</v>
      </c>
      <c r="Y592" s="2">
        <v>2.84405790568995</v>
      </c>
      <c r="Z592" s="2">
        <v>4.6782416666666702</v>
      </c>
      <c r="AA592" s="2">
        <v>-74.143819444444404</v>
      </c>
      <c r="AB592" s="2">
        <v>2551</v>
      </c>
      <c r="AC592" s="2" t="s">
        <v>31</v>
      </c>
      <c r="AD592" s="2" t="s">
        <v>32</v>
      </c>
      <c r="AE592" s="2" t="s">
        <v>33</v>
      </c>
      <c r="AF592" s="2" t="s">
        <v>34</v>
      </c>
      <c r="AG592" s="2" t="s">
        <v>43</v>
      </c>
      <c r="AH592" s="2">
        <v>0.78234759908390505</v>
      </c>
      <c r="AI592" s="2">
        <v>3.9816529683967201</v>
      </c>
      <c r="AJ592" s="2">
        <v>1.4476625139419299</v>
      </c>
      <c r="AK592" s="2">
        <v>0.25577267584908397</v>
      </c>
      <c r="AL592" s="2">
        <v>0.133094978547454</v>
      </c>
      <c r="AM592" s="2">
        <v>15.8</v>
      </c>
      <c r="AN592" s="2">
        <v>17.100000000000001</v>
      </c>
      <c r="AO592" s="2">
        <v>23</v>
      </c>
      <c r="AP592" s="2">
        <v>565</v>
      </c>
      <c r="AQ592" s="2">
        <v>68</v>
      </c>
      <c r="AR592" s="2">
        <v>2.2999999999999998</v>
      </c>
      <c r="AS592" s="2">
        <v>68</v>
      </c>
      <c r="AT592" s="2">
        <v>17.600000000000001</v>
      </c>
      <c r="AU592" s="2">
        <v>162</v>
      </c>
      <c r="AV592" s="2">
        <v>19.7</v>
      </c>
      <c r="AW592" s="2">
        <v>16.7</v>
      </c>
      <c r="AX592" s="2">
        <v>36.4</v>
      </c>
      <c r="AY592" s="2">
        <v>0.66</v>
      </c>
      <c r="AZ592" s="2">
        <v>5.6</v>
      </c>
      <c r="BA592" s="2">
        <v>1.5</v>
      </c>
      <c r="BB592" s="2">
        <v>7.5</v>
      </c>
      <c r="BC592" s="2">
        <v>2.9</v>
      </c>
      <c r="BD592" s="2">
        <f>+AN592*EXP(-0.0495*Y592)</f>
        <v>14.85442197738382</v>
      </c>
      <c r="BE592" s="2">
        <f>+AO592*EXP(-0.024*Y592)</f>
        <v>21.482460815683979</v>
      </c>
    </row>
    <row r="593" spans="1:57" x14ac:dyDescent="0.2">
      <c r="A593" s="2" t="s">
        <v>3776</v>
      </c>
      <c r="B593" s="2" t="s">
        <v>19</v>
      </c>
      <c r="C593" s="2" t="s">
        <v>3245</v>
      </c>
      <c r="D593" s="2" t="s">
        <v>21</v>
      </c>
      <c r="E593" s="2" t="s">
        <v>3198</v>
      </c>
      <c r="F593" s="2">
        <v>3</v>
      </c>
      <c r="G593" s="2">
        <v>26</v>
      </c>
      <c r="H593" s="2">
        <v>1</v>
      </c>
      <c r="I593" s="2">
        <v>1</v>
      </c>
      <c r="J593" s="2">
        <v>0</v>
      </c>
      <c r="K593" s="2" t="s">
        <v>61</v>
      </c>
      <c r="L593" s="6" t="s">
        <v>62</v>
      </c>
      <c r="M593" s="5">
        <v>240000000</v>
      </c>
      <c r="N593" s="2">
        <v>0</v>
      </c>
      <c r="O593" s="2">
        <v>4.6886299999999999</v>
      </c>
      <c r="P593" s="2">
        <v>-74.120400000000004</v>
      </c>
      <c r="Q593" s="2" t="s">
        <v>3777</v>
      </c>
      <c r="R593" s="2">
        <v>9230769.2310000006</v>
      </c>
      <c r="S593" s="2">
        <v>0</v>
      </c>
      <c r="T593" s="2" t="s">
        <v>49</v>
      </c>
      <c r="U593" s="2" t="s">
        <v>476</v>
      </c>
      <c r="V593" s="2" t="s">
        <v>28</v>
      </c>
      <c r="W593" s="2" t="s">
        <v>49</v>
      </c>
      <c r="X593" s="2" t="s">
        <v>477</v>
      </c>
      <c r="Y593" s="2">
        <v>2.84405790568995</v>
      </c>
      <c r="Z593" s="2">
        <v>4.6782416666666702</v>
      </c>
      <c r="AA593" s="2">
        <v>-74.143819444444404</v>
      </c>
      <c r="AB593" s="2">
        <v>2551</v>
      </c>
      <c r="AC593" s="2" t="s">
        <v>31</v>
      </c>
      <c r="AD593" s="2" t="s">
        <v>32</v>
      </c>
      <c r="AE593" s="2" t="s">
        <v>33</v>
      </c>
      <c r="AF593" s="2" t="s">
        <v>34</v>
      </c>
      <c r="AG593" s="2" t="s">
        <v>43</v>
      </c>
      <c r="AH593" s="2">
        <v>0.78234759908390505</v>
      </c>
      <c r="AI593" s="2">
        <v>3.9816529683967201</v>
      </c>
      <c r="AJ593" s="2">
        <v>1.4476625139419299</v>
      </c>
      <c r="AK593" s="2">
        <v>0.25577267584908397</v>
      </c>
      <c r="AL593" s="2">
        <v>0.133094978547454</v>
      </c>
      <c r="AM593" s="2">
        <v>15.8</v>
      </c>
      <c r="AN593" s="2">
        <v>17.100000000000001</v>
      </c>
      <c r="AO593" s="2">
        <v>23</v>
      </c>
      <c r="AP593" s="2">
        <v>565</v>
      </c>
      <c r="AQ593" s="2">
        <v>68</v>
      </c>
      <c r="AR593" s="2">
        <v>2.2999999999999998</v>
      </c>
      <c r="AS593" s="2">
        <v>68</v>
      </c>
      <c r="AT593" s="2">
        <v>17.600000000000001</v>
      </c>
      <c r="AU593" s="2">
        <v>162</v>
      </c>
      <c r="AV593" s="2">
        <v>19.7</v>
      </c>
      <c r="AW593" s="2">
        <v>16.7</v>
      </c>
      <c r="AX593" s="2">
        <v>36.4</v>
      </c>
      <c r="AY593" s="2">
        <v>0.66</v>
      </c>
      <c r="AZ593" s="2">
        <v>5.6</v>
      </c>
      <c r="BA593" s="2">
        <v>1.5</v>
      </c>
      <c r="BB593" s="2">
        <v>7.5</v>
      </c>
      <c r="BC593" s="2">
        <v>2.9</v>
      </c>
      <c r="BD593" s="2">
        <f>+AN593*EXP(-0.0495*Y593)</f>
        <v>14.85442197738382</v>
      </c>
      <c r="BE593" s="2">
        <f>+AO593*EXP(-0.024*Y593)</f>
        <v>21.482460815683979</v>
      </c>
    </row>
    <row r="594" spans="1:57" x14ac:dyDescent="0.2">
      <c r="A594" s="2" t="s">
        <v>3286</v>
      </c>
      <c r="B594" s="2" t="s">
        <v>19</v>
      </c>
      <c r="C594" s="2" t="s">
        <v>3245</v>
      </c>
      <c r="D594" s="2" t="s">
        <v>21</v>
      </c>
      <c r="E594" s="2" t="s">
        <v>2693</v>
      </c>
      <c r="F594" s="2">
        <v>3</v>
      </c>
      <c r="G594" s="2">
        <v>26</v>
      </c>
      <c r="H594" s="2">
        <v>1</v>
      </c>
      <c r="I594" s="2">
        <v>1</v>
      </c>
      <c r="J594" s="2">
        <v>0</v>
      </c>
      <c r="K594" s="2" t="s">
        <v>61</v>
      </c>
      <c r="L594" s="6" t="s">
        <v>62</v>
      </c>
      <c r="M594" s="5">
        <v>237000000</v>
      </c>
      <c r="N594" s="2">
        <v>0</v>
      </c>
      <c r="O594" s="2">
        <v>4.6825299999999999</v>
      </c>
      <c r="P594" s="2">
        <v>-74.115549999999999</v>
      </c>
      <c r="Q594" s="2" t="s">
        <v>3287</v>
      </c>
      <c r="R594" s="2">
        <v>9115384.6150000002</v>
      </c>
      <c r="S594" s="2">
        <v>0</v>
      </c>
      <c r="T594" s="2" t="s">
        <v>49</v>
      </c>
      <c r="U594" s="2" t="s">
        <v>476</v>
      </c>
      <c r="V594" s="2" t="s">
        <v>28</v>
      </c>
      <c r="W594" s="2" t="s">
        <v>49</v>
      </c>
      <c r="X594" s="2" t="s">
        <v>477</v>
      </c>
      <c r="Y594" s="2">
        <v>3.1725671619878999</v>
      </c>
      <c r="Z594" s="2">
        <v>4.6782416666666702</v>
      </c>
      <c r="AA594" s="2">
        <v>-74.143819444444404</v>
      </c>
      <c r="AB594" s="2">
        <v>2551</v>
      </c>
      <c r="AC594" s="2" t="s">
        <v>31</v>
      </c>
      <c r="AD594" s="2" t="s">
        <v>32</v>
      </c>
      <c r="AE594" s="2" t="s">
        <v>33</v>
      </c>
      <c r="AF594" s="2" t="s">
        <v>34</v>
      </c>
      <c r="AG594" s="2" t="s">
        <v>363</v>
      </c>
      <c r="AH594" s="2">
        <v>0.65616274762420002</v>
      </c>
      <c r="AI594" s="2">
        <v>4.7690928719187804</v>
      </c>
      <c r="AJ594" s="2">
        <v>1.38759338638373</v>
      </c>
      <c r="AK594" s="2">
        <v>0.69466681114502804</v>
      </c>
      <c r="AL594" s="2">
        <v>0.17502331759952899</v>
      </c>
      <c r="AM594" s="2">
        <v>15.8</v>
      </c>
      <c r="AN594" s="2">
        <v>17.100000000000001</v>
      </c>
      <c r="AO594" s="2">
        <v>23</v>
      </c>
      <c r="AP594" s="2">
        <v>565</v>
      </c>
      <c r="AQ594" s="2">
        <v>68</v>
      </c>
      <c r="AR594" s="2">
        <v>2.2999999999999998</v>
      </c>
      <c r="AS594" s="2">
        <v>68</v>
      </c>
      <c r="AT594" s="2">
        <v>17.600000000000001</v>
      </c>
      <c r="AU594" s="2">
        <v>162</v>
      </c>
      <c r="AV594" s="2">
        <v>19.7</v>
      </c>
      <c r="AW594" s="2">
        <v>16.7</v>
      </c>
      <c r="AX594" s="2">
        <v>36.4</v>
      </c>
      <c r="AY594" s="2">
        <v>0.66</v>
      </c>
      <c r="AZ594" s="2">
        <v>5.6</v>
      </c>
      <c r="BA594" s="2">
        <v>1.5</v>
      </c>
      <c r="BB594" s="2">
        <v>7.5</v>
      </c>
      <c r="BC594" s="2">
        <v>2.9</v>
      </c>
      <c r="BD594" s="2">
        <f>+AN594*EXP(-0.0495*Y594)</f>
        <v>14.614824481144618</v>
      </c>
      <c r="BE594" s="2">
        <f>+AO594*EXP(-0.024*Y594)</f>
        <v>21.313754256169076</v>
      </c>
    </row>
    <row r="595" spans="1:57" x14ac:dyDescent="0.2">
      <c r="A595" s="2" t="s">
        <v>4557</v>
      </c>
      <c r="B595" s="2" t="s">
        <v>19</v>
      </c>
      <c r="C595" s="2" t="s">
        <v>3245</v>
      </c>
      <c r="D595" s="2" t="s">
        <v>21</v>
      </c>
      <c r="E595" s="2" t="s">
        <v>4558</v>
      </c>
      <c r="F595" s="2">
        <v>3</v>
      </c>
      <c r="G595" s="2">
        <v>26</v>
      </c>
      <c r="H595" s="2">
        <v>1</v>
      </c>
      <c r="I595" s="2">
        <v>1</v>
      </c>
      <c r="J595" s="2">
        <v>0</v>
      </c>
      <c r="K595" s="2" t="s">
        <v>61</v>
      </c>
      <c r="L595" s="6" t="s">
        <v>62</v>
      </c>
      <c r="M595" s="5">
        <v>180000000</v>
      </c>
      <c r="N595" s="2">
        <v>0</v>
      </c>
      <c r="O595" s="2">
        <v>4.646571636</v>
      </c>
      <c r="P595" s="2">
        <v>-74.144416809999996</v>
      </c>
      <c r="Q595" s="2" t="s">
        <v>4559</v>
      </c>
      <c r="R595" s="2">
        <v>6923076.9230000004</v>
      </c>
      <c r="S595" s="2">
        <v>0</v>
      </c>
      <c r="T595" s="2" t="s">
        <v>47</v>
      </c>
      <c r="U595" s="2" t="s">
        <v>48</v>
      </c>
      <c r="V595" s="2" t="s">
        <v>28</v>
      </c>
      <c r="W595" s="2" t="s">
        <v>49</v>
      </c>
      <c r="X595" s="2" t="s">
        <v>50</v>
      </c>
      <c r="Y595" s="2">
        <v>2.4280342926532401</v>
      </c>
      <c r="Z595" s="2">
        <v>4.6680000000000001</v>
      </c>
      <c r="AA595" s="2">
        <v>-74.148499999999999</v>
      </c>
      <c r="AB595" s="2">
        <v>2547</v>
      </c>
      <c r="AC595" s="2" t="s">
        <v>31</v>
      </c>
      <c r="AD595" s="2" t="s">
        <v>51</v>
      </c>
      <c r="AE595" s="2" t="s">
        <v>33</v>
      </c>
      <c r="AF595" s="2" t="s">
        <v>34</v>
      </c>
      <c r="AG595" s="2" t="s">
        <v>172</v>
      </c>
      <c r="AH595" s="2">
        <v>1.60960518720509</v>
      </c>
      <c r="AI595" s="2">
        <v>2.0937093367683799</v>
      </c>
      <c r="AJ595" s="2">
        <v>2.5081617506117899</v>
      </c>
      <c r="AK595" s="2">
        <v>0.64179181182811196</v>
      </c>
      <c r="AL595" s="2">
        <v>1.11679846108011E-2</v>
      </c>
      <c r="AM595" s="2">
        <v>15.8</v>
      </c>
      <c r="AN595" s="2">
        <v>17.100000000000001</v>
      </c>
      <c r="AO595" s="2">
        <v>23</v>
      </c>
      <c r="AP595" s="2">
        <v>565</v>
      </c>
      <c r="AQ595" s="2">
        <v>68</v>
      </c>
      <c r="AR595" s="2">
        <v>2.2999999999999998</v>
      </c>
      <c r="AS595" s="2">
        <v>68</v>
      </c>
      <c r="AT595" s="2">
        <v>17.600000000000001</v>
      </c>
      <c r="AU595" s="2">
        <v>162</v>
      </c>
      <c r="AV595" s="2">
        <v>19.7</v>
      </c>
      <c r="AW595" s="2">
        <v>16.7</v>
      </c>
      <c r="AX595" s="2">
        <v>36.4</v>
      </c>
      <c r="AY595" s="2">
        <v>0.66</v>
      </c>
      <c r="AZ595" s="2">
        <v>5.6</v>
      </c>
      <c r="BA595" s="2">
        <v>1.5</v>
      </c>
      <c r="BB595" s="2">
        <v>7.5</v>
      </c>
      <c r="BC595" s="2">
        <v>2.9</v>
      </c>
      <c r="BD595" s="2">
        <f>+AN595*EXP(-0.0495*Y595)</f>
        <v>15.16349305120935</v>
      </c>
      <c r="BE595" s="2">
        <f>+AO595*EXP(-0.024*Y595)</f>
        <v>21.698028261776518</v>
      </c>
    </row>
    <row r="596" spans="1:57" x14ac:dyDescent="0.2">
      <c r="A596" s="2" t="s">
        <v>4596</v>
      </c>
      <c r="B596" s="2" t="s">
        <v>19</v>
      </c>
      <c r="C596" s="2" t="s">
        <v>3245</v>
      </c>
      <c r="D596" s="2" t="s">
        <v>21</v>
      </c>
      <c r="E596" s="2" t="s">
        <v>4558</v>
      </c>
      <c r="F596" s="2">
        <v>3</v>
      </c>
      <c r="G596" s="2">
        <v>26</v>
      </c>
      <c r="H596" s="2">
        <v>1</v>
      </c>
      <c r="I596" s="2">
        <v>1</v>
      </c>
      <c r="J596" s="2">
        <v>0</v>
      </c>
      <c r="K596" s="2" t="s">
        <v>61</v>
      </c>
      <c r="L596" s="6" t="s">
        <v>62</v>
      </c>
      <c r="M596" s="5">
        <v>158000000</v>
      </c>
      <c r="N596" s="2">
        <v>0</v>
      </c>
      <c r="O596" s="2">
        <v>4.646571636</v>
      </c>
      <c r="P596" s="2">
        <v>-74.144416809999996</v>
      </c>
      <c r="Q596" s="2" t="s">
        <v>4597</v>
      </c>
      <c r="R596" s="2">
        <v>6076923.0769999996</v>
      </c>
      <c r="S596" s="2">
        <v>0</v>
      </c>
      <c r="T596" s="2" t="s">
        <v>47</v>
      </c>
      <c r="U596" s="2" t="s">
        <v>48</v>
      </c>
      <c r="V596" s="2" t="s">
        <v>28</v>
      </c>
      <c r="W596" s="2" t="s">
        <v>49</v>
      </c>
      <c r="X596" s="2" t="s">
        <v>50</v>
      </c>
      <c r="Y596" s="2">
        <v>2.4280342926532401</v>
      </c>
      <c r="Z596" s="2">
        <v>4.6680000000000001</v>
      </c>
      <c r="AA596" s="2">
        <v>-74.148499999999999</v>
      </c>
      <c r="AB596" s="2">
        <v>2547</v>
      </c>
      <c r="AC596" s="2" t="s">
        <v>31</v>
      </c>
      <c r="AD596" s="2" t="s">
        <v>51</v>
      </c>
      <c r="AE596" s="2" t="s">
        <v>33</v>
      </c>
      <c r="AF596" s="2" t="s">
        <v>34</v>
      </c>
      <c r="AG596" s="2" t="s">
        <v>172</v>
      </c>
      <c r="AH596" s="2">
        <v>1.60960518720509</v>
      </c>
      <c r="AI596" s="2">
        <v>2.0937093367683799</v>
      </c>
      <c r="AJ596" s="2">
        <v>2.5081617506117899</v>
      </c>
      <c r="AK596" s="2">
        <v>0.64179181182811196</v>
      </c>
      <c r="AL596" s="2">
        <v>1.11679846108011E-2</v>
      </c>
      <c r="AM596" s="2">
        <v>15.8</v>
      </c>
      <c r="AN596" s="2">
        <v>17.100000000000001</v>
      </c>
      <c r="AO596" s="2">
        <v>23</v>
      </c>
      <c r="AP596" s="2">
        <v>565</v>
      </c>
      <c r="AQ596" s="2">
        <v>68</v>
      </c>
      <c r="AR596" s="2">
        <v>2.2999999999999998</v>
      </c>
      <c r="AS596" s="2">
        <v>68</v>
      </c>
      <c r="AT596" s="2">
        <v>17.600000000000001</v>
      </c>
      <c r="AU596" s="2">
        <v>162</v>
      </c>
      <c r="AV596" s="2">
        <v>19.7</v>
      </c>
      <c r="AW596" s="2">
        <v>16.7</v>
      </c>
      <c r="AX596" s="2">
        <v>36.4</v>
      </c>
      <c r="AY596" s="2">
        <v>0.66</v>
      </c>
      <c r="AZ596" s="2">
        <v>5.6</v>
      </c>
      <c r="BA596" s="2">
        <v>1.5</v>
      </c>
      <c r="BB596" s="2">
        <v>7.5</v>
      </c>
      <c r="BC596" s="2">
        <v>2.9</v>
      </c>
      <c r="BD596" s="2">
        <f>+AN596*EXP(-0.0495*Y596)</f>
        <v>15.16349305120935</v>
      </c>
      <c r="BE596" s="2">
        <f>+AO596*EXP(-0.024*Y596)</f>
        <v>21.698028261776518</v>
      </c>
    </row>
    <row r="597" spans="1:57" x14ac:dyDescent="0.2">
      <c r="A597" s="2" t="s">
        <v>3682</v>
      </c>
      <c r="B597" s="2" t="s">
        <v>19</v>
      </c>
      <c r="C597" s="2" t="s">
        <v>3245</v>
      </c>
      <c r="D597" s="2" t="s">
        <v>21</v>
      </c>
      <c r="E597" s="2" t="s">
        <v>3683</v>
      </c>
      <c r="F597" s="2">
        <v>3</v>
      </c>
      <c r="G597" s="2">
        <v>25.32</v>
      </c>
      <c r="H597" s="2">
        <v>1</v>
      </c>
      <c r="I597" s="2">
        <v>1</v>
      </c>
      <c r="J597" s="2">
        <v>0</v>
      </c>
      <c r="K597" s="2" t="s">
        <v>61</v>
      </c>
      <c r="L597" s="6" t="s">
        <v>84</v>
      </c>
      <c r="M597" s="5">
        <v>160000000</v>
      </c>
      <c r="N597" s="2">
        <v>0</v>
      </c>
      <c r="O597" s="2">
        <v>4.6742650000000001</v>
      </c>
      <c r="P597" s="2">
        <v>-74.139786000000001</v>
      </c>
      <c r="Q597" s="2" t="s">
        <v>3684</v>
      </c>
      <c r="R597" s="2">
        <v>6319115.324</v>
      </c>
      <c r="S597" s="2">
        <v>0</v>
      </c>
      <c r="T597" s="2" t="s">
        <v>49</v>
      </c>
      <c r="U597" s="2" t="s">
        <v>476</v>
      </c>
      <c r="V597" s="2" t="s">
        <v>28</v>
      </c>
      <c r="W597" s="2" t="s">
        <v>49</v>
      </c>
      <c r="X597" s="2" t="s">
        <v>477</v>
      </c>
      <c r="Y597" s="2">
        <v>0.62946643107437406</v>
      </c>
      <c r="Z597" s="2">
        <v>4.6782416666666702</v>
      </c>
      <c r="AA597" s="2">
        <v>-74.143819444444404</v>
      </c>
      <c r="AB597" s="2">
        <v>2551</v>
      </c>
      <c r="AC597" s="2" t="s">
        <v>31</v>
      </c>
      <c r="AD597" s="2" t="s">
        <v>32</v>
      </c>
      <c r="AE597" s="2" t="s">
        <v>33</v>
      </c>
      <c r="AF597" s="2" t="s">
        <v>34</v>
      </c>
      <c r="AG597" s="2" t="s">
        <v>43</v>
      </c>
      <c r="AH597" s="2">
        <v>2.1950654034872401</v>
      </c>
      <c r="AI597" s="2">
        <v>2.1379273205682101</v>
      </c>
      <c r="AJ597" s="2">
        <v>0.87122025384507296</v>
      </c>
      <c r="AK597" s="2">
        <v>0.100278742613613</v>
      </c>
      <c r="AL597" s="2">
        <v>0.29740077746923499</v>
      </c>
      <c r="AM597" s="2">
        <v>15.8</v>
      </c>
      <c r="AN597" s="2">
        <v>17.100000000000001</v>
      </c>
      <c r="AO597" s="2">
        <v>23</v>
      </c>
      <c r="AP597" s="2">
        <v>565</v>
      </c>
      <c r="AQ597" s="2">
        <v>68</v>
      </c>
      <c r="AR597" s="2">
        <v>2.2999999999999998</v>
      </c>
      <c r="AS597" s="2">
        <v>68</v>
      </c>
      <c r="AT597" s="2">
        <v>17.600000000000001</v>
      </c>
      <c r="AU597" s="2">
        <v>162</v>
      </c>
      <c r="AV597" s="2">
        <v>19.7</v>
      </c>
      <c r="AW597" s="2">
        <v>16.7</v>
      </c>
      <c r="AX597" s="2">
        <v>36.4</v>
      </c>
      <c r="AY597" s="2">
        <v>0.66</v>
      </c>
      <c r="AZ597" s="2">
        <v>5.6</v>
      </c>
      <c r="BA597" s="2">
        <v>1.5</v>
      </c>
      <c r="BB597" s="2">
        <v>7.5</v>
      </c>
      <c r="BC597" s="2">
        <v>2.9</v>
      </c>
      <c r="BD597" s="2">
        <f>+AN597*EXP(-0.0495*Y597)</f>
        <v>16.575403425467233</v>
      </c>
      <c r="BE597" s="2">
        <f>+AO597*EXP(-0.024*Y597)</f>
        <v>22.655145977153182</v>
      </c>
    </row>
    <row r="598" spans="1:57" x14ac:dyDescent="0.2">
      <c r="A598" s="2" t="s">
        <v>4583</v>
      </c>
      <c r="B598" s="2" t="s">
        <v>19</v>
      </c>
      <c r="C598" s="2" t="s">
        <v>3245</v>
      </c>
      <c r="D598" s="2" t="s">
        <v>21</v>
      </c>
      <c r="E598" s="2" t="s">
        <v>4512</v>
      </c>
      <c r="F598" s="2">
        <v>3</v>
      </c>
      <c r="G598" s="2">
        <v>24.81</v>
      </c>
      <c r="H598" s="2">
        <v>1</v>
      </c>
      <c r="I598" s="2">
        <v>1</v>
      </c>
      <c r="J598" s="2">
        <v>0</v>
      </c>
      <c r="K598" s="2" t="s">
        <v>61</v>
      </c>
      <c r="L598" s="6" t="s">
        <v>62</v>
      </c>
      <c r="M598" s="5">
        <v>310000000</v>
      </c>
      <c r="N598" s="2">
        <v>0</v>
      </c>
      <c r="O598" s="2">
        <v>4.6864194870000002</v>
      </c>
      <c r="P598" s="2">
        <v>-74.125648499999997</v>
      </c>
      <c r="Q598" s="2" t="s">
        <v>4584</v>
      </c>
      <c r="R598" s="2">
        <v>124949.6171</v>
      </c>
      <c r="S598" s="2">
        <v>0</v>
      </c>
      <c r="T598" s="2" t="s">
        <v>49</v>
      </c>
      <c r="U598" s="2" t="s">
        <v>476</v>
      </c>
      <c r="V598" s="2" t="s">
        <v>28</v>
      </c>
      <c r="W598" s="2" t="s">
        <v>49</v>
      </c>
      <c r="X598" s="2" t="s">
        <v>477</v>
      </c>
      <c r="Y598" s="2">
        <v>2.2120382905336999</v>
      </c>
      <c r="Z598" s="2">
        <v>4.6782416666666702</v>
      </c>
      <c r="AA598" s="2">
        <v>-74.143819444444404</v>
      </c>
      <c r="AB598" s="2">
        <v>2551</v>
      </c>
      <c r="AC598" s="2" t="s">
        <v>31</v>
      </c>
      <c r="AD598" s="2" t="s">
        <v>32</v>
      </c>
      <c r="AE598" s="2" t="s">
        <v>33</v>
      </c>
      <c r="AF598" s="2" t="s">
        <v>34</v>
      </c>
      <c r="AG598" s="2" t="s">
        <v>43</v>
      </c>
      <c r="AH598" s="2">
        <v>0.70938595368049695</v>
      </c>
      <c r="AI598" s="2">
        <v>4.1297518339224402</v>
      </c>
      <c r="AJ598" s="2">
        <v>1.4416369869402199</v>
      </c>
      <c r="AK598" s="2">
        <v>0.26893530387272802</v>
      </c>
      <c r="AL598" s="2">
        <v>0.19566563209849899</v>
      </c>
      <c r="AM598" s="2">
        <v>15.8</v>
      </c>
      <c r="AN598" s="2">
        <v>17.100000000000001</v>
      </c>
      <c r="AO598" s="2">
        <v>23</v>
      </c>
      <c r="AP598" s="2">
        <v>565</v>
      </c>
      <c r="AQ598" s="2">
        <v>68</v>
      </c>
      <c r="AR598" s="2">
        <v>2.2999999999999998</v>
      </c>
      <c r="AS598" s="2">
        <v>68</v>
      </c>
      <c r="AT598" s="2">
        <v>17.600000000000001</v>
      </c>
      <c r="AU598" s="2">
        <v>162</v>
      </c>
      <c r="AV598" s="2">
        <v>19.7</v>
      </c>
      <c r="AW598" s="2">
        <v>16.7</v>
      </c>
      <c r="AX598" s="2">
        <v>36.4</v>
      </c>
      <c r="AY598" s="2">
        <v>0.66</v>
      </c>
      <c r="AZ598" s="2">
        <v>5.6</v>
      </c>
      <c r="BA598" s="2">
        <v>1.5</v>
      </c>
      <c r="BB598" s="2">
        <v>7.5</v>
      </c>
      <c r="BC598" s="2">
        <v>2.9</v>
      </c>
      <c r="BD598" s="2">
        <f>+AN598*EXP(-0.0495*Y598)</f>
        <v>15.326487919850065</v>
      </c>
      <c r="BE598" s="2">
        <f>+AO598*EXP(-0.024*Y598)</f>
        <v>21.810800806861955</v>
      </c>
    </row>
    <row r="599" spans="1:57" x14ac:dyDescent="0.2">
      <c r="A599" s="2" t="s">
        <v>4581</v>
      </c>
      <c r="B599" s="2" t="s">
        <v>19</v>
      </c>
      <c r="C599" s="2" t="s">
        <v>3245</v>
      </c>
      <c r="D599" s="2" t="s">
        <v>21</v>
      </c>
      <c r="E599" s="2" t="s">
        <v>4512</v>
      </c>
      <c r="F599" s="2">
        <v>3</v>
      </c>
      <c r="G599" s="2">
        <v>24.81</v>
      </c>
      <c r="H599" s="2">
        <v>1</v>
      </c>
      <c r="I599" s="2">
        <v>1</v>
      </c>
      <c r="J599" s="2">
        <v>0</v>
      </c>
      <c r="K599" s="2" t="s">
        <v>61</v>
      </c>
      <c r="L599" s="6" t="s">
        <v>62</v>
      </c>
      <c r="M599" s="5">
        <v>310000000</v>
      </c>
      <c r="N599" s="2">
        <v>0</v>
      </c>
      <c r="O599" s="2">
        <v>4.6864194870000002</v>
      </c>
      <c r="P599" s="2">
        <v>-74.125648499999997</v>
      </c>
      <c r="Q599" s="2" t="s">
        <v>4582</v>
      </c>
      <c r="R599" s="2">
        <v>12494961.710000001</v>
      </c>
      <c r="S599" s="2">
        <v>0</v>
      </c>
      <c r="T599" s="2" t="s">
        <v>49</v>
      </c>
      <c r="U599" s="2" t="s">
        <v>476</v>
      </c>
      <c r="V599" s="2" t="s">
        <v>28</v>
      </c>
      <c r="W599" s="2" t="s">
        <v>49</v>
      </c>
      <c r="X599" s="2" t="s">
        <v>477</v>
      </c>
      <c r="Y599" s="2">
        <v>2.2120382905336999</v>
      </c>
      <c r="Z599" s="2">
        <v>4.6782416666666702</v>
      </c>
      <c r="AA599" s="2">
        <v>-74.143819444444404</v>
      </c>
      <c r="AB599" s="2">
        <v>2551</v>
      </c>
      <c r="AC599" s="2" t="s">
        <v>31</v>
      </c>
      <c r="AD599" s="2" t="s">
        <v>32</v>
      </c>
      <c r="AE599" s="2" t="s">
        <v>33</v>
      </c>
      <c r="AF599" s="2" t="s">
        <v>34</v>
      </c>
      <c r="AG599" s="2" t="s">
        <v>43</v>
      </c>
      <c r="AH599" s="2">
        <v>0.70938595368049695</v>
      </c>
      <c r="AI599" s="2">
        <v>4.1297518339224402</v>
      </c>
      <c r="AJ599" s="2">
        <v>1.4416369869402199</v>
      </c>
      <c r="AK599" s="2">
        <v>0.26893530387272802</v>
      </c>
      <c r="AL599" s="2">
        <v>0.19566563209849899</v>
      </c>
      <c r="AM599" s="2">
        <v>15.8</v>
      </c>
      <c r="AN599" s="2">
        <v>17.100000000000001</v>
      </c>
      <c r="AO599" s="2">
        <v>23</v>
      </c>
      <c r="AP599" s="2">
        <v>565</v>
      </c>
      <c r="AQ599" s="2">
        <v>68</v>
      </c>
      <c r="AR599" s="2">
        <v>2.2999999999999998</v>
      </c>
      <c r="AS599" s="2">
        <v>68</v>
      </c>
      <c r="AT599" s="2">
        <v>17.600000000000001</v>
      </c>
      <c r="AU599" s="2">
        <v>162</v>
      </c>
      <c r="AV599" s="2">
        <v>19.7</v>
      </c>
      <c r="AW599" s="2">
        <v>16.7</v>
      </c>
      <c r="AX599" s="2">
        <v>36.4</v>
      </c>
      <c r="AY599" s="2">
        <v>0.66</v>
      </c>
      <c r="AZ599" s="2">
        <v>5.6</v>
      </c>
      <c r="BA599" s="2">
        <v>1.5</v>
      </c>
      <c r="BB599" s="2">
        <v>7.5</v>
      </c>
      <c r="BC599" s="2">
        <v>2.9</v>
      </c>
      <c r="BD599" s="2">
        <f>+AN599*EXP(-0.0495*Y599)</f>
        <v>15.326487919850065</v>
      </c>
      <c r="BE599" s="2">
        <f>+AO599*EXP(-0.024*Y599)</f>
        <v>21.810800806861955</v>
      </c>
    </row>
    <row r="600" spans="1:57" x14ac:dyDescent="0.2">
      <c r="A600" s="2" t="s">
        <v>4511</v>
      </c>
      <c r="B600" s="2" t="s">
        <v>19</v>
      </c>
      <c r="C600" s="2" t="s">
        <v>3245</v>
      </c>
      <c r="D600" s="2" t="s">
        <v>21</v>
      </c>
      <c r="E600" s="2" t="s">
        <v>4512</v>
      </c>
      <c r="F600" s="2">
        <v>3</v>
      </c>
      <c r="G600" s="2">
        <v>24.8</v>
      </c>
      <c r="H600" s="2">
        <v>1</v>
      </c>
      <c r="I600" s="2">
        <v>1</v>
      </c>
      <c r="J600" s="2">
        <v>0</v>
      </c>
      <c r="K600" s="2" t="s">
        <v>61</v>
      </c>
      <c r="L600" s="6" t="s">
        <v>62</v>
      </c>
      <c r="M600" s="5">
        <v>285000000</v>
      </c>
      <c r="N600" s="2">
        <v>0</v>
      </c>
      <c r="O600" s="2">
        <v>4.686191</v>
      </c>
      <c r="P600" s="2">
        <v>-74.12585</v>
      </c>
      <c r="Q600" s="2" t="s">
        <v>4513</v>
      </c>
      <c r="R600" s="2">
        <v>11491935.48</v>
      </c>
      <c r="S600" s="2">
        <v>0</v>
      </c>
      <c r="T600" s="2" t="s">
        <v>49</v>
      </c>
      <c r="U600" s="2" t="s">
        <v>476</v>
      </c>
      <c r="V600" s="2" t="s">
        <v>28</v>
      </c>
      <c r="W600" s="2" t="s">
        <v>49</v>
      </c>
      <c r="X600" s="2" t="s">
        <v>477</v>
      </c>
      <c r="Y600" s="2">
        <v>2.1812407033396202</v>
      </c>
      <c r="Z600" s="2">
        <v>4.6782416666666702</v>
      </c>
      <c r="AA600" s="2">
        <v>-74.143819444444404</v>
      </c>
      <c r="AB600" s="2">
        <v>2551</v>
      </c>
      <c r="AC600" s="2" t="s">
        <v>31</v>
      </c>
      <c r="AD600" s="2" t="s">
        <v>32</v>
      </c>
      <c r="AE600" s="2" t="s">
        <v>33</v>
      </c>
      <c r="AF600" s="2" t="s">
        <v>34</v>
      </c>
      <c r="AG600" s="2" t="s">
        <v>43</v>
      </c>
      <c r="AH600" s="2">
        <v>0.70615174390089597</v>
      </c>
      <c r="AI600" s="2">
        <v>4.0978666448554</v>
      </c>
      <c r="AJ600" s="2">
        <v>1.41202529225425</v>
      </c>
      <c r="AK600" s="2">
        <v>0.245979640386563</v>
      </c>
      <c r="AL600" s="2">
        <v>0.17203740455057301</v>
      </c>
      <c r="AM600" s="2">
        <v>15.8</v>
      </c>
      <c r="AN600" s="2">
        <v>17.100000000000001</v>
      </c>
      <c r="AO600" s="2">
        <v>23</v>
      </c>
      <c r="AP600" s="2">
        <v>565</v>
      </c>
      <c r="AQ600" s="2">
        <v>68</v>
      </c>
      <c r="AR600" s="2">
        <v>2.2999999999999998</v>
      </c>
      <c r="AS600" s="2">
        <v>68</v>
      </c>
      <c r="AT600" s="2">
        <v>17.600000000000001</v>
      </c>
      <c r="AU600" s="2">
        <v>162</v>
      </c>
      <c r="AV600" s="2">
        <v>19.7</v>
      </c>
      <c r="AW600" s="2">
        <v>16.7</v>
      </c>
      <c r="AX600" s="2">
        <v>36.4</v>
      </c>
      <c r="AY600" s="2">
        <v>0.66</v>
      </c>
      <c r="AZ600" s="2">
        <v>5.6</v>
      </c>
      <c r="BA600" s="2">
        <v>1.5</v>
      </c>
      <c r="BB600" s="2">
        <v>7.5</v>
      </c>
      <c r="BC600" s="2">
        <v>2.9</v>
      </c>
      <c r="BD600" s="2">
        <f>+AN600*EXP(-0.0495*Y600)</f>
        <v>15.349870671577307</v>
      </c>
      <c r="BE600" s="2">
        <f>+AO600*EXP(-0.024*Y600)</f>
        <v>21.826928047239754</v>
      </c>
    </row>
    <row r="601" spans="1:57" x14ac:dyDescent="0.2">
      <c r="A601" s="2" t="s">
        <v>3570</v>
      </c>
      <c r="B601" s="2" t="s">
        <v>19</v>
      </c>
      <c r="C601" s="2" t="s">
        <v>3245</v>
      </c>
      <c r="D601" s="2" t="s">
        <v>21</v>
      </c>
      <c r="E601" s="2" t="s">
        <v>3571</v>
      </c>
      <c r="F601" s="2">
        <v>3</v>
      </c>
      <c r="G601" s="2">
        <v>24.13</v>
      </c>
      <c r="H601" s="2">
        <v>1</v>
      </c>
      <c r="I601" s="2">
        <v>1</v>
      </c>
      <c r="J601" s="2">
        <v>0</v>
      </c>
      <c r="K601" s="2" t="s">
        <v>61</v>
      </c>
      <c r="L601" s="6" t="s">
        <v>66</v>
      </c>
      <c r="M601" s="5">
        <v>165000000</v>
      </c>
      <c r="N601" s="2">
        <v>0</v>
      </c>
      <c r="O601" s="2">
        <v>4.6860999999999997</v>
      </c>
      <c r="P601" s="2">
        <v>-74.153000000000006</v>
      </c>
      <c r="Q601" s="2" t="s">
        <v>3572</v>
      </c>
      <c r="R601" s="2">
        <v>6837961.0439999998</v>
      </c>
      <c r="S601" s="2">
        <v>0</v>
      </c>
      <c r="T601" s="2" t="s">
        <v>49</v>
      </c>
      <c r="U601" s="2" t="s">
        <v>476</v>
      </c>
      <c r="V601" s="2" t="s">
        <v>28</v>
      </c>
      <c r="W601" s="2" t="s">
        <v>49</v>
      </c>
      <c r="X601" s="2" t="s">
        <v>477</v>
      </c>
      <c r="Y601" s="2">
        <v>1.3426552554353599</v>
      </c>
      <c r="Z601" s="2">
        <v>4.6782416666666702</v>
      </c>
      <c r="AA601" s="2">
        <v>-74.143819444444404</v>
      </c>
      <c r="AB601" s="2">
        <v>2551</v>
      </c>
      <c r="AC601" s="2" t="s">
        <v>31</v>
      </c>
      <c r="AD601" s="2" t="s">
        <v>32</v>
      </c>
      <c r="AE601" s="2" t="s">
        <v>33</v>
      </c>
      <c r="AF601" s="2" t="s">
        <v>34</v>
      </c>
      <c r="AG601" s="2" t="s">
        <v>43</v>
      </c>
      <c r="AH601" s="2">
        <v>3.53890501374191</v>
      </c>
      <c r="AI601" s="2">
        <v>1.49376146364595</v>
      </c>
      <c r="AJ601" s="2">
        <v>1.7431100293986801</v>
      </c>
      <c r="AK601" s="2">
        <v>8.9705362617713294E-2</v>
      </c>
      <c r="AL601" s="2">
        <v>0.175783763236045</v>
      </c>
      <c r="AM601" s="2">
        <v>15.8</v>
      </c>
      <c r="AN601" s="2">
        <v>17.100000000000001</v>
      </c>
      <c r="AO601" s="2">
        <v>23</v>
      </c>
      <c r="AP601" s="2">
        <v>565</v>
      </c>
      <c r="AQ601" s="2">
        <v>68</v>
      </c>
      <c r="AR601" s="2">
        <v>2.2999999999999998</v>
      </c>
      <c r="AS601" s="2">
        <v>68</v>
      </c>
      <c r="AT601" s="2">
        <v>17.600000000000001</v>
      </c>
      <c r="AU601" s="2">
        <v>162</v>
      </c>
      <c r="AV601" s="2">
        <v>19.7</v>
      </c>
      <c r="AW601" s="2">
        <v>16.7</v>
      </c>
      <c r="AX601" s="2">
        <v>36.4</v>
      </c>
      <c r="AY601" s="2">
        <v>0.66</v>
      </c>
      <c r="AZ601" s="2">
        <v>5.6</v>
      </c>
      <c r="BA601" s="2">
        <v>1.5</v>
      </c>
      <c r="BB601" s="2">
        <v>7.5</v>
      </c>
      <c r="BC601" s="2">
        <v>2.9</v>
      </c>
      <c r="BD601" s="2">
        <f>+AN601*EXP(-0.0495*Y601)</f>
        <v>16.000452904406476</v>
      </c>
      <c r="BE601" s="2">
        <f>+AO601*EXP(-0.024*Y601)</f>
        <v>22.27066829997759</v>
      </c>
    </row>
    <row r="602" spans="1:57" x14ac:dyDescent="0.2">
      <c r="A602" s="2" t="s">
        <v>4236</v>
      </c>
      <c r="B602" s="2" t="s">
        <v>19</v>
      </c>
      <c r="C602" s="2" t="s">
        <v>3245</v>
      </c>
      <c r="D602" s="2" t="s">
        <v>21</v>
      </c>
      <c r="E602" s="2" t="s">
        <v>3543</v>
      </c>
      <c r="F602" s="2">
        <v>3</v>
      </c>
      <c r="G602" s="2">
        <v>24</v>
      </c>
      <c r="H602" s="2">
        <v>1</v>
      </c>
      <c r="I602" s="2">
        <v>1</v>
      </c>
      <c r="J602" s="2">
        <v>0</v>
      </c>
      <c r="K602" s="2" t="s">
        <v>61</v>
      </c>
      <c r="L602" s="6" t="s">
        <v>113</v>
      </c>
      <c r="M602" s="5">
        <v>125000000</v>
      </c>
      <c r="N602" s="2">
        <v>0</v>
      </c>
      <c r="O602" s="2">
        <v>4.6655421260000001</v>
      </c>
      <c r="P602" s="2">
        <v>-74.143020629999995</v>
      </c>
      <c r="Q602" s="2" t="s">
        <v>4237</v>
      </c>
      <c r="R602" s="2">
        <v>5208333.3329999996</v>
      </c>
      <c r="S602" s="2">
        <v>0</v>
      </c>
      <c r="T602" s="2" t="s">
        <v>47</v>
      </c>
      <c r="U602" s="2" t="s">
        <v>48</v>
      </c>
      <c r="V602" s="2" t="s">
        <v>28</v>
      </c>
      <c r="W602" s="2" t="s">
        <v>49</v>
      </c>
      <c r="X602" s="2" t="s">
        <v>50</v>
      </c>
      <c r="Y602" s="2">
        <v>0.66667177746892903</v>
      </c>
      <c r="Z602" s="2">
        <v>4.6680000000000001</v>
      </c>
      <c r="AA602" s="2">
        <v>-74.148499999999999</v>
      </c>
      <c r="AB602" s="2">
        <v>2547</v>
      </c>
      <c r="AC602" s="2" t="s">
        <v>31</v>
      </c>
      <c r="AD602" s="2" t="s">
        <v>51</v>
      </c>
      <c r="AE602" s="2" t="s">
        <v>33</v>
      </c>
      <c r="AF602" s="2" t="s">
        <v>34</v>
      </c>
      <c r="AG602" s="2" t="s">
        <v>43</v>
      </c>
      <c r="AH602" s="2">
        <v>2.9843817192149298</v>
      </c>
      <c r="AI602" s="2">
        <v>1.63257141064579</v>
      </c>
      <c r="AJ602" s="2">
        <v>1.8971064340434101</v>
      </c>
      <c r="AK602" s="2">
        <v>0.43067747665651102</v>
      </c>
      <c r="AL602" s="2">
        <v>0.18151071663839299</v>
      </c>
      <c r="AM602" s="2">
        <v>15.8</v>
      </c>
      <c r="AN602" s="2">
        <v>17.100000000000001</v>
      </c>
      <c r="AO602" s="2">
        <v>23</v>
      </c>
      <c r="AP602" s="2">
        <v>565</v>
      </c>
      <c r="AQ602" s="2">
        <v>68</v>
      </c>
      <c r="AR602" s="2">
        <v>2.2999999999999998</v>
      </c>
      <c r="AS602" s="2">
        <v>68</v>
      </c>
      <c r="AT602" s="2">
        <v>17.600000000000001</v>
      </c>
      <c r="AU602" s="2">
        <v>162</v>
      </c>
      <c r="AV602" s="2">
        <v>19.7</v>
      </c>
      <c r="AW602" s="2">
        <v>16.7</v>
      </c>
      <c r="AX602" s="2">
        <v>36.4</v>
      </c>
      <c r="AY602" s="2">
        <v>0.66</v>
      </c>
      <c r="AZ602" s="2">
        <v>5.6</v>
      </c>
      <c r="BA602" s="2">
        <v>1.5</v>
      </c>
      <c r="BB602" s="2">
        <v>7.5</v>
      </c>
      <c r="BC602" s="2">
        <v>2.9</v>
      </c>
      <c r="BD602" s="2">
        <f>+AN602*EXP(-0.0495*Y602)</f>
        <v>16.544905183363845</v>
      </c>
      <c r="BE602" s="2">
        <f>+AO602*EXP(-0.024*Y602)</f>
        <v>22.634925584888293</v>
      </c>
    </row>
    <row r="603" spans="1:57" x14ac:dyDescent="0.2">
      <c r="A603" s="2" t="s">
        <v>3083</v>
      </c>
      <c r="B603" s="2" t="s">
        <v>19</v>
      </c>
      <c r="C603" s="2" t="s">
        <v>1907</v>
      </c>
      <c r="D603" s="2" t="s">
        <v>21</v>
      </c>
      <c r="E603" s="2" t="s">
        <v>3084</v>
      </c>
      <c r="F603" s="2">
        <v>3</v>
      </c>
      <c r="G603" s="2">
        <v>702</v>
      </c>
      <c r="H603" s="2">
        <v>5</v>
      </c>
      <c r="I603" s="2">
        <v>5</v>
      </c>
      <c r="J603" s="2">
        <v>2</v>
      </c>
      <c r="K603" s="2" t="s">
        <v>61</v>
      </c>
      <c r="L603" s="6" t="s">
        <v>75</v>
      </c>
      <c r="M603" s="5">
        <v>2300000000</v>
      </c>
      <c r="N603" s="2">
        <v>0</v>
      </c>
      <c r="O603" s="2">
        <v>4.6258136170000004</v>
      </c>
      <c r="P603" s="2">
        <v>-74.134292009999996</v>
      </c>
      <c r="Q603" s="2" t="s">
        <v>3085</v>
      </c>
      <c r="R603" s="2">
        <v>3276353.2760000001</v>
      </c>
      <c r="S603" s="2">
        <v>0</v>
      </c>
      <c r="T603" s="2" t="s">
        <v>39</v>
      </c>
      <c r="U603" s="2" t="s">
        <v>40</v>
      </c>
      <c r="V603" s="2" t="s">
        <v>28</v>
      </c>
      <c r="W603" s="2" t="s">
        <v>39</v>
      </c>
      <c r="X603" s="2" t="s">
        <v>41</v>
      </c>
      <c r="Y603" s="2">
        <v>1.97926692356161</v>
      </c>
      <c r="Z603" s="2">
        <v>4.6317666666666701</v>
      </c>
      <c r="AA603" s="2">
        <v>-74.117483333333297</v>
      </c>
      <c r="AB603" s="2">
        <v>2590</v>
      </c>
      <c r="AC603" s="2" t="s">
        <v>31</v>
      </c>
      <c r="AD603" s="2" t="s">
        <v>42</v>
      </c>
      <c r="AE603" s="2" t="s">
        <v>33</v>
      </c>
      <c r="AF603" s="2" t="s">
        <v>34</v>
      </c>
      <c r="AG603" s="2" t="s">
        <v>172</v>
      </c>
      <c r="AH603" s="2">
        <v>0.475734091732266</v>
      </c>
      <c r="AI603" s="2">
        <v>4.5813666347883899</v>
      </c>
      <c r="AJ603" s="2">
        <v>2.12123609698294</v>
      </c>
      <c r="AK603" s="2">
        <v>0.14938362966447999</v>
      </c>
      <c r="AL603" s="2">
        <v>4.1763811933573501E-2</v>
      </c>
      <c r="AM603" s="2">
        <v>16.600000000000001</v>
      </c>
      <c r="AN603" s="2">
        <v>101.7</v>
      </c>
      <c r="AO603" s="2">
        <v>19.899999999999999</v>
      </c>
      <c r="AP603" s="2">
        <v>564</v>
      </c>
      <c r="AQ603" s="2">
        <v>71</v>
      </c>
      <c r="AR603" s="2">
        <v>1.7</v>
      </c>
      <c r="AS603" s="2">
        <v>185</v>
      </c>
      <c r="AT603" s="2">
        <v>0.8</v>
      </c>
      <c r="AU603" s="2">
        <v>162</v>
      </c>
      <c r="AV603" s="2">
        <v>19.5</v>
      </c>
      <c r="AW603" s="2">
        <v>15.6</v>
      </c>
      <c r="AX603" s="2">
        <v>35</v>
      </c>
      <c r="AY603" s="2">
        <v>0.68</v>
      </c>
      <c r="AZ603" s="2">
        <v>5.4</v>
      </c>
      <c r="BA603" s="2">
        <v>0.9</v>
      </c>
      <c r="BB603" s="2">
        <v>4.5999999999999996</v>
      </c>
      <c r="BC603" s="2">
        <v>2.1</v>
      </c>
      <c r="BD603" s="2">
        <f>+AN603*EXP(-0.0495*Y603)</f>
        <v>92.208617394000029</v>
      </c>
      <c r="BE603" s="2">
        <f>+AO603*EXP(-0.024*Y603)</f>
        <v>18.976802753956644</v>
      </c>
    </row>
    <row r="604" spans="1:57" x14ac:dyDescent="0.2">
      <c r="A604" s="2" t="s">
        <v>2536</v>
      </c>
      <c r="B604" s="2" t="s">
        <v>19</v>
      </c>
      <c r="C604" s="2" t="s">
        <v>1907</v>
      </c>
      <c r="D604" s="2" t="s">
        <v>21</v>
      </c>
      <c r="E604" s="2" t="s">
        <v>2537</v>
      </c>
      <c r="F604" s="2">
        <v>3</v>
      </c>
      <c r="G604" s="2">
        <v>635</v>
      </c>
      <c r="H604" s="2">
        <v>5</v>
      </c>
      <c r="I604" s="2">
        <v>5</v>
      </c>
      <c r="J604" s="2">
        <v>2</v>
      </c>
      <c r="K604" s="2" t="s">
        <v>61</v>
      </c>
      <c r="L604" s="6" t="s">
        <v>113</v>
      </c>
      <c r="M604" s="5">
        <v>1490000000</v>
      </c>
      <c r="N604" s="2">
        <v>0</v>
      </c>
      <c r="O604" s="2">
        <v>4.6247601510000003</v>
      </c>
      <c r="P604" s="2">
        <v>-74.121139529999994</v>
      </c>
      <c r="Q604" s="2" t="s">
        <v>2538</v>
      </c>
      <c r="R604" s="2">
        <v>2346456.693</v>
      </c>
      <c r="S604" s="2">
        <v>0</v>
      </c>
      <c r="T604" s="2" t="s">
        <v>39</v>
      </c>
      <c r="U604" s="2" t="s">
        <v>40</v>
      </c>
      <c r="V604" s="2" t="s">
        <v>28</v>
      </c>
      <c r="W604" s="2" t="s">
        <v>39</v>
      </c>
      <c r="X604" s="2" t="s">
        <v>41</v>
      </c>
      <c r="Y604" s="2">
        <v>0.87915619612811902</v>
      </c>
      <c r="Z604" s="2">
        <v>4.6317666666666701</v>
      </c>
      <c r="AA604" s="2">
        <v>-74.117483333333297</v>
      </c>
      <c r="AB604" s="2">
        <v>2590</v>
      </c>
      <c r="AC604" s="2" t="s">
        <v>31</v>
      </c>
      <c r="AD604" s="2" t="s">
        <v>42</v>
      </c>
      <c r="AE604" s="2" t="s">
        <v>33</v>
      </c>
      <c r="AF604" s="2" t="s">
        <v>34</v>
      </c>
      <c r="AG604" s="2" t="s">
        <v>239</v>
      </c>
      <c r="AH604" s="2">
        <v>0.49595800529574802</v>
      </c>
      <c r="AI604" s="2">
        <v>5.6250681253860204</v>
      </c>
      <c r="AJ604" s="2">
        <v>1.79374805617146</v>
      </c>
      <c r="AK604" s="2">
        <v>0.22239359444512999</v>
      </c>
      <c r="AL604" s="2">
        <v>7.0702426657807099E-2</v>
      </c>
      <c r="AM604" s="2">
        <v>16.600000000000001</v>
      </c>
      <c r="AN604" s="2">
        <v>101.7</v>
      </c>
      <c r="AO604" s="2">
        <v>19.899999999999999</v>
      </c>
      <c r="AP604" s="2">
        <v>564</v>
      </c>
      <c r="AQ604" s="2">
        <v>71</v>
      </c>
      <c r="AR604" s="2">
        <v>1.7</v>
      </c>
      <c r="AS604" s="2">
        <v>185</v>
      </c>
      <c r="AT604" s="2">
        <v>0.8</v>
      </c>
      <c r="AU604" s="2">
        <v>162</v>
      </c>
      <c r="AV604" s="2">
        <v>19.5</v>
      </c>
      <c r="AW604" s="2">
        <v>15.6</v>
      </c>
      <c r="AX604" s="2">
        <v>35</v>
      </c>
      <c r="AY604" s="2">
        <v>0.68</v>
      </c>
      <c r="AZ604" s="2">
        <v>5.4</v>
      </c>
      <c r="BA604" s="2">
        <v>0.9</v>
      </c>
      <c r="BB604" s="2">
        <v>4.5999999999999996</v>
      </c>
      <c r="BC604" s="2">
        <v>2.1</v>
      </c>
      <c r="BD604" s="2">
        <f>+AN604*EXP(-0.0495*Y604)</f>
        <v>97.369115529552886</v>
      </c>
      <c r="BE604" s="2">
        <f>+AO604*EXP(-0.024*Y604)</f>
        <v>19.48451374294163</v>
      </c>
    </row>
    <row r="605" spans="1:57" x14ac:dyDescent="0.2">
      <c r="A605" s="2" t="s">
        <v>2598</v>
      </c>
      <c r="B605" s="2" t="s">
        <v>19</v>
      </c>
      <c r="C605" s="2" t="s">
        <v>1907</v>
      </c>
      <c r="D605" s="2" t="s">
        <v>21</v>
      </c>
      <c r="E605" s="2" t="s">
        <v>119</v>
      </c>
      <c r="F605" s="2">
        <v>4</v>
      </c>
      <c r="G605" s="2">
        <v>600</v>
      </c>
      <c r="H605" s="2">
        <v>5</v>
      </c>
      <c r="I605" s="2">
        <v>5</v>
      </c>
      <c r="J605" s="2">
        <v>2</v>
      </c>
      <c r="K605" s="2" t="s">
        <v>61</v>
      </c>
      <c r="L605" s="6" t="s">
        <v>113</v>
      </c>
      <c r="M605" s="5">
        <v>3500000000</v>
      </c>
      <c r="N605" s="2">
        <v>0</v>
      </c>
      <c r="O605" s="2">
        <v>4.6325399000000003</v>
      </c>
      <c r="P605" s="2">
        <v>-74.092483900000005</v>
      </c>
      <c r="Q605" s="2" t="s">
        <v>2599</v>
      </c>
      <c r="R605" s="2">
        <v>5833333.3329999996</v>
      </c>
      <c r="S605" s="2">
        <v>0</v>
      </c>
      <c r="T605" s="2" t="s">
        <v>39</v>
      </c>
      <c r="U605" s="2" t="s">
        <v>40</v>
      </c>
      <c r="V605" s="2" t="s">
        <v>28</v>
      </c>
      <c r="W605" s="2" t="s">
        <v>39</v>
      </c>
      <c r="X605" s="2" t="s">
        <v>41</v>
      </c>
      <c r="Y605" s="2">
        <v>2.77516957301822</v>
      </c>
      <c r="Z605" s="2">
        <v>4.6317666666666701</v>
      </c>
      <c r="AA605" s="2">
        <v>-74.117483333333297</v>
      </c>
      <c r="AB605" s="2">
        <v>2590</v>
      </c>
      <c r="AC605" s="2" t="s">
        <v>31</v>
      </c>
      <c r="AD605" s="2" t="s">
        <v>42</v>
      </c>
      <c r="AE605" s="2" t="s">
        <v>33</v>
      </c>
      <c r="AF605" s="2" t="s">
        <v>34</v>
      </c>
      <c r="AG605" s="2" t="s">
        <v>35</v>
      </c>
      <c r="AH605" s="2">
        <v>0.36517955472144098</v>
      </c>
      <c r="AI605" s="2">
        <v>3.5192500712251502</v>
      </c>
      <c r="AJ605" s="2">
        <v>0.81595703523947705</v>
      </c>
      <c r="AK605" s="2">
        <v>8.9922321714572595E-2</v>
      </c>
      <c r="AL605" s="2">
        <v>0.21027411610027899</v>
      </c>
      <c r="AM605" s="2">
        <v>16.600000000000001</v>
      </c>
      <c r="AN605" s="2">
        <v>101.7</v>
      </c>
      <c r="AO605" s="2">
        <v>19.899999999999999</v>
      </c>
      <c r="AP605" s="2">
        <v>564</v>
      </c>
      <c r="AQ605" s="2">
        <v>71</v>
      </c>
      <c r="AR605" s="2">
        <v>1.7</v>
      </c>
      <c r="AS605" s="2">
        <v>185</v>
      </c>
      <c r="AT605" s="2">
        <v>0.8</v>
      </c>
      <c r="AU605" s="2">
        <v>162</v>
      </c>
      <c r="AV605" s="2">
        <v>19.5</v>
      </c>
      <c r="AW605" s="2">
        <v>15.6</v>
      </c>
      <c r="AX605" s="2">
        <v>35</v>
      </c>
      <c r="AY605" s="2">
        <v>0.68</v>
      </c>
      <c r="AZ605" s="2">
        <v>5.4</v>
      </c>
      <c r="BA605" s="2">
        <v>0.9</v>
      </c>
      <c r="BB605" s="2">
        <v>4.5999999999999996</v>
      </c>
      <c r="BC605" s="2">
        <v>2.1</v>
      </c>
      <c r="BD605" s="2">
        <f>+AN605*EXP(-0.0495*Y605)</f>
        <v>88.646487461375926</v>
      </c>
      <c r="BE605" s="2">
        <f>+AO605*EXP(-0.024*Y605)</f>
        <v>18.617754379628337</v>
      </c>
    </row>
    <row r="606" spans="1:57" x14ac:dyDescent="0.2">
      <c r="A606" s="2" t="s">
        <v>2923</v>
      </c>
      <c r="B606" s="2" t="s">
        <v>19</v>
      </c>
      <c r="C606" s="2" t="s">
        <v>1907</v>
      </c>
      <c r="D606" s="2" t="s">
        <v>21</v>
      </c>
      <c r="E606" s="2" t="s">
        <v>2924</v>
      </c>
      <c r="F606" s="2">
        <v>3</v>
      </c>
      <c r="G606" s="2">
        <v>600</v>
      </c>
      <c r="H606" s="2">
        <v>4</v>
      </c>
      <c r="I606" s="2">
        <v>3</v>
      </c>
      <c r="J606" s="2">
        <v>1</v>
      </c>
      <c r="K606" s="2" t="s">
        <v>61</v>
      </c>
      <c r="L606" s="6" t="s">
        <v>113</v>
      </c>
      <c r="M606" s="5">
        <v>950000000</v>
      </c>
      <c r="N606" s="2">
        <v>0</v>
      </c>
      <c r="O606" s="2">
        <v>4.601</v>
      </c>
      <c r="P606" s="2">
        <v>-74.108999999999995</v>
      </c>
      <c r="Q606" s="2" t="s">
        <v>2925</v>
      </c>
      <c r="R606" s="2">
        <v>1583333.3330000001</v>
      </c>
      <c r="S606" s="2">
        <v>0</v>
      </c>
      <c r="T606" s="2" t="s">
        <v>455</v>
      </c>
      <c r="U606" s="2" t="s">
        <v>456</v>
      </c>
      <c r="V606" s="2" t="s">
        <v>28</v>
      </c>
      <c r="W606" s="2" t="s">
        <v>39</v>
      </c>
      <c r="X606" s="2" t="s">
        <v>457</v>
      </c>
      <c r="Y606" s="2">
        <v>1.06401095606945</v>
      </c>
      <c r="Z606" s="2">
        <v>4.6085000000000003</v>
      </c>
      <c r="AA606" s="2">
        <v>-74.114944444444404</v>
      </c>
      <c r="AB606" s="2">
        <v>2559</v>
      </c>
      <c r="AC606" s="2" t="s">
        <v>31</v>
      </c>
      <c r="AD606" s="2" t="s">
        <v>458</v>
      </c>
      <c r="AE606" s="2" t="s">
        <v>33</v>
      </c>
      <c r="AF606" s="2" t="s">
        <v>34</v>
      </c>
      <c r="AG606" s="2" t="s">
        <v>239</v>
      </c>
      <c r="AH606" s="2">
        <v>0.44053016781364601</v>
      </c>
      <c r="AI606" s="2">
        <v>4.7556195448239702</v>
      </c>
      <c r="AJ606" s="2">
        <v>2.2024187522881902</v>
      </c>
      <c r="AK606" s="2">
        <v>0.22189846359201701</v>
      </c>
      <c r="AL606" s="2">
        <v>0.35185793581687802</v>
      </c>
      <c r="AM606" s="2">
        <v>16.600000000000001</v>
      </c>
      <c r="AN606" s="2">
        <v>101.7</v>
      </c>
      <c r="AO606" s="2">
        <v>19.899999999999999</v>
      </c>
      <c r="AP606" s="2">
        <v>564</v>
      </c>
      <c r="AQ606" s="2">
        <v>71</v>
      </c>
      <c r="AR606" s="2">
        <v>1.7</v>
      </c>
      <c r="AS606" s="2">
        <v>185</v>
      </c>
      <c r="AT606" s="2">
        <v>0.8</v>
      </c>
      <c r="AU606" s="2">
        <v>162</v>
      </c>
      <c r="AV606" s="2">
        <v>19.5</v>
      </c>
      <c r="AW606" s="2">
        <v>15.6</v>
      </c>
      <c r="AX606" s="2">
        <v>35</v>
      </c>
      <c r="AY606" s="2">
        <v>0.68</v>
      </c>
      <c r="AZ606" s="2">
        <v>5.4</v>
      </c>
      <c r="BA606" s="2">
        <v>0.9</v>
      </c>
      <c r="BB606" s="2">
        <v>4.5999999999999996</v>
      </c>
      <c r="BC606" s="2">
        <v>2.1</v>
      </c>
      <c r="BD606" s="2">
        <f>+AN606*EXP(-0.0495*Y606)</f>
        <v>96.482221742920188</v>
      </c>
      <c r="BE606" s="2">
        <f>+AO606*EXP(-0.024*Y606)</f>
        <v>19.398261890546756</v>
      </c>
    </row>
    <row r="607" spans="1:57" x14ac:dyDescent="0.2">
      <c r="A607" s="2" t="s">
        <v>2890</v>
      </c>
      <c r="B607" s="2" t="s">
        <v>19</v>
      </c>
      <c r="C607" s="2" t="s">
        <v>1907</v>
      </c>
      <c r="D607" s="2" t="s">
        <v>21</v>
      </c>
      <c r="E607" s="2" t="s">
        <v>2891</v>
      </c>
      <c r="F607" s="2">
        <v>3</v>
      </c>
      <c r="G607" s="2">
        <v>520</v>
      </c>
      <c r="H607" s="2">
        <v>5</v>
      </c>
      <c r="I607" s="2">
        <v>5</v>
      </c>
      <c r="J607" s="2">
        <v>2</v>
      </c>
      <c r="K607" s="2" t="s">
        <v>61</v>
      </c>
      <c r="L607" s="6" t="s">
        <v>113</v>
      </c>
      <c r="M607" s="5">
        <v>1490000000</v>
      </c>
      <c r="N607" s="2">
        <v>0</v>
      </c>
      <c r="O607" s="2">
        <v>4.5968356129999997</v>
      </c>
      <c r="P607" s="2">
        <v>-74.098670960000007</v>
      </c>
      <c r="Q607" s="2" t="s">
        <v>2892</v>
      </c>
      <c r="R607" s="2">
        <v>2865384.6150000002</v>
      </c>
      <c r="S607" s="2">
        <v>0</v>
      </c>
      <c r="T607" s="2" t="s">
        <v>455</v>
      </c>
      <c r="U607" s="2" t="s">
        <v>456</v>
      </c>
      <c r="V607" s="2" t="s">
        <v>28</v>
      </c>
      <c r="W607" s="2" t="s">
        <v>39</v>
      </c>
      <c r="X607" s="2" t="s">
        <v>457</v>
      </c>
      <c r="Y607" s="2">
        <v>2.2241035852731099</v>
      </c>
      <c r="Z607" s="2">
        <v>4.6085000000000003</v>
      </c>
      <c r="AA607" s="2">
        <v>-74.114944444444404</v>
      </c>
      <c r="AB607" s="2">
        <v>2559</v>
      </c>
      <c r="AC607" s="2" t="s">
        <v>31</v>
      </c>
      <c r="AD607" s="2" t="s">
        <v>458</v>
      </c>
      <c r="AE607" s="2" t="s">
        <v>33</v>
      </c>
      <c r="AF607" s="2" t="s">
        <v>34</v>
      </c>
      <c r="AG607" s="2" t="s">
        <v>259</v>
      </c>
      <c r="AH607" s="2">
        <v>0.69106883028294397</v>
      </c>
      <c r="AI607" s="2">
        <v>3.5830785001793002</v>
      </c>
      <c r="AJ607" s="2">
        <v>1.12430120841153</v>
      </c>
      <c r="AK607" s="2">
        <v>0.358166402243494</v>
      </c>
      <c r="AL607" s="2">
        <v>0.31387912239486498</v>
      </c>
      <c r="AM607" s="2">
        <v>16.600000000000001</v>
      </c>
      <c r="AN607" s="2">
        <v>101.7</v>
      </c>
      <c r="AO607" s="2">
        <v>19.899999999999999</v>
      </c>
      <c r="AP607" s="2">
        <v>564</v>
      </c>
      <c r="AQ607" s="2">
        <v>71</v>
      </c>
      <c r="AR607" s="2">
        <v>1.7</v>
      </c>
      <c r="AS607" s="2">
        <v>185</v>
      </c>
      <c r="AT607" s="2">
        <v>0.8</v>
      </c>
      <c r="AU607" s="2">
        <v>162</v>
      </c>
      <c r="AV607" s="2">
        <v>19.5</v>
      </c>
      <c r="AW607" s="2">
        <v>15.6</v>
      </c>
      <c r="AX607" s="2">
        <v>35</v>
      </c>
      <c r="AY607" s="2">
        <v>0.68</v>
      </c>
      <c r="AZ607" s="2">
        <v>5.4</v>
      </c>
      <c r="BA607" s="2">
        <v>0.9</v>
      </c>
      <c r="BB607" s="2">
        <v>4.5999999999999996</v>
      </c>
      <c r="BC607" s="2">
        <v>2.1</v>
      </c>
      <c r="BD607" s="2">
        <f>+AN607*EXP(-0.0495*Y607)</f>
        <v>91.097847452462815</v>
      </c>
      <c r="BE607" s="2">
        <f>+AO607*EXP(-0.024*Y607)</f>
        <v>18.865620522833762</v>
      </c>
    </row>
    <row r="608" spans="1:57" x14ac:dyDescent="0.2">
      <c r="A608" s="2" t="s">
        <v>3135</v>
      </c>
      <c r="B608" s="2" t="s">
        <v>19</v>
      </c>
      <c r="C608" s="2" t="s">
        <v>1907</v>
      </c>
      <c r="D608" s="2" t="s">
        <v>21</v>
      </c>
      <c r="E608" s="2" t="s">
        <v>3136</v>
      </c>
      <c r="F608" s="2">
        <v>3</v>
      </c>
      <c r="G608" s="2">
        <v>396</v>
      </c>
      <c r="H608" s="2">
        <v>5</v>
      </c>
      <c r="I608" s="2">
        <v>5</v>
      </c>
      <c r="J608" s="2">
        <v>1</v>
      </c>
      <c r="K608" s="2" t="s">
        <v>61</v>
      </c>
      <c r="L608" s="6" t="s">
        <v>113</v>
      </c>
      <c r="M608" s="5">
        <v>887000000</v>
      </c>
      <c r="N608" s="2">
        <v>0</v>
      </c>
      <c r="O608" s="2">
        <v>4.6118380999999999</v>
      </c>
      <c r="P608" s="2">
        <v>-74.096929799999998</v>
      </c>
      <c r="Q608" s="2" t="s">
        <v>3137</v>
      </c>
      <c r="R608" s="2">
        <v>2239898.9900000002</v>
      </c>
      <c r="S608" s="2">
        <v>0</v>
      </c>
      <c r="T608" s="2" t="s">
        <v>455</v>
      </c>
      <c r="U608" s="2" t="s">
        <v>456</v>
      </c>
      <c r="V608" s="2" t="s">
        <v>28</v>
      </c>
      <c r="W608" s="2" t="s">
        <v>39</v>
      </c>
      <c r="X608" s="2" t="s">
        <v>457</v>
      </c>
      <c r="Y608" s="2">
        <v>2.0331394653286101</v>
      </c>
      <c r="Z608" s="2">
        <v>4.6085000000000003</v>
      </c>
      <c r="AA608" s="2">
        <v>-74.114944444444404</v>
      </c>
      <c r="AB608" s="2">
        <v>2559</v>
      </c>
      <c r="AC608" s="2" t="s">
        <v>31</v>
      </c>
      <c r="AD608" s="2" t="s">
        <v>458</v>
      </c>
      <c r="AE608" s="2" t="s">
        <v>33</v>
      </c>
      <c r="AF608" s="2" t="s">
        <v>34</v>
      </c>
      <c r="AG608" s="2" t="s">
        <v>239</v>
      </c>
      <c r="AH608" s="2">
        <v>0.340187264656304</v>
      </c>
      <c r="AI608" s="2">
        <v>3.5801025711011798</v>
      </c>
      <c r="AJ608" s="2">
        <v>1.4231512071760299</v>
      </c>
      <c r="AK608" s="2">
        <v>0.31905505038230703</v>
      </c>
      <c r="AL608" s="2">
        <v>9.86499593496349E-2</v>
      </c>
      <c r="AM608" s="2">
        <v>16.600000000000001</v>
      </c>
      <c r="AN608" s="2">
        <v>101.7</v>
      </c>
      <c r="AO608" s="2">
        <v>19.899999999999999</v>
      </c>
      <c r="AP608" s="2">
        <v>564</v>
      </c>
      <c r="AQ608" s="2">
        <v>71</v>
      </c>
      <c r="AR608" s="2">
        <v>1.7</v>
      </c>
      <c r="AS608" s="2">
        <v>185</v>
      </c>
      <c r="AT608" s="2">
        <v>0.8</v>
      </c>
      <c r="AU608" s="2">
        <v>162</v>
      </c>
      <c r="AV608" s="2">
        <v>19.5</v>
      </c>
      <c r="AW608" s="2">
        <v>15.6</v>
      </c>
      <c r="AX608" s="2">
        <v>35</v>
      </c>
      <c r="AY608" s="2">
        <v>0.68</v>
      </c>
      <c r="AZ608" s="2">
        <v>5.4</v>
      </c>
      <c r="BA608" s="2">
        <v>0.9</v>
      </c>
      <c r="BB608" s="2">
        <v>4.5999999999999996</v>
      </c>
      <c r="BC608" s="2">
        <v>2.1</v>
      </c>
      <c r="BD608" s="2">
        <f>+AN608*EXP(-0.0495*Y608)</f>
        <v>91.96305308826598</v>
      </c>
      <c r="BE608" s="2">
        <f>+AO608*EXP(-0.024*Y608)</f>
        <v>18.952282722474326</v>
      </c>
    </row>
    <row r="609" spans="1:57" x14ac:dyDescent="0.2">
      <c r="A609" s="2" t="s">
        <v>3094</v>
      </c>
      <c r="B609" s="2" t="s">
        <v>19</v>
      </c>
      <c r="C609" s="2" t="s">
        <v>1907</v>
      </c>
      <c r="D609" s="2" t="s">
        <v>21</v>
      </c>
      <c r="E609" s="2" t="s">
        <v>1900</v>
      </c>
      <c r="F609" s="2">
        <v>3</v>
      </c>
      <c r="G609" s="2">
        <v>375</v>
      </c>
      <c r="H609" s="2">
        <v>4</v>
      </c>
      <c r="I609" s="2">
        <v>4</v>
      </c>
      <c r="J609" s="2">
        <v>0</v>
      </c>
      <c r="K609" s="2" t="s">
        <v>61</v>
      </c>
      <c r="L609" s="6" t="s">
        <v>113</v>
      </c>
      <c r="M609" s="5">
        <v>800000000</v>
      </c>
      <c r="N609" s="2">
        <v>0</v>
      </c>
      <c r="O609" s="2">
        <v>4.62</v>
      </c>
      <c r="P609" s="2">
        <v>-74.137699999999995</v>
      </c>
      <c r="Q609" s="2" t="s">
        <v>3095</v>
      </c>
      <c r="R609" s="2">
        <v>2133333.3330000001</v>
      </c>
      <c r="S609" s="2">
        <v>0</v>
      </c>
      <c r="T609" s="2" t="s">
        <v>39</v>
      </c>
      <c r="U609" s="2" t="s">
        <v>40</v>
      </c>
      <c r="V609" s="2" t="s">
        <v>28</v>
      </c>
      <c r="W609" s="2" t="s">
        <v>39</v>
      </c>
      <c r="X609" s="2" t="s">
        <v>41</v>
      </c>
      <c r="Y609" s="2">
        <v>2.59761034714399</v>
      </c>
      <c r="Z609" s="2">
        <v>4.6317666666666701</v>
      </c>
      <c r="AA609" s="2">
        <v>-74.117483333333297</v>
      </c>
      <c r="AB609" s="2">
        <v>2590</v>
      </c>
      <c r="AC609" s="2" t="s">
        <v>31</v>
      </c>
      <c r="AD609" s="2" t="s">
        <v>42</v>
      </c>
      <c r="AE609" s="2" t="s">
        <v>33</v>
      </c>
      <c r="AF609" s="2" t="s">
        <v>34</v>
      </c>
      <c r="AG609" s="2" t="s">
        <v>172</v>
      </c>
      <c r="AH609" s="2">
        <v>1.1827203745833099</v>
      </c>
      <c r="AI609" s="2">
        <v>4.9193514865618297</v>
      </c>
      <c r="AJ609" s="2">
        <v>2.8618312460127</v>
      </c>
      <c r="AK609" s="2">
        <v>6.5982133607298404E-2</v>
      </c>
      <c r="AL609" s="2">
        <v>0.27576474720122202</v>
      </c>
      <c r="AM609" s="2">
        <v>16.600000000000001</v>
      </c>
      <c r="AN609" s="2">
        <v>101.7</v>
      </c>
      <c r="AO609" s="2">
        <v>19.899999999999999</v>
      </c>
      <c r="AP609" s="2">
        <v>564</v>
      </c>
      <c r="AQ609" s="2">
        <v>71</v>
      </c>
      <c r="AR609" s="2">
        <v>1.7</v>
      </c>
      <c r="AS609" s="2">
        <v>185</v>
      </c>
      <c r="AT609" s="2">
        <v>0.8</v>
      </c>
      <c r="AU609" s="2">
        <v>162</v>
      </c>
      <c r="AV609" s="2">
        <v>19.5</v>
      </c>
      <c r="AW609" s="2">
        <v>15.6</v>
      </c>
      <c r="AX609" s="2">
        <v>35</v>
      </c>
      <c r="AY609" s="2">
        <v>0.68</v>
      </c>
      <c r="AZ609" s="2">
        <v>5.4</v>
      </c>
      <c r="BA609" s="2">
        <v>0.9</v>
      </c>
      <c r="BB609" s="2">
        <v>4.5999999999999996</v>
      </c>
      <c r="BC609" s="2">
        <v>2.1</v>
      </c>
      <c r="BD609" s="2">
        <f>+AN609*EXP(-0.0495*Y609)</f>
        <v>89.429051556308806</v>
      </c>
      <c r="BE609" s="2">
        <f>+AO609*EXP(-0.024*Y609)</f>
        <v>18.697261763868188</v>
      </c>
    </row>
    <row r="610" spans="1:57" x14ac:dyDescent="0.2">
      <c r="A610" s="2" t="s">
        <v>2936</v>
      </c>
      <c r="B610" s="2" t="s">
        <v>19</v>
      </c>
      <c r="C610" s="2" t="s">
        <v>1907</v>
      </c>
      <c r="D610" s="2" t="s">
        <v>21</v>
      </c>
      <c r="E610" s="2" t="s">
        <v>2937</v>
      </c>
      <c r="F610" s="2">
        <v>3</v>
      </c>
      <c r="G610" s="2">
        <v>345.24</v>
      </c>
      <c r="H610" s="2">
        <v>5</v>
      </c>
      <c r="I610" s="2">
        <v>5</v>
      </c>
      <c r="J610" s="2">
        <v>1</v>
      </c>
      <c r="K610" s="2" t="s">
        <v>61</v>
      </c>
      <c r="L610" s="6" t="s">
        <v>62</v>
      </c>
      <c r="M610" s="5">
        <v>900000000</v>
      </c>
      <c r="N610" s="2">
        <v>0</v>
      </c>
      <c r="O610" s="2">
        <v>4.6034199999999998</v>
      </c>
      <c r="P610" s="2">
        <v>-74.09872</v>
      </c>
      <c r="Q610" s="2" t="s">
        <v>2938</v>
      </c>
      <c r="R610" s="2">
        <v>2606882.1690000002</v>
      </c>
      <c r="S610" s="2">
        <v>0</v>
      </c>
      <c r="T610" s="2" t="s">
        <v>455</v>
      </c>
      <c r="U610" s="2" t="s">
        <v>456</v>
      </c>
      <c r="V610" s="2" t="s">
        <v>28</v>
      </c>
      <c r="W610" s="2" t="s">
        <v>39</v>
      </c>
      <c r="X610" s="2" t="s">
        <v>457</v>
      </c>
      <c r="Y610" s="2">
        <v>1.8869935609891799</v>
      </c>
      <c r="Z610" s="2">
        <v>4.6085000000000003</v>
      </c>
      <c r="AA610" s="2">
        <v>-74.114944444444404</v>
      </c>
      <c r="AB610" s="2">
        <v>2559</v>
      </c>
      <c r="AC610" s="2" t="s">
        <v>31</v>
      </c>
      <c r="AD610" s="2" t="s">
        <v>458</v>
      </c>
      <c r="AE610" s="2" t="s">
        <v>33</v>
      </c>
      <c r="AF610" s="2" t="s">
        <v>34</v>
      </c>
      <c r="AG610" s="2" t="s">
        <v>259</v>
      </c>
      <c r="AH610" s="2">
        <v>0.15631261162576701</v>
      </c>
      <c r="AI610" s="2">
        <v>3.6714739031847601</v>
      </c>
      <c r="AJ610" s="2">
        <v>1.2464840040001799</v>
      </c>
      <c r="AK610" s="2">
        <v>0.107118268382611</v>
      </c>
      <c r="AL610" s="2">
        <v>0.117286079364872</v>
      </c>
      <c r="AM610" s="2">
        <v>16.600000000000001</v>
      </c>
      <c r="AN610" s="2">
        <v>101.7</v>
      </c>
      <c r="AO610" s="2">
        <v>19.899999999999999</v>
      </c>
      <c r="AP610" s="2">
        <v>564</v>
      </c>
      <c r="AQ610" s="2">
        <v>71</v>
      </c>
      <c r="AR610" s="2">
        <v>1.7</v>
      </c>
      <c r="AS610" s="2">
        <v>185</v>
      </c>
      <c r="AT610" s="2">
        <v>0.8</v>
      </c>
      <c r="AU610" s="2">
        <v>162</v>
      </c>
      <c r="AV610" s="2">
        <v>19.5</v>
      </c>
      <c r="AW610" s="2">
        <v>15.6</v>
      </c>
      <c r="AX610" s="2">
        <v>35</v>
      </c>
      <c r="AY610" s="2">
        <v>0.68</v>
      </c>
      <c r="AZ610" s="2">
        <v>5.4</v>
      </c>
      <c r="BA610" s="2">
        <v>0.9</v>
      </c>
      <c r="BB610" s="2">
        <v>4.5999999999999996</v>
      </c>
      <c r="BC610" s="2">
        <v>2.1</v>
      </c>
      <c r="BD610" s="2">
        <f>+AN610*EXP(-0.0495*Y610)</f>
        <v>92.630746463679515</v>
      </c>
      <c r="BE610" s="2">
        <f>+AO610*EXP(-0.024*Y610)</f>
        <v>19.018874603718423</v>
      </c>
    </row>
    <row r="611" spans="1:57" x14ac:dyDescent="0.2">
      <c r="A611" s="2" t="s">
        <v>2905</v>
      </c>
      <c r="B611" s="2" t="s">
        <v>19</v>
      </c>
      <c r="C611" s="2" t="s">
        <v>1907</v>
      </c>
      <c r="D611" s="2" t="s">
        <v>21</v>
      </c>
      <c r="E611" s="2" t="s">
        <v>2906</v>
      </c>
      <c r="F611" s="2">
        <v>3</v>
      </c>
      <c r="G611" s="2">
        <v>334</v>
      </c>
      <c r="H611" s="2">
        <v>5</v>
      </c>
      <c r="I611" s="2">
        <v>5</v>
      </c>
      <c r="J611" s="2">
        <v>2</v>
      </c>
      <c r="K611" s="2" t="s">
        <v>61</v>
      </c>
      <c r="L611" s="6" t="s">
        <v>84</v>
      </c>
      <c r="M611" s="5">
        <v>850000000</v>
      </c>
      <c r="N611" s="2">
        <v>0</v>
      </c>
      <c r="O611" s="2">
        <v>4.6055345540000001</v>
      </c>
      <c r="P611" s="2">
        <v>-74.119956970000004</v>
      </c>
      <c r="Q611" s="2" t="s">
        <v>2907</v>
      </c>
      <c r="R611" s="2">
        <v>2544910.1800000002</v>
      </c>
      <c r="S611" s="2">
        <v>0</v>
      </c>
      <c r="T611" s="2" t="s">
        <v>455</v>
      </c>
      <c r="U611" s="2" t="s">
        <v>456</v>
      </c>
      <c r="V611" s="2" t="s">
        <v>28</v>
      </c>
      <c r="W611" s="2" t="s">
        <v>39</v>
      </c>
      <c r="X611" s="2" t="s">
        <v>457</v>
      </c>
      <c r="Y611" s="2">
        <v>0.646776652319761</v>
      </c>
      <c r="Z611" s="2">
        <v>4.6085000000000003</v>
      </c>
      <c r="AA611" s="2">
        <v>-74.114944444444404</v>
      </c>
      <c r="AB611" s="2">
        <v>2559</v>
      </c>
      <c r="AC611" s="2" t="s">
        <v>31</v>
      </c>
      <c r="AD611" s="2" t="s">
        <v>458</v>
      </c>
      <c r="AE611" s="2" t="s">
        <v>33</v>
      </c>
      <c r="AF611" s="2" t="s">
        <v>34</v>
      </c>
      <c r="AG611" s="2" t="s">
        <v>239</v>
      </c>
      <c r="AH611" s="2">
        <v>1.20862193610264</v>
      </c>
      <c r="AI611" s="2">
        <v>6.0286736491872697</v>
      </c>
      <c r="AJ611" s="2">
        <v>2.4992762485464199</v>
      </c>
      <c r="AK611" s="2">
        <v>0.22784236111873199</v>
      </c>
      <c r="AL611" s="2">
        <v>9.3827757533799294E-2</v>
      </c>
      <c r="AM611" s="2">
        <v>16.600000000000001</v>
      </c>
      <c r="AN611" s="2">
        <v>101.7</v>
      </c>
      <c r="AO611" s="2">
        <v>19.899999999999999</v>
      </c>
      <c r="AP611" s="2">
        <v>564</v>
      </c>
      <c r="AQ611" s="2">
        <v>71</v>
      </c>
      <c r="AR611" s="2">
        <v>1.7</v>
      </c>
      <c r="AS611" s="2">
        <v>185</v>
      </c>
      <c r="AT611" s="2">
        <v>0.8</v>
      </c>
      <c r="AU611" s="2">
        <v>162</v>
      </c>
      <c r="AV611" s="2">
        <v>19.5</v>
      </c>
      <c r="AW611" s="2">
        <v>15.6</v>
      </c>
      <c r="AX611" s="2">
        <v>35</v>
      </c>
      <c r="AY611" s="2">
        <v>0.68</v>
      </c>
      <c r="AZ611" s="2">
        <v>5.4</v>
      </c>
      <c r="BA611" s="2">
        <v>0.9</v>
      </c>
      <c r="BB611" s="2">
        <v>4.5999999999999996</v>
      </c>
      <c r="BC611" s="2">
        <v>2.1</v>
      </c>
      <c r="BD611" s="2">
        <f>+AN611*EXP(-0.0495*Y611)</f>
        <v>98.495598191142193</v>
      </c>
      <c r="BE611" s="2">
        <f>+AO611*EXP(-0.024*Y611)</f>
        <v>19.593484589593519</v>
      </c>
    </row>
    <row r="612" spans="1:57" x14ac:dyDescent="0.2">
      <c r="A612" s="2" t="s">
        <v>2699</v>
      </c>
      <c r="B612" s="2" t="s">
        <v>19</v>
      </c>
      <c r="C612" s="2" t="s">
        <v>1907</v>
      </c>
      <c r="D612" s="2" t="s">
        <v>21</v>
      </c>
      <c r="E612" s="2" t="s">
        <v>2527</v>
      </c>
      <c r="F612" s="2">
        <v>3</v>
      </c>
      <c r="G612" s="2">
        <v>281.61</v>
      </c>
      <c r="H612" s="2">
        <v>5</v>
      </c>
      <c r="I612" s="2">
        <v>4</v>
      </c>
      <c r="J612" s="2">
        <v>2</v>
      </c>
      <c r="K612" s="2" t="s">
        <v>61</v>
      </c>
      <c r="L612" s="6" t="s">
        <v>113</v>
      </c>
      <c r="M612" s="5">
        <v>1150000000</v>
      </c>
      <c r="N612" s="2">
        <v>0</v>
      </c>
      <c r="O612" s="2">
        <v>4.5985899999999997</v>
      </c>
      <c r="P612" s="2">
        <v>-74.121549999999999</v>
      </c>
      <c r="Q612" s="2" t="s">
        <v>2700</v>
      </c>
      <c r="R612" s="2">
        <v>4083661.8020000001</v>
      </c>
      <c r="S612" s="2">
        <v>0</v>
      </c>
      <c r="T612" s="2" t="s">
        <v>455</v>
      </c>
      <c r="U612" s="2" t="s">
        <v>456</v>
      </c>
      <c r="V612" s="2" t="s">
        <v>28</v>
      </c>
      <c r="W612" s="2" t="s">
        <v>39</v>
      </c>
      <c r="X612" s="2" t="s">
        <v>457</v>
      </c>
      <c r="Y612" s="2">
        <v>1.3244698717285099</v>
      </c>
      <c r="Z612" s="2">
        <v>4.6085000000000003</v>
      </c>
      <c r="AA612" s="2">
        <v>-74.114944444444404</v>
      </c>
      <c r="AB612" s="2">
        <v>2559</v>
      </c>
      <c r="AC612" s="2" t="s">
        <v>31</v>
      </c>
      <c r="AD612" s="2" t="s">
        <v>458</v>
      </c>
      <c r="AE612" s="2" t="s">
        <v>33</v>
      </c>
      <c r="AF612" s="2" t="s">
        <v>34</v>
      </c>
      <c r="AG612" s="2" t="s">
        <v>239</v>
      </c>
      <c r="AH612" s="2">
        <v>0.58216761070687095</v>
      </c>
      <c r="AI612" s="2">
        <v>5.8380435850636703</v>
      </c>
      <c r="AJ612" s="2">
        <v>1.7563063058150401</v>
      </c>
      <c r="AK612" s="2">
        <v>0.33984997442053699</v>
      </c>
      <c r="AL612" s="2">
        <v>0.133547102511344</v>
      </c>
      <c r="AM612" s="2">
        <v>16.600000000000001</v>
      </c>
      <c r="AN612" s="2">
        <v>101.7</v>
      </c>
      <c r="AO612" s="2">
        <v>19.899999999999999</v>
      </c>
      <c r="AP612" s="2">
        <v>564</v>
      </c>
      <c r="AQ612" s="2">
        <v>71</v>
      </c>
      <c r="AR612" s="2">
        <v>1.7</v>
      </c>
      <c r="AS612" s="2">
        <v>185</v>
      </c>
      <c r="AT612" s="2">
        <v>0.8</v>
      </c>
      <c r="AU612" s="2">
        <v>162</v>
      </c>
      <c r="AV612" s="2">
        <v>19.5</v>
      </c>
      <c r="AW612" s="2">
        <v>15.6</v>
      </c>
      <c r="AX612" s="2">
        <v>35</v>
      </c>
      <c r="AY612" s="2">
        <v>0.68</v>
      </c>
      <c r="AZ612" s="2">
        <v>5.4</v>
      </c>
      <c r="BA612" s="2">
        <v>0.9</v>
      </c>
      <c r="BB612" s="2">
        <v>4.5999999999999996</v>
      </c>
      <c r="BC612" s="2">
        <v>2.1</v>
      </c>
      <c r="BD612" s="2">
        <f>+AN612*EXP(-0.0495*Y612)</f>
        <v>95.246288217651653</v>
      </c>
      <c r="BE612" s="2">
        <f>+AO612*EXP(-0.024*Y612)</f>
        <v>19.277381291139498</v>
      </c>
    </row>
    <row r="613" spans="1:57" x14ac:dyDescent="0.2">
      <c r="A613" s="2" t="s">
        <v>2928</v>
      </c>
      <c r="B613" s="2" t="s">
        <v>19</v>
      </c>
      <c r="C613" s="2" t="s">
        <v>1907</v>
      </c>
      <c r="D613" s="2" t="s">
        <v>21</v>
      </c>
      <c r="E613" s="2" t="s">
        <v>1935</v>
      </c>
      <c r="F613" s="2">
        <v>3</v>
      </c>
      <c r="G613" s="2">
        <v>279</v>
      </c>
      <c r="H613" s="2">
        <v>5</v>
      </c>
      <c r="I613" s="2">
        <v>5</v>
      </c>
      <c r="J613" s="2">
        <v>4</v>
      </c>
      <c r="K613" s="2" t="s">
        <v>61</v>
      </c>
      <c r="L613" s="6" t="s">
        <v>75</v>
      </c>
      <c r="M613" s="5">
        <v>900000000</v>
      </c>
      <c r="N613" s="2">
        <v>0</v>
      </c>
      <c r="O613" s="2">
        <v>4.6105001000000003</v>
      </c>
      <c r="P613" s="2">
        <v>-74.117102700000004</v>
      </c>
      <c r="Q613" s="2" t="s">
        <v>2929</v>
      </c>
      <c r="R613" s="2">
        <v>3225806.452</v>
      </c>
      <c r="S613" s="2">
        <v>0</v>
      </c>
      <c r="T613" s="2" t="s">
        <v>455</v>
      </c>
      <c r="U613" s="2" t="s">
        <v>456</v>
      </c>
      <c r="V613" s="2" t="s">
        <v>28</v>
      </c>
      <c r="W613" s="2" t="s">
        <v>39</v>
      </c>
      <c r="X613" s="2" t="s">
        <v>457</v>
      </c>
      <c r="Y613" s="2">
        <v>0.32699109659536602</v>
      </c>
      <c r="Z613" s="2">
        <v>4.6085000000000003</v>
      </c>
      <c r="AA613" s="2">
        <v>-74.114944444444404</v>
      </c>
      <c r="AB613" s="2">
        <v>2559</v>
      </c>
      <c r="AC613" s="2" t="s">
        <v>31</v>
      </c>
      <c r="AD613" s="2" t="s">
        <v>458</v>
      </c>
      <c r="AE613" s="2" t="s">
        <v>33</v>
      </c>
      <c r="AF613" s="2" t="s">
        <v>34</v>
      </c>
      <c r="AG613" s="2" t="s">
        <v>239</v>
      </c>
      <c r="AH613" s="2">
        <v>1.61821850988441</v>
      </c>
      <c r="AI613" s="2">
        <v>5.7976962495218096</v>
      </c>
      <c r="AJ613" s="2">
        <v>3.1178078878865199</v>
      </c>
      <c r="AK613" s="2">
        <v>0.54283053281581095</v>
      </c>
      <c r="AL613" s="2">
        <v>0.37355355589848499</v>
      </c>
      <c r="AM613" s="2">
        <v>16.600000000000001</v>
      </c>
      <c r="AN613" s="2">
        <v>101.7</v>
      </c>
      <c r="AO613" s="2">
        <v>19.899999999999999</v>
      </c>
      <c r="AP613" s="2">
        <v>564</v>
      </c>
      <c r="AQ613" s="2">
        <v>71</v>
      </c>
      <c r="AR613" s="2">
        <v>1.7</v>
      </c>
      <c r="AS613" s="2">
        <v>185</v>
      </c>
      <c r="AT613" s="2">
        <v>0.8</v>
      </c>
      <c r="AU613" s="2">
        <v>162</v>
      </c>
      <c r="AV613" s="2">
        <v>19.5</v>
      </c>
      <c r="AW613" s="2">
        <v>15.6</v>
      </c>
      <c r="AX613" s="2">
        <v>35</v>
      </c>
      <c r="AY613" s="2">
        <v>0.68</v>
      </c>
      <c r="AZ613" s="2">
        <v>5.4</v>
      </c>
      <c r="BA613" s="2">
        <v>0.9</v>
      </c>
      <c r="BB613" s="2">
        <v>4.5999999999999996</v>
      </c>
      <c r="BC613" s="2">
        <v>2.1</v>
      </c>
      <c r="BD613" s="2">
        <f>+AN613*EXP(-0.0495*Y613)</f>
        <v>100.06712829946011</v>
      </c>
      <c r="BE613" s="2">
        <f>+AO613*EXP(-0.024*Y613)</f>
        <v>19.744440250483446</v>
      </c>
    </row>
    <row r="614" spans="1:57" x14ac:dyDescent="0.2">
      <c r="A614" s="2" t="s">
        <v>2004</v>
      </c>
      <c r="B614" s="2" t="s">
        <v>19</v>
      </c>
      <c r="C614" s="2" t="s">
        <v>1907</v>
      </c>
      <c r="D614" s="2" t="s">
        <v>21</v>
      </c>
      <c r="E614" s="2" t="s">
        <v>1935</v>
      </c>
      <c r="F614" s="2">
        <v>3</v>
      </c>
      <c r="G614" s="2">
        <v>278</v>
      </c>
      <c r="H614" s="2">
        <v>3</v>
      </c>
      <c r="I614" s="2">
        <v>5</v>
      </c>
      <c r="J614" s="2">
        <v>3</v>
      </c>
      <c r="K614" s="2" t="s">
        <v>61</v>
      </c>
      <c r="L614" s="6" t="s">
        <v>84</v>
      </c>
      <c r="M614" s="5">
        <v>1250000000</v>
      </c>
      <c r="N614" s="2">
        <v>0</v>
      </c>
      <c r="O614" s="2">
        <v>4.6128768920000001</v>
      </c>
      <c r="P614" s="2">
        <v>-74.116661070000006</v>
      </c>
      <c r="Q614" s="2" t="s">
        <v>2005</v>
      </c>
      <c r="R614" s="2">
        <v>4496402.8779999996</v>
      </c>
      <c r="S614" s="2">
        <v>0</v>
      </c>
      <c r="T614" s="2" t="s">
        <v>455</v>
      </c>
      <c r="U614" s="2" t="s">
        <v>456</v>
      </c>
      <c r="V614" s="2" t="s">
        <v>28</v>
      </c>
      <c r="W614" s="2" t="s">
        <v>39</v>
      </c>
      <c r="X614" s="2" t="s">
        <v>457</v>
      </c>
      <c r="Y614" s="2">
        <v>0.52314174464185303</v>
      </c>
      <c r="Z614" s="2">
        <v>4.6085000000000003</v>
      </c>
      <c r="AA614" s="2">
        <v>-74.114944444444404</v>
      </c>
      <c r="AB614" s="2">
        <v>2559</v>
      </c>
      <c r="AC614" s="2" t="s">
        <v>31</v>
      </c>
      <c r="AD614" s="2" t="s">
        <v>458</v>
      </c>
      <c r="AE614" s="2" t="s">
        <v>33</v>
      </c>
      <c r="AF614" s="2" t="s">
        <v>34</v>
      </c>
      <c r="AG614" s="2" t="s">
        <v>239</v>
      </c>
      <c r="AH614" s="2">
        <v>1.74169543578513</v>
      </c>
      <c r="AI614" s="2">
        <v>5.7678922313466101</v>
      </c>
      <c r="AJ614" s="2">
        <v>3.1676433928977699</v>
      </c>
      <c r="AK614" s="2">
        <v>0.61302779483504999</v>
      </c>
      <c r="AL614" s="2">
        <v>0.30232624710183897</v>
      </c>
      <c r="AM614" s="2">
        <v>16.600000000000001</v>
      </c>
      <c r="AN614" s="2">
        <v>101.7</v>
      </c>
      <c r="AO614" s="2">
        <v>19.899999999999999</v>
      </c>
      <c r="AP614" s="2">
        <v>564</v>
      </c>
      <c r="AQ614" s="2">
        <v>71</v>
      </c>
      <c r="AR614" s="2">
        <v>1.7</v>
      </c>
      <c r="AS614" s="2">
        <v>185</v>
      </c>
      <c r="AT614" s="2">
        <v>0.8</v>
      </c>
      <c r="AU614" s="2">
        <v>162</v>
      </c>
      <c r="AV614" s="2">
        <v>19.5</v>
      </c>
      <c r="AW614" s="2">
        <v>15.6</v>
      </c>
      <c r="AX614" s="2">
        <v>35</v>
      </c>
      <c r="AY614" s="2">
        <v>0.68</v>
      </c>
      <c r="AZ614" s="2">
        <v>5.4</v>
      </c>
      <c r="BA614" s="2">
        <v>0.9</v>
      </c>
      <c r="BB614" s="2">
        <v>4.5999999999999996</v>
      </c>
      <c r="BC614" s="2">
        <v>2.1</v>
      </c>
      <c r="BD614" s="2">
        <f>+AN614*EXP(-0.0495*Y614)</f>
        <v>99.100232425329665</v>
      </c>
      <c r="BE614" s="2">
        <f>+AO614*EXP(-0.024*Y614)</f>
        <v>19.651709458188243</v>
      </c>
    </row>
    <row r="615" spans="1:57" x14ac:dyDescent="0.2">
      <c r="A615" s="2" t="s">
        <v>2873</v>
      </c>
      <c r="B615" s="2" t="s">
        <v>19</v>
      </c>
      <c r="C615" s="2" t="s">
        <v>1907</v>
      </c>
      <c r="D615" s="2" t="s">
        <v>21</v>
      </c>
      <c r="E615" s="2" t="s">
        <v>2874</v>
      </c>
      <c r="F615" s="2">
        <v>3</v>
      </c>
      <c r="G615" s="2">
        <v>270</v>
      </c>
      <c r="H615" s="2">
        <v>5</v>
      </c>
      <c r="I615" s="2">
        <v>3</v>
      </c>
      <c r="J615" s="2">
        <v>2</v>
      </c>
      <c r="K615" s="2" t="s">
        <v>61</v>
      </c>
      <c r="L615" s="6" t="s">
        <v>113</v>
      </c>
      <c r="M615" s="5">
        <v>880000000</v>
      </c>
      <c r="N615" s="2">
        <v>0</v>
      </c>
      <c r="O615" s="2">
        <v>4.6321399999999997</v>
      </c>
      <c r="P615" s="2">
        <v>-74.12979</v>
      </c>
      <c r="Q615" s="2" t="s">
        <v>2875</v>
      </c>
      <c r="R615" s="2">
        <v>3259259.2590000001</v>
      </c>
      <c r="S615" s="2">
        <v>0</v>
      </c>
      <c r="T615" s="2" t="s">
        <v>39</v>
      </c>
      <c r="U615" s="2" t="s">
        <v>40</v>
      </c>
      <c r="V615" s="2" t="s">
        <v>28</v>
      </c>
      <c r="W615" s="2" t="s">
        <v>39</v>
      </c>
      <c r="X615" s="2" t="s">
        <v>41</v>
      </c>
      <c r="Y615" s="2">
        <v>1.3661298221484199</v>
      </c>
      <c r="Z615" s="2">
        <v>4.6317666666666701</v>
      </c>
      <c r="AA615" s="2">
        <v>-74.117483333333297</v>
      </c>
      <c r="AB615" s="2">
        <v>2590</v>
      </c>
      <c r="AC615" s="2" t="s">
        <v>31</v>
      </c>
      <c r="AD615" s="2" t="s">
        <v>42</v>
      </c>
      <c r="AE615" s="2" t="s">
        <v>33</v>
      </c>
      <c r="AF615" s="2" t="s">
        <v>34</v>
      </c>
      <c r="AG615" s="2" t="s">
        <v>172</v>
      </c>
      <c r="AH615" s="2">
        <v>0.275310984071377</v>
      </c>
      <c r="AI615" s="2">
        <v>4.36846671193452</v>
      </c>
      <c r="AJ615" s="2">
        <v>1.26350634176875</v>
      </c>
      <c r="AK615" s="2">
        <v>0.19601464231471299</v>
      </c>
      <c r="AL615" s="2">
        <v>0.117432631641831</v>
      </c>
      <c r="AM615" s="2">
        <v>16.600000000000001</v>
      </c>
      <c r="AN615" s="2">
        <v>101.7</v>
      </c>
      <c r="AO615" s="2">
        <v>19.899999999999999</v>
      </c>
      <c r="AP615" s="2">
        <v>564</v>
      </c>
      <c r="AQ615" s="2">
        <v>71</v>
      </c>
      <c r="AR615" s="2">
        <v>1.7</v>
      </c>
      <c r="AS615" s="2">
        <v>185</v>
      </c>
      <c r="AT615" s="2">
        <v>0.8</v>
      </c>
      <c r="AU615" s="2">
        <v>162</v>
      </c>
      <c r="AV615" s="2">
        <v>19.5</v>
      </c>
      <c r="AW615" s="2">
        <v>15.6</v>
      </c>
      <c r="AX615" s="2">
        <v>35</v>
      </c>
      <c r="AY615" s="2">
        <v>0.68</v>
      </c>
      <c r="AZ615" s="2">
        <v>5.4</v>
      </c>
      <c r="BA615" s="2">
        <v>0.9</v>
      </c>
      <c r="BB615" s="2">
        <v>4.5999999999999996</v>
      </c>
      <c r="BC615" s="2">
        <v>2.1</v>
      </c>
      <c r="BD615" s="2">
        <f>+AN615*EXP(-0.0495*Y615)</f>
        <v>95.050076793181489</v>
      </c>
      <c r="BE615" s="2">
        <f>+AO615*EXP(-0.024*Y615)</f>
        <v>19.258116649540984</v>
      </c>
    </row>
    <row r="616" spans="1:57" x14ac:dyDescent="0.2">
      <c r="A616" s="2" t="s">
        <v>3032</v>
      </c>
      <c r="B616" s="2" t="s">
        <v>19</v>
      </c>
      <c r="C616" s="2" t="s">
        <v>1907</v>
      </c>
      <c r="D616" s="2" t="s">
        <v>21</v>
      </c>
      <c r="E616" s="2" t="s">
        <v>3033</v>
      </c>
      <c r="F616" s="2">
        <v>3</v>
      </c>
      <c r="G616" s="2">
        <v>260</v>
      </c>
      <c r="H616" s="2">
        <v>5</v>
      </c>
      <c r="I616" s="2">
        <v>5</v>
      </c>
      <c r="J616" s="2">
        <v>3</v>
      </c>
      <c r="K616" s="2" t="s">
        <v>61</v>
      </c>
      <c r="L616" s="6" t="s">
        <v>113</v>
      </c>
      <c r="M616" s="5">
        <v>630000000</v>
      </c>
      <c r="N616" s="2">
        <v>0</v>
      </c>
      <c r="O616" s="2">
        <v>4.5959801669999996</v>
      </c>
      <c r="P616" s="2">
        <v>-74.108879090000002</v>
      </c>
      <c r="Q616" s="2" t="s">
        <v>3034</v>
      </c>
      <c r="R616" s="2">
        <v>2423076.923</v>
      </c>
      <c r="S616" s="2">
        <v>0</v>
      </c>
      <c r="T616" s="2" t="s">
        <v>455</v>
      </c>
      <c r="U616" s="2" t="s">
        <v>456</v>
      </c>
      <c r="V616" s="2" t="s">
        <v>28</v>
      </c>
      <c r="W616" s="2" t="s">
        <v>39</v>
      </c>
      <c r="X616" s="2" t="s">
        <v>457</v>
      </c>
      <c r="Y616" s="2">
        <v>1.54769283502398</v>
      </c>
      <c r="Z616" s="2">
        <v>4.6085000000000003</v>
      </c>
      <c r="AA616" s="2">
        <v>-74.114944444444404</v>
      </c>
      <c r="AB616" s="2">
        <v>2559</v>
      </c>
      <c r="AC616" s="2" t="s">
        <v>31</v>
      </c>
      <c r="AD616" s="2" t="s">
        <v>458</v>
      </c>
      <c r="AE616" s="2" t="s">
        <v>33</v>
      </c>
      <c r="AF616" s="2" t="s">
        <v>34</v>
      </c>
      <c r="AG616" s="2" t="s">
        <v>938</v>
      </c>
      <c r="AH616" s="2">
        <v>0.248702066479661</v>
      </c>
      <c r="AI616" s="2">
        <v>4.4670185179139299</v>
      </c>
      <c r="AJ616" s="2">
        <v>1.7809519718834199</v>
      </c>
      <c r="AK616" s="2">
        <v>0.27286790343061701</v>
      </c>
      <c r="AL616" s="2">
        <v>6.3118024810152704E-2</v>
      </c>
      <c r="AM616" s="2">
        <v>16.600000000000001</v>
      </c>
      <c r="AN616" s="2">
        <v>101.7</v>
      </c>
      <c r="AO616" s="2">
        <v>19.899999999999999</v>
      </c>
      <c r="AP616" s="2">
        <v>564</v>
      </c>
      <c r="AQ616" s="2">
        <v>71</v>
      </c>
      <c r="AR616" s="2">
        <v>1.7</v>
      </c>
      <c r="AS616" s="2">
        <v>185</v>
      </c>
      <c r="AT616" s="2">
        <v>0.8</v>
      </c>
      <c r="AU616" s="2">
        <v>162</v>
      </c>
      <c r="AV616" s="2">
        <v>19.5</v>
      </c>
      <c r="AW616" s="2">
        <v>15.6</v>
      </c>
      <c r="AX616" s="2">
        <v>35</v>
      </c>
      <c r="AY616" s="2">
        <v>0.68</v>
      </c>
      <c r="AZ616" s="2">
        <v>5.4</v>
      </c>
      <c r="BA616" s="2">
        <v>0.9</v>
      </c>
      <c r="BB616" s="2">
        <v>4.5999999999999996</v>
      </c>
      <c r="BC616" s="2">
        <v>2.1</v>
      </c>
      <c r="BD616" s="2">
        <f>+AN616*EXP(-0.0495*Y616)</f>
        <v>94.199653922883357</v>
      </c>
      <c r="BE616" s="2">
        <f>+AO616*EXP(-0.024*Y616)</f>
        <v>19.174381739638381</v>
      </c>
    </row>
    <row r="617" spans="1:57" x14ac:dyDescent="0.2">
      <c r="A617" s="2" t="s">
        <v>1934</v>
      </c>
      <c r="B617" s="2" t="s">
        <v>19</v>
      </c>
      <c r="C617" s="2" t="s">
        <v>1907</v>
      </c>
      <c r="D617" s="2" t="s">
        <v>21</v>
      </c>
      <c r="E617" s="2" t="s">
        <v>1935</v>
      </c>
      <c r="F617" s="2">
        <v>3</v>
      </c>
      <c r="G617" s="2">
        <v>256</v>
      </c>
      <c r="H617" s="2">
        <v>5</v>
      </c>
      <c r="I617" s="2">
        <v>4</v>
      </c>
      <c r="J617" s="2">
        <v>2</v>
      </c>
      <c r="K617" s="2" t="s">
        <v>61</v>
      </c>
      <c r="L617" s="6" t="s">
        <v>113</v>
      </c>
      <c r="M617" s="5">
        <v>870000000</v>
      </c>
      <c r="N617" s="2">
        <v>0</v>
      </c>
      <c r="O617" s="2">
        <v>4.6119149999999998</v>
      </c>
      <c r="P617" s="2">
        <v>-74.117769999999993</v>
      </c>
      <c r="Q617" s="2" t="s">
        <v>1936</v>
      </c>
      <c r="R617" s="2">
        <v>3398437.5</v>
      </c>
      <c r="S617" s="2">
        <v>0</v>
      </c>
      <c r="T617" s="2" t="s">
        <v>455</v>
      </c>
      <c r="U617" s="2" t="s">
        <v>456</v>
      </c>
      <c r="V617" s="2" t="s">
        <v>28</v>
      </c>
      <c r="W617" s="2" t="s">
        <v>39</v>
      </c>
      <c r="X617" s="2" t="s">
        <v>457</v>
      </c>
      <c r="Y617" s="2">
        <v>0.49276212341073899</v>
      </c>
      <c r="Z617" s="2">
        <v>4.6085000000000003</v>
      </c>
      <c r="AA617" s="2">
        <v>-74.114944444444404</v>
      </c>
      <c r="AB617" s="2">
        <v>2559</v>
      </c>
      <c r="AC617" s="2" t="s">
        <v>31</v>
      </c>
      <c r="AD617" s="2" t="s">
        <v>458</v>
      </c>
      <c r="AE617" s="2" t="s">
        <v>33</v>
      </c>
      <c r="AF617" s="2" t="s">
        <v>34</v>
      </c>
      <c r="AG617" s="2" t="s">
        <v>239</v>
      </c>
      <c r="AH617" s="2">
        <v>1.7911892551306401</v>
      </c>
      <c r="AI617" s="2">
        <v>5.8813384055570896</v>
      </c>
      <c r="AJ617" s="2">
        <v>3.1640612277585101</v>
      </c>
      <c r="AK617" s="2">
        <v>0.71257850290289004</v>
      </c>
      <c r="AL617" s="2">
        <v>0.24232116879492299</v>
      </c>
      <c r="AM617" s="2">
        <v>16.600000000000001</v>
      </c>
      <c r="AN617" s="2">
        <v>101.7</v>
      </c>
      <c r="AO617" s="2">
        <v>19.899999999999999</v>
      </c>
      <c r="AP617" s="2">
        <v>564</v>
      </c>
      <c r="AQ617" s="2">
        <v>71</v>
      </c>
      <c r="AR617" s="2">
        <v>1.7</v>
      </c>
      <c r="AS617" s="2">
        <v>185</v>
      </c>
      <c r="AT617" s="2">
        <v>0.8</v>
      </c>
      <c r="AU617" s="2">
        <v>162</v>
      </c>
      <c r="AV617" s="2">
        <v>19.5</v>
      </c>
      <c r="AW617" s="2">
        <v>15.6</v>
      </c>
      <c r="AX617" s="2">
        <v>35</v>
      </c>
      <c r="AY617" s="2">
        <v>0.68</v>
      </c>
      <c r="AZ617" s="2">
        <v>5.4</v>
      </c>
      <c r="BA617" s="2">
        <v>0.9</v>
      </c>
      <c r="BB617" s="2">
        <v>4.5999999999999996</v>
      </c>
      <c r="BC617" s="2">
        <v>2.1</v>
      </c>
      <c r="BD617" s="2">
        <f>+AN617*EXP(-0.0495*Y617)</f>
        <v>99.249370596050227</v>
      </c>
      <c r="BE617" s="2">
        <f>+AO617*EXP(-0.024*Y617)</f>
        <v>19.66604295866626</v>
      </c>
    </row>
    <row r="618" spans="1:57" x14ac:dyDescent="0.2">
      <c r="A618" s="2" t="s">
        <v>3067</v>
      </c>
      <c r="B618" s="2" t="s">
        <v>19</v>
      </c>
      <c r="C618" s="2" t="s">
        <v>1907</v>
      </c>
      <c r="D618" s="2" t="s">
        <v>21</v>
      </c>
      <c r="E618" s="2" t="s">
        <v>3068</v>
      </c>
      <c r="F618" s="2">
        <v>3</v>
      </c>
      <c r="G618" s="2">
        <v>238</v>
      </c>
      <c r="H618" s="2">
        <v>5</v>
      </c>
      <c r="I618" s="2">
        <v>3</v>
      </c>
      <c r="J618" s="2">
        <v>1</v>
      </c>
      <c r="K618" s="2" t="s">
        <v>61</v>
      </c>
      <c r="L618" s="6" t="s">
        <v>113</v>
      </c>
      <c r="M618" s="5">
        <v>700000000</v>
      </c>
      <c r="N618" s="2">
        <v>0</v>
      </c>
      <c r="O618" s="2">
        <v>4.5985899999999997</v>
      </c>
      <c r="P618" s="2">
        <v>-74.113159999999993</v>
      </c>
      <c r="Q618" s="2" t="s">
        <v>3069</v>
      </c>
      <c r="R618" s="2">
        <v>2941176.4709999999</v>
      </c>
      <c r="S618" s="2">
        <v>0</v>
      </c>
      <c r="T618" s="2" t="s">
        <v>455</v>
      </c>
      <c r="U618" s="2" t="s">
        <v>456</v>
      </c>
      <c r="V618" s="2" t="s">
        <v>28</v>
      </c>
      <c r="W618" s="2" t="s">
        <v>39</v>
      </c>
      <c r="X618" s="2" t="s">
        <v>457</v>
      </c>
      <c r="Y618" s="2">
        <v>1.12080446919737</v>
      </c>
      <c r="Z618" s="2">
        <v>4.6085000000000003</v>
      </c>
      <c r="AA618" s="2">
        <v>-74.114944444444404</v>
      </c>
      <c r="AB618" s="2">
        <v>2559</v>
      </c>
      <c r="AC618" s="2" t="s">
        <v>31</v>
      </c>
      <c r="AD618" s="2" t="s">
        <v>458</v>
      </c>
      <c r="AE618" s="2" t="s">
        <v>33</v>
      </c>
      <c r="AF618" s="2" t="s">
        <v>34</v>
      </c>
      <c r="AG618" s="2" t="s">
        <v>239</v>
      </c>
      <c r="AH618" s="2">
        <v>0.31000251666999001</v>
      </c>
      <c r="AI618" s="2">
        <v>5.0225007353533897</v>
      </c>
      <c r="AJ618" s="2">
        <v>2.32828563492949</v>
      </c>
      <c r="AK618" s="2">
        <v>0.37875347948475702</v>
      </c>
      <c r="AL618" s="2">
        <v>4.5226041317536901E-2</v>
      </c>
      <c r="AM618" s="2">
        <v>16.600000000000001</v>
      </c>
      <c r="AN618" s="2">
        <v>101.7</v>
      </c>
      <c r="AO618" s="2">
        <v>19.899999999999999</v>
      </c>
      <c r="AP618" s="2">
        <v>564</v>
      </c>
      <c r="AQ618" s="2">
        <v>71</v>
      </c>
      <c r="AR618" s="2">
        <v>1.7</v>
      </c>
      <c r="AS618" s="2">
        <v>185</v>
      </c>
      <c r="AT618" s="2">
        <v>0.8</v>
      </c>
      <c r="AU618" s="2">
        <v>162</v>
      </c>
      <c r="AV618" s="2">
        <v>19.5</v>
      </c>
      <c r="AW618" s="2">
        <v>15.6</v>
      </c>
      <c r="AX618" s="2">
        <v>35</v>
      </c>
      <c r="AY618" s="2">
        <v>0.68</v>
      </c>
      <c r="AZ618" s="2">
        <v>5.4</v>
      </c>
      <c r="BA618" s="2">
        <v>0.9</v>
      </c>
      <c r="BB618" s="2">
        <v>4.5999999999999996</v>
      </c>
      <c r="BC618" s="2">
        <v>2.1</v>
      </c>
      <c r="BD618" s="2">
        <f>+AN618*EXP(-0.0495*Y618)</f>
        <v>96.211364215140506</v>
      </c>
      <c r="BE618" s="2">
        <f>+AO618*EXP(-0.024*Y618)</f>
        <v>19.371839211686581</v>
      </c>
    </row>
    <row r="619" spans="1:57" x14ac:dyDescent="0.2">
      <c r="A619" s="2" t="s">
        <v>1108</v>
      </c>
      <c r="B619" s="2" t="s">
        <v>19</v>
      </c>
      <c r="C619" s="2" t="s">
        <v>20</v>
      </c>
      <c r="D619" s="2" t="s">
        <v>21</v>
      </c>
      <c r="E619" s="2" t="s">
        <v>81</v>
      </c>
      <c r="F619" s="2">
        <v>4</v>
      </c>
      <c r="G619" s="2">
        <v>226.67</v>
      </c>
      <c r="H619" s="2">
        <v>3</v>
      </c>
      <c r="I619" s="2">
        <v>4</v>
      </c>
      <c r="J619" s="2">
        <v>2</v>
      </c>
      <c r="K619" s="2" t="s">
        <v>61</v>
      </c>
      <c r="L619" s="6" t="s">
        <v>113</v>
      </c>
      <c r="M619" s="5">
        <v>2200000000</v>
      </c>
      <c r="N619" s="2">
        <v>0</v>
      </c>
      <c r="O619" s="2">
        <v>4.5965499999999997</v>
      </c>
      <c r="P619" s="2">
        <v>-74.095950000000002</v>
      </c>
      <c r="Q619" s="2" t="s">
        <v>1109</v>
      </c>
      <c r="R619" s="2">
        <v>9705739.6209999993</v>
      </c>
      <c r="S619" s="2">
        <v>0</v>
      </c>
      <c r="T619" s="2" t="s">
        <v>455</v>
      </c>
      <c r="U619" s="2" t="s">
        <v>456</v>
      </c>
      <c r="V619" s="2" t="s">
        <v>28</v>
      </c>
      <c r="W619" s="2" t="s">
        <v>39</v>
      </c>
      <c r="X619" s="2" t="s">
        <v>457</v>
      </c>
      <c r="Y619" s="2">
        <v>2.4923345855875301</v>
      </c>
      <c r="Z619" s="2">
        <v>4.6085000000000003</v>
      </c>
      <c r="AA619" s="2">
        <v>-74.114944444444404</v>
      </c>
      <c r="AB619" s="2">
        <v>2559</v>
      </c>
      <c r="AC619" s="2" t="s">
        <v>31</v>
      </c>
      <c r="AD619" s="2" t="s">
        <v>458</v>
      </c>
      <c r="AE619" s="2" t="s">
        <v>33</v>
      </c>
      <c r="AF619" s="2" t="s">
        <v>34</v>
      </c>
      <c r="AG619" s="2" t="s">
        <v>259</v>
      </c>
      <c r="AH619" s="2">
        <v>0.849737302432373</v>
      </c>
      <c r="AI619" s="2">
        <v>3.2810393332641299</v>
      </c>
      <c r="AJ619" s="2">
        <v>0.89994462002576203</v>
      </c>
      <c r="AK619" s="2">
        <v>0.39230940878007597</v>
      </c>
      <c r="AL619" s="2">
        <v>1.5700144271330398E-2</v>
      </c>
      <c r="AM619" s="2">
        <v>16.600000000000001</v>
      </c>
      <c r="AN619" s="2">
        <v>101.7</v>
      </c>
      <c r="AO619" s="2">
        <v>19.899999999999999</v>
      </c>
      <c r="AP619" s="2">
        <v>564</v>
      </c>
      <c r="AQ619" s="2">
        <v>71</v>
      </c>
      <c r="AR619" s="2">
        <v>1.7</v>
      </c>
      <c r="AS619" s="2">
        <v>185</v>
      </c>
      <c r="AT619" s="2">
        <v>0.8</v>
      </c>
      <c r="AU619" s="2">
        <v>162</v>
      </c>
      <c r="AV619" s="2">
        <v>19.5</v>
      </c>
      <c r="AW619" s="2">
        <v>15.6</v>
      </c>
      <c r="AX619" s="2">
        <v>35</v>
      </c>
      <c r="AY619" s="2">
        <v>0.68</v>
      </c>
      <c r="AZ619" s="2">
        <v>5.4</v>
      </c>
      <c r="BA619" s="2">
        <v>0.9</v>
      </c>
      <c r="BB619" s="2">
        <v>4.5999999999999996</v>
      </c>
      <c r="BC619" s="2">
        <v>2.1</v>
      </c>
      <c r="BD619" s="2">
        <f>+AN619*EXP(-0.0495*Y619)</f>
        <v>89.896296159473479</v>
      </c>
      <c r="BE619" s="2">
        <f>+AO619*EXP(-0.024*Y619)</f>
        <v>18.744562337260788</v>
      </c>
    </row>
    <row r="620" spans="1:57" x14ac:dyDescent="0.2">
      <c r="A620" s="2" t="s">
        <v>2333</v>
      </c>
      <c r="B620" s="2" t="s">
        <v>19</v>
      </c>
      <c r="C620" s="2" t="s">
        <v>1907</v>
      </c>
      <c r="D620" s="2" t="s">
        <v>21</v>
      </c>
      <c r="E620" s="2" t="s">
        <v>2334</v>
      </c>
      <c r="F620" s="2">
        <v>3</v>
      </c>
      <c r="G620" s="2">
        <v>224</v>
      </c>
      <c r="H620" s="2">
        <v>5</v>
      </c>
      <c r="I620" s="2">
        <v>5</v>
      </c>
      <c r="J620" s="2">
        <v>4</v>
      </c>
      <c r="K620" s="2" t="s">
        <v>61</v>
      </c>
      <c r="L620" s="6" t="s">
        <v>113</v>
      </c>
      <c r="M620" s="5">
        <v>850000000</v>
      </c>
      <c r="N620" s="2">
        <v>0</v>
      </c>
      <c r="O620" s="2">
        <v>4.5939016339999998</v>
      </c>
      <c r="P620" s="2">
        <v>-74.100013730000001</v>
      </c>
      <c r="Q620" s="2" t="s">
        <v>2335</v>
      </c>
      <c r="R620" s="2">
        <v>3794642.8569999998</v>
      </c>
      <c r="S620" s="2">
        <v>0</v>
      </c>
      <c r="T620" s="2" t="s">
        <v>455</v>
      </c>
      <c r="U620" s="2" t="s">
        <v>456</v>
      </c>
      <c r="V620" s="2" t="s">
        <v>28</v>
      </c>
      <c r="W620" s="2" t="s">
        <v>39</v>
      </c>
      <c r="X620" s="2" t="s">
        <v>457</v>
      </c>
      <c r="Y620" s="2">
        <v>2.3206948707712298</v>
      </c>
      <c r="Z620" s="2">
        <v>4.6085000000000003</v>
      </c>
      <c r="AA620" s="2">
        <v>-74.114944444444404</v>
      </c>
      <c r="AB620" s="2">
        <v>2559</v>
      </c>
      <c r="AC620" s="2" t="s">
        <v>31</v>
      </c>
      <c r="AD620" s="2" t="s">
        <v>458</v>
      </c>
      <c r="AE620" s="2" t="s">
        <v>33</v>
      </c>
      <c r="AF620" s="2" t="s">
        <v>34</v>
      </c>
      <c r="AG620" s="2" t="s">
        <v>938</v>
      </c>
      <c r="AH620" s="2">
        <v>0.90629343930143502</v>
      </c>
      <c r="AI620" s="2">
        <v>3.5211831854251301</v>
      </c>
      <c r="AJ620" s="2">
        <v>1.0283276198681199</v>
      </c>
      <c r="AK620" s="2">
        <v>0.48916904100450698</v>
      </c>
      <c r="AL620" s="2">
        <v>0.39255505800998203</v>
      </c>
      <c r="AM620" s="2">
        <v>16.600000000000001</v>
      </c>
      <c r="AN620" s="2">
        <v>101.7</v>
      </c>
      <c r="AO620" s="2">
        <v>19.899999999999999</v>
      </c>
      <c r="AP620" s="2">
        <v>564</v>
      </c>
      <c r="AQ620" s="2">
        <v>71</v>
      </c>
      <c r="AR620" s="2">
        <v>1.7</v>
      </c>
      <c r="AS620" s="2">
        <v>185</v>
      </c>
      <c r="AT620" s="2">
        <v>0.8</v>
      </c>
      <c r="AU620" s="2">
        <v>162</v>
      </c>
      <c r="AV620" s="2">
        <v>19.5</v>
      </c>
      <c r="AW620" s="2">
        <v>15.6</v>
      </c>
      <c r="AX620" s="2">
        <v>35</v>
      </c>
      <c r="AY620" s="2">
        <v>0.68</v>
      </c>
      <c r="AZ620" s="2">
        <v>5.4</v>
      </c>
      <c r="BA620" s="2">
        <v>0.9</v>
      </c>
      <c r="BB620" s="2">
        <v>4.5999999999999996</v>
      </c>
      <c r="BC620" s="2">
        <v>2.1</v>
      </c>
      <c r="BD620" s="2">
        <f>+AN620*EXP(-0.0495*Y620)</f>
        <v>90.663323786953697</v>
      </c>
      <c r="BE620" s="2">
        <f>+AO620*EXP(-0.024*Y620)</f>
        <v>18.821937066778322</v>
      </c>
    </row>
    <row r="621" spans="1:57" x14ac:dyDescent="0.2">
      <c r="A621" s="2" t="s">
        <v>2123</v>
      </c>
      <c r="B621" s="2" t="s">
        <v>19</v>
      </c>
      <c r="C621" s="2" t="s">
        <v>1907</v>
      </c>
      <c r="D621" s="2" t="s">
        <v>21</v>
      </c>
      <c r="E621" s="2" t="s">
        <v>936</v>
      </c>
      <c r="F621" s="2">
        <v>3</v>
      </c>
      <c r="G621" s="2">
        <v>206</v>
      </c>
      <c r="H621" s="2">
        <v>3</v>
      </c>
      <c r="I621" s="2">
        <v>3</v>
      </c>
      <c r="J621" s="2">
        <v>0</v>
      </c>
      <c r="K621" s="2" t="s">
        <v>61</v>
      </c>
      <c r="L621" s="6" t="s">
        <v>113</v>
      </c>
      <c r="M621" s="5">
        <v>1500000000</v>
      </c>
      <c r="N621" s="2">
        <v>0</v>
      </c>
      <c r="O621" s="2">
        <v>4.5935597420000001</v>
      </c>
      <c r="P621" s="2">
        <v>-74.113540650000004</v>
      </c>
      <c r="Q621" s="2" t="s">
        <v>2124</v>
      </c>
      <c r="R621" s="2">
        <v>7281553.398</v>
      </c>
      <c r="S621" s="2">
        <v>0</v>
      </c>
      <c r="T621" s="2" t="s">
        <v>455</v>
      </c>
      <c r="U621" s="2" t="s">
        <v>456</v>
      </c>
      <c r="V621" s="2" t="s">
        <v>28</v>
      </c>
      <c r="W621" s="2" t="s">
        <v>39</v>
      </c>
      <c r="X621" s="2" t="s">
        <v>457</v>
      </c>
      <c r="Y621" s="2">
        <v>1.6704203357880401</v>
      </c>
      <c r="Z621" s="2">
        <v>4.6085000000000003</v>
      </c>
      <c r="AA621" s="2">
        <v>-74.114944444444404</v>
      </c>
      <c r="AB621" s="2">
        <v>2559</v>
      </c>
      <c r="AC621" s="2" t="s">
        <v>31</v>
      </c>
      <c r="AD621" s="2" t="s">
        <v>458</v>
      </c>
      <c r="AE621" s="2" t="s">
        <v>33</v>
      </c>
      <c r="AF621" s="2" t="s">
        <v>34</v>
      </c>
      <c r="AG621" s="2" t="s">
        <v>938</v>
      </c>
      <c r="AH621" s="2">
        <v>0.50039139321516002</v>
      </c>
      <c r="AI621" s="2">
        <v>4.7961427782238797</v>
      </c>
      <c r="AJ621" s="2">
        <v>2.0551035607480799</v>
      </c>
      <c r="AK621" s="2">
        <v>0.17951037432650499</v>
      </c>
      <c r="AL621" s="2">
        <v>0.236309549539231</v>
      </c>
      <c r="AM621" s="2">
        <v>16.600000000000001</v>
      </c>
      <c r="AN621" s="2">
        <v>101.7</v>
      </c>
      <c r="AO621" s="2">
        <v>19.899999999999999</v>
      </c>
      <c r="AP621" s="2">
        <v>564</v>
      </c>
      <c r="AQ621" s="2">
        <v>71</v>
      </c>
      <c r="AR621" s="2">
        <v>1.7</v>
      </c>
      <c r="AS621" s="2">
        <v>185</v>
      </c>
      <c r="AT621" s="2">
        <v>0.8</v>
      </c>
      <c r="AU621" s="2">
        <v>162</v>
      </c>
      <c r="AV621" s="2">
        <v>19.5</v>
      </c>
      <c r="AW621" s="2">
        <v>15.6</v>
      </c>
      <c r="AX621" s="2">
        <v>35</v>
      </c>
      <c r="AY621" s="2">
        <v>0.68</v>
      </c>
      <c r="AZ621" s="2">
        <v>5.4</v>
      </c>
      <c r="BA621" s="2">
        <v>0.9</v>
      </c>
      <c r="BB621" s="2">
        <v>4.5999999999999996</v>
      </c>
      <c r="BC621" s="2">
        <v>2.1</v>
      </c>
      <c r="BD621" s="2">
        <f>+AN621*EXP(-0.0495*Y621)</f>
        <v>93.629124702370561</v>
      </c>
      <c r="BE621" s="2">
        <f>+AO621*EXP(-0.024*Y621)</f>
        <v>19.117987459168944</v>
      </c>
    </row>
    <row r="622" spans="1:57" x14ac:dyDescent="0.2">
      <c r="A622" s="2" t="s">
        <v>2912</v>
      </c>
      <c r="B622" s="2" t="s">
        <v>19</v>
      </c>
      <c r="C622" s="2" t="s">
        <v>1907</v>
      </c>
      <c r="D622" s="2" t="s">
        <v>21</v>
      </c>
      <c r="E622" s="2" t="s">
        <v>2913</v>
      </c>
      <c r="F622" s="2">
        <v>4</v>
      </c>
      <c r="G622" s="2">
        <v>180</v>
      </c>
      <c r="H622" s="2">
        <v>3</v>
      </c>
      <c r="I622" s="2">
        <v>4</v>
      </c>
      <c r="J622" s="2">
        <v>3</v>
      </c>
      <c r="K622" s="2" t="s">
        <v>61</v>
      </c>
      <c r="L622" s="6" t="s">
        <v>84</v>
      </c>
      <c r="M622" s="5">
        <v>1400000000</v>
      </c>
      <c r="N622" s="2">
        <v>0</v>
      </c>
      <c r="O622" s="2">
        <v>4.6303868289999999</v>
      </c>
      <c r="P622" s="2">
        <v>-74.137672420000001</v>
      </c>
      <c r="Q622" s="2" t="s">
        <v>2914</v>
      </c>
      <c r="R622" s="2">
        <v>7777777.7779999999</v>
      </c>
      <c r="S622" s="2">
        <v>0</v>
      </c>
      <c r="T622" s="2" t="s">
        <v>39</v>
      </c>
      <c r="U622" s="2" t="s">
        <v>40</v>
      </c>
      <c r="V622" s="2" t="s">
        <v>28</v>
      </c>
      <c r="W622" s="2" t="s">
        <v>39</v>
      </c>
      <c r="X622" s="2" t="s">
        <v>41</v>
      </c>
      <c r="Y622" s="2">
        <v>2.24536154740853</v>
      </c>
      <c r="Z622" s="2">
        <v>4.6317666666666701</v>
      </c>
      <c r="AA622" s="2">
        <v>-74.117483333333297</v>
      </c>
      <c r="AB622" s="2">
        <v>2590</v>
      </c>
      <c r="AC622" s="2" t="s">
        <v>31</v>
      </c>
      <c r="AD622" s="2" t="s">
        <v>42</v>
      </c>
      <c r="AE622" s="2" t="s">
        <v>33</v>
      </c>
      <c r="AF622" s="2" t="s">
        <v>34</v>
      </c>
      <c r="AG622" s="2" t="s">
        <v>172</v>
      </c>
      <c r="AH622" s="2">
        <v>0.383491936785962</v>
      </c>
      <c r="AI622" s="2">
        <v>3.9524423290657298</v>
      </c>
      <c r="AJ622" s="2">
        <v>2.04605402543599</v>
      </c>
      <c r="AK622" s="2">
        <v>9.7869732131273798E-2</v>
      </c>
      <c r="AL622" s="2">
        <v>0.236287413271312</v>
      </c>
      <c r="AM622" s="2">
        <v>16.600000000000001</v>
      </c>
      <c r="AN622" s="2">
        <v>101.7</v>
      </c>
      <c r="AO622" s="2">
        <v>19.899999999999999</v>
      </c>
      <c r="AP622" s="2">
        <v>564</v>
      </c>
      <c r="AQ622" s="2">
        <v>71</v>
      </c>
      <c r="AR622" s="2">
        <v>1.7</v>
      </c>
      <c r="AS622" s="2">
        <v>185</v>
      </c>
      <c r="AT622" s="2">
        <v>0.8</v>
      </c>
      <c r="AU622" s="2">
        <v>162</v>
      </c>
      <c r="AV622" s="2">
        <v>19.5</v>
      </c>
      <c r="AW622" s="2">
        <v>15.6</v>
      </c>
      <c r="AX622" s="2">
        <v>35</v>
      </c>
      <c r="AY622" s="2">
        <v>0.68</v>
      </c>
      <c r="AZ622" s="2">
        <v>5.4</v>
      </c>
      <c r="BA622" s="2">
        <v>0.9</v>
      </c>
      <c r="BB622" s="2">
        <v>4.5999999999999996</v>
      </c>
      <c r="BC622" s="2">
        <v>2.1</v>
      </c>
      <c r="BD622" s="2">
        <f>+AN622*EXP(-0.0495*Y622)</f>
        <v>91.00203841745585</v>
      </c>
      <c r="BE622" s="2">
        <f>+AO622*EXP(-0.024*Y622)</f>
        <v>18.855997906207474</v>
      </c>
    </row>
    <row r="623" spans="1:57" x14ac:dyDescent="0.2">
      <c r="A623" s="2" t="s">
        <v>2526</v>
      </c>
      <c r="B623" s="2" t="s">
        <v>19</v>
      </c>
      <c r="C623" s="2" t="s">
        <v>1907</v>
      </c>
      <c r="D623" s="2" t="s">
        <v>21</v>
      </c>
      <c r="E623" s="2" t="s">
        <v>2527</v>
      </c>
      <c r="F623" s="2">
        <v>3</v>
      </c>
      <c r="G623" s="2">
        <v>180</v>
      </c>
      <c r="H623" s="2">
        <v>5</v>
      </c>
      <c r="I623" s="2">
        <v>2</v>
      </c>
      <c r="J623" s="2">
        <v>1</v>
      </c>
      <c r="K623" s="2" t="s">
        <v>61</v>
      </c>
      <c r="L623" s="6" t="s">
        <v>113</v>
      </c>
      <c r="M623" s="5">
        <v>545000000</v>
      </c>
      <c r="N623" s="2">
        <v>0</v>
      </c>
      <c r="O623" s="2">
        <v>4.5953969959999998</v>
      </c>
      <c r="P623" s="2">
        <v>-74.125709529999995</v>
      </c>
      <c r="Q623" s="2" t="s">
        <v>2528</v>
      </c>
      <c r="R623" s="2">
        <v>3027777.7779999999</v>
      </c>
      <c r="S623" s="2">
        <v>0</v>
      </c>
      <c r="T623" s="2" t="s">
        <v>455</v>
      </c>
      <c r="U623" s="2" t="s">
        <v>456</v>
      </c>
      <c r="V623" s="2" t="s">
        <v>28</v>
      </c>
      <c r="W623" s="2" t="s">
        <v>39</v>
      </c>
      <c r="X623" s="2" t="s">
        <v>457</v>
      </c>
      <c r="Y623" s="2">
        <v>1.8853124299672499</v>
      </c>
      <c r="Z623" s="2">
        <v>4.6085000000000003</v>
      </c>
      <c r="AA623" s="2">
        <v>-74.114944444444404</v>
      </c>
      <c r="AB623" s="2">
        <v>2559</v>
      </c>
      <c r="AC623" s="2" t="s">
        <v>31</v>
      </c>
      <c r="AD623" s="2" t="s">
        <v>458</v>
      </c>
      <c r="AE623" s="2" t="s">
        <v>33</v>
      </c>
      <c r="AF623" s="2" t="s">
        <v>34</v>
      </c>
      <c r="AG623" s="2" t="s">
        <v>239</v>
      </c>
      <c r="AH623" s="2">
        <v>0.27885337441175501</v>
      </c>
      <c r="AI623" s="2">
        <v>5.9223400538406299</v>
      </c>
      <c r="AJ623" s="2">
        <v>1.2101787465615601</v>
      </c>
      <c r="AK623" s="2">
        <v>0.15495293222857601</v>
      </c>
      <c r="AL623" s="2">
        <v>0.268846032437635</v>
      </c>
      <c r="AM623" s="2">
        <v>16.600000000000001</v>
      </c>
      <c r="AN623" s="2">
        <v>101.7</v>
      </c>
      <c r="AO623" s="2">
        <v>19.899999999999999</v>
      </c>
      <c r="AP623" s="2">
        <v>564</v>
      </c>
      <c r="AQ623" s="2">
        <v>71</v>
      </c>
      <c r="AR623" s="2">
        <v>1.7</v>
      </c>
      <c r="AS623" s="2">
        <v>185</v>
      </c>
      <c r="AT623" s="2">
        <v>0.8</v>
      </c>
      <c r="AU623" s="2">
        <v>162</v>
      </c>
      <c r="AV623" s="2">
        <v>19.5</v>
      </c>
      <c r="AW623" s="2">
        <v>15.6</v>
      </c>
      <c r="AX623" s="2">
        <v>35</v>
      </c>
      <c r="AY623" s="2">
        <v>0.68</v>
      </c>
      <c r="AZ623" s="2">
        <v>5.4</v>
      </c>
      <c r="BA623" s="2">
        <v>0.9</v>
      </c>
      <c r="BB623" s="2">
        <v>4.5999999999999996</v>
      </c>
      <c r="BC623" s="2">
        <v>2.1</v>
      </c>
      <c r="BD623" s="2">
        <f>+AN623*EXP(-0.0495*Y623)</f>
        <v>92.638455143280254</v>
      </c>
      <c r="BE623" s="2">
        <f>+AO623*EXP(-0.024*Y623)</f>
        <v>19.019641976481335</v>
      </c>
    </row>
    <row r="624" spans="1:57" x14ac:dyDescent="0.2">
      <c r="A624" s="2" t="s">
        <v>3152</v>
      </c>
      <c r="B624" s="2" t="s">
        <v>19</v>
      </c>
      <c r="C624" s="2" t="s">
        <v>1907</v>
      </c>
      <c r="D624" s="2" t="s">
        <v>21</v>
      </c>
      <c r="E624" s="2" t="s">
        <v>2341</v>
      </c>
      <c r="F624" s="2">
        <v>3</v>
      </c>
      <c r="G624" s="2">
        <v>172.4</v>
      </c>
      <c r="H624" s="2">
        <v>5</v>
      </c>
      <c r="I624" s="2">
        <v>2</v>
      </c>
      <c r="J624" s="2">
        <v>1</v>
      </c>
      <c r="K624" s="2" t="s">
        <v>61</v>
      </c>
      <c r="L624" s="6" t="s">
        <v>113</v>
      </c>
      <c r="M624" s="5">
        <v>1200000000</v>
      </c>
      <c r="N624" s="2">
        <v>0</v>
      </c>
      <c r="O624" s="2">
        <v>4.6368499999999999</v>
      </c>
      <c r="P624" s="2">
        <v>-74.138829999999999</v>
      </c>
      <c r="Q624" s="2" t="s">
        <v>3153</v>
      </c>
      <c r="R624" s="2">
        <v>6960556.8449999997</v>
      </c>
      <c r="S624" s="2">
        <v>0</v>
      </c>
      <c r="T624" s="2" t="s">
        <v>39</v>
      </c>
      <c r="U624" s="2" t="s">
        <v>40</v>
      </c>
      <c r="V624" s="2" t="s">
        <v>28</v>
      </c>
      <c r="W624" s="2" t="s">
        <v>39</v>
      </c>
      <c r="X624" s="2" t="s">
        <v>41</v>
      </c>
      <c r="Y624" s="2">
        <v>2.4351906246208199</v>
      </c>
      <c r="Z624" s="2">
        <v>4.6317666666666701</v>
      </c>
      <c r="AA624" s="2">
        <v>-74.117483333333297</v>
      </c>
      <c r="AB624" s="2">
        <v>2590</v>
      </c>
      <c r="AC624" s="2" t="s">
        <v>31</v>
      </c>
      <c r="AD624" s="2" t="s">
        <v>42</v>
      </c>
      <c r="AE624" s="2" t="s">
        <v>33</v>
      </c>
      <c r="AF624" s="2" t="s">
        <v>34</v>
      </c>
      <c r="AG624" s="2" t="s">
        <v>172</v>
      </c>
      <c r="AH624" s="2">
        <v>0.715960466409853</v>
      </c>
      <c r="AI624" s="2">
        <v>3.3050930772165898</v>
      </c>
      <c r="AJ624" s="2">
        <v>1.8654041635527101</v>
      </c>
      <c r="AK624" s="2">
        <v>0.107331796992398</v>
      </c>
      <c r="AL624" s="2">
        <v>0.333342998864194</v>
      </c>
      <c r="AM624" s="2">
        <v>16.600000000000001</v>
      </c>
      <c r="AN624" s="2">
        <v>101.7</v>
      </c>
      <c r="AO624" s="2">
        <v>19.899999999999999</v>
      </c>
      <c r="AP624" s="2">
        <v>564</v>
      </c>
      <c r="AQ624" s="2">
        <v>71</v>
      </c>
      <c r="AR624" s="2">
        <v>1.7</v>
      </c>
      <c r="AS624" s="2">
        <v>185</v>
      </c>
      <c r="AT624" s="2">
        <v>0.8</v>
      </c>
      <c r="AU624" s="2">
        <v>162</v>
      </c>
      <c r="AV624" s="2">
        <v>19.5</v>
      </c>
      <c r="AW624" s="2">
        <v>15.6</v>
      </c>
      <c r="AX624" s="2">
        <v>35</v>
      </c>
      <c r="AY624" s="2">
        <v>0.68</v>
      </c>
      <c r="AZ624" s="2">
        <v>5.4</v>
      </c>
      <c r="BA624" s="2">
        <v>0.9</v>
      </c>
      <c r="BB624" s="2">
        <v>4.5999999999999996</v>
      </c>
      <c r="BC624" s="2">
        <v>2.1</v>
      </c>
      <c r="BD624" s="2">
        <f>+AN624*EXP(-0.0495*Y624)</f>
        <v>90.150939141295865</v>
      </c>
      <c r="BE624" s="2">
        <f>+AO624*EXP(-0.024*Y624)</f>
        <v>18.770287298467711</v>
      </c>
    </row>
    <row r="625" spans="1:57" x14ac:dyDescent="0.2">
      <c r="A625" s="2" t="s">
        <v>303</v>
      </c>
      <c r="B625" s="2" t="s">
        <v>19</v>
      </c>
      <c r="C625" s="2" t="s">
        <v>20</v>
      </c>
      <c r="D625" s="2" t="s">
        <v>21</v>
      </c>
      <c r="E625" s="2" t="s">
        <v>304</v>
      </c>
      <c r="F625" s="2">
        <v>5</v>
      </c>
      <c r="G625" s="2">
        <v>169</v>
      </c>
      <c r="H625" s="2">
        <v>4</v>
      </c>
      <c r="I625" s="2">
        <v>5</v>
      </c>
      <c r="J625" s="2">
        <v>3</v>
      </c>
      <c r="K625" s="2" t="s">
        <v>61</v>
      </c>
      <c r="L625" s="6" t="s">
        <v>62</v>
      </c>
      <c r="M625" s="5">
        <v>2523000000</v>
      </c>
      <c r="N625" s="2">
        <v>0</v>
      </c>
      <c r="O625" s="2">
        <v>4.6520961170000001</v>
      </c>
      <c r="P625" s="2">
        <v>-74.114721220000007</v>
      </c>
      <c r="Q625" s="2" t="s">
        <v>305</v>
      </c>
      <c r="R625" s="2">
        <v>14928994.08</v>
      </c>
      <c r="S625" s="2">
        <v>0</v>
      </c>
      <c r="T625" s="2" t="s">
        <v>39</v>
      </c>
      <c r="U625" s="2" t="s">
        <v>40</v>
      </c>
      <c r="V625" s="2" t="s">
        <v>28</v>
      </c>
      <c r="W625" s="2" t="s">
        <v>39</v>
      </c>
      <c r="X625" s="2" t="s">
        <v>41</v>
      </c>
      <c r="Y625" s="2">
        <v>2.2837210592853201</v>
      </c>
      <c r="Z625" s="2">
        <v>4.6317666666666701</v>
      </c>
      <c r="AA625" s="2">
        <v>-74.117483333333297</v>
      </c>
      <c r="AB625" s="2">
        <v>2590</v>
      </c>
      <c r="AC625" s="2" t="s">
        <v>31</v>
      </c>
      <c r="AD625" s="2" t="s">
        <v>42</v>
      </c>
      <c r="AE625" s="2" t="s">
        <v>33</v>
      </c>
      <c r="AF625" s="2" t="s">
        <v>34</v>
      </c>
      <c r="AG625" s="2" t="s">
        <v>43</v>
      </c>
      <c r="AH625" s="2">
        <v>1.1464426946367099</v>
      </c>
      <c r="AI625" s="2">
        <v>4.8637988329979001</v>
      </c>
      <c r="AJ625" s="2">
        <v>1.08462065636417</v>
      </c>
      <c r="AK625" s="2">
        <v>0.32448510025067501</v>
      </c>
      <c r="AL625" s="2">
        <v>0.14154277969326201</v>
      </c>
      <c r="AM625" s="2">
        <v>16.600000000000001</v>
      </c>
      <c r="AN625" s="2">
        <v>101.7</v>
      </c>
      <c r="AO625" s="2">
        <v>19.899999999999999</v>
      </c>
      <c r="AP625" s="2">
        <v>564</v>
      </c>
      <c r="AQ625" s="2">
        <v>71</v>
      </c>
      <c r="AR625" s="2">
        <v>1.7</v>
      </c>
      <c r="AS625" s="2">
        <v>185</v>
      </c>
      <c r="AT625" s="2">
        <v>0.8</v>
      </c>
      <c r="AU625" s="2">
        <v>162</v>
      </c>
      <c r="AV625" s="2">
        <v>19.5</v>
      </c>
      <c r="AW625" s="2">
        <v>15.6</v>
      </c>
      <c r="AX625" s="2">
        <v>35</v>
      </c>
      <c r="AY625" s="2">
        <v>0.68</v>
      </c>
      <c r="AZ625" s="2">
        <v>5.4</v>
      </c>
      <c r="BA625" s="2">
        <v>0.9</v>
      </c>
      <c r="BB625" s="2">
        <v>4.5999999999999996</v>
      </c>
      <c r="BC625" s="2">
        <v>2.1</v>
      </c>
      <c r="BD625" s="2">
        <f>+AN625*EXP(-0.0495*Y625)</f>
        <v>90.82940807242575</v>
      </c>
      <c r="BE625" s="2">
        <f>+AO625*EXP(-0.024*Y625)</f>
        <v>18.838646529501922</v>
      </c>
    </row>
    <row r="626" spans="1:57" x14ac:dyDescent="0.2">
      <c r="A626" s="2" t="s">
        <v>2300</v>
      </c>
      <c r="B626" s="2" t="s">
        <v>19</v>
      </c>
      <c r="C626" s="2" t="s">
        <v>1907</v>
      </c>
      <c r="D626" s="2" t="s">
        <v>21</v>
      </c>
      <c r="E626" s="2" t="s">
        <v>2301</v>
      </c>
      <c r="F626" s="2">
        <v>3</v>
      </c>
      <c r="G626" s="2">
        <v>150</v>
      </c>
      <c r="H626" s="2">
        <v>4</v>
      </c>
      <c r="I626" s="2">
        <v>3</v>
      </c>
      <c r="J626" s="2">
        <v>1</v>
      </c>
      <c r="K626" s="2" t="s">
        <v>61</v>
      </c>
      <c r="L626" s="6" t="s">
        <v>113</v>
      </c>
      <c r="M626" s="5">
        <v>720000000</v>
      </c>
      <c r="N626" s="2">
        <v>0</v>
      </c>
      <c r="O626" s="2">
        <v>4.6165218350000004</v>
      </c>
      <c r="P626" s="2">
        <v>-74.128273010000001</v>
      </c>
      <c r="Q626" s="2" t="s">
        <v>2302</v>
      </c>
      <c r="R626" s="2">
        <v>4800000</v>
      </c>
      <c r="S626" s="2">
        <v>0</v>
      </c>
      <c r="T626" s="2" t="s">
        <v>455</v>
      </c>
      <c r="U626" s="2" t="s">
        <v>456</v>
      </c>
      <c r="V626" s="2" t="s">
        <v>28</v>
      </c>
      <c r="W626" s="2" t="s">
        <v>39</v>
      </c>
      <c r="X626" s="2" t="s">
        <v>457</v>
      </c>
      <c r="Y626" s="2">
        <v>1.7276112895047999</v>
      </c>
      <c r="Z626" s="2">
        <v>4.6085000000000003</v>
      </c>
      <c r="AA626" s="2">
        <v>-74.114944444444404</v>
      </c>
      <c r="AB626" s="2">
        <v>2559</v>
      </c>
      <c r="AC626" s="2" t="s">
        <v>31</v>
      </c>
      <c r="AD626" s="2" t="s">
        <v>458</v>
      </c>
      <c r="AE626" s="2" t="s">
        <v>33</v>
      </c>
      <c r="AF626" s="2" t="s">
        <v>34</v>
      </c>
      <c r="AG626" s="2" t="s">
        <v>172</v>
      </c>
      <c r="AH626" s="2">
        <v>1.46890426649095</v>
      </c>
      <c r="AI626" s="2">
        <v>5.8056153078711903</v>
      </c>
      <c r="AJ626" s="2">
        <v>2.7725023261952302</v>
      </c>
      <c r="AK626" s="2">
        <v>0.55617628237911299</v>
      </c>
      <c r="AL626" s="2">
        <v>0.15623300803718199</v>
      </c>
      <c r="AM626" s="2">
        <v>16.600000000000001</v>
      </c>
      <c r="AN626" s="2">
        <v>101.7</v>
      </c>
      <c r="AO626" s="2">
        <v>19.899999999999999</v>
      </c>
      <c r="AP626" s="2">
        <v>564</v>
      </c>
      <c r="AQ626" s="2">
        <v>71</v>
      </c>
      <c r="AR626" s="2">
        <v>1.7</v>
      </c>
      <c r="AS626" s="2">
        <v>185</v>
      </c>
      <c r="AT626" s="2">
        <v>0.8</v>
      </c>
      <c r="AU626" s="2">
        <v>162</v>
      </c>
      <c r="AV626" s="2">
        <v>19.5</v>
      </c>
      <c r="AW626" s="2">
        <v>15.6</v>
      </c>
      <c r="AX626" s="2">
        <v>35</v>
      </c>
      <c r="AY626" s="2">
        <v>0.68</v>
      </c>
      <c r="AZ626" s="2">
        <v>5.4</v>
      </c>
      <c r="BA626" s="2">
        <v>0.9</v>
      </c>
      <c r="BB626" s="2">
        <v>4.5999999999999996</v>
      </c>
      <c r="BC626" s="2">
        <v>2.1</v>
      </c>
      <c r="BD626" s="2">
        <f>+AN626*EXP(-0.0495*Y626)</f>
        <v>93.364439956674005</v>
      </c>
      <c r="BE626" s="2">
        <f>+AO626*EXP(-0.024*Y626)</f>
        <v>19.091764437458934</v>
      </c>
    </row>
    <row r="627" spans="1:57" x14ac:dyDescent="0.2">
      <c r="A627" s="2" t="s">
        <v>2511</v>
      </c>
      <c r="B627" s="2" t="s">
        <v>19</v>
      </c>
      <c r="C627" s="2" t="s">
        <v>1907</v>
      </c>
      <c r="D627" s="2" t="s">
        <v>21</v>
      </c>
      <c r="E627" s="2" t="s">
        <v>2512</v>
      </c>
      <c r="F627" s="2">
        <v>4</v>
      </c>
      <c r="G627" s="2">
        <v>126</v>
      </c>
      <c r="H627" s="2">
        <v>4</v>
      </c>
      <c r="I627" s="2">
        <v>3</v>
      </c>
      <c r="J627" s="2">
        <v>1</v>
      </c>
      <c r="K627" s="2" t="s">
        <v>61</v>
      </c>
      <c r="L627" s="6" t="s">
        <v>113</v>
      </c>
      <c r="M627" s="5">
        <v>830000000</v>
      </c>
      <c r="N627" s="2">
        <v>0</v>
      </c>
      <c r="O627" s="2">
        <v>4.6424200000000004</v>
      </c>
      <c r="P627" s="2">
        <v>-74.126080000000002</v>
      </c>
      <c r="Q627" s="2" t="s">
        <v>2513</v>
      </c>
      <c r="R627" s="2">
        <v>6587301.5870000003</v>
      </c>
      <c r="S627" s="2">
        <v>0</v>
      </c>
      <c r="T627" s="2" t="s">
        <v>39</v>
      </c>
      <c r="U627" s="2" t="s">
        <v>40</v>
      </c>
      <c r="V627" s="2" t="s">
        <v>28</v>
      </c>
      <c r="W627" s="2" t="s">
        <v>39</v>
      </c>
      <c r="X627" s="2" t="s">
        <v>41</v>
      </c>
      <c r="Y627" s="2">
        <v>1.5219177074493899</v>
      </c>
      <c r="Z627" s="2">
        <v>4.6317666666666701</v>
      </c>
      <c r="AA627" s="2">
        <v>-74.117483333333297</v>
      </c>
      <c r="AB627" s="2">
        <v>2590</v>
      </c>
      <c r="AC627" s="2" t="s">
        <v>31</v>
      </c>
      <c r="AD627" s="2" t="s">
        <v>42</v>
      </c>
      <c r="AE627" s="2" t="s">
        <v>33</v>
      </c>
      <c r="AF627" s="2" t="s">
        <v>34</v>
      </c>
      <c r="AG627" s="2" t="s">
        <v>172</v>
      </c>
      <c r="AH627" s="2">
        <v>1.479283535128</v>
      </c>
      <c r="AI627" s="2">
        <v>4.0191984352101402</v>
      </c>
      <c r="AJ627" s="2">
        <v>0.42889270737936802</v>
      </c>
      <c r="AK627" s="2">
        <v>0.36506592995333897</v>
      </c>
      <c r="AL627" s="2">
        <v>0.15857087111778101</v>
      </c>
      <c r="AM627" s="2">
        <v>16.600000000000001</v>
      </c>
      <c r="AN627" s="2">
        <v>101.7</v>
      </c>
      <c r="AO627" s="2">
        <v>19.899999999999999</v>
      </c>
      <c r="AP627" s="2">
        <v>564</v>
      </c>
      <c r="AQ627" s="2">
        <v>71</v>
      </c>
      <c r="AR627" s="2">
        <v>1.7</v>
      </c>
      <c r="AS627" s="2">
        <v>185</v>
      </c>
      <c r="AT627" s="2">
        <v>0.8</v>
      </c>
      <c r="AU627" s="2">
        <v>162</v>
      </c>
      <c r="AV627" s="2">
        <v>19.5</v>
      </c>
      <c r="AW627" s="2">
        <v>15.6</v>
      </c>
      <c r="AX627" s="2">
        <v>35</v>
      </c>
      <c r="AY627" s="2">
        <v>0.68</v>
      </c>
      <c r="AZ627" s="2">
        <v>5.4</v>
      </c>
      <c r="BA627" s="2">
        <v>0.9</v>
      </c>
      <c r="BB627" s="2">
        <v>4.5999999999999996</v>
      </c>
      <c r="BC627" s="2">
        <v>2.1</v>
      </c>
      <c r="BD627" s="2">
        <f>+AN627*EXP(-0.0495*Y627)</f>
        <v>94.319917027360106</v>
      </c>
      <c r="BE627" s="2">
        <f>+AO627*EXP(-0.024*Y627)</f>
        <v>19.186246740374983</v>
      </c>
    </row>
    <row r="628" spans="1:57" x14ac:dyDescent="0.2">
      <c r="A628" s="2" t="s">
        <v>2251</v>
      </c>
      <c r="B628" s="2" t="s">
        <v>19</v>
      </c>
      <c r="C628" s="2" t="s">
        <v>1907</v>
      </c>
      <c r="D628" s="2" t="s">
        <v>21</v>
      </c>
      <c r="E628" s="2" t="s">
        <v>2252</v>
      </c>
      <c r="F628" s="2">
        <v>3</v>
      </c>
      <c r="G628" s="2">
        <v>126</v>
      </c>
      <c r="H628" s="2">
        <v>3</v>
      </c>
      <c r="I628" s="2">
        <v>3</v>
      </c>
      <c r="J628" s="2">
        <v>1</v>
      </c>
      <c r="K628" s="2" t="s">
        <v>61</v>
      </c>
      <c r="L628" s="6" t="s">
        <v>113</v>
      </c>
      <c r="M628" s="5">
        <v>750000000</v>
      </c>
      <c r="N628" s="2">
        <v>0</v>
      </c>
      <c r="O628" s="2">
        <v>4.6356415750000002</v>
      </c>
      <c r="P628" s="2">
        <v>-74.138008119999995</v>
      </c>
      <c r="Q628" s="2" t="s">
        <v>2253</v>
      </c>
      <c r="R628" s="2">
        <v>5952380.9519999996</v>
      </c>
      <c r="S628" s="2">
        <v>0</v>
      </c>
      <c r="T628" s="2" t="s">
        <v>39</v>
      </c>
      <c r="U628" s="2" t="s">
        <v>40</v>
      </c>
      <c r="V628" s="2" t="s">
        <v>28</v>
      </c>
      <c r="W628" s="2" t="s">
        <v>39</v>
      </c>
      <c r="X628" s="2" t="s">
        <v>41</v>
      </c>
      <c r="Y628" s="2">
        <v>2.31783242407788</v>
      </c>
      <c r="Z628" s="2">
        <v>4.6317666666666701</v>
      </c>
      <c r="AA628" s="2">
        <v>-74.117483333333297</v>
      </c>
      <c r="AB628" s="2">
        <v>2590</v>
      </c>
      <c r="AC628" s="2" t="s">
        <v>31</v>
      </c>
      <c r="AD628" s="2" t="s">
        <v>42</v>
      </c>
      <c r="AE628" s="2" t="s">
        <v>33</v>
      </c>
      <c r="AF628" s="2" t="s">
        <v>34</v>
      </c>
      <c r="AG628" s="2" t="s">
        <v>172</v>
      </c>
      <c r="AH628" s="2">
        <v>0.64181290593412799</v>
      </c>
      <c r="AI628" s="2">
        <v>3.4660754899348998</v>
      </c>
      <c r="AJ628" s="2">
        <v>1.8156201225948201</v>
      </c>
      <c r="AK628" s="2">
        <v>0.16778672587861601</v>
      </c>
      <c r="AL628" s="2">
        <v>0.24865642968222501</v>
      </c>
      <c r="AM628" s="2">
        <v>16.600000000000001</v>
      </c>
      <c r="AN628" s="2">
        <v>101.7</v>
      </c>
      <c r="AO628" s="2">
        <v>19.899999999999999</v>
      </c>
      <c r="AP628" s="2">
        <v>564</v>
      </c>
      <c r="AQ628" s="2">
        <v>71</v>
      </c>
      <c r="AR628" s="2">
        <v>1.7</v>
      </c>
      <c r="AS628" s="2">
        <v>185</v>
      </c>
      <c r="AT628" s="2">
        <v>0.8</v>
      </c>
      <c r="AU628" s="2">
        <v>162</v>
      </c>
      <c r="AV628" s="2">
        <v>19.5</v>
      </c>
      <c r="AW628" s="2">
        <v>15.6</v>
      </c>
      <c r="AX628" s="2">
        <v>35</v>
      </c>
      <c r="AY628" s="2">
        <v>0.68</v>
      </c>
      <c r="AZ628" s="2">
        <v>5.4</v>
      </c>
      <c r="BA628" s="2">
        <v>0.9</v>
      </c>
      <c r="BB628" s="2">
        <v>4.5999999999999996</v>
      </c>
      <c r="BC628" s="2">
        <v>2.1</v>
      </c>
      <c r="BD628" s="2">
        <f>+AN628*EXP(-0.0495*Y628)</f>
        <v>90.676170884195358</v>
      </c>
      <c r="BE628" s="2">
        <f>+AO628*EXP(-0.024*Y628)</f>
        <v>18.823230154190998</v>
      </c>
    </row>
    <row r="629" spans="1:57" x14ac:dyDescent="0.2">
      <c r="A629" s="2" t="s">
        <v>2947</v>
      </c>
      <c r="B629" s="2" t="s">
        <v>19</v>
      </c>
      <c r="C629" s="2" t="s">
        <v>1907</v>
      </c>
      <c r="D629" s="2" t="s">
        <v>21</v>
      </c>
      <c r="E629" s="2" t="s">
        <v>252</v>
      </c>
      <c r="F629" s="2">
        <v>3</v>
      </c>
      <c r="G629" s="2">
        <v>123</v>
      </c>
      <c r="H629" s="2">
        <v>3</v>
      </c>
      <c r="I629" s="2">
        <v>2</v>
      </c>
      <c r="J629" s="2">
        <v>1</v>
      </c>
      <c r="K629" s="2" t="s">
        <v>61</v>
      </c>
      <c r="L629" s="6" t="s">
        <v>113</v>
      </c>
      <c r="M629" s="5">
        <v>680000000</v>
      </c>
      <c r="N629" s="2">
        <v>0</v>
      </c>
      <c r="O629" s="2">
        <v>4.6234107</v>
      </c>
      <c r="P629" s="2">
        <v>-74.108590000000007</v>
      </c>
      <c r="Q629" s="2" t="s">
        <v>2948</v>
      </c>
      <c r="R629" s="2">
        <v>5528455.2850000001</v>
      </c>
      <c r="S629" s="2">
        <v>0</v>
      </c>
      <c r="T629" s="2" t="s">
        <v>39</v>
      </c>
      <c r="U629" s="2" t="s">
        <v>40</v>
      </c>
      <c r="V629" s="2" t="s">
        <v>28</v>
      </c>
      <c r="W629" s="2" t="s">
        <v>39</v>
      </c>
      <c r="X629" s="2" t="s">
        <v>41</v>
      </c>
      <c r="Y629" s="2">
        <v>1.3560831642100799</v>
      </c>
      <c r="Z629" s="2">
        <v>4.6317666666666701</v>
      </c>
      <c r="AA629" s="2">
        <v>-74.117483333333297</v>
      </c>
      <c r="AB629" s="2">
        <v>2590</v>
      </c>
      <c r="AC629" s="2" t="s">
        <v>31</v>
      </c>
      <c r="AD629" s="2" t="s">
        <v>42</v>
      </c>
      <c r="AE629" s="2" t="s">
        <v>33</v>
      </c>
      <c r="AF629" s="2" t="s">
        <v>34</v>
      </c>
      <c r="AG629" s="2" t="s">
        <v>239</v>
      </c>
      <c r="AH629" s="2">
        <v>0.50422727186690297</v>
      </c>
      <c r="AI629" s="2">
        <v>5.0478362221020099</v>
      </c>
      <c r="AJ629" s="2">
        <v>2.47622016023977</v>
      </c>
      <c r="AK629" s="2">
        <v>0.187115382537066</v>
      </c>
      <c r="AL629" s="2">
        <v>0.65295343851665699</v>
      </c>
      <c r="AM629" s="2">
        <v>16.600000000000001</v>
      </c>
      <c r="AN629" s="2">
        <v>101.7</v>
      </c>
      <c r="AO629" s="2">
        <v>19.899999999999999</v>
      </c>
      <c r="AP629" s="2">
        <v>564</v>
      </c>
      <c r="AQ629" s="2">
        <v>71</v>
      </c>
      <c r="AR629" s="2">
        <v>1.7</v>
      </c>
      <c r="AS629" s="2">
        <v>185</v>
      </c>
      <c r="AT629" s="2">
        <v>0.8</v>
      </c>
      <c r="AU629" s="2">
        <v>162</v>
      </c>
      <c r="AV629" s="2">
        <v>19.5</v>
      </c>
      <c r="AW629" s="2">
        <v>15.6</v>
      </c>
      <c r="AX629" s="2">
        <v>35</v>
      </c>
      <c r="AY629" s="2">
        <v>0.68</v>
      </c>
      <c r="AZ629" s="2">
        <v>5.4</v>
      </c>
      <c r="BA629" s="2">
        <v>0.9</v>
      </c>
      <c r="BB629" s="2">
        <v>4.5999999999999996</v>
      </c>
      <c r="BC629" s="2">
        <v>2.1</v>
      </c>
      <c r="BD629" s="2">
        <f>+AN629*EXP(-0.0495*Y629)</f>
        <v>95.097357861494302</v>
      </c>
      <c r="BE629" s="2">
        <f>+AO629*EXP(-0.024*Y629)</f>
        <v>19.262760722459777</v>
      </c>
    </row>
    <row r="630" spans="1:57" x14ac:dyDescent="0.2">
      <c r="A630" s="2" t="s">
        <v>2245</v>
      </c>
      <c r="B630" s="2" t="s">
        <v>19</v>
      </c>
      <c r="C630" s="2" t="s">
        <v>1907</v>
      </c>
      <c r="D630" s="2" t="s">
        <v>21</v>
      </c>
      <c r="E630" s="2" t="s">
        <v>2246</v>
      </c>
      <c r="F630" s="2">
        <v>3</v>
      </c>
      <c r="G630" s="2">
        <v>120</v>
      </c>
      <c r="H630" s="2">
        <v>4</v>
      </c>
      <c r="I630" s="2">
        <v>2</v>
      </c>
      <c r="J630" s="2">
        <v>1</v>
      </c>
      <c r="K630" s="2" t="s">
        <v>61</v>
      </c>
      <c r="L630" s="6" t="s">
        <v>75</v>
      </c>
      <c r="M630" s="5">
        <v>550000000</v>
      </c>
      <c r="N630" s="2">
        <v>0</v>
      </c>
      <c r="O630" s="2">
        <v>4.609058857</v>
      </c>
      <c r="P630" s="2">
        <v>-74.123466489999998</v>
      </c>
      <c r="Q630" s="2" t="s">
        <v>2247</v>
      </c>
      <c r="R630" s="2">
        <v>4583333.3329999996</v>
      </c>
      <c r="S630" s="2">
        <v>0</v>
      </c>
      <c r="T630" s="2" t="s">
        <v>455</v>
      </c>
      <c r="U630" s="2" t="s">
        <v>456</v>
      </c>
      <c r="V630" s="2" t="s">
        <v>28</v>
      </c>
      <c r="W630" s="2" t="s">
        <v>39</v>
      </c>
      <c r="X630" s="2" t="s">
        <v>457</v>
      </c>
      <c r="Y630" s="2">
        <v>0.94764658177503402</v>
      </c>
      <c r="Z630" s="2">
        <v>4.6085000000000003</v>
      </c>
      <c r="AA630" s="2">
        <v>-74.114944444444404</v>
      </c>
      <c r="AB630" s="2">
        <v>2559</v>
      </c>
      <c r="AC630" s="2" t="s">
        <v>31</v>
      </c>
      <c r="AD630" s="2" t="s">
        <v>458</v>
      </c>
      <c r="AE630" s="2" t="s">
        <v>33</v>
      </c>
      <c r="AF630" s="2" t="s">
        <v>34</v>
      </c>
      <c r="AG630" s="2" t="s">
        <v>239</v>
      </c>
      <c r="AH630" s="2">
        <v>1.6855812775536301</v>
      </c>
      <c r="AI630" s="2">
        <v>6.4855102237920397</v>
      </c>
      <c r="AJ630" s="2">
        <v>2.49199001840404</v>
      </c>
      <c r="AK630" s="2">
        <v>0.25911690808892501</v>
      </c>
      <c r="AL630" s="2">
        <v>0.22094029295494499</v>
      </c>
      <c r="AM630" s="2">
        <v>16.600000000000001</v>
      </c>
      <c r="AN630" s="2">
        <v>101.7</v>
      </c>
      <c r="AO630" s="2">
        <v>19.899999999999999</v>
      </c>
      <c r="AP630" s="2">
        <v>564</v>
      </c>
      <c r="AQ630" s="2">
        <v>71</v>
      </c>
      <c r="AR630" s="2">
        <v>1.7</v>
      </c>
      <c r="AS630" s="2">
        <v>185</v>
      </c>
      <c r="AT630" s="2">
        <v>0.8</v>
      </c>
      <c r="AU630" s="2">
        <v>162</v>
      </c>
      <c r="AV630" s="2">
        <v>19.5</v>
      </c>
      <c r="AW630" s="2">
        <v>15.6</v>
      </c>
      <c r="AX630" s="2">
        <v>35</v>
      </c>
      <c r="AY630" s="2">
        <v>0.68</v>
      </c>
      <c r="AZ630" s="2">
        <v>5.4</v>
      </c>
      <c r="BA630" s="2">
        <v>0.9</v>
      </c>
      <c r="BB630" s="2">
        <v>4.5999999999999996</v>
      </c>
      <c r="BC630" s="2">
        <v>2.1</v>
      </c>
      <c r="BD630" s="2">
        <f>+AN630*EXP(-0.0495*Y630)</f>
        <v>97.039566486496156</v>
      </c>
      <c r="BE630" s="2">
        <f>+AO630*EXP(-0.024*Y630)</f>
        <v>19.452512007232414</v>
      </c>
    </row>
    <row r="631" spans="1:57" x14ac:dyDescent="0.2">
      <c r="A631" s="2" t="s">
        <v>632</v>
      </c>
      <c r="B631" s="2" t="s">
        <v>19</v>
      </c>
      <c r="C631" s="2" t="s">
        <v>20</v>
      </c>
      <c r="D631" s="2" t="s">
        <v>21</v>
      </c>
      <c r="E631" s="2" t="s">
        <v>119</v>
      </c>
      <c r="F631" s="2">
        <v>4</v>
      </c>
      <c r="G631" s="2">
        <v>114</v>
      </c>
      <c r="H631" s="2">
        <v>3</v>
      </c>
      <c r="I631" s="2">
        <v>2</v>
      </c>
      <c r="J631" s="2">
        <v>1</v>
      </c>
      <c r="K631" s="2" t="s">
        <v>61</v>
      </c>
      <c r="L631" s="6" t="s">
        <v>84</v>
      </c>
      <c r="M631" s="5">
        <v>1170000000</v>
      </c>
      <c r="N631" s="2">
        <v>0</v>
      </c>
      <c r="O631" s="2">
        <v>4.6326087999999999</v>
      </c>
      <c r="P631" s="2">
        <v>-74.094803999999996</v>
      </c>
      <c r="Q631" s="2" t="s">
        <v>633</v>
      </c>
      <c r="R631" s="2">
        <v>10263157.890000001</v>
      </c>
      <c r="S631" s="2">
        <v>0</v>
      </c>
      <c r="T631" s="2" t="s">
        <v>39</v>
      </c>
      <c r="U631" s="2" t="s">
        <v>40</v>
      </c>
      <c r="V631" s="2" t="s">
        <v>28</v>
      </c>
      <c r="W631" s="2" t="s">
        <v>39</v>
      </c>
      <c r="X631" s="2" t="s">
        <v>41</v>
      </c>
      <c r="Y631" s="2">
        <v>2.5181510767912401</v>
      </c>
      <c r="Z631" s="2">
        <v>4.6317666666666701</v>
      </c>
      <c r="AA631" s="2">
        <v>-74.117483333333297</v>
      </c>
      <c r="AB631" s="2">
        <v>2590</v>
      </c>
      <c r="AC631" s="2" t="s">
        <v>31</v>
      </c>
      <c r="AD631" s="2" t="s">
        <v>42</v>
      </c>
      <c r="AE631" s="2" t="s">
        <v>33</v>
      </c>
      <c r="AF631" s="2" t="s">
        <v>34</v>
      </c>
      <c r="AG631" s="2" t="s">
        <v>35</v>
      </c>
      <c r="AH631" s="2">
        <v>0.57181503350208196</v>
      </c>
      <c r="AI631" s="2">
        <v>3.7758131292430699</v>
      </c>
      <c r="AJ631" s="2">
        <v>0.93417997808318598</v>
      </c>
      <c r="AK631" s="2">
        <v>9.7207543241164499E-2</v>
      </c>
      <c r="AL631" s="2">
        <v>0.41999070928920801</v>
      </c>
      <c r="AM631" s="2">
        <v>16.600000000000001</v>
      </c>
      <c r="AN631" s="2">
        <v>101.7</v>
      </c>
      <c r="AO631" s="2">
        <v>19.899999999999999</v>
      </c>
      <c r="AP631" s="2">
        <v>564</v>
      </c>
      <c r="AQ631" s="2">
        <v>71</v>
      </c>
      <c r="AR631" s="2">
        <v>1.7</v>
      </c>
      <c r="AS631" s="2">
        <v>185</v>
      </c>
      <c r="AT631" s="2">
        <v>0.8</v>
      </c>
      <c r="AU631" s="2">
        <v>162</v>
      </c>
      <c r="AV631" s="2">
        <v>19.5</v>
      </c>
      <c r="AW631" s="2">
        <v>15.6</v>
      </c>
      <c r="AX631" s="2">
        <v>35</v>
      </c>
      <c r="AY631" s="2">
        <v>0.68</v>
      </c>
      <c r="AZ631" s="2">
        <v>5.4</v>
      </c>
      <c r="BA631" s="2">
        <v>0.9</v>
      </c>
      <c r="BB631" s="2">
        <v>4.5999999999999996</v>
      </c>
      <c r="BC631" s="2">
        <v>2.1</v>
      </c>
      <c r="BD631" s="2">
        <f>+AN631*EXP(-0.0495*Y631)</f>
        <v>89.781489588209809</v>
      </c>
      <c r="BE631" s="2">
        <f>+AO631*EXP(-0.024*Y631)</f>
        <v>18.732951882637884</v>
      </c>
    </row>
    <row r="632" spans="1:57" x14ac:dyDescent="0.2">
      <c r="A632" s="2" t="s">
        <v>960</v>
      </c>
      <c r="B632" s="2" t="s">
        <v>19</v>
      </c>
      <c r="C632" s="2" t="s">
        <v>20</v>
      </c>
      <c r="D632" s="2" t="s">
        <v>21</v>
      </c>
      <c r="E632" s="2" t="s">
        <v>961</v>
      </c>
      <c r="F632" s="2">
        <v>5</v>
      </c>
      <c r="G632" s="2">
        <v>111.04</v>
      </c>
      <c r="H632" s="2">
        <v>3</v>
      </c>
      <c r="I632" s="2">
        <v>3</v>
      </c>
      <c r="J632" s="2">
        <v>2</v>
      </c>
      <c r="K632" s="2" t="s">
        <v>61</v>
      </c>
      <c r="L632" s="6" t="s">
        <v>113</v>
      </c>
      <c r="M632" s="5">
        <v>850000000</v>
      </c>
      <c r="N632" s="2">
        <v>0</v>
      </c>
      <c r="O632" s="2">
        <v>4.6288600000000004</v>
      </c>
      <c r="P632" s="2">
        <v>-74.107389999999995</v>
      </c>
      <c r="Q632" s="2" t="s">
        <v>962</v>
      </c>
      <c r="R632" s="2">
        <v>7654899.1349999998</v>
      </c>
      <c r="S632" s="2">
        <v>0</v>
      </c>
      <c r="T632" s="2" t="s">
        <v>39</v>
      </c>
      <c r="U632" s="2" t="s">
        <v>40</v>
      </c>
      <c r="V632" s="2" t="s">
        <v>28</v>
      </c>
      <c r="W632" s="2" t="s">
        <v>39</v>
      </c>
      <c r="X632" s="2" t="s">
        <v>41</v>
      </c>
      <c r="Y632" s="2">
        <v>1.16572394331527</v>
      </c>
      <c r="Z632" s="2">
        <v>4.6317666666666701</v>
      </c>
      <c r="AA632" s="2">
        <v>-74.117483333333297</v>
      </c>
      <c r="AB632" s="2">
        <v>2590</v>
      </c>
      <c r="AC632" s="2" t="s">
        <v>31</v>
      </c>
      <c r="AD632" s="2" t="s">
        <v>42</v>
      </c>
      <c r="AE632" s="2" t="s">
        <v>33</v>
      </c>
      <c r="AF632" s="2" t="s">
        <v>34</v>
      </c>
      <c r="AG632" s="2" t="s">
        <v>239</v>
      </c>
      <c r="AH632" s="2">
        <v>0.46619352052992502</v>
      </c>
      <c r="AI632" s="2">
        <v>5.0734062009391403</v>
      </c>
      <c r="AJ632" s="2">
        <v>2.1425224031785701</v>
      </c>
      <c r="AK632" s="2">
        <v>0.32394033296010599</v>
      </c>
      <c r="AL632" s="2">
        <v>0.62617995536231597</v>
      </c>
      <c r="AM632" s="2">
        <v>16.600000000000001</v>
      </c>
      <c r="AN632" s="2">
        <v>101.7</v>
      </c>
      <c r="AO632" s="2">
        <v>19.899999999999999</v>
      </c>
      <c r="AP632" s="2">
        <v>564</v>
      </c>
      <c r="AQ632" s="2">
        <v>71</v>
      </c>
      <c r="AR632" s="2">
        <v>1.7</v>
      </c>
      <c r="AS632" s="2">
        <v>185</v>
      </c>
      <c r="AT632" s="2">
        <v>0.8</v>
      </c>
      <c r="AU632" s="2">
        <v>162</v>
      </c>
      <c r="AV632" s="2">
        <v>19.5</v>
      </c>
      <c r="AW632" s="2">
        <v>15.6</v>
      </c>
      <c r="AX632" s="2">
        <v>35</v>
      </c>
      <c r="AY632" s="2">
        <v>0.68</v>
      </c>
      <c r="AZ632" s="2">
        <v>5.4</v>
      </c>
      <c r="BA632" s="2">
        <v>0.9</v>
      </c>
      <c r="BB632" s="2">
        <v>4.5999999999999996</v>
      </c>
      <c r="BC632" s="2">
        <v>2.1</v>
      </c>
      <c r="BD632" s="2">
        <f>+AN632*EXP(-0.0495*Y632)</f>
        <v>95.997674561852293</v>
      </c>
      <c r="BE632" s="2">
        <f>+AO632*EXP(-0.024*Y632)</f>
        <v>19.350966316979562</v>
      </c>
    </row>
    <row r="633" spans="1:57" x14ac:dyDescent="0.2">
      <c r="A633" s="2" t="s">
        <v>2036</v>
      </c>
      <c r="B633" s="2" t="s">
        <v>19</v>
      </c>
      <c r="C633" s="2" t="s">
        <v>1907</v>
      </c>
      <c r="D633" s="2" t="s">
        <v>21</v>
      </c>
      <c r="E633" s="2" t="s">
        <v>119</v>
      </c>
      <c r="F633" s="2">
        <v>4</v>
      </c>
      <c r="G633" s="2">
        <v>111.03</v>
      </c>
      <c r="H633" s="2">
        <v>3</v>
      </c>
      <c r="I633" s="2">
        <v>3</v>
      </c>
      <c r="J633" s="2">
        <v>2</v>
      </c>
      <c r="K633" s="2" t="s">
        <v>61</v>
      </c>
      <c r="L633" s="6" t="s">
        <v>75</v>
      </c>
      <c r="M633" s="5">
        <v>850000000</v>
      </c>
      <c r="N633" s="2">
        <v>0</v>
      </c>
      <c r="O633" s="2">
        <v>4.6362224000000003</v>
      </c>
      <c r="P633" s="2">
        <v>-74.098029999999994</v>
      </c>
      <c r="Q633" s="2" t="s">
        <v>2037</v>
      </c>
      <c r="R633" s="2">
        <v>7655588.5800000001</v>
      </c>
      <c r="S633" s="2">
        <v>0</v>
      </c>
      <c r="T633" s="2" t="s">
        <v>39</v>
      </c>
      <c r="U633" s="2" t="s">
        <v>40</v>
      </c>
      <c r="V633" s="2" t="s">
        <v>28</v>
      </c>
      <c r="W633" s="2" t="s">
        <v>39</v>
      </c>
      <c r="X633" s="2" t="s">
        <v>41</v>
      </c>
      <c r="Y633" s="2">
        <v>2.2147142976701102</v>
      </c>
      <c r="Z633" s="2">
        <v>4.6317666666666701</v>
      </c>
      <c r="AA633" s="2">
        <v>-74.117483333333297</v>
      </c>
      <c r="AB633" s="2">
        <v>2590</v>
      </c>
      <c r="AC633" s="2" t="s">
        <v>31</v>
      </c>
      <c r="AD633" s="2" t="s">
        <v>42</v>
      </c>
      <c r="AE633" s="2" t="s">
        <v>33</v>
      </c>
      <c r="AF633" s="2" t="s">
        <v>34</v>
      </c>
      <c r="AG633" s="2" t="s">
        <v>35</v>
      </c>
      <c r="AH633" s="2">
        <v>0.56125663197199904</v>
      </c>
      <c r="AI633" s="2">
        <v>4.1895060677334799</v>
      </c>
      <c r="AJ633" s="2">
        <v>0.97704499704450898</v>
      </c>
      <c r="AK633" s="2">
        <v>0.29136128801929601</v>
      </c>
      <c r="AL633" s="2">
        <v>0.65362511184202898</v>
      </c>
      <c r="AM633" s="2">
        <v>16.600000000000001</v>
      </c>
      <c r="AN633" s="2">
        <v>101.7</v>
      </c>
      <c r="AO633" s="2">
        <v>19.899999999999999</v>
      </c>
      <c r="AP633" s="2">
        <v>564</v>
      </c>
      <c r="AQ633" s="2">
        <v>71</v>
      </c>
      <c r="AR633" s="2">
        <v>1.7</v>
      </c>
      <c r="AS633" s="2">
        <v>185</v>
      </c>
      <c r="AT633" s="2">
        <v>0.8</v>
      </c>
      <c r="AU633" s="2">
        <v>162</v>
      </c>
      <c r="AV633" s="2">
        <v>19.5</v>
      </c>
      <c r="AW633" s="2">
        <v>15.6</v>
      </c>
      <c r="AX633" s="2">
        <v>35</v>
      </c>
      <c r="AY633" s="2">
        <v>0.68</v>
      </c>
      <c r="AZ633" s="2">
        <v>5.4</v>
      </c>
      <c r="BA633" s="2">
        <v>0.9</v>
      </c>
      <c r="BB633" s="2">
        <v>4.5999999999999996</v>
      </c>
      <c r="BC633" s="2">
        <v>2.1</v>
      </c>
      <c r="BD633" s="2">
        <f>+AN633*EXP(-0.0495*Y633)</f>
        <v>91.140196815594052</v>
      </c>
      <c r="BE633" s="2">
        <f>+AO633*EXP(-0.024*Y633)</f>
        <v>18.869872235547962</v>
      </c>
    </row>
    <row r="634" spans="1:57" x14ac:dyDescent="0.2">
      <c r="A634" s="2" t="s">
        <v>695</v>
      </c>
      <c r="B634" s="2" t="s">
        <v>19</v>
      </c>
      <c r="C634" s="2" t="s">
        <v>20</v>
      </c>
      <c r="D634" s="2" t="s">
        <v>21</v>
      </c>
      <c r="E634" s="2" t="s">
        <v>696</v>
      </c>
      <c r="F634" s="2">
        <v>4</v>
      </c>
      <c r="G634" s="2">
        <v>98</v>
      </c>
      <c r="H634" s="2">
        <v>3</v>
      </c>
      <c r="I634" s="2">
        <v>3</v>
      </c>
      <c r="J634" s="2">
        <v>2</v>
      </c>
      <c r="K634" s="2" t="s">
        <v>61</v>
      </c>
      <c r="L634" s="6" t="s">
        <v>113</v>
      </c>
      <c r="M634" s="5">
        <v>850000000</v>
      </c>
      <c r="N634" s="2">
        <v>0</v>
      </c>
      <c r="O634" s="2">
        <v>4.6424709999999996</v>
      </c>
      <c r="P634" s="2">
        <v>-74.103876900000003</v>
      </c>
      <c r="Q634" s="2" t="s">
        <v>697</v>
      </c>
      <c r="R634" s="2">
        <v>8673469.3880000003</v>
      </c>
      <c r="S634" s="2">
        <v>0</v>
      </c>
      <c r="T634" s="2" t="s">
        <v>39</v>
      </c>
      <c r="U634" s="2" t="s">
        <v>40</v>
      </c>
      <c r="V634" s="2" t="s">
        <v>28</v>
      </c>
      <c r="W634" s="2" t="s">
        <v>39</v>
      </c>
      <c r="X634" s="2" t="s">
        <v>41</v>
      </c>
      <c r="Y634" s="2">
        <v>1.92330883233757</v>
      </c>
      <c r="Z634" s="2">
        <v>4.6317666666666701</v>
      </c>
      <c r="AA634" s="2">
        <v>-74.117483333333297</v>
      </c>
      <c r="AB634" s="2">
        <v>2590</v>
      </c>
      <c r="AC634" s="2" t="s">
        <v>31</v>
      </c>
      <c r="AD634" s="2" t="s">
        <v>42</v>
      </c>
      <c r="AE634" s="2" t="s">
        <v>33</v>
      </c>
      <c r="AF634" s="2" t="s">
        <v>34</v>
      </c>
      <c r="AG634" s="2" t="s">
        <v>35</v>
      </c>
      <c r="AH634" s="2">
        <v>0.72383539336807401</v>
      </c>
      <c r="AI634" s="2">
        <v>4.9662910618588496</v>
      </c>
      <c r="AJ634" s="2">
        <v>1.29489843297878</v>
      </c>
      <c r="AK634" s="2">
        <v>0.27764023803329602</v>
      </c>
      <c r="AL634" s="2">
        <v>0.74593844939809295</v>
      </c>
      <c r="AM634" s="2">
        <v>16.600000000000001</v>
      </c>
      <c r="AN634" s="2">
        <v>101.7</v>
      </c>
      <c r="AO634" s="2">
        <v>19.899999999999999</v>
      </c>
      <c r="AP634" s="2">
        <v>564</v>
      </c>
      <c r="AQ634" s="2">
        <v>71</v>
      </c>
      <c r="AR634" s="2">
        <v>1.7</v>
      </c>
      <c r="AS634" s="2">
        <v>185</v>
      </c>
      <c r="AT634" s="2">
        <v>0.8</v>
      </c>
      <c r="AU634" s="2">
        <v>162</v>
      </c>
      <c r="AV634" s="2">
        <v>19.5</v>
      </c>
      <c r="AW634" s="2">
        <v>15.6</v>
      </c>
      <c r="AX634" s="2">
        <v>35</v>
      </c>
      <c r="AY634" s="2">
        <v>0.68</v>
      </c>
      <c r="AZ634" s="2">
        <v>5.4</v>
      </c>
      <c r="BA634" s="2">
        <v>0.9</v>
      </c>
      <c r="BB634" s="2">
        <v>4.5999999999999996</v>
      </c>
      <c r="BC634" s="2">
        <v>2.1</v>
      </c>
      <c r="BD634" s="2">
        <f>+AN634*EXP(-0.0495*Y634)</f>
        <v>92.464382457635324</v>
      </c>
      <c r="BE634" s="2">
        <f>+AO634*EXP(-0.024*Y634)</f>
        <v>19.002305611049458</v>
      </c>
    </row>
    <row r="635" spans="1:57" x14ac:dyDescent="0.2">
      <c r="A635" s="2" t="s">
        <v>121</v>
      </c>
      <c r="B635" s="2" t="s">
        <v>19</v>
      </c>
      <c r="C635" s="2" t="s">
        <v>20</v>
      </c>
      <c r="D635" s="2" t="s">
        <v>21</v>
      </c>
      <c r="E635" s="2" t="s">
        <v>122</v>
      </c>
      <c r="F635" s="2">
        <v>4</v>
      </c>
      <c r="G635" s="2">
        <v>94</v>
      </c>
      <c r="H635" s="2">
        <v>3</v>
      </c>
      <c r="I635" s="2">
        <v>2</v>
      </c>
      <c r="J635" s="2">
        <v>1</v>
      </c>
      <c r="K635" s="2" t="s">
        <v>61</v>
      </c>
      <c r="L635" s="6" t="s">
        <v>113</v>
      </c>
      <c r="M635" s="5">
        <v>640000000</v>
      </c>
      <c r="N635" s="2">
        <v>0</v>
      </c>
      <c r="O635" s="2">
        <v>4.6610626000000002</v>
      </c>
      <c r="P635" s="2">
        <v>-74.117301900000001</v>
      </c>
      <c r="Q635" s="2" t="s">
        <v>123</v>
      </c>
      <c r="R635" s="2">
        <v>6808510.6380000003</v>
      </c>
      <c r="S635" s="2">
        <v>0</v>
      </c>
      <c r="T635" s="2" t="s">
        <v>39</v>
      </c>
      <c r="U635" s="2" t="s">
        <v>40</v>
      </c>
      <c r="V635" s="2" t="s">
        <v>28</v>
      </c>
      <c r="W635" s="2" t="s">
        <v>39</v>
      </c>
      <c r="X635" s="2" t="s">
        <v>41</v>
      </c>
      <c r="Y635" s="2">
        <v>3.2612705114508298</v>
      </c>
      <c r="Z635" s="2">
        <v>4.6317666666666701</v>
      </c>
      <c r="AA635" s="2">
        <v>-74.117483333333297</v>
      </c>
      <c r="AB635" s="2">
        <v>2590</v>
      </c>
      <c r="AC635" s="2" t="s">
        <v>31</v>
      </c>
      <c r="AD635" s="2" t="s">
        <v>42</v>
      </c>
      <c r="AE635" s="2" t="s">
        <v>33</v>
      </c>
      <c r="AF635" s="2" t="s">
        <v>34</v>
      </c>
      <c r="AG635" s="2" t="s">
        <v>43</v>
      </c>
      <c r="AH635" s="2">
        <v>0.950853068515916</v>
      </c>
      <c r="AI635" s="2">
        <v>4.4727316759695901</v>
      </c>
      <c r="AJ635" s="2">
        <v>1.21900922656574</v>
      </c>
      <c r="AK635" s="2">
        <v>0.18606081017604001</v>
      </c>
      <c r="AL635" s="2">
        <v>0.22171981339416499</v>
      </c>
      <c r="AM635" s="2">
        <v>16.600000000000001</v>
      </c>
      <c r="AN635" s="2">
        <v>101.7</v>
      </c>
      <c r="AO635" s="2">
        <v>19.899999999999999</v>
      </c>
      <c r="AP635" s="2">
        <v>564</v>
      </c>
      <c r="AQ635" s="2">
        <v>71</v>
      </c>
      <c r="AR635" s="2">
        <v>1.7</v>
      </c>
      <c r="AS635" s="2">
        <v>185</v>
      </c>
      <c r="AT635" s="2">
        <v>0.8</v>
      </c>
      <c r="AU635" s="2">
        <v>162</v>
      </c>
      <c r="AV635" s="2">
        <v>19.5</v>
      </c>
      <c r="AW635" s="2">
        <v>15.6</v>
      </c>
      <c r="AX635" s="2">
        <v>35</v>
      </c>
      <c r="AY635" s="2">
        <v>0.68</v>
      </c>
      <c r="AZ635" s="2">
        <v>5.4</v>
      </c>
      <c r="BA635" s="2">
        <v>0.9</v>
      </c>
      <c r="BB635" s="2">
        <v>4.5999999999999996</v>
      </c>
      <c r="BC635" s="2">
        <v>2.1</v>
      </c>
      <c r="BD635" s="2">
        <f>+AN635*EXP(-0.0495*Y635)</f>
        <v>86.538933655580422</v>
      </c>
      <c r="BE635" s="2">
        <f>+AO635*EXP(-0.024*Y635)</f>
        <v>18.401813866467965</v>
      </c>
    </row>
    <row r="636" spans="1:57" x14ac:dyDescent="0.2">
      <c r="A636" s="2" t="s">
        <v>452</v>
      </c>
      <c r="B636" s="2" t="s">
        <v>19</v>
      </c>
      <c r="C636" s="2" t="s">
        <v>20</v>
      </c>
      <c r="D636" s="2" t="s">
        <v>21</v>
      </c>
      <c r="E636" s="2" t="s">
        <v>453</v>
      </c>
      <c r="F636" s="2">
        <v>3</v>
      </c>
      <c r="G636" s="2">
        <v>94</v>
      </c>
      <c r="H636" s="2">
        <v>3</v>
      </c>
      <c r="I636" s="2">
        <v>2</v>
      </c>
      <c r="J636" s="2">
        <v>1</v>
      </c>
      <c r="K636" s="2" t="s">
        <v>61</v>
      </c>
      <c r="L636" s="6" t="s">
        <v>75</v>
      </c>
      <c r="M636" s="5">
        <v>410000000</v>
      </c>
      <c r="N636" s="2">
        <v>0</v>
      </c>
      <c r="O636" s="2">
        <v>4.6051807</v>
      </c>
      <c r="P636" s="2">
        <v>-74.100300000000004</v>
      </c>
      <c r="Q636" s="2" t="s">
        <v>454</v>
      </c>
      <c r="R636" s="2">
        <v>4361702.1279999996</v>
      </c>
      <c r="S636" s="2">
        <v>0</v>
      </c>
      <c r="T636" s="2" t="s">
        <v>455</v>
      </c>
      <c r="U636" s="2" t="s">
        <v>456</v>
      </c>
      <c r="V636" s="2" t="s">
        <v>28</v>
      </c>
      <c r="W636" s="2" t="s">
        <v>39</v>
      </c>
      <c r="X636" s="2" t="s">
        <v>457</v>
      </c>
      <c r="Y636" s="2">
        <v>1.6664272420730599</v>
      </c>
      <c r="Z636" s="2">
        <v>4.6085000000000003</v>
      </c>
      <c r="AA636" s="2">
        <v>-74.114944444444404</v>
      </c>
      <c r="AB636" s="2">
        <v>2559</v>
      </c>
      <c r="AC636" s="2" t="s">
        <v>31</v>
      </c>
      <c r="AD636" s="2" t="s">
        <v>458</v>
      </c>
      <c r="AE636" s="2" t="s">
        <v>33</v>
      </c>
      <c r="AF636" s="2" t="s">
        <v>34</v>
      </c>
      <c r="AG636" s="2" t="s">
        <v>239</v>
      </c>
      <c r="AH636" s="2">
        <v>0.113778788585975</v>
      </c>
      <c r="AI636" s="2">
        <v>3.8869404421113001</v>
      </c>
      <c r="AJ636" s="2">
        <v>1.4393710668239501</v>
      </c>
      <c r="AK636" s="2">
        <v>0.110068520083831</v>
      </c>
      <c r="AL636" s="2">
        <v>0.21272853564031599</v>
      </c>
      <c r="AM636" s="2">
        <v>16.600000000000001</v>
      </c>
      <c r="AN636" s="2">
        <v>101.7</v>
      </c>
      <c r="AO636" s="2">
        <v>19.899999999999999</v>
      </c>
      <c r="AP636" s="2">
        <v>564</v>
      </c>
      <c r="AQ636" s="2">
        <v>71</v>
      </c>
      <c r="AR636" s="2">
        <v>1.7</v>
      </c>
      <c r="AS636" s="2">
        <v>185</v>
      </c>
      <c r="AT636" s="2">
        <v>0.8</v>
      </c>
      <c r="AU636" s="2">
        <v>162</v>
      </c>
      <c r="AV636" s="2">
        <v>19.5</v>
      </c>
      <c r="AW636" s="2">
        <v>15.6</v>
      </c>
      <c r="AX636" s="2">
        <v>35</v>
      </c>
      <c r="AY636" s="2">
        <v>0.68</v>
      </c>
      <c r="AZ636" s="2">
        <v>5.4</v>
      </c>
      <c r="BA636" s="2">
        <v>0.9</v>
      </c>
      <c r="BB636" s="2">
        <v>4.5999999999999996</v>
      </c>
      <c r="BC636" s="2">
        <v>2.1</v>
      </c>
      <c r="BD636" s="2">
        <f>+AN636*EXP(-0.0495*Y636)</f>
        <v>93.647633090011738</v>
      </c>
      <c r="BE636" s="2">
        <f>+AO636*EXP(-0.024*Y636)</f>
        <v>19.119819704937079</v>
      </c>
    </row>
    <row r="637" spans="1:57" x14ac:dyDescent="0.2">
      <c r="A637" s="2" t="s">
        <v>236</v>
      </c>
      <c r="B637" s="2" t="s">
        <v>19</v>
      </c>
      <c r="C637" s="2" t="s">
        <v>20</v>
      </c>
      <c r="D637" s="2" t="s">
        <v>21</v>
      </c>
      <c r="E637" s="2" t="s">
        <v>237</v>
      </c>
      <c r="F637" s="2">
        <v>4</v>
      </c>
      <c r="G637" s="2">
        <v>91</v>
      </c>
      <c r="H637" s="2">
        <v>3</v>
      </c>
      <c r="I637" s="2">
        <v>2</v>
      </c>
      <c r="J637" s="2">
        <v>2</v>
      </c>
      <c r="K637" s="2" t="s">
        <v>61</v>
      </c>
      <c r="L637" s="6" t="s">
        <v>62</v>
      </c>
      <c r="M637" s="5">
        <v>870000000</v>
      </c>
      <c r="N637" s="2">
        <v>0</v>
      </c>
      <c r="O637" s="2">
        <v>4.6429369999999999</v>
      </c>
      <c r="P637" s="2">
        <v>-74.110793999999999</v>
      </c>
      <c r="Q637" s="2" t="s">
        <v>238</v>
      </c>
      <c r="R637" s="2">
        <v>9560439.5600000005</v>
      </c>
      <c r="S637" s="2">
        <v>0</v>
      </c>
      <c r="T637" s="2" t="s">
        <v>39</v>
      </c>
      <c r="U637" s="2" t="s">
        <v>40</v>
      </c>
      <c r="V637" s="2" t="s">
        <v>28</v>
      </c>
      <c r="W637" s="2" t="s">
        <v>39</v>
      </c>
      <c r="X637" s="2" t="s">
        <v>41</v>
      </c>
      <c r="Y637" s="2">
        <v>1.4481422293470601</v>
      </c>
      <c r="Z637" s="2">
        <v>4.6317666666666701</v>
      </c>
      <c r="AA637" s="2">
        <v>-74.117483333333297</v>
      </c>
      <c r="AB637" s="2">
        <v>2590</v>
      </c>
      <c r="AC637" s="2" t="s">
        <v>31</v>
      </c>
      <c r="AD637" s="2" t="s">
        <v>42</v>
      </c>
      <c r="AE637" s="2" t="s">
        <v>33</v>
      </c>
      <c r="AF637" s="2" t="s">
        <v>34</v>
      </c>
      <c r="AG637" s="2" t="s">
        <v>239</v>
      </c>
      <c r="AH637" s="2">
        <v>1.3401444484079199</v>
      </c>
      <c r="AI637" s="2">
        <v>5.5472804187053804</v>
      </c>
      <c r="AJ637" s="2">
        <v>1.3176415194773199</v>
      </c>
      <c r="AK637" s="2">
        <v>0.23542914450472499</v>
      </c>
      <c r="AL637" s="2">
        <v>0.50022150476860905</v>
      </c>
      <c r="AM637" s="2">
        <v>16.600000000000001</v>
      </c>
      <c r="AN637" s="2">
        <v>101.7</v>
      </c>
      <c r="AO637" s="2">
        <v>19.899999999999999</v>
      </c>
      <c r="AP637" s="2">
        <v>564</v>
      </c>
      <c r="AQ637" s="2">
        <v>71</v>
      </c>
      <c r="AR637" s="2">
        <v>1.7</v>
      </c>
      <c r="AS637" s="2">
        <v>185</v>
      </c>
      <c r="AT637" s="2">
        <v>0.8</v>
      </c>
      <c r="AU637" s="2">
        <v>162</v>
      </c>
      <c r="AV637" s="2">
        <v>19.5</v>
      </c>
      <c r="AW637" s="2">
        <v>15.6</v>
      </c>
      <c r="AX637" s="2">
        <v>35</v>
      </c>
      <c r="AY637" s="2">
        <v>0.68</v>
      </c>
      <c r="AZ637" s="2">
        <v>5.4</v>
      </c>
      <c r="BA637" s="2">
        <v>0.9</v>
      </c>
      <c r="BB637" s="2">
        <v>4.5999999999999996</v>
      </c>
      <c r="BC637" s="2">
        <v>2.1</v>
      </c>
      <c r="BD637" s="2">
        <f>+AN637*EXP(-0.0495*Y637)</f>
        <v>94.664992331900763</v>
      </c>
      <c r="BE637" s="2">
        <f>+AO637*EXP(-0.024*Y637)</f>
        <v>19.220248221828768</v>
      </c>
    </row>
    <row r="638" spans="1:57" x14ac:dyDescent="0.2">
      <c r="A638" s="2" t="s">
        <v>3226</v>
      </c>
      <c r="B638" s="2" t="s">
        <v>19</v>
      </c>
      <c r="C638" s="2" t="s">
        <v>1907</v>
      </c>
      <c r="D638" s="2" t="s">
        <v>21</v>
      </c>
      <c r="E638" s="2" t="s">
        <v>225</v>
      </c>
      <c r="F638" s="2">
        <v>4</v>
      </c>
      <c r="G638" s="2">
        <v>91</v>
      </c>
      <c r="H638" s="2">
        <v>3</v>
      </c>
      <c r="I638" s="2">
        <v>2</v>
      </c>
      <c r="J638" s="2">
        <v>2</v>
      </c>
      <c r="K638" s="2" t="s">
        <v>61</v>
      </c>
      <c r="L638" s="6" t="s">
        <v>75</v>
      </c>
      <c r="M638" s="5">
        <v>795000000</v>
      </c>
      <c r="N638" s="2">
        <v>0</v>
      </c>
      <c r="O638" s="2">
        <v>4.6424975399999999</v>
      </c>
      <c r="P638" s="2">
        <v>-74.106933589999997</v>
      </c>
      <c r="Q638" s="2" t="s">
        <v>3227</v>
      </c>
      <c r="R638" s="2">
        <v>8736263.7359999996</v>
      </c>
      <c r="S638" s="2">
        <v>0</v>
      </c>
      <c r="T638" s="2" t="s">
        <v>39</v>
      </c>
      <c r="U638" s="2" t="s">
        <v>40</v>
      </c>
      <c r="V638" s="2" t="s">
        <v>28</v>
      </c>
      <c r="W638" s="2" t="s">
        <v>39</v>
      </c>
      <c r="X638" s="2" t="s">
        <v>41</v>
      </c>
      <c r="Y638" s="2">
        <v>1.6724667127678601</v>
      </c>
      <c r="Z638" s="2">
        <v>4.6317666666666701</v>
      </c>
      <c r="AA638" s="2">
        <v>-74.117483333333297</v>
      </c>
      <c r="AB638" s="2">
        <v>2590</v>
      </c>
      <c r="AC638" s="2" t="s">
        <v>31</v>
      </c>
      <c r="AD638" s="2" t="s">
        <v>42</v>
      </c>
      <c r="AE638" s="2" t="s">
        <v>33</v>
      </c>
      <c r="AF638" s="2" t="s">
        <v>34</v>
      </c>
      <c r="AG638" s="2" t="s">
        <v>35</v>
      </c>
      <c r="AH638" s="2">
        <v>0.99954446681345199</v>
      </c>
      <c r="AI638" s="2">
        <v>5.29950083714371</v>
      </c>
      <c r="AJ638" s="2">
        <v>1.62777114151842</v>
      </c>
      <c r="AK638" s="2">
        <v>0.49074580631490899</v>
      </c>
      <c r="AL638" s="2">
        <v>0.54294105246038704</v>
      </c>
      <c r="AM638" s="2">
        <v>16.600000000000001</v>
      </c>
      <c r="AN638" s="2">
        <v>101.7</v>
      </c>
      <c r="AO638" s="2">
        <v>19.899999999999999</v>
      </c>
      <c r="AP638" s="2">
        <v>564</v>
      </c>
      <c r="AQ638" s="2">
        <v>71</v>
      </c>
      <c r="AR638" s="2">
        <v>1.7</v>
      </c>
      <c r="AS638" s="2">
        <v>185</v>
      </c>
      <c r="AT638" s="2">
        <v>0.8</v>
      </c>
      <c r="AU638" s="2">
        <v>162</v>
      </c>
      <c r="AV638" s="2">
        <v>19.5</v>
      </c>
      <c r="AW638" s="2">
        <v>15.6</v>
      </c>
      <c r="AX638" s="2">
        <v>35</v>
      </c>
      <c r="AY638" s="2">
        <v>0.68</v>
      </c>
      <c r="AZ638" s="2">
        <v>5.4</v>
      </c>
      <c r="BA638" s="2">
        <v>0.9</v>
      </c>
      <c r="BB638" s="2">
        <v>4.5999999999999996</v>
      </c>
      <c r="BC638" s="2">
        <v>2.1</v>
      </c>
      <c r="BD638" s="2">
        <f>+AN638*EXP(-0.0495*Y638)</f>
        <v>93.619640958680847</v>
      </c>
      <c r="BE638" s="2">
        <f>+AO638*EXP(-0.024*Y638)</f>
        <v>19.117048539599246</v>
      </c>
    </row>
    <row r="639" spans="1:57" x14ac:dyDescent="0.2">
      <c r="A639" s="2" t="s">
        <v>224</v>
      </c>
      <c r="B639" s="2" t="s">
        <v>19</v>
      </c>
      <c r="C639" s="2" t="s">
        <v>20</v>
      </c>
      <c r="D639" s="2" t="s">
        <v>21</v>
      </c>
      <c r="E639" s="2" t="s">
        <v>225</v>
      </c>
      <c r="F639" s="2">
        <v>4</v>
      </c>
      <c r="G639" s="2">
        <v>90</v>
      </c>
      <c r="H639" s="2">
        <v>2</v>
      </c>
      <c r="I639" s="2">
        <v>2</v>
      </c>
      <c r="J639" s="2">
        <v>2</v>
      </c>
      <c r="K639" s="2" t="s">
        <v>61</v>
      </c>
      <c r="L639" s="6" t="s">
        <v>75</v>
      </c>
      <c r="M639" s="5">
        <v>815000000</v>
      </c>
      <c r="N639" s="2">
        <v>0</v>
      </c>
      <c r="O639" s="2">
        <v>4.6442394260000004</v>
      </c>
      <c r="P639" s="2">
        <v>-74.107826230000001</v>
      </c>
      <c r="Q639" s="2" t="s">
        <v>226</v>
      </c>
      <c r="R639" s="2">
        <v>9055555.5559999999</v>
      </c>
      <c r="S639" s="2">
        <v>0</v>
      </c>
      <c r="T639" s="2" t="s">
        <v>39</v>
      </c>
      <c r="U639" s="2" t="s">
        <v>40</v>
      </c>
      <c r="V639" s="2" t="s">
        <v>28</v>
      </c>
      <c r="W639" s="2" t="s">
        <v>39</v>
      </c>
      <c r="X639" s="2" t="s">
        <v>41</v>
      </c>
      <c r="Y639" s="2">
        <v>1.75383709664127</v>
      </c>
      <c r="Z639" s="2">
        <v>4.6317666666666701</v>
      </c>
      <c r="AA639" s="2">
        <v>-74.117483333333297</v>
      </c>
      <c r="AB639" s="2">
        <v>2590</v>
      </c>
      <c r="AC639" s="2" t="s">
        <v>31</v>
      </c>
      <c r="AD639" s="2" t="s">
        <v>42</v>
      </c>
      <c r="AE639" s="2" t="s">
        <v>33</v>
      </c>
      <c r="AF639" s="2" t="s">
        <v>34</v>
      </c>
      <c r="AG639" s="2" t="s">
        <v>35</v>
      </c>
      <c r="AH639" s="2">
        <v>1.00266425202659</v>
      </c>
      <c r="AI639" s="2">
        <v>5.4352590970257904</v>
      </c>
      <c r="AJ639" s="2">
        <v>1.50724950019967</v>
      </c>
      <c r="AK639" s="2">
        <v>0.27429298634185101</v>
      </c>
      <c r="AL639" s="2">
        <v>0.32745209753899501</v>
      </c>
      <c r="AM639" s="2">
        <v>16.600000000000001</v>
      </c>
      <c r="AN639" s="2">
        <v>101.7</v>
      </c>
      <c r="AO639" s="2">
        <v>19.899999999999999</v>
      </c>
      <c r="AP639" s="2">
        <v>564</v>
      </c>
      <c r="AQ639" s="2">
        <v>71</v>
      </c>
      <c r="AR639" s="2">
        <v>1.7</v>
      </c>
      <c r="AS639" s="2">
        <v>185</v>
      </c>
      <c r="AT639" s="2">
        <v>0.8</v>
      </c>
      <c r="AU639" s="2">
        <v>162</v>
      </c>
      <c r="AV639" s="2">
        <v>19.5</v>
      </c>
      <c r="AW639" s="2">
        <v>15.6</v>
      </c>
      <c r="AX639" s="2">
        <v>35</v>
      </c>
      <c r="AY639" s="2">
        <v>0.68</v>
      </c>
      <c r="AZ639" s="2">
        <v>5.4</v>
      </c>
      <c r="BA639" s="2">
        <v>0.9</v>
      </c>
      <c r="BB639" s="2">
        <v>4.5999999999999996</v>
      </c>
      <c r="BC639" s="2">
        <v>2.1</v>
      </c>
      <c r="BD639" s="2">
        <f>+AN639*EXP(-0.0495*Y639)</f>
        <v>93.243314983651572</v>
      </c>
      <c r="BE639" s="2">
        <f>+AO639*EXP(-0.024*Y639)</f>
        <v>19.079751492077037</v>
      </c>
    </row>
    <row r="640" spans="1:57" x14ac:dyDescent="0.2">
      <c r="A640" s="2" t="s">
        <v>2112</v>
      </c>
      <c r="B640" s="2" t="s">
        <v>19</v>
      </c>
      <c r="C640" s="2" t="s">
        <v>1907</v>
      </c>
      <c r="D640" s="2" t="s">
        <v>21</v>
      </c>
      <c r="E640" s="2" t="s">
        <v>225</v>
      </c>
      <c r="F640" s="2">
        <v>4</v>
      </c>
      <c r="G640" s="2">
        <v>79</v>
      </c>
      <c r="H640" s="2">
        <v>3</v>
      </c>
      <c r="I640" s="2">
        <v>2</v>
      </c>
      <c r="J640" s="2">
        <v>2</v>
      </c>
      <c r="K640" s="2" t="s">
        <v>61</v>
      </c>
      <c r="L640" s="6" t="s">
        <v>113</v>
      </c>
      <c r="M640" s="5">
        <v>795000000</v>
      </c>
      <c r="N640" s="2">
        <v>0</v>
      </c>
      <c r="O640" s="2">
        <v>4.6420207019999999</v>
      </c>
      <c r="P640" s="2">
        <v>-74.106285099999994</v>
      </c>
      <c r="Q640" s="2" t="s">
        <v>2113</v>
      </c>
      <c r="R640" s="2">
        <v>10063291.140000001</v>
      </c>
      <c r="S640" s="2">
        <v>0</v>
      </c>
      <c r="T640" s="2" t="s">
        <v>39</v>
      </c>
      <c r="U640" s="2" t="s">
        <v>40</v>
      </c>
      <c r="V640" s="2" t="s">
        <v>28</v>
      </c>
      <c r="W640" s="2" t="s">
        <v>39</v>
      </c>
      <c r="X640" s="2" t="s">
        <v>41</v>
      </c>
      <c r="Y640" s="2">
        <v>1.6872383108234601</v>
      </c>
      <c r="Z640" s="2">
        <v>4.6317666666666701</v>
      </c>
      <c r="AA640" s="2">
        <v>-74.117483333333297</v>
      </c>
      <c r="AB640" s="2">
        <v>2590</v>
      </c>
      <c r="AC640" s="2" t="s">
        <v>31</v>
      </c>
      <c r="AD640" s="2" t="s">
        <v>42</v>
      </c>
      <c r="AE640" s="2" t="s">
        <v>33</v>
      </c>
      <c r="AF640" s="2" t="s">
        <v>34</v>
      </c>
      <c r="AG640" s="2" t="s">
        <v>35</v>
      </c>
      <c r="AH640" s="2">
        <v>0.96553441671013596</v>
      </c>
      <c r="AI640" s="2">
        <v>5.2191249191964602</v>
      </c>
      <c r="AJ640" s="2">
        <v>1.5664914727939001</v>
      </c>
      <c r="AK640" s="2">
        <v>0.53006269207958201</v>
      </c>
      <c r="AL640" s="2">
        <v>0.62122239490730802</v>
      </c>
      <c r="AM640" s="2">
        <v>16.600000000000001</v>
      </c>
      <c r="AN640" s="2">
        <v>101.7</v>
      </c>
      <c r="AO640" s="2">
        <v>19.899999999999999</v>
      </c>
      <c r="AP640" s="2">
        <v>564</v>
      </c>
      <c r="AQ640" s="2">
        <v>71</v>
      </c>
      <c r="AR640" s="2">
        <v>1.7</v>
      </c>
      <c r="AS640" s="2">
        <v>185</v>
      </c>
      <c r="AT640" s="2">
        <v>0.8</v>
      </c>
      <c r="AU640" s="2">
        <v>162</v>
      </c>
      <c r="AV640" s="2">
        <v>19.5</v>
      </c>
      <c r="AW640" s="2">
        <v>15.6</v>
      </c>
      <c r="AX640" s="2">
        <v>35</v>
      </c>
      <c r="AY640" s="2">
        <v>0.68</v>
      </c>
      <c r="AZ640" s="2">
        <v>5.4</v>
      </c>
      <c r="BA640" s="2">
        <v>0.9</v>
      </c>
      <c r="BB640" s="2">
        <v>4.5999999999999996</v>
      </c>
      <c r="BC640" s="2">
        <v>2.1</v>
      </c>
      <c r="BD640" s="2">
        <f>+AN640*EXP(-0.0495*Y640)</f>
        <v>93.551211849745727</v>
      </c>
      <c r="BE640" s="2">
        <f>+AO640*EXP(-0.024*Y640)</f>
        <v>19.110272396234937</v>
      </c>
    </row>
    <row r="641" spans="1:57" x14ac:dyDescent="0.2">
      <c r="A641" s="2" t="s">
        <v>580</v>
      </c>
      <c r="B641" s="2" t="s">
        <v>19</v>
      </c>
      <c r="C641" s="2" t="s">
        <v>20</v>
      </c>
      <c r="D641" s="2" t="s">
        <v>21</v>
      </c>
      <c r="E641" s="2" t="s">
        <v>581</v>
      </c>
      <c r="F641" s="2">
        <v>4</v>
      </c>
      <c r="G641" s="2">
        <v>73</v>
      </c>
      <c r="H641" s="2">
        <v>4</v>
      </c>
      <c r="I641" s="2">
        <v>2</v>
      </c>
      <c r="J641" s="2">
        <v>1</v>
      </c>
      <c r="K641" s="2" t="s">
        <v>61</v>
      </c>
      <c r="L641" s="6" t="s">
        <v>62</v>
      </c>
      <c r="M641" s="5">
        <v>485000000</v>
      </c>
      <c r="N641" s="2">
        <v>0</v>
      </c>
      <c r="O641" s="2">
        <v>4.6371739999999999</v>
      </c>
      <c r="P641" s="2">
        <v>-74.125399999999999</v>
      </c>
      <c r="Q641" s="2" t="s">
        <v>582</v>
      </c>
      <c r="R641" s="2">
        <v>6643835.6160000004</v>
      </c>
      <c r="S641" s="2">
        <v>0</v>
      </c>
      <c r="T641" s="2" t="s">
        <v>39</v>
      </c>
      <c r="U641" s="2" t="s">
        <v>40</v>
      </c>
      <c r="V641" s="2" t="s">
        <v>28</v>
      </c>
      <c r="W641" s="2" t="s">
        <v>39</v>
      </c>
      <c r="X641" s="2" t="s">
        <v>41</v>
      </c>
      <c r="Y641" s="2">
        <v>1.06485519053457</v>
      </c>
      <c r="Z641" s="2">
        <v>4.6317666666666701</v>
      </c>
      <c r="AA641" s="2">
        <v>-74.117483333333297</v>
      </c>
      <c r="AB641" s="2">
        <v>2590</v>
      </c>
      <c r="AC641" s="2" t="s">
        <v>31</v>
      </c>
      <c r="AD641" s="2" t="s">
        <v>42</v>
      </c>
      <c r="AE641" s="2" t="s">
        <v>33</v>
      </c>
      <c r="AF641" s="2" t="s">
        <v>34</v>
      </c>
      <c r="AG641" s="2" t="s">
        <v>172</v>
      </c>
      <c r="AH641" s="2">
        <v>0.98258872683820397</v>
      </c>
      <c r="AI641" s="2">
        <v>4.38855487990838</v>
      </c>
      <c r="AJ641" s="2">
        <v>0.52483637864152399</v>
      </c>
      <c r="AK641" s="2">
        <v>0.41638096153098503</v>
      </c>
      <c r="AL641" s="2">
        <v>0.15742501898153799</v>
      </c>
      <c r="AM641" s="2">
        <v>16.600000000000001</v>
      </c>
      <c r="AN641" s="2">
        <v>101.7</v>
      </c>
      <c r="AO641" s="2">
        <v>19.899999999999999</v>
      </c>
      <c r="AP641" s="2">
        <v>564</v>
      </c>
      <c r="AQ641" s="2">
        <v>71</v>
      </c>
      <c r="AR641" s="2">
        <v>1.7</v>
      </c>
      <c r="AS641" s="2">
        <v>185</v>
      </c>
      <c r="AT641" s="2">
        <v>0.8</v>
      </c>
      <c r="AU641" s="2">
        <v>162</v>
      </c>
      <c r="AV641" s="2">
        <v>19.5</v>
      </c>
      <c r="AW641" s="2">
        <v>15.6</v>
      </c>
      <c r="AX641" s="2">
        <v>35</v>
      </c>
      <c r="AY641" s="2">
        <v>0.68</v>
      </c>
      <c r="AZ641" s="2">
        <v>5.4</v>
      </c>
      <c r="BA641" s="2">
        <v>0.9</v>
      </c>
      <c r="BB641" s="2">
        <v>4.5999999999999996</v>
      </c>
      <c r="BC641" s="2">
        <v>2.1</v>
      </c>
      <c r="BD641" s="2">
        <f>+AN641*EXP(-0.0495*Y641)</f>
        <v>96.478189873131001</v>
      </c>
      <c r="BE641" s="2">
        <f>+AO641*EXP(-0.024*Y641)</f>
        <v>19.397868854178512</v>
      </c>
    </row>
    <row r="642" spans="1:57" x14ac:dyDescent="0.2">
      <c r="A642" s="2" t="s">
        <v>118</v>
      </c>
      <c r="B642" s="2" t="s">
        <v>19</v>
      </c>
      <c r="C642" s="2" t="s">
        <v>20</v>
      </c>
      <c r="D642" s="2" t="s">
        <v>21</v>
      </c>
      <c r="E642" s="2" t="s">
        <v>119</v>
      </c>
      <c r="F642" s="2">
        <v>4</v>
      </c>
      <c r="G642" s="2">
        <v>72</v>
      </c>
      <c r="H642" s="2">
        <v>3</v>
      </c>
      <c r="I642" s="2">
        <v>2</v>
      </c>
      <c r="J642" s="2">
        <v>1</v>
      </c>
      <c r="K642" s="2" t="s">
        <v>61</v>
      </c>
      <c r="L642" s="6" t="s">
        <v>84</v>
      </c>
      <c r="M642" s="5">
        <v>700000000</v>
      </c>
      <c r="N642" s="2">
        <v>0</v>
      </c>
      <c r="O642" s="2">
        <v>4.6334042999999996</v>
      </c>
      <c r="P642" s="2">
        <v>-74.097520000000003</v>
      </c>
      <c r="Q642" s="2" t="s">
        <v>120</v>
      </c>
      <c r="R642" s="2">
        <v>9722222.2219999991</v>
      </c>
      <c r="S642" s="2">
        <v>0</v>
      </c>
      <c r="T642" s="2" t="s">
        <v>39</v>
      </c>
      <c r="U642" s="2" t="s">
        <v>40</v>
      </c>
      <c r="V642" s="2" t="s">
        <v>28</v>
      </c>
      <c r="W642" s="2" t="s">
        <v>39</v>
      </c>
      <c r="X642" s="2" t="s">
        <v>41</v>
      </c>
      <c r="Y642" s="2">
        <v>2.22253714662657</v>
      </c>
      <c r="Z642" s="2">
        <v>4.6317666666666701</v>
      </c>
      <c r="AA642" s="2">
        <v>-74.117483333333297</v>
      </c>
      <c r="AB642" s="2">
        <v>2590</v>
      </c>
      <c r="AC642" s="2" t="s">
        <v>31</v>
      </c>
      <c r="AD642" s="2" t="s">
        <v>42</v>
      </c>
      <c r="AE642" s="2" t="s">
        <v>33</v>
      </c>
      <c r="AF642" s="2" t="s">
        <v>34</v>
      </c>
      <c r="AG642" s="2" t="s">
        <v>35</v>
      </c>
      <c r="AH642" s="2">
        <v>0.66480081215956999</v>
      </c>
      <c r="AI642" s="2">
        <v>4.0850236218583298</v>
      </c>
      <c r="AJ642" s="2">
        <v>1.08256556052827</v>
      </c>
      <c r="AK642" s="2">
        <v>0.21586763818568599</v>
      </c>
      <c r="AL642" s="2">
        <v>0.64584433171654299</v>
      </c>
      <c r="AM642" s="2">
        <v>16.600000000000001</v>
      </c>
      <c r="AN642" s="2">
        <v>101.7</v>
      </c>
      <c r="AO642" s="2">
        <v>19.899999999999999</v>
      </c>
      <c r="AP642" s="2">
        <v>564</v>
      </c>
      <c r="AQ642" s="2">
        <v>71</v>
      </c>
      <c r="AR642" s="2">
        <v>1.7</v>
      </c>
      <c r="AS642" s="2">
        <v>185</v>
      </c>
      <c r="AT642" s="2">
        <v>0.8</v>
      </c>
      <c r="AU642" s="2">
        <v>162</v>
      </c>
      <c r="AV642" s="2">
        <v>19.5</v>
      </c>
      <c r="AW642" s="2">
        <v>15.6</v>
      </c>
      <c r="AX642" s="2">
        <v>35</v>
      </c>
      <c r="AY642" s="2">
        <v>0.68</v>
      </c>
      <c r="AZ642" s="2">
        <v>5.4</v>
      </c>
      <c r="BA642" s="2">
        <v>0.9</v>
      </c>
      <c r="BB642" s="2">
        <v>4.5999999999999996</v>
      </c>
      <c r="BC642" s="2">
        <v>2.1</v>
      </c>
      <c r="BD642" s="2">
        <f>+AN642*EXP(-0.0495*Y642)</f>
        <v>91.104911336170375</v>
      </c>
      <c r="BE642" s="2">
        <f>+AO642*EXP(-0.024*Y642)</f>
        <v>18.866329780255651</v>
      </c>
    </row>
    <row r="643" spans="1:57" x14ac:dyDescent="0.2">
      <c r="A643" s="2" t="s">
        <v>1576</v>
      </c>
      <c r="B643" s="2" t="s">
        <v>19</v>
      </c>
      <c r="C643" s="2" t="s">
        <v>20</v>
      </c>
      <c r="D643" s="2" t="s">
        <v>21</v>
      </c>
      <c r="E643" s="2" t="s">
        <v>1577</v>
      </c>
      <c r="F643" s="2">
        <v>4</v>
      </c>
      <c r="G643" s="2">
        <v>72</v>
      </c>
      <c r="H643" s="2">
        <v>3</v>
      </c>
      <c r="I643" s="2">
        <v>2</v>
      </c>
      <c r="J643" s="2">
        <v>1</v>
      </c>
      <c r="K643" s="2" t="s">
        <v>61</v>
      </c>
      <c r="L643" s="6" t="s">
        <v>75</v>
      </c>
      <c r="M643" s="5">
        <v>535000000</v>
      </c>
      <c r="N643" s="2">
        <v>0</v>
      </c>
      <c r="O643" s="2">
        <v>4.6604347229999998</v>
      </c>
      <c r="P643" s="2">
        <v>-74.117698669999996</v>
      </c>
      <c r="Q643" s="2" t="s">
        <v>1578</v>
      </c>
      <c r="R643" s="2">
        <v>7430555.5559999999</v>
      </c>
      <c r="S643" s="2">
        <v>0</v>
      </c>
      <c r="T643" s="2" t="s">
        <v>39</v>
      </c>
      <c r="U643" s="2" t="s">
        <v>40</v>
      </c>
      <c r="V643" s="2" t="s">
        <v>28</v>
      </c>
      <c r="W643" s="2" t="s">
        <v>39</v>
      </c>
      <c r="X643" s="2" t="s">
        <v>41</v>
      </c>
      <c r="Y643" s="2">
        <v>3.1914028693923302</v>
      </c>
      <c r="Z643" s="2">
        <v>4.6317666666666701</v>
      </c>
      <c r="AA643" s="2">
        <v>-74.117483333333297</v>
      </c>
      <c r="AB643" s="2">
        <v>2590</v>
      </c>
      <c r="AC643" s="2" t="s">
        <v>31</v>
      </c>
      <c r="AD643" s="2" t="s">
        <v>42</v>
      </c>
      <c r="AE643" s="2" t="s">
        <v>33</v>
      </c>
      <c r="AF643" s="2" t="s">
        <v>34</v>
      </c>
      <c r="AG643" s="2" t="s">
        <v>43</v>
      </c>
      <c r="AH643" s="2">
        <v>1.003805273939</v>
      </c>
      <c r="AI643" s="2">
        <v>4.43324972989216</v>
      </c>
      <c r="AJ643" s="2">
        <v>1.24332692287572</v>
      </c>
      <c r="AK643" s="2">
        <v>0.25357038170844098</v>
      </c>
      <c r="AL643" s="2">
        <v>0.14023618376111899</v>
      </c>
      <c r="AM643" s="2">
        <v>16.600000000000001</v>
      </c>
      <c r="AN643" s="2">
        <v>101.7</v>
      </c>
      <c r="AO643" s="2">
        <v>19.899999999999999</v>
      </c>
      <c r="AP643" s="2">
        <v>564</v>
      </c>
      <c r="AQ643" s="2">
        <v>71</v>
      </c>
      <c r="AR643" s="2">
        <v>1.7</v>
      </c>
      <c r="AS643" s="2">
        <v>185</v>
      </c>
      <c r="AT643" s="2">
        <v>0.8</v>
      </c>
      <c r="AU643" s="2">
        <v>162</v>
      </c>
      <c r="AV643" s="2">
        <v>19.5</v>
      </c>
      <c r="AW643" s="2">
        <v>15.6</v>
      </c>
      <c r="AX643" s="2">
        <v>35</v>
      </c>
      <c r="AY643" s="2">
        <v>0.68</v>
      </c>
      <c r="AZ643" s="2">
        <v>5.4</v>
      </c>
      <c r="BA643" s="2">
        <v>0.9</v>
      </c>
      <c r="BB643" s="2">
        <v>4.5999999999999996</v>
      </c>
      <c r="BC643" s="2">
        <v>2.1</v>
      </c>
      <c r="BD643" s="2">
        <f>+AN643*EXP(-0.0495*Y643)</f>
        <v>86.838742219374097</v>
      </c>
      <c r="BE643" s="2">
        <f>+AO643*EXP(-0.024*Y643)</f>
        <v>18.432696343729045</v>
      </c>
    </row>
    <row r="644" spans="1:57" x14ac:dyDescent="0.2">
      <c r="A644" s="2" t="s">
        <v>2316</v>
      </c>
      <c r="B644" s="2" t="s">
        <v>19</v>
      </c>
      <c r="C644" s="2" t="s">
        <v>1907</v>
      </c>
      <c r="D644" s="2" t="s">
        <v>21</v>
      </c>
      <c r="E644" s="2" t="s">
        <v>2317</v>
      </c>
      <c r="F644" s="2">
        <v>3</v>
      </c>
      <c r="G644" s="2">
        <v>71</v>
      </c>
      <c r="H644" s="2">
        <v>3</v>
      </c>
      <c r="I644" s="2">
        <v>2</v>
      </c>
      <c r="J644" s="2">
        <v>1</v>
      </c>
      <c r="K644" s="2" t="s">
        <v>61</v>
      </c>
      <c r="L644" s="6" t="s">
        <v>113</v>
      </c>
      <c r="M644" s="5">
        <v>428000000</v>
      </c>
      <c r="N644" s="2">
        <v>0</v>
      </c>
      <c r="O644" s="2">
        <v>4.6199778870000001</v>
      </c>
      <c r="P644" s="2">
        <v>-74.131575960000006</v>
      </c>
      <c r="Q644" s="2" t="s">
        <v>2318</v>
      </c>
      <c r="R644" s="2">
        <v>6028169.0140000004</v>
      </c>
      <c r="S644" s="2">
        <v>0</v>
      </c>
      <c r="T644" s="2" t="s">
        <v>39</v>
      </c>
      <c r="U644" s="2" t="s">
        <v>40</v>
      </c>
      <c r="V644" s="2" t="s">
        <v>28</v>
      </c>
      <c r="W644" s="2" t="s">
        <v>39</v>
      </c>
      <c r="X644" s="2" t="s">
        <v>41</v>
      </c>
      <c r="Y644" s="2">
        <v>2.0413872845115701</v>
      </c>
      <c r="Z644" s="2">
        <v>4.6317666666666701</v>
      </c>
      <c r="AA644" s="2">
        <v>-74.117483333333297</v>
      </c>
      <c r="AB644" s="2">
        <v>2590</v>
      </c>
      <c r="AC644" s="2" t="s">
        <v>31</v>
      </c>
      <c r="AD644" s="2" t="s">
        <v>42</v>
      </c>
      <c r="AE644" s="2" t="s">
        <v>33</v>
      </c>
      <c r="AF644" s="2" t="s">
        <v>34</v>
      </c>
      <c r="AG644" s="2" t="s">
        <v>172</v>
      </c>
      <c r="AH644" s="2">
        <v>1.0832962872755401</v>
      </c>
      <c r="AI644" s="2">
        <v>5.2841370342210698</v>
      </c>
      <c r="AJ644" s="2">
        <v>2.5247491632852399</v>
      </c>
      <c r="AK644" s="2">
        <v>0.37303272016285799</v>
      </c>
      <c r="AL644" s="2">
        <v>0.15608542164668099</v>
      </c>
      <c r="AM644" s="2">
        <v>16.600000000000001</v>
      </c>
      <c r="AN644" s="2">
        <v>101.7</v>
      </c>
      <c r="AO644" s="2">
        <v>19.899999999999999</v>
      </c>
      <c r="AP644" s="2">
        <v>564</v>
      </c>
      <c r="AQ644" s="2">
        <v>71</v>
      </c>
      <c r="AR644" s="2">
        <v>1.7</v>
      </c>
      <c r="AS644" s="2">
        <v>185</v>
      </c>
      <c r="AT644" s="2">
        <v>0.8</v>
      </c>
      <c r="AU644" s="2">
        <v>162</v>
      </c>
      <c r="AV644" s="2">
        <v>19.5</v>
      </c>
      <c r="AW644" s="2">
        <v>15.6</v>
      </c>
      <c r="AX644" s="2">
        <v>35</v>
      </c>
      <c r="AY644" s="2">
        <v>0.68</v>
      </c>
      <c r="AZ644" s="2">
        <v>5.4</v>
      </c>
      <c r="BA644" s="2">
        <v>0.9</v>
      </c>
      <c r="BB644" s="2">
        <v>4.5999999999999996</v>
      </c>
      <c r="BC644" s="2">
        <v>2.1</v>
      </c>
      <c r="BD644" s="2">
        <f>+AN644*EXP(-0.0495*Y644)</f>
        <v>91.925515267162567</v>
      </c>
      <c r="BE644" s="2">
        <f>+AO644*EXP(-0.024*Y644)</f>
        <v>18.948531533732108</v>
      </c>
    </row>
    <row r="645" spans="1:57" x14ac:dyDescent="0.2">
      <c r="A645" s="2" t="s">
        <v>36</v>
      </c>
      <c r="B645" s="2" t="s">
        <v>19</v>
      </c>
      <c r="C645" s="2" t="s">
        <v>20</v>
      </c>
      <c r="D645" s="2" t="s">
        <v>21</v>
      </c>
      <c r="E645" s="2" t="s">
        <v>37</v>
      </c>
      <c r="F645" s="2">
        <v>1</v>
      </c>
      <c r="G645" s="2">
        <v>70</v>
      </c>
      <c r="H645" s="2">
        <v>2</v>
      </c>
      <c r="I645" s="2">
        <v>2</v>
      </c>
      <c r="J645" s="2">
        <v>2</v>
      </c>
      <c r="K645" s="2" t="s">
        <v>23</v>
      </c>
      <c r="L645" s="6" t="s">
        <v>24</v>
      </c>
      <c r="M645" s="5">
        <v>3000000000</v>
      </c>
      <c r="N645" s="2">
        <v>0</v>
      </c>
      <c r="O645" s="2">
        <v>4.649592792</v>
      </c>
      <c r="P645" s="2">
        <v>-74.11132336</v>
      </c>
      <c r="Q645" s="2" t="s">
        <v>38</v>
      </c>
      <c r="R645" s="2">
        <v>42857142.859999999</v>
      </c>
      <c r="S645" s="2">
        <v>0</v>
      </c>
      <c r="T645" s="2" t="s">
        <v>39</v>
      </c>
      <c r="U645" s="2" t="s">
        <v>40</v>
      </c>
      <c r="V645" s="2" t="s">
        <v>28</v>
      </c>
      <c r="W645" s="2" t="s">
        <v>39</v>
      </c>
      <c r="X645" s="2" t="s">
        <v>41</v>
      </c>
      <c r="Y645" s="2">
        <v>2.09880089453348</v>
      </c>
      <c r="Z645" s="2">
        <v>4.6317666666666701</v>
      </c>
      <c r="AA645" s="2">
        <v>-74.117483333333297</v>
      </c>
      <c r="AB645" s="2">
        <v>2590</v>
      </c>
      <c r="AC645" s="2" t="s">
        <v>31</v>
      </c>
      <c r="AD645" s="2" t="s">
        <v>42</v>
      </c>
      <c r="AE645" s="2" t="s">
        <v>33</v>
      </c>
      <c r="AF645" s="2" t="s">
        <v>34</v>
      </c>
      <c r="AG645" s="2" t="s">
        <v>43</v>
      </c>
      <c r="AH645" s="2">
        <v>1.03852061543244</v>
      </c>
      <c r="AI645" s="2">
        <v>5.2873725904693796</v>
      </c>
      <c r="AJ645" s="2">
        <v>1.0407607195353601</v>
      </c>
      <c r="AK645" s="2">
        <v>0.35723392581767299</v>
      </c>
      <c r="AL645" s="2">
        <v>3.09748968871623E-2</v>
      </c>
      <c r="AM645" s="2">
        <v>16.600000000000001</v>
      </c>
      <c r="AN645" s="2">
        <v>101.7</v>
      </c>
      <c r="AO645" s="2">
        <v>19.899999999999999</v>
      </c>
      <c r="AP645" s="2">
        <v>564</v>
      </c>
      <c r="AQ645" s="2">
        <v>71</v>
      </c>
      <c r="AR645" s="2">
        <v>1.7</v>
      </c>
      <c r="AS645" s="2">
        <v>185</v>
      </c>
      <c r="AT645" s="2">
        <v>0.8</v>
      </c>
      <c r="AU645" s="2">
        <v>162</v>
      </c>
      <c r="AV645" s="2">
        <v>19.5</v>
      </c>
      <c r="AW645" s="2">
        <v>15.6</v>
      </c>
      <c r="AX645" s="2">
        <v>35</v>
      </c>
      <c r="AY645" s="2">
        <v>0.68</v>
      </c>
      <c r="AZ645" s="2">
        <v>5.4</v>
      </c>
      <c r="BA645" s="2">
        <v>0.9</v>
      </c>
      <c r="BB645" s="2">
        <v>4.5999999999999996</v>
      </c>
      <c r="BC645" s="2">
        <v>2.1</v>
      </c>
      <c r="BD645" s="2">
        <f>+AN645*EXP(-0.0495*Y645)</f>
        <v>91.664636252012983</v>
      </c>
      <c r="BE645" s="2">
        <f>+AO645*EXP(-0.024*Y645)</f>
        <v>18.922439827689683</v>
      </c>
    </row>
    <row r="646" spans="1:57" x14ac:dyDescent="0.2">
      <c r="A646" s="2" t="s">
        <v>2345</v>
      </c>
      <c r="B646" s="2" t="s">
        <v>19</v>
      </c>
      <c r="C646" s="2" t="s">
        <v>1907</v>
      </c>
      <c r="D646" s="2" t="s">
        <v>21</v>
      </c>
      <c r="E646" s="2" t="s">
        <v>2341</v>
      </c>
      <c r="F646" s="2">
        <v>3</v>
      </c>
      <c r="G646" s="2">
        <v>68</v>
      </c>
      <c r="H646" s="2">
        <v>4</v>
      </c>
      <c r="I646" s="2">
        <v>3</v>
      </c>
      <c r="J646" s="2">
        <v>1</v>
      </c>
      <c r="K646" s="2" t="s">
        <v>61</v>
      </c>
      <c r="L646" s="6" t="s">
        <v>113</v>
      </c>
      <c r="M646" s="5">
        <v>400000000</v>
      </c>
      <c r="N646" s="2">
        <v>0</v>
      </c>
      <c r="O646" s="2">
        <v>4.6384242999999996</v>
      </c>
      <c r="P646" s="2">
        <v>-74.138029700000004</v>
      </c>
      <c r="Q646" s="2" t="s">
        <v>2346</v>
      </c>
      <c r="R646" s="2">
        <v>5882352.9409999996</v>
      </c>
      <c r="S646" s="2">
        <v>0</v>
      </c>
      <c r="T646" s="2" t="s">
        <v>39</v>
      </c>
      <c r="U646" s="2" t="s">
        <v>40</v>
      </c>
      <c r="V646" s="2" t="s">
        <v>28</v>
      </c>
      <c r="W646" s="2" t="s">
        <v>39</v>
      </c>
      <c r="X646" s="2" t="s">
        <v>41</v>
      </c>
      <c r="Y646" s="2">
        <v>2.3971729801937798</v>
      </c>
      <c r="Z646" s="2">
        <v>4.6317666666666701</v>
      </c>
      <c r="AA646" s="2">
        <v>-74.117483333333297</v>
      </c>
      <c r="AB646" s="2">
        <v>2590</v>
      </c>
      <c r="AC646" s="2" t="s">
        <v>31</v>
      </c>
      <c r="AD646" s="2" t="s">
        <v>42</v>
      </c>
      <c r="AE646" s="2" t="s">
        <v>33</v>
      </c>
      <c r="AF646" s="2" t="s">
        <v>34</v>
      </c>
      <c r="AG646" s="2" t="s">
        <v>172</v>
      </c>
      <c r="AH646" s="2">
        <v>0.91078696170998896</v>
      </c>
      <c r="AI646" s="2">
        <v>3.2331516836150098</v>
      </c>
      <c r="AJ646" s="2">
        <v>1.7434451474564501</v>
      </c>
      <c r="AK646" s="2">
        <v>3.4628604011386399E-2</v>
      </c>
      <c r="AL646" s="2">
        <v>0.20295696201197</v>
      </c>
      <c r="AM646" s="2">
        <v>16.600000000000001</v>
      </c>
      <c r="AN646" s="2">
        <v>101.7</v>
      </c>
      <c r="AO646" s="2">
        <v>19.899999999999999</v>
      </c>
      <c r="AP646" s="2">
        <v>564</v>
      </c>
      <c r="AQ646" s="2">
        <v>71</v>
      </c>
      <c r="AR646" s="2">
        <v>1.7</v>
      </c>
      <c r="AS646" s="2">
        <v>185</v>
      </c>
      <c r="AT646" s="2">
        <v>0.8</v>
      </c>
      <c r="AU646" s="2">
        <v>162</v>
      </c>
      <c r="AV646" s="2">
        <v>19.5</v>
      </c>
      <c r="AW646" s="2">
        <v>15.6</v>
      </c>
      <c r="AX646" s="2">
        <v>35</v>
      </c>
      <c r="AY646" s="2">
        <v>0.68</v>
      </c>
      <c r="AZ646" s="2">
        <v>5.4</v>
      </c>
      <c r="BA646" s="2">
        <v>0.9</v>
      </c>
      <c r="BB646" s="2">
        <v>4.5999999999999996</v>
      </c>
      <c r="BC646" s="2">
        <v>2.1</v>
      </c>
      <c r="BD646" s="2">
        <f>+AN646*EXP(-0.0495*Y646)</f>
        <v>90.320751528164934</v>
      </c>
      <c r="BE646" s="2">
        <f>+AO646*EXP(-0.024*Y646)</f>
        <v>18.787421564731662</v>
      </c>
    </row>
    <row r="647" spans="1:57" x14ac:dyDescent="0.2">
      <c r="A647" s="2" t="s">
        <v>2340</v>
      </c>
      <c r="B647" s="2" t="s">
        <v>19</v>
      </c>
      <c r="C647" s="2" t="s">
        <v>1907</v>
      </c>
      <c r="D647" s="2" t="s">
        <v>21</v>
      </c>
      <c r="E647" s="2" t="s">
        <v>2341</v>
      </c>
      <c r="F647" s="2">
        <v>3</v>
      </c>
      <c r="G647" s="2">
        <v>68</v>
      </c>
      <c r="H647" s="2">
        <v>4</v>
      </c>
      <c r="I647" s="2">
        <v>2</v>
      </c>
      <c r="J647" s="2">
        <v>1</v>
      </c>
      <c r="K647" s="2" t="s">
        <v>61</v>
      </c>
      <c r="L647" s="6" t="s">
        <v>113</v>
      </c>
      <c r="M647" s="5">
        <v>380000000</v>
      </c>
      <c r="N647" s="2">
        <v>0</v>
      </c>
      <c r="O647" s="2">
        <v>4.6386780999999999</v>
      </c>
      <c r="P647" s="2">
        <v>-74.138126200000002</v>
      </c>
      <c r="Q647" s="2" t="s">
        <v>2342</v>
      </c>
      <c r="R647" s="2">
        <v>5588235.2939999998</v>
      </c>
      <c r="S647" s="2">
        <v>0</v>
      </c>
      <c r="T647" s="2" t="s">
        <v>39</v>
      </c>
      <c r="U647" s="2" t="s">
        <v>40</v>
      </c>
      <c r="V647" s="2" t="s">
        <v>28</v>
      </c>
      <c r="W647" s="2" t="s">
        <v>39</v>
      </c>
      <c r="X647" s="2" t="s">
        <v>41</v>
      </c>
      <c r="Y647" s="2">
        <v>2.4162049066397402</v>
      </c>
      <c r="Z647" s="2">
        <v>4.6317666666666701</v>
      </c>
      <c r="AA647" s="2">
        <v>-74.117483333333297</v>
      </c>
      <c r="AB647" s="2">
        <v>2590</v>
      </c>
      <c r="AC647" s="2" t="s">
        <v>31</v>
      </c>
      <c r="AD647" s="2" t="s">
        <v>42</v>
      </c>
      <c r="AE647" s="2" t="s">
        <v>33</v>
      </c>
      <c r="AF647" s="2" t="s">
        <v>34</v>
      </c>
      <c r="AG647" s="2" t="s">
        <v>172</v>
      </c>
      <c r="AH647" s="2">
        <v>0.932496664799908</v>
      </c>
      <c r="AI647" s="2">
        <v>3.2053524299572098</v>
      </c>
      <c r="AJ647" s="2">
        <v>1.74979622954838</v>
      </c>
      <c r="AK647" s="2">
        <v>6.2711264820253507E-2</v>
      </c>
      <c r="AL647" s="2">
        <v>0.182844002349969</v>
      </c>
      <c r="AM647" s="2">
        <v>16.600000000000001</v>
      </c>
      <c r="AN647" s="2">
        <v>101.7</v>
      </c>
      <c r="AO647" s="2">
        <v>19.899999999999999</v>
      </c>
      <c r="AP647" s="2">
        <v>564</v>
      </c>
      <c r="AQ647" s="2">
        <v>71</v>
      </c>
      <c r="AR647" s="2">
        <v>1.7</v>
      </c>
      <c r="AS647" s="2">
        <v>185</v>
      </c>
      <c r="AT647" s="2">
        <v>0.8</v>
      </c>
      <c r="AU647" s="2">
        <v>162</v>
      </c>
      <c r="AV647" s="2">
        <v>19.5</v>
      </c>
      <c r="AW647" s="2">
        <v>15.6</v>
      </c>
      <c r="AX647" s="2">
        <v>35</v>
      </c>
      <c r="AY647" s="2">
        <v>0.68</v>
      </c>
      <c r="AZ647" s="2">
        <v>5.4</v>
      </c>
      <c r="BA647" s="2">
        <v>0.9</v>
      </c>
      <c r="BB647" s="2">
        <v>4.5999999999999996</v>
      </c>
      <c r="BC647" s="2">
        <v>2.1</v>
      </c>
      <c r="BD647" s="2">
        <f>+AN647*EXP(-0.0495*Y647)</f>
        <v>90.235702190079053</v>
      </c>
      <c r="BE647" s="2">
        <f>+AO647*EXP(-0.024*Y647)</f>
        <v>18.778842064485939</v>
      </c>
    </row>
    <row r="648" spans="1:57" x14ac:dyDescent="0.2">
      <c r="A648" s="2" t="s">
        <v>2432</v>
      </c>
      <c r="B648" s="2" t="s">
        <v>19</v>
      </c>
      <c r="C648" s="2" t="s">
        <v>1907</v>
      </c>
      <c r="D648" s="2" t="s">
        <v>21</v>
      </c>
      <c r="E648" s="2" t="s">
        <v>2341</v>
      </c>
      <c r="F648" s="2">
        <v>3</v>
      </c>
      <c r="G648" s="2">
        <v>68</v>
      </c>
      <c r="H648" s="2">
        <v>4</v>
      </c>
      <c r="I648" s="2">
        <v>1</v>
      </c>
      <c r="J648" s="2">
        <v>1</v>
      </c>
      <c r="K648" s="2" t="s">
        <v>61</v>
      </c>
      <c r="L648" s="6" t="s">
        <v>113</v>
      </c>
      <c r="M648" s="5">
        <v>360000000</v>
      </c>
      <c r="N648" s="2">
        <v>0</v>
      </c>
      <c r="O648" s="2">
        <v>4.6384242999999996</v>
      </c>
      <c r="P648" s="2">
        <v>-74.138029700000004</v>
      </c>
      <c r="Q648" s="2" t="s">
        <v>2433</v>
      </c>
      <c r="R648" s="2">
        <v>5294117.6469999999</v>
      </c>
      <c r="S648" s="2">
        <v>0</v>
      </c>
      <c r="T648" s="2" t="s">
        <v>39</v>
      </c>
      <c r="U648" s="2" t="s">
        <v>40</v>
      </c>
      <c r="V648" s="2" t="s">
        <v>28</v>
      </c>
      <c r="W648" s="2" t="s">
        <v>39</v>
      </c>
      <c r="X648" s="2" t="s">
        <v>41</v>
      </c>
      <c r="Y648" s="2">
        <v>2.3971729801937798</v>
      </c>
      <c r="Z648" s="2">
        <v>4.6317666666666701</v>
      </c>
      <c r="AA648" s="2">
        <v>-74.117483333333297</v>
      </c>
      <c r="AB648" s="2">
        <v>2590</v>
      </c>
      <c r="AC648" s="2" t="s">
        <v>31</v>
      </c>
      <c r="AD648" s="2" t="s">
        <v>42</v>
      </c>
      <c r="AE648" s="2" t="s">
        <v>33</v>
      </c>
      <c r="AF648" s="2" t="s">
        <v>34</v>
      </c>
      <c r="AG648" s="2" t="s">
        <v>172</v>
      </c>
      <c r="AH648" s="2">
        <v>0.91078696170998896</v>
      </c>
      <c r="AI648" s="2">
        <v>3.2331516836150098</v>
      </c>
      <c r="AJ648" s="2">
        <v>1.7434451474564501</v>
      </c>
      <c r="AK648" s="2">
        <v>3.4628604011386399E-2</v>
      </c>
      <c r="AL648" s="2">
        <v>0.20295696201197</v>
      </c>
      <c r="AM648" s="2">
        <v>16.600000000000001</v>
      </c>
      <c r="AN648" s="2">
        <v>101.7</v>
      </c>
      <c r="AO648" s="2">
        <v>19.899999999999999</v>
      </c>
      <c r="AP648" s="2">
        <v>564</v>
      </c>
      <c r="AQ648" s="2">
        <v>71</v>
      </c>
      <c r="AR648" s="2">
        <v>1.7</v>
      </c>
      <c r="AS648" s="2">
        <v>185</v>
      </c>
      <c r="AT648" s="2">
        <v>0.8</v>
      </c>
      <c r="AU648" s="2">
        <v>162</v>
      </c>
      <c r="AV648" s="2">
        <v>19.5</v>
      </c>
      <c r="AW648" s="2">
        <v>15.6</v>
      </c>
      <c r="AX648" s="2">
        <v>35</v>
      </c>
      <c r="AY648" s="2">
        <v>0.68</v>
      </c>
      <c r="AZ648" s="2">
        <v>5.4</v>
      </c>
      <c r="BA648" s="2">
        <v>0.9</v>
      </c>
      <c r="BB648" s="2">
        <v>4.5999999999999996</v>
      </c>
      <c r="BC648" s="2">
        <v>2.1</v>
      </c>
      <c r="BD648" s="2">
        <f>+AN648*EXP(-0.0495*Y648)</f>
        <v>90.320751528164934</v>
      </c>
      <c r="BE648" s="2">
        <f>+AO648*EXP(-0.024*Y648)</f>
        <v>18.787421564731662</v>
      </c>
    </row>
    <row r="649" spans="1:57" x14ac:dyDescent="0.2">
      <c r="A649" s="2" t="s">
        <v>573</v>
      </c>
      <c r="B649" s="2" t="s">
        <v>19</v>
      </c>
      <c r="C649" s="2" t="s">
        <v>20</v>
      </c>
      <c r="D649" s="2" t="s">
        <v>21</v>
      </c>
      <c r="E649" s="2" t="s">
        <v>119</v>
      </c>
      <c r="F649" s="2">
        <v>4</v>
      </c>
      <c r="G649" s="2">
        <v>67</v>
      </c>
      <c r="H649" s="2">
        <v>2</v>
      </c>
      <c r="I649" s="2">
        <v>2</v>
      </c>
      <c r="J649" s="2">
        <v>1</v>
      </c>
      <c r="K649" s="2" t="s">
        <v>61</v>
      </c>
      <c r="L649" s="6" t="s">
        <v>113</v>
      </c>
      <c r="M649" s="5">
        <v>600000000</v>
      </c>
      <c r="N649" s="2">
        <v>0</v>
      </c>
      <c r="O649" s="2">
        <v>4.6354489330000002</v>
      </c>
      <c r="P649" s="2">
        <v>-74.096290589999995</v>
      </c>
      <c r="Q649" s="2" t="s">
        <v>574</v>
      </c>
      <c r="R649" s="2">
        <v>8955223.8809999991</v>
      </c>
      <c r="S649" s="2">
        <v>0</v>
      </c>
      <c r="T649" s="2" t="s">
        <v>39</v>
      </c>
      <c r="U649" s="2" t="s">
        <v>40</v>
      </c>
      <c r="V649" s="2" t="s">
        <v>28</v>
      </c>
      <c r="W649" s="2" t="s">
        <v>39</v>
      </c>
      <c r="X649" s="2" t="s">
        <v>41</v>
      </c>
      <c r="Y649" s="2">
        <v>2.38691526970026</v>
      </c>
      <c r="Z649" s="2">
        <v>4.6317666666666701</v>
      </c>
      <c r="AA649" s="2">
        <v>-74.117483333333297</v>
      </c>
      <c r="AB649" s="2">
        <v>2590</v>
      </c>
      <c r="AC649" s="2" t="s">
        <v>31</v>
      </c>
      <c r="AD649" s="2" t="s">
        <v>42</v>
      </c>
      <c r="AE649" s="2" t="s">
        <v>33</v>
      </c>
      <c r="AF649" s="2" t="s">
        <v>34</v>
      </c>
      <c r="AG649" s="2" t="s">
        <v>35</v>
      </c>
      <c r="AH649" s="2">
        <v>0.41738844301730099</v>
      </c>
      <c r="AI649" s="2">
        <v>3.98410317505388</v>
      </c>
      <c r="AJ649" s="2">
        <v>0.841531078829442</v>
      </c>
      <c r="AK649" s="2">
        <v>9.4343969589327295E-2</v>
      </c>
      <c r="AL649" s="2">
        <v>0.47758028150943499</v>
      </c>
      <c r="AM649" s="2">
        <v>16.600000000000001</v>
      </c>
      <c r="AN649" s="2">
        <v>101.7</v>
      </c>
      <c r="AO649" s="2">
        <v>19.899999999999999</v>
      </c>
      <c r="AP649" s="2">
        <v>564</v>
      </c>
      <c r="AQ649" s="2">
        <v>71</v>
      </c>
      <c r="AR649" s="2">
        <v>1.7</v>
      </c>
      <c r="AS649" s="2">
        <v>185</v>
      </c>
      <c r="AT649" s="2">
        <v>0.8</v>
      </c>
      <c r="AU649" s="2">
        <v>162</v>
      </c>
      <c r="AV649" s="2">
        <v>19.5</v>
      </c>
      <c r="AW649" s="2">
        <v>15.6</v>
      </c>
      <c r="AX649" s="2">
        <v>35</v>
      </c>
      <c r="AY649" s="2">
        <v>0.68</v>
      </c>
      <c r="AZ649" s="2">
        <v>5.4</v>
      </c>
      <c r="BA649" s="2">
        <v>0.9</v>
      </c>
      <c r="BB649" s="2">
        <v>4.5999999999999996</v>
      </c>
      <c r="BC649" s="2">
        <v>2.1</v>
      </c>
      <c r="BD649" s="2">
        <f>+AN649*EXP(-0.0495*Y649)</f>
        <v>90.366624137217258</v>
      </c>
      <c r="BE649" s="2">
        <f>+AO649*EXP(-0.024*Y649)</f>
        <v>18.792047316455701</v>
      </c>
    </row>
    <row r="650" spans="1:57" x14ac:dyDescent="0.2">
      <c r="A650" s="2" t="s">
        <v>935</v>
      </c>
      <c r="B650" s="2" t="s">
        <v>19</v>
      </c>
      <c r="C650" s="2" t="s">
        <v>20</v>
      </c>
      <c r="D650" s="2" t="s">
        <v>21</v>
      </c>
      <c r="E650" s="2" t="s">
        <v>936</v>
      </c>
      <c r="F650" s="2">
        <v>3</v>
      </c>
      <c r="G650" s="2">
        <v>67</v>
      </c>
      <c r="H650" s="2">
        <v>3</v>
      </c>
      <c r="I650" s="2">
        <v>2</v>
      </c>
      <c r="J650" s="2">
        <v>1</v>
      </c>
      <c r="K650" s="2" t="s">
        <v>61</v>
      </c>
      <c r="L650" s="6" t="s">
        <v>62</v>
      </c>
      <c r="M650" s="5">
        <v>356000000</v>
      </c>
      <c r="N650" s="2">
        <v>0</v>
      </c>
      <c r="O650" s="2">
        <v>4.5898169869999998</v>
      </c>
      <c r="P650" s="2">
        <v>-74.114314030000003</v>
      </c>
      <c r="Q650" s="2" t="s">
        <v>937</v>
      </c>
      <c r="R650" s="2">
        <v>5313432.8360000001</v>
      </c>
      <c r="S650" s="2">
        <v>0</v>
      </c>
      <c r="T650" s="2" t="s">
        <v>455</v>
      </c>
      <c r="U650" s="2" t="s">
        <v>456</v>
      </c>
      <c r="V650" s="2" t="s">
        <v>28</v>
      </c>
      <c r="W650" s="2" t="s">
        <v>39</v>
      </c>
      <c r="X650" s="2" t="s">
        <v>457</v>
      </c>
      <c r="Y650" s="2">
        <v>2.0809595347851002</v>
      </c>
      <c r="Z650" s="2">
        <v>4.6085000000000003</v>
      </c>
      <c r="AA650" s="2">
        <v>-74.114944444444404</v>
      </c>
      <c r="AB650" s="2">
        <v>2559</v>
      </c>
      <c r="AC650" s="2" t="s">
        <v>31</v>
      </c>
      <c r="AD650" s="2" t="s">
        <v>458</v>
      </c>
      <c r="AE650" s="2" t="s">
        <v>33</v>
      </c>
      <c r="AF650" s="2" t="s">
        <v>34</v>
      </c>
      <c r="AG650" s="2" t="s">
        <v>938</v>
      </c>
      <c r="AH650" s="2">
        <v>0.67788272801156402</v>
      </c>
      <c r="AI650" s="2">
        <v>4.7117442171286399</v>
      </c>
      <c r="AJ650" s="2">
        <v>1.8938176285969299</v>
      </c>
      <c r="AK650" s="2">
        <v>0.45588100813307197</v>
      </c>
      <c r="AL650" s="2">
        <v>4.05572763112058E-2</v>
      </c>
      <c r="AM650" s="2">
        <v>16.600000000000001</v>
      </c>
      <c r="AN650" s="2">
        <v>101.7</v>
      </c>
      <c r="AO650" s="2">
        <v>19.899999999999999</v>
      </c>
      <c r="AP650" s="2">
        <v>564</v>
      </c>
      <c r="AQ650" s="2">
        <v>71</v>
      </c>
      <c r="AR650" s="2">
        <v>1.7</v>
      </c>
      <c r="AS650" s="2">
        <v>185</v>
      </c>
      <c r="AT650" s="2">
        <v>0.8</v>
      </c>
      <c r="AU650" s="2">
        <v>162</v>
      </c>
      <c r="AV650" s="2">
        <v>19.5</v>
      </c>
      <c r="AW650" s="2">
        <v>15.6</v>
      </c>
      <c r="AX650" s="2">
        <v>35</v>
      </c>
      <c r="AY650" s="2">
        <v>0.68</v>
      </c>
      <c r="AZ650" s="2">
        <v>5.4</v>
      </c>
      <c r="BA650" s="2">
        <v>0.9</v>
      </c>
      <c r="BB650" s="2">
        <v>4.5999999999999996</v>
      </c>
      <c r="BC650" s="2">
        <v>2.1</v>
      </c>
      <c r="BD650" s="2">
        <f>+AN650*EXP(-0.0495*Y650)</f>
        <v>91.74562538611994</v>
      </c>
      <c r="BE650" s="2">
        <f>+AO650*EXP(-0.024*Y650)</f>
        <v>18.930544011992659</v>
      </c>
    </row>
    <row r="651" spans="1:57" x14ac:dyDescent="0.2">
      <c r="A651" s="2" t="s">
        <v>1588</v>
      </c>
      <c r="B651" s="2" t="s">
        <v>19</v>
      </c>
      <c r="C651" s="2" t="s">
        <v>20</v>
      </c>
      <c r="D651" s="2" t="s">
        <v>21</v>
      </c>
      <c r="E651" s="2" t="s">
        <v>1509</v>
      </c>
      <c r="F651" s="2">
        <v>3</v>
      </c>
      <c r="G651" s="2">
        <v>66.7</v>
      </c>
      <c r="H651" s="2">
        <v>3</v>
      </c>
      <c r="I651" s="2">
        <v>2</v>
      </c>
      <c r="J651" s="2">
        <v>1</v>
      </c>
      <c r="K651" s="2" t="s">
        <v>61</v>
      </c>
      <c r="L651" s="6" t="s">
        <v>113</v>
      </c>
      <c r="M651" s="5">
        <v>280000000</v>
      </c>
      <c r="N651" s="2">
        <v>0</v>
      </c>
      <c r="O651" s="2">
        <v>4.6141800000000002</v>
      </c>
      <c r="P651" s="2">
        <v>-74.133780000000002</v>
      </c>
      <c r="Q651" s="2" t="s">
        <v>1589</v>
      </c>
      <c r="R651" s="2">
        <v>4197901.0489999996</v>
      </c>
      <c r="S651" s="2">
        <v>0</v>
      </c>
      <c r="T651" s="2" t="s">
        <v>455</v>
      </c>
      <c r="U651" s="2" t="s">
        <v>456</v>
      </c>
      <c r="V651" s="2" t="s">
        <v>28</v>
      </c>
      <c r="W651" s="2" t="s">
        <v>39</v>
      </c>
      <c r="X651" s="2" t="s">
        <v>457</v>
      </c>
      <c r="Y651" s="2">
        <v>2.1835295460398001</v>
      </c>
      <c r="Z651" s="2">
        <v>4.6085000000000003</v>
      </c>
      <c r="AA651" s="2">
        <v>-74.114944444444404</v>
      </c>
      <c r="AB651" s="2">
        <v>2559</v>
      </c>
      <c r="AC651" s="2" t="s">
        <v>31</v>
      </c>
      <c r="AD651" s="2" t="s">
        <v>458</v>
      </c>
      <c r="AE651" s="2" t="s">
        <v>33</v>
      </c>
      <c r="AF651" s="2" t="s">
        <v>34</v>
      </c>
      <c r="AG651" s="2" t="s">
        <v>172</v>
      </c>
      <c r="AH651" s="2">
        <v>1.7589895292361</v>
      </c>
      <c r="AI651" s="2">
        <v>5.6950244091386297</v>
      </c>
      <c r="AJ651" s="2">
        <v>2.44741427804815</v>
      </c>
      <c r="AK651" s="2">
        <v>7.3367354575650398E-2</v>
      </c>
      <c r="AL651" s="2">
        <v>8.2670103022861999E-2</v>
      </c>
      <c r="AM651" s="2">
        <v>16.600000000000001</v>
      </c>
      <c r="AN651" s="2">
        <v>101.7</v>
      </c>
      <c r="AO651" s="2">
        <v>19.899999999999999</v>
      </c>
      <c r="AP651" s="2">
        <v>564</v>
      </c>
      <c r="AQ651" s="2">
        <v>71</v>
      </c>
      <c r="AR651" s="2">
        <v>1.7</v>
      </c>
      <c r="AS651" s="2">
        <v>185</v>
      </c>
      <c r="AT651" s="2">
        <v>0.8</v>
      </c>
      <c r="AU651" s="2">
        <v>162</v>
      </c>
      <c r="AV651" s="2">
        <v>19.5</v>
      </c>
      <c r="AW651" s="2">
        <v>15.6</v>
      </c>
      <c r="AX651" s="2">
        <v>35</v>
      </c>
      <c r="AY651" s="2">
        <v>0.68</v>
      </c>
      <c r="AZ651" s="2">
        <v>5.4</v>
      </c>
      <c r="BA651" s="2">
        <v>0.9</v>
      </c>
      <c r="BB651" s="2">
        <v>4.5999999999999996</v>
      </c>
      <c r="BC651" s="2">
        <v>2.1</v>
      </c>
      <c r="BD651" s="2">
        <f>+AN651*EXP(-0.0495*Y651)</f>
        <v>91.280993585626533</v>
      </c>
      <c r="BE651" s="2">
        <f>+AO651*EXP(-0.024*Y651)</f>
        <v>18.884000376574367</v>
      </c>
    </row>
    <row r="652" spans="1:57" x14ac:dyDescent="0.2">
      <c r="A652" s="2" t="s">
        <v>3162</v>
      </c>
      <c r="B652" s="2" t="s">
        <v>19</v>
      </c>
      <c r="C652" s="2" t="s">
        <v>1907</v>
      </c>
      <c r="D652" s="2" t="s">
        <v>21</v>
      </c>
      <c r="E652" s="2" t="s">
        <v>3163</v>
      </c>
      <c r="F652" s="2">
        <v>3</v>
      </c>
      <c r="G652" s="2">
        <v>66</v>
      </c>
      <c r="H652" s="2">
        <v>3</v>
      </c>
      <c r="I652" s="2">
        <v>2</v>
      </c>
      <c r="J652" s="2">
        <v>1</v>
      </c>
      <c r="K652" s="2" t="s">
        <v>61</v>
      </c>
      <c r="L652" s="6" t="s">
        <v>75</v>
      </c>
      <c r="M652" s="5">
        <v>460000000</v>
      </c>
      <c r="N652" s="2">
        <v>0</v>
      </c>
      <c r="O652" s="2">
        <v>4.618293285</v>
      </c>
      <c r="P652" s="2">
        <v>-74.13262177</v>
      </c>
      <c r="Q652" s="2" t="s">
        <v>3164</v>
      </c>
      <c r="R652" s="2">
        <v>6969696.9699999997</v>
      </c>
      <c r="S652" s="2">
        <v>0</v>
      </c>
      <c r="T652" s="2" t="s">
        <v>455</v>
      </c>
      <c r="U652" s="2" t="s">
        <v>456</v>
      </c>
      <c r="V652" s="2" t="s">
        <v>28</v>
      </c>
      <c r="W652" s="2" t="s">
        <v>39</v>
      </c>
      <c r="X652" s="2" t="s">
        <v>457</v>
      </c>
      <c r="Y652" s="2">
        <v>2.2440603732187201</v>
      </c>
      <c r="Z652" s="2">
        <v>4.6085000000000003</v>
      </c>
      <c r="AA652" s="2">
        <v>-74.114944444444404</v>
      </c>
      <c r="AB652" s="2">
        <v>2559</v>
      </c>
      <c r="AC652" s="2" t="s">
        <v>31</v>
      </c>
      <c r="AD652" s="2" t="s">
        <v>458</v>
      </c>
      <c r="AE652" s="2" t="s">
        <v>33</v>
      </c>
      <c r="AF652" s="2" t="s">
        <v>34</v>
      </c>
      <c r="AG652" s="2" t="s">
        <v>172</v>
      </c>
      <c r="AH652" s="2">
        <v>1.2872789204447701</v>
      </c>
      <c r="AI652" s="2">
        <v>5.3768517423021498</v>
      </c>
      <c r="AJ652" s="2">
        <v>2.7418989454260001</v>
      </c>
      <c r="AK652" s="2">
        <v>0.15397772055983699</v>
      </c>
      <c r="AL652" s="2">
        <v>5.50816183789581E-2</v>
      </c>
      <c r="AM652" s="2">
        <v>16.600000000000001</v>
      </c>
      <c r="AN652" s="2">
        <v>101.7</v>
      </c>
      <c r="AO652" s="2">
        <v>19.899999999999999</v>
      </c>
      <c r="AP652" s="2">
        <v>564</v>
      </c>
      <c r="AQ652" s="2">
        <v>71</v>
      </c>
      <c r="AR652" s="2">
        <v>1.7</v>
      </c>
      <c r="AS652" s="2">
        <v>185</v>
      </c>
      <c r="AT652" s="2">
        <v>0.8</v>
      </c>
      <c r="AU652" s="2">
        <v>162</v>
      </c>
      <c r="AV652" s="2">
        <v>19.5</v>
      </c>
      <c r="AW652" s="2">
        <v>15.6</v>
      </c>
      <c r="AX652" s="2">
        <v>35</v>
      </c>
      <c r="AY652" s="2">
        <v>0.68</v>
      </c>
      <c r="AZ652" s="2">
        <v>5.4</v>
      </c>
      <c r="BA652" s="2">
        <v>0.9</v>
      </c>
      <c r="BB652" s="2">
        <v>4.5999999999999996</v>
      </c>
      <c r="BC652" s="2">
        <v>2.1</v>
      </c>
      <c r="BD652" s="2">
        <f>+AN652*EXP(-0.0495*Y652)</f>
        <v>91.007899876645254</v>
      </c>
      <c r="BE652" s="2">
        <f>+AO652*EXP(-0.024*Y652)</f>
        <v>18.856586753908914</v>
      </c>
    </row>
    <row r="653" spans="1:57" x14ac:dyDescent="0.2">
      <c r="A653" s="2" t="s">
        <v>426</v>
      </c>
      <c r="B653" s="2" t="s">
        <v>19</v>
      </c>
      <c r="C653" s="2" t="s">
        <v>20</v>
      </c>
      <c r="D653" s="2" t="s">
        <v>21</v>
      </c>
      <c r="E653" s="2" t="s">
        <v>247</v>
      </c>
      <c r="F653" s="2">
        <v>4</v>
      </c>
      <c r="G653" s="2">
        <v>64.180000000000007</v>
      </c>
      <c r="H653" s="2">
        <v>2</v>
      </c>
      <c r="I653" s="2">
        <v>2</v>
      </c>
      <c r="J653" s="2">
        <v>1</v>
      </c>
      <c r="K653" s="2" t="s">
        <v>23</v>
      </c>
      <c r="L653" s="6" t="s">
        <v>24</v>
      </c>
      <c r="M653" s="5">
        <v>598028491</v>
      </c>
      <c r="N653" s="2">
        <v>0</v>
      </c>
      <c r="O653" s="2">
        <v>4.6455397999999999</v>
      </c>
      <c r="P653" s="2">
        <v>-74.124979999999994</v>
      </c>
      <c r="Q653" s="2" t="s">
        <v>427</v>
      </c>
      <c r="R653" s="2">
        <v>9317988.3300000001</v>
      </c>
      <c r="S653" s="2">
        <v>0</v>
      </c>
      <c r="T653" s="2" t="s">
        <v>39</v>
      </c>
      <c r="U653" s="2" t="s">
        <v>40</v>
      </c>
      <c r="V653" s="2" t="s">
        <v>28</v>
      </c>
      <c r="W653" s="2" t="s">
        <v>39</v>
      </c>
      <c r="X653" s="2" t="s">
        <v>41</v>
      </c>
      <c r="Y653" s="2">
        <v>1.7443151642725301</v>
      </c>
      <c r="Z653" s="2">
        <v>4.6317666666666701</v>
      </c>
      <c r="AA653" s="2">
        <v>-74.117483333333297</v>
      </c>
      <c r="AB653" s="2">
        <v>2590</v>
      </c>
      <c r="AC653" s="2" t="s">
        <v>31</v>
      </c>
      <c r="AD653" s="2" t="s">
        <v>42</v>
      </c>
      <c r="AE653" s="2" t="s">
        <v>33</v>
      </c>
      <c r="AF653" s="2" t="s">
        <v>34</v>
      </c>
      <c r="AG653" s="2" t="s">
        <v>43</v>
      </c>
      <c r="AH653" s="2">
        <v>1.84488475579095</v>
      </c>
      <c r="AI653" s="2">
        <v>3.9776146963822301</v>
      </c>
      <c r="AJ653" s="2">
        <v>0.57825767745824197</v>
      </c>
      <c r="AK653" s="2">
        <v>0.20112158476043501</v>
      </c>
      <c r="AL653" s="2">
        <v>3.8607558916069502E-3</v>
      </c>
      <c r="AM653" s="2">
        <v>16.600000000000001</v>
      </c>
      <c r="AN653" s="2">
        <v>101.7</v>
      </c>
      <c r="AO653" s="2">
        <v>19.899999999999999</v>
      </c>
      <c r="AP653" s="2">
        <v>564</v>
      </c>
      <c r="AQ653" s="2">
        <v>71</v>
      </c>
      <c r="AR653" s="2">
        <v>1.7</v>
      </c>
      <c r="AS653" s="2">
        <v>185</v>
      </c>
      <c r="AT653" s="2">
        <v>0.8</v>
      </c>
      <c r="AU653" s="2">
        <v>162</v>
      </c>
      <c r="AV653" s="2">
        <v>19.5</v>
      </c>
      <c r="AW653" s="2">
        <v>15.6</v>
      </c>
      <c r="AX653" s="2">
        <v>35</v>
      </c>
      <c r="AY653" s="2">
        <v>0.68</v>
      </c>
      <c r="AZ653" s="2">
        <v>5.4</v>
      </c>
      <c r="BA653" s="2">
        <v>0.9</v>
      </c>
      <c r="BB653" s="2">
        <v>4.5999999999999996</v>
      </c>
      <c r="BC653" s="2">
        <v>2.1</v>
      </c>
      <c r="BD653" s="2">
        <f>+AN653*EXP(-0.0495*Y653)</f>
        <v>93.287274241306449</v>
      </c>
      <c r="BE653" s="2">
        <f>+AO653*EXP(-0.024*Y653)</f>
        <v>19.084112216808048</v>
      </c>
    </row>
    <row r="654" spans="1:57" x14ac:dyDescent="0.2">
      <c r="A654" s="2" t="s">
        <v>149</v>
      </c>
      <c r="B654" s="2" t="s">
        <v>19</v>
      </c>
      <c r="C654" s="2" t="s">
        <v>20</v>
      </c>
      <c r="D654" s="2" t="s">
        <v>21</v>
      </c>
      <c r="E654" s="2" t="s">
        <v>150</v>
      </c>
      <c r="F654" s="2">
        <v>4</v>
      </c>
      <c r="G654" s="2">
        <v>59.5</v>
      </c>
      <c r="H654" s="2">
        <v>3</v>
      </c>
      <c r="I654" s="2">
        <v>2</v>
      </c>
      <c r="J654" s="2">
        <v>1</v>
      </c>
      <c r="K654" s="2" t="s">
        <v>61</v>
      </c>
      <c r="L654" s="6" t="s">
        <v>62</v>
      </c>
      <c r="M654" s="5">
        <v>650000000</v>
      </c>
      <c r="N654" s="2">
        <v>0</v>
      </c>
      <c r="O654" s="2">
        <v>4.6478629109999998</v>
      </c>
      <c r="P654" s="2">
        <v>-74.117828369999998</v>
      </c>
      <c r="Q654" s="2" t="s">
        <v>151</v>
      </c>
      <c r="R654" s="2">
        <v>10924369.75</v>
      </c>
      <c r="S654" s="2">
        <v>0</v>
      </c>
      <c r="T654" s="2" t="s">
        <v>39</v>
      </c>
      <c r="U654" s="2" t="s">
        <v>40</v>
      </c>
      <c r="V654" s="2" t="s">
        <v>28</v>
      </c>
      <c r="W654" s="2" t="s">
        <v>39</v>
      </c>
      <c r="X654" s="2" t="s">
        <v>41</v>
      </c>
      <c r="Y654" s="2">
        <v>1.79223465052473</v>
      </c>
      <c r="Z654" s="2">
        <v>4.6317666666666701</v>
      </c>
      <c r="AA654" s="2">
        <v>-74.117483333333297</v>
      </c>
      <c r="AB654" s="2">
        <v>2590</v>
      </c>
      <c r="AC654" s="2" t="s">
        <v>31</v>
      </c>
      <c r="AD654" s="2" t="s">
        <v>42</v>
      </c>
      <c r="AE654" s="2" t="s">
        <v>33</v>
      </c>
      <c r="AF654" s="2" t="s">
        <v>34</v>
      </c>
      <c r="AG654" s="2" t="s">
        <v>43</v>
      </c>
      <c r="AH654" s="2">
        <v>1.6909513459501899</v>
      </c>
      <c r="AI654" s="2">
        <v>4.6362624461573603</v>
      </c>
      <c r="AJ654" s="2">
        <v>0.92507156646284705</v>
      </c>
      <c r="AK654" s="2">
        <v>0.42107835665586502</v>
      </c>
      <c r="AL654" s="2">
        <v>0.24632766950959001</v>
      </c>
      <c r="AM654" s="2">
        <v>16.600000000000001</v>
      </c>
      <c r="AN654" s="2">
        <v>101.7</v>
      </c>
      <c r="AO654" s="2">
        <v>19.899999999999999</v>
      </c>
      <c r="AP654" s="2">
        <v>564</v>
      </c>
      <c r="AQ654" s="2">
        <v>71</v>
      </c>
      <c r="AR654" s="2">
        <v>1.7</v>
      </c>
      <c r="AS654" s="2">
        <v>185</v>
      </c>
      <c r="AT654" s="2">
        <v>0.8</v>
      </c>
      <c r="AU654" s="2">
        <v>162</v>
      </c>
      <c r="AV654" s="2">
        <v>19.5</v>
      </c>
      <c r="AW654" s="2">
        <v>15.6</v>
      </c>
      <c r="AX654" s="2">
        <v>35</v>
      </c>
      <c r="AY654" s="2">
        <v>0.68</v>
      </c>
      <c r="AZ654" s="2">
        <v>5.4</v>
      </c>
      <c r="BA654" s="2">
        <v>0.9</v>
      </c>
      <c r="BB654" s="2">
        <v>4.5999999999999996</v>
      </c>
      <c r="BC654" s="2">
        <v>2.1</v>
      </c>
      <c r="BD654" s="2">
        <f>+AN654*EXP(-0.0495*Y654)</f>
        <v>93.066257698516694</v>
      </c>
      <c r="BE654" s="2">
        <f>+AO654*EXP(-0.024*Y654)</f>
        <v>19.062176812353332</v>
      </c>
    </row>
    <row r="655" spans="1:57" x14ac:dyDescent="0.2">
      <c r="A655" s="2" t="s">
        <v>747</v>
      </c>
      <c r="B655" s="2" t="s">
        <v>19</v>
      </c>
      <c r="C655" s="2" t="s">
        <v>20</v>
      </c>
      <c r="D655" s="2" t="s">
        <v>21</v>
      </c>
      <c r="E655" s="2" t="s">
        <v>252</v>
      </c>
      <c r="F655" s="2">
        <v>3</v>
      </c>
      <c r="G655" s="2">
        <v>59.14</v>
      </c>
      <c r="H655" s="2">
        <v>2</v>
      </c>
      <c r="I655" s="2">
        <v>2</v>
      </c>
      <c r="J655" s="2">
        <v>0</v>
      </c>
      <c r="K655" s="2" t="s">
        <v>23</v>
      </c>
      <c r="L655" s="6" t="s">
        <v>24</v>
      </c>
      <c r="M655" s="5">
        <v>505500000</v>
      </c>
      <c r="N655" s="2">
        <v>0</v>
      </c>
      <c r="O655" s="2">
        <v>4.6217503999999998</v>
      </c>
      <c r="P655" s="2">
        <v>-74.109700000000004</v>
      </c>
      <c r="Q655" s="2" t="s">
        <v>748</v>
      </c>
      <c r="R655" s="2">
        <v>8547514.3729999997</v>
      </c>
      <c r="S655" s="2">
        <v>0</v>
      </c>
      <c r="T655" s="2" t="s">
        <v>39</v>
      </c>
      <c r="U655" s="2" t="s">
        <v>40</v>
      </c>
      <c r="V655" s="2" t="s">
        <v>28</v>
      </c>
      <c r="W655" s="2" t="s">
        <v>39</v>
      </c>
      <c r="X655" s="2" t="s">
        <v>41</v>
      </c>
      <c r="Y655" s="2">
        <v>1.41034236313207</v>
      </c>
      <c r="Z655" s="2">
        <v>4.6317666666666701</v>
      </c>
      <c r="AA655" s="2">
        <v>-74.117483333333297</v>
      </c>
      <c r="AB655" s="2">
        <v>2590</v>
      </c>
      <c r="AC655" s="2" t="s">
        <v>31</v>
      </c>
      <c r="AD655" s="2" t="s">
        <v>42</v>
      </c>
      <c r="AE655" s="2" t="s">
        <v>33</v>
      </c>
      <c r="AF655" s="2" t="s">
        <v>34</v>
      </c>
      <c r="AG655" s="2" t="s">
        <v>239</v>
      </c>
      <c r="AH655" s="2">
        <v>0.70573106363599802</v>
      </c>
      <c r="AI655" s="2">
        <v>5.1364967079326798</v>
      </c>
      <c r="AJ655" s="2">
        <v>2.55170292907937</v>
      </c>
      <c r="AK655" s="2">
        <v>0.35621134260336301</v>
      </c>
      <c r="AL655" s="2">
        <v>0.44431420857394799</v>
      </c>
      <c r="AM655" s="2">
        <v>16.600000000000001</v>
      </c>
      <c r="AN655" s="2">
        <v>101.7</v>
      </c>
      <c r="AO655" s="2">
        <v>19.899999999999999</v>
      </c>
      <c r="AP655" s="2">
        <v>564</v>
      </c>
      <c r="AQ655" s="2">
        <v>71</v>
      </c>
      <c r="AR655" s="2">
        <v>1.7</v>
      </c>
      <c r="AS655" s="2">
        <v>185</v>
      </c>
      <c r="AT655" s="2">
        <v>0.8</v>
      </c>
      <c r="AU655" s="2">
        <v>162</v>
      </c>
      <c r="AV655" s="2">
        <v>19.5</v>
      </c>
      <c r="AW655" s="2">
        <v>15.6</v>
      </c>
      <c r="AX655" s="2">
        <v>35</v>
      </c>
      <c r="AY655" s="2">
        <v>0.68</v>
      </c>
      <c r="AZ655" s="2">
        <v>5.4</v>
      </c>
      <c r="BA655" s="2">
        <v>0.9</v>
      </c>
      <c r="BB655" s="2">
        <v>4.5999999999999996</v>
      </c>
      <c r="BC655" s="2">
        <v>2.1</v>
      </c>
      <c r="BD655" s="2">
        <f>+AN655*EXP(-0.0495*Y655)</f>
        <v>94.842285186165228</v>
      </c>
      <c r="BE655" s="2">
        <f>+AO655*EXP(-0.024*Y655)</f>
        <v>19.237692680884678</v>
      </c>
    </row>
    <row r="656" spans="1:57" x14ac:dyDescent="0.2">
      <c r="A656" s="2" t="s">
        <v>60</v>
      </c>
      <c r="B656" s="2" t="s">
        <v>19</v>
      </c>
      <c r="C656" s="2" t="s">
        <v>20</v>
      </c>
      <c r="D656" s="2" t="s">
        <v>21</v>
      </c>
      <c r="E656" s="2" t="s">
        <v>45</v>
      </c>
      <c r="F656" s="2">
        <v>4</v>
      </c>
      <c r="G656" s="2">
        <v>59</v>
      </c>
      <c r="H656" s="2">
        <v>2</v>
      </c>
      <c r="I656" s="2">
        <v>2</v>
      </c>
      <c r="J656" s="2">
        <v>1</v>
      </c>
      <c r="K656" s="2" t="s">
        <v>61</v>
      </c>
      <c r="L656" s="6" t="s">
        <v>62</v>
      </c>
      <c r="M656" s="5">
        <v>485000000</v>
      </c>
      <c r="N656" s="2">
        <v>0</v>
      </c>
      <c r="O656" s="2">
        <v>4.6534279999999999</v>
      </c>
      <c r="P656" s="2">
        <v>-74.123298500000004</v>
      </c>
      <c r="Q656" s="2" t="s">
        <v>63</v>
      </c>
      <c r="R656" s="2">
        <v>8220338.983</v>
      </c>
      <c r="S656" s="2">
        <v>0</v>
      </c>
      <c r="T656" s="2" t="s">
        <v>39</v>
      </c>
      <c r="U656" s="2" t="s">
        <v>40</v>
      </c>
      <c r="V656" s="2" t="s">
        <v>28</v>
      </c>
      <c r="W656" s="2" t="s">
        <v>39</v>
      </c>
      <c r="X656" s="2" t="s">
        <v>41</v>
      </c>
      <c r="Y656" s="2">
        <v>2.4961592806687598</v>
      </c>
      <c r="Z656" s="2">
        <v>4.6317666666666701</v>
      </c>
      <c r="AA656" s="2">
        <v>-74.117483333333297</v>
      </c>
      <c r="AB656" s="2">
        <v>2590</v>
      </c>
      <c r="AC656" s="2" t="s">
        <v>31</v>
      </c>
      <c r="AD656" s="2" t="s">
        <v>42</v>
      </c>
      <c r="AE656" s="2" t="s">
        <v>33</v>
      </c>
      <c r="AF656" s="2" t="s">
        <v>34</v>
      </c>
      <c r="AG656" s="2" t="s">
        <v>43</v>
      </c>
      <c r="AH656" s="2">
        <v>1.8656072306695499</v>
      </c>
      <c r="AI656" s="2">
        <v>3.9016868423028801</v>
      </c>
      <c r="AJ656" s="2">
        <v>1.3836672153360401</v>
      </c>
      <c r="AK656" s="2">
        <v>0.322585154002129</v>
      </c>
      <c r="AL656" s="2">
        <v>0.11653404530587499</v>
      </c>
      <c r="AM656" s="2">
        <v>16.600000000000001</v>
      </c>
      <c r="AN656" s="2">
        <v>101.7</v>
      </c>
      <c r="AO656" s="2">
        <v>19.899999999999999</v>
      </c>
      <c r="AP656" s="2">
        <v>564</v>
      </c>
      <c r="AQ656" s="2">
        <v>71</v>
      </c>
      <c r="AR656" s="2">
        <v>1.7</v>
      </c>
      <c r="AS656" s="2">
        <v>185</v>
      </c>
      <c r="AT656" s="2">
        <v>0.8</v>
      </c>
      <c r="AU656" s="2">
        <v>162</v>
      </c>
      <c r="AV656" s="2">
        <v>19.5</v>
      </c>
      <c r="AW656" s="2">
        <v>15.6</v>
      </c>
      <c r="AX656" s="2">
        <v>35</v>
      </c>
      <c r="AY656" s="2">
        <v>0.68</v>
      </c>
      <c r="AZ656" s="2">
        <v>5.4</v>
      </c>
      <c r="BA656" s="2">
        <v>0.9</v>
      </c>
      <c r="BB656" s="2">
        <v>4.5999999999999996</v>
      </c>
      <c r="BC656" s="2">
        <v>2.1</v>
      </c>
      <c r="BD656" s="2">
        <f>+AN656*EXP(-0.0495*Y656)</f>
        <v>89.87927838732088</v>
      </c>
      <c r="BE656" s="2">
        <f>+AO656*EXP(-0.024*Y656)</f>
        <v>18.742841802579335</v>
      </c>
    </row>
    <row r="657" spans="1:57" x14ac:dyDescent="0.2">
      <c r="A657" s="2" t="s">
        <v>1005</v>
      </c>
      <c r="B657" s="2" t="s">
        <v>19</v>
      </c>
      <c r="C657" s="2" t="s">
        <v>20</v>
      </c>
      <c r="D657" s="2" t="s">
        <v>21</v>
      </c>
      <c r="E657" s="2" t="s">
        <v>1006</v>
      </c>
      <c r="F657" s="2">
        <v>3</v>
      </c>
      <c r="G657" s="2">
        <v>59</v>
      </c>
      <c r="H657" s="2">
        <v>2</v>
      </c>
      <c r="I657" s="2">
        <v>2</v>
      </c>
      <c r="J657" s="2">
        <v>1</v>
      </c>
      <c r="K657" s="2" t="s">
        <v>61</v>
      </c>
      <c r="L657" s="6" t="s">
        <v>84</v>
      </c>
      <c r="M657" s="5">
        <v>326000000</v>
      </c>
      <c r="N657" s="2">
        <v>0</v>
      </c>
      <c r="O657" s="2">
        <v>4.5932145999999996</v>
      </c>
      <c r="P657" s="2">
        <v>-74.107776999999999</v>
      </c>
      <c r="Q657" s="2" t="s">
        <v>1007</v>
      </c>
      <c r="R657" s="2">
        <v>5525423.7290000003</v>
      </c>
      <c r="S657" s="2">
        <v>0</v>
      </c>
      <c r="T657" s="2" t="s">
        <v>455</v>
      </c>
      <c r="U657" s="2" t="s">
        <v>456</v>
      </c>
      <c r="V657" s="2" t="s">
        <v>28</v>
      </c>
      <c r="W657" s="2" t="s">
        <v>39</v>
      </c>
      <c r="X657" s="2" t="s">
        <v>457</v>
      </c>
      <c r="Y657" s="2">
        <v>1.8782510200118401</v>
      </c>
      <c r="Z657" s="2">
        <v>4.6085000000000003</v>
      </c>
      <c r="AA657" s="2">
        <v>-74.114944444444404</v>
      </c>
      <c r="AB657" s="2">
        <v>2559</v>
      </c>
      <c r="AC657" s="2" t="s">
        <v>31</v>
      </c>
      <c r="AD657" s="2" t="s">
        <v>458</v>
      </c>
      <c r="AE657" s="2" t="s">
        <v>33</v>
      </c>
      <c r="AF657" s="2" t="s">
        <v>34</v>
      </c>
      <c r="AG657" s="2" t="s">
        <v>938</v>
      </c>
      <c r="AH657" s="2">
        <v>0.55850283843748305</v>
      </c>
      <c r="AI657" s="2">
        <v>4.20872724783941</v>
      </c>
      <c r="AJ657" s="2">
        <v>1.4911222149174199</v>
      </c>
      <c r="AK657" s="2">
        <v>0.32328427221713602</v>
      </c>
      <c r="AL657" s="2">
        <v>1.6213981656088901E-2</v>
      </c>
      <c r="AM657" s="2">
        <v>16.600000000000001</v>
      </c>
      <c r="AN657" s="2">
        <v>101.7</v>
      </c>
      <c r="AO657" s="2">
        <v>19.899999999999999</v>
      </c>
      <c r="AP657" s="2">
        <v>564</v>
      </c>
      <c r="AQ657" s="2">
        <v>71</v>
      </c>
      <c r="AR657" s="2">
        <v>1.7</v>
      </c>
      <c r="AS657" s="2">
        <v>185</v>
      </c>
      <c r="AT657" s="2">
        <v>0.8</v>
      </c>
      <c r="AU657" s="2">
        <v>162</v>
      </c>
      <c r="AV657" s="2">
        <v>19.5</v>
      </c>
      <c r="AW657" s="2">
        <v>15.6</v>
      </c>
      <c r="AX657" s="2">
        <v>35</v>
      </c>
      <c r="AY657" s="2">
        <v>0.68</v>
      </c>
      <c r="AZ657" s="2">
        <v>5.4</v>
      </c>
      <c r="BA657" s="2">
        <v>0.9</v>
      </c>
      <c r="BB657" s="2">
        <v>4.5999999999999996</v>
      </c>
      <c r="BC657" s="2">
        <v>2.1</v>
      </c>
      <c r="BD657" s="2">
        <f>+AN657*EXP(-0.0495*Y657)</f>
        <v>92.670841629548789</v>
      </c>
      <c r="BE657" s="2">
        <f>+AO657*EXP(-0.024*Y657)</f>
        <v>19.022865581372791</v>
      </c>
    </row>
    <row r="658" spans="1:57" x14ac:dyDescent="0.2">
      <c r="A658" s="2" t="s">
        <v>1203</v>
      </c>
      <c r="B658" s="2" t="s">
        <v>19</v>
      </c>
      <c r="C658" s="2" t="s">
        <v>20</v>
      </c>
      <c r="D658" s="2" t="s">
        <v>21</v>
      </c>
      <c r="E658" s="2" t="s">
        <v>252</v>
      </c>
      <c r="F658" s="2">
        <v>3</v>
      </c>
      <c r="G658" s="2">
        <v>58.1</v>
      </c>
      <c r="H658" s="2">
        <v>2</v>
      </c>
      <c r="I658" s="2">
        <v>2</v>
      </c>
      <c r="J658" s="2">
        <v>1</v>
      </c>
      <c r="K658" s="2" t="s">
        <v>23</v>
      </c>
      <c r="L658" s="6" t="s">
        <v>24</v>
      </c>
      <c r="M658" s="5">
        <v>491600000</v>
      </c>
      <c r="N658" s="2">
        <v>0</v>
      </c>
      <c r="O658" s="2">
        <v>4.6217503999999998</v>
      </c>
      <c r="P658" s="2">
        <v>-74.109700000000004</v>
      </c>
      <c r="Q658" s="2" t="s">
        <v>1204</v>
      </c>
      <c r="R658" s="2">
        <v>8461273.6659999993</v>
      </c>
      <c r="S658" s="2">
        <v>0</v>
      </c>
      <c r="T658" s="2" t="s">
        <v>39</v>
      </c>
      <c r="U658" s="2" t="s">
        <v>40</v>
      </c>
      <c r="V658" s="2" t="s">
        <v>28</v>
      </c>
      <c r="W658" s="2" t="s">
        <v>39</v>
      </c>
      <c r="X658" s="2" t="s">
        <v>41</v>
      </c>
      <c r="Y658" s="2">
        <v>1.41034236313207</v>
      </c>
      <c r="Z658" s="2">
        <v>4.6317666666666701</v>
      </c>
      <c r="AA658" s="2">
        <v>-74.117483333333297</v>
      </c>
      <c r="AB658" s="2">
        <v>2590</v>
      </c>
      <c r="AC658" s="2" t="s">
        <v>31</v>
      </c>
      <c r="AD658" s="2" t="s">
        <v>42</v>
      </c>
      <c r="AE658" s="2" t="s">
        <v>33</v>
      </c>
      <c r="AF658" s="2" t="s">
        <v>34</v>
      </c>
      <c r="AG658" s="2" t="s">
        <v>239</v>
      </c>
      <c r="AH658" s="2">
        <v>0.70573106363599802</v>
      </c>
      <c r="AI658" s="2">
        <v>5.1364967079326798</v>
      </c>
      <c r="AJ658" s="2">
        <v>2.55170292907937</v>
      </c>
      <c r="AK658" s="2">
        <v>0.35621134260336301</v>
      </c>
      <c r="AL658" s="2">
        <v>0.44431420857394799</v>
      </c>
      <c r="AM658" s="2">
        <v>16.600000000000001</v>
      </c>
      <c r="AN658" s="2">
        <v>101.7</v>
      </c>
      <c r="AO658" s="2">
        <v>19.899999999999999</v>
      </c>
      <c r="AP658" s="2">
        <v>564</v>
      </c>
      <c r="AQ658" s="2">
        <v>71</v>
      </c>
      <c r="AR658" s="2">
        <v>1.7</v>
      </c>
      <c r="AS658" s="2">
        <v>185</v>
      </c>
      <c r="AT658" s="2">
        <v>0.8</v>
      </c>
      <c r="AU658" s="2">
        <v>162</v>
      </c>
      <c r="AV658" s="2">
        <v>19.5</v>
      </c>
      <c r="AW658" s="2">
        <v>15.6</v>
      </c>
      <c r="AX658" s="2">
        <v>35</v>
      </c>
      <c r="AY658" s="2">
        <v>0.68</v>
      </c>
      <c r="AZ658" s="2">
        <v>5.4</v>
      </c>
      <c r="BA658" s="2">
        <v>0.9</v>
      </c>
      <c r="BB658" s="2">
        <v>4.5999999999999996</v>
      </c>
      <c r="BC658" s="2">
        <v>2.1</v>
      </c>
      <c r="BD658" s="2">
        <f>+AN658*EXP(-0.0495*Y658)</f>
        <v>94.842285186165228</v>
      </c>
      <c r="BE658" s="2">
        <f>+AO658*EXP(-0.024*Y658)</f>
        <v>19.237692680884678</v>
      </c>
    </row>
    <row r="659" spans="1:57" x14ac:dyDescent="0.2">
      <c r="A659" s="2" t="s">
        <v>1665</v>
      </c>
      <c r="B659" s="2" t="s">
        <v>19</v>
      </c>
      <c r="C659" s="2" t="s">
        <v>20</v>
      </c>
      <c r="D659" s="2" t="s">
        <v>21</v>
      </c>
      <c r="E659" s="2" t="s">
        <v>1666</v>
      </c>
      <c r="F659" s="2">
        <v>3</v>
      </c>
      <c r="G659" s="2">
        <v>58</v>
      </c>
      <c r="H659" s="2">
        <v>2</v>
      </c>
      <c r="I659" s="2">
        <v>2</v>
      </c>
      <c r="J659" s="2">
        <v>1</v>
      </c>
      <c r="K659" s="2" t="s">
        <v>61</v>
      </c>
      <c r="L659" s="6" t="s">
        <v>62</v>
      </c>
      <c r="M659" s="5">
        <v>380000000</v>
      </c>
      <c r="N659" s="2">
        <v>0</v>
      </c>
      <c r="O659" s="2">
        <v>4.6367440000000002</v>
      </c>
      <c r="P659" s="2">
        <v>-74.137029999999996</v>
      </c>
      <c r="Q659" s="2" t="s">
        <v>1667</v>
      </c>
      <c r="R659" s="2">
        <v>6551724.1380000003</v>
      </c>
      <c r="S659" s="2">
        <v>0</v>
      </c>
      <c r="T659" s="2" t="s">
        <v>39</v>
      </c>
      <c r="U659" s="2" t="s">
        <v>40</v>
      </c>
      <c r="V659" s="2" t="s">
        <v>28</v>
      </c>
      <c r="W659" s="2" t="s">
        <v>39</v>
      </c>
      <c r="X659" s="2" t="s">
        <v>41</v>
      </c>
      <c r="Y659" s="2">
        <v>2.23846841928296</v>
      </c>
      <c r="Z659" s="2">
        <v>4.6317666666666701</v>
      </c>
      <c r="AA659" s="2">
        <v>-74.117483333333297</v>
      </c>
      <c r="AB659" s="2">
        <v>2590</v>
      </c>
      <c r="AC659" s="2" t="s">
        <v>31</v>
      </c>
      <c r="AD659" s="2" t="s">
        <v>42</v>
      </c>
      <c r="AE659" s="2" t="s">
        <v>33</v>
      </c>
      <c r="AF659" s="2" t="s">
        <v>34</v>
      </c>
      <c r="AG659" s="2" t="s">
        <v>172</v>
      </c>
      <c r="AH659" s="2">
        <v>0.795634775123778</v>
      </c>
      <c r="AI659" s="2">
        <v>3.4448973729674899</v>
      </c>
      <c r="AJ659" s="2">
        <v>1.6756247264906301</v>
      </c>
      <c r="AK659" s="2">
        <v>5.3450091981429297E-2</v>
      </c>
      <c r="AL659" s="2">
        <v>0.13680397131997399</v>
      </c>
      <c r="AM659" s="2">
        <v>16.600000000000001</v>
      </c>
      <c r="AN659" s="2">
        <v>101.7</v>
      </c>
      <c r="AO659" s="2">
        <v>19.899999999999999</v>
      </c>
      <c r="AP659" s="2">
        <v>564</v>
      </c>
      <c r="AQ659" s="2">
        <v>71</v>
      </c>
      <c r="AR659" s="2">
        <v>1.7</v>
      </c>
      <c r="AS659" s="2">
        <v>185</v>
      </c>
      <c r="AT659" s="2">
        <v>0.8</v>
      </c>
      <c r="AU659" s="2">
        <v>162</v>
      </c>
      <c r="AV659" s="2">
        <v>19.5</v>
      </c>
      <c r="AW659" s="2">
        <v>15.6</v>
      </c>
      <c r="AX659" s="2">
        <v>35</v>
      </c>
      <c r="AY659" s="2">
        <v>0.68</v>
      </c>
      <c r="AZ659" s="2">
        <v>5.4</v>
      </c>
      <c r="BA659" s="2">
        <v>0.9</v>
      </c>
      <c r="BB659" s="2">
        <v>4.5999999999999996</v>
      </c>
      <c r="BC659" s="2">
        <v>2.1</v>
      </c>
      <c r="BD659" s="2">
        <f>+AN659*EXP(-0.0495*Y659)</f>
        <v>91.033094506645924</v>
      </c>
      <c r="BE659" s="2">
        <f>+AO659*EXP(-0.024*Y659)</f>
        <v>18.859117607682453</v>
      </c>
    </row>
    <row r="660" spans="1:57" x14ac:dyDescent="0.2">
      <c r="A660" s="2" t="s">
        <v>1815</v>
      </c>
      <c r="B660" s="2" t="s">
        <v>19</v>
      </c>
      <c r="C660" s="2" t="s">
        <v>20</v>
      </c>
      <c r="D660" s="2" t="s">
        <v>21</v>
      </c>
      <c r="E660" s="2" t="s">
        <v>252</v>
      </c>
      <c r="F660" s="2">
        <v>3</v>
      </c>
      <c r="G660" s="2">
        <v>57.08</v>
      </c>
      <c r="H660" s="2">
        <v>1</v>
      </c>
      <c r="I660" s="2">
        <v>1</v>
      </c>
      <c r="J660" s="2">
        <v>1</v>
      </c>
      <c r="K660" s="2" t="s">
        <v>23</v>
      </c>
      <c r="L660" s="6" t="s">
        <v>24</v>
      </c>
      <c r="M660" s="5">
        <v>475400000</v>
      </c>
      <c r="N660" s="2">
        <v>0</v>
      </c>
      <c r="O660" s="2">
        <v>4.6217503999999998</v>
      </c>
      <c r="P660" s="2">
        <v>-74.109700000000004</v>
      </c>
      <c r="Q660" s="2" t="s">
        <v>1816</v>
      </c>
      <c r="R660" s="2">
        <v>8328661.5279999999</v>
      </c>
      <c r="S660" s="2">
        <v>0</v>
      </c>
      <c r="T660" s="2" t="s">
        <v>39</v>
      </c>
      <c r="U660" s="2" t="s">
        <v>40</v>
      </c>
      <c r="V660" s="2" t="s">
        <v>28</v>
      </c>
      <c r="W660" s="2" t="s">
        <v>39</v>
      </c>
      <c r="X660" s="2" t="s">
        <v>41</v>
      </c>
      <c r="Y660" s="2">
        <v>1.41034236313207</v>
      </c>
      <c r="Z660" s="2">
        <v>4.6317666666666701</v>
      </c>
      <c r="AA660" s="2">
        <v>-74.117483333333297</v>
      </c>
      <c r="AB660" s="2">
        <v>2590</v>
      </c>
      <c r="AC660" s="2" t="s">
        <v>31</v>
      </c>
      <c r="AD660" s="2" t="s">
        <v>42</v>
      </c>
      <c r="AE660" s="2" t="s">
        <v>33</v>
      </c>
      <c r="AF660" s="2" t="s">
        <v>34</v>
      </c>
      <c r="AG660" s="2" t="s">
        <v>239</v>
      </c>
      <c r="AH660" s="2">
        <v>0.70573106363599802</v>
      </c>
      <c r="AI660" s="2">
        <v>5.1364967079326798</v>
      </c>
      <c r="AJ660" s="2">
        <v>2.55170292907937</v>
      </c>
      <c r="AK660" s="2">
        <v>0.35621134260336301</v>
      </c>
      <c r="AL660" s="2">
        <v>0.44431420857394799</v>
      </c>
      <c r="AM660" s="2">
        <v>16.600000000000001</v>
      </c>
      <c r="AN660" s="2">
        <v>101.7</v>
      </c>
      <c r="AO660" s="2">
        <v>19.899999999999999</v>
      </c>
      <c r="AP660" s="2">
        <v>564</v>
      </c>
      <c r="AQ660" s="2">
        <v>71</v>
      </c>
      <c r="AR660" s="2">
        <v>1.7</v>
      </c>
      <c r="AS660" s="2">
        <v>185</v>
      </c>
      <c r="AT660" s="2">
        <v>0.8</v>
      </c>
      <c r="AU660" s="2">
        <v>162</v>
      </c>
      <c r="AV660" s="2">
        <v>19.5</v>
      </c>
      <c r="AW660" s="2">
        <v>15.6</v>
      </c>
      <c r="AX660" s="2">
        <v>35</v>
      </c>
      <c r="AY660" s="2">
        <v>0.68</v>
      </c>
      <c r="AZ660" s="2">
        <v>5.4</v>
      </c>
      <c r="BA660" s="2">
        <v>0.9</v>
      </c>
      <c r="BB660" s="2">
        <v>4.5999999999999996</v>
      </c>
      <c r="BC660" s="2">
        <v>2.1</v>
      </c>
      <c r="BD660" s="2">
        <f>+AN660*EXP(-0.0495*Y660)</f>
        <v>94.842285186165228</v>
      </c>
      <c r="BE660" s="2">
        <f>+AO660*EXP(-0.024*Y660)</f>
        <v>19.237692680884678</v>
      </c>
    </row>
    <row r="661" spans="1:57" x14ac:dyDescent="0.2">
      <c r="A661" s="2" t="s">
        <v>4106</v>
      </c>
      <c r="B661" s="2" t="s">
        <v>19</v>
      </c>
      <c r="C661" s="2" t="s">
        <v>3245</v>
      </c>
      <c r="D661" s="2" t="s">
        <v>21</v>
      </c>
      <c r="E661" s="2" t="s">
        <v>119</v>
      </c>
      <c r="F661" s="2">
        <v>4</v>
      </c>
      <c r="G661" s="2">
        <v>56</v>
      </c>
      <c r="H661" s="2">
        <v>1</v>
      </c>
      <c r="I661" s="2">
        <v>2</v>
      </c>
      <c r="J661" s="2">
        <v>0</v>
      </c>
      <c r="K661" s="2" t="s">
        <v>61</v>
      </c>
      <c r="L661" s="6" t="s">
        <v>113</v>
      </c>
      <c r="M661" s="5">
        <v>356000000</v>
      </c>
      <c r="N661" s="2">
        <v>0</v>
      </c>
      <c r="O661" s="2">
        <v>4.6348233219999999</v>
      </c>
      <c r="P661" s="2">
        <v>-74.09722137</v>
      </c>
      <c r="Q661" s="2" t="s">
        <v>4107</v>
      </c>
      <c r="R661" s="2">
        <v>6357142.8569999998</v>
      </c>
      <c r="S661" s="2">
        <v>0</v>
      </c>
      <c r="T661" s="2" t="s">
        <v>39</v>
      </c>
      <c r="U661" s="2" t="s">
        <v>40</v>
      </c>
      <c r="V661" s="2" t="s">
        <v>28</v>
      </c>
      <c r="W661" s="2" t="s">
        <v>39</v>
      </c>
      <c r="X661" s="2" t="s">
        <v>41</v>
      </c>
      <c r="Y661" s="2">
        <v>2.2737845573342899</v>
      </c>
      <c r="Z661" s="2">
        <v>4.6317666666666701</v>
      </c>
      <c r="AA661" s="2">
        <v>-74.117483333333297</v>
      </c>
      <c r="AB661" s="2">
        <v>2590</v>
      </c>
      <c r="AC661" s="2" t="s">
        <v>31</v>
      </c>
      <c r="AD661" s="2" t="s">
        <v>42</v>
      </c>
      <c r="AE661" s="2" t="s">
        <v>33</v>
      </c>
      <c r="AF661" s="2" t="s">
        <v>34</v>
      </c>
      <c r="AG661" s="2" t="s">
        <v>35</v>
      </c>
      <c r="AH661" s="2">
        <v>0.54160795222323699</v>
      </c>
      <c r="AI661" s="2">
        <v>4.0741163338724604</v>
      </c>
      <c r="AJ661" s="2">
        <v>0.96566824229959003</v>
      </c>
      <c r="AK661" s="2">
        <v>0.148677036844167</v>
      </c>
      <c r="AL661" s="2">
        <v>0.58199408545523201</v>
      </c>
      <c r="AM661" s="2">
        <v>16.600000000000001</v>
      </c>
      <c r="AN661" s="2">
        <v>101.7</v>
      </c>
      <c r="AO661" s="2">
        <v>19.899999999999999</v>
      </c>
      <c r="AP661" s="2">
        <v>564</v>
      </c>
      <c r="AQ661" s="2">
        <v>71</v>
      </c>
      <c r="AR661" s="2">
        <v>1.7</v>
      </c>
      <c r="AS661" s="2">
        <v>185</v>
      </c>
      <c r="AT661" s="2">
        <v>0.8</v>
      </c>
      <c r="AU661" s="2">
        <v>162</v>
      </c>
      <c r="AV661" s="2">
        <v>19.5</v>
      </c>
      <c r="AW661" s="2">
        <v>15.6</v>
      </c>
      <c r="AX661" s="2">
        <v>35</v>
      </c>
      <c r="AY661" s="2">
        <v>0.68</v>
      </c>
      <c r="AZ661" s="2">
        <v>5.4</v>
      </c>
      <c r="BA661" s="2">
        <v>0.9</v>
      </c>
      <c r="BB661" s="2">
        <v>4.5999999999999996</v>
      </c>
      <c r="BC661" s="2">
        <v>2.1</v>
      </c>
      <c r="BD661" s="2">
        <f>+AN661*EXP(-0.0495*Y661)</f>
        <v>90.874094127326757</v>
      </c>
      <c r="BE661" s="2">
        <f>+AO661*EXP(-0.024*Y661)</f>
        <v>18.843139631181074</v>
      </c>
    </row>
    <row r="662" spans="1:57" x14ac:dyDescent="0.2">
      <c r="A662" s="2" t="s">
        <v>4159</v>
      </c>
      <c r="B662" s="2" t="s">
        <v>19</v>
      </c>
      <c r="C662" s="2" t="s">
        <v>3245</v>
      </c>
      <c r="D662" s="2" t="s">
        <v>21</v>
      </c>
      <c r="E662" s="2" t="s">
        <v>119</v>
      </c>
      <c r="F662" s="2">
        <v>4</v>
      </c>
      <c r="G662" s="2">
        <v>56</v>
      </c>
      <c r="H662" s="2">
        <v>1</v>
      </c>
      <c r="I662" s="2">
        <v>2</v>
      </c>
      <c r="J662" s="2">
        <v>0</v>
      </c>
      <c r="K662" s="2" t="s">
        <v>61</v>
      </c>
      <c r="L662" s="6" t="s">
        <v>113</v>
      </c>
      <c r="M662" s="5">
        <v>356000000</v>
      </c>
      <c r="N662" s="2">
        <v>0</v>
      </c>
      <c r="O662" s="2">
        <v>4.6348233219999999</v>
      </c>
      <c r="P662" s="2">
        <v>-74.09722137</v>
      </c>
      <c r="Q662" s="2" t="s">
        <v>4160</v>
      </c>
      <c r="R662" s="2">
        <v>6357142.8569999998</v>
      </c>
      <c r="S662" s="2">
        <v>0</v>
      </c>
      <c r="T662" s="2" t="s">
        <v>39</v>
      </c>
      <c r="U662" s="2" t="s">
        <v>40</v>
      </c>
      <c r="V662" s="2" t="s">
        <v>28</v>
      </c>
      <c r="W662" s="2" t="s">
        <v>39</v>
      </c>
      <c r="X662" s="2" t="s">
        <v>41</v>
      </c>
      <c r="Y662" s="2">
        <v>2.2737845573342899</v>
      </c>
      <c r="Z662" s="2">
        <v>4.6317666666666701</v>
      </c>
      <c r="AA662" s="2">
        <v>-74.117483333333297</v>
      </c>
      <c r="AB662" s="2">
        <v>2590</v>
      </c>
      <c r="AC662" s="2" t="s">
        <v>31</v>
      </c>
      <c r="AD662" s="2" t="s">
        <v>42</v>
      </c>
      <c r="AE662" s="2" t="s">
        <v>33</v>
      </c>
      <c r="AF662" s="2" t="s">
        <v>34</v>
      </c>
      <c r="AG662" s="2" t="s">
        <v>35</v>
      </c>
      <c r="AH662" s="2">
        <v>0.54160795222323699</v>
      </c>
      <c r="AI662" s="2">
        <v>4.0741163338724604</v>
      </c>
      <c r="AJ662" s="2">
        <v>0.96566824229959003</v>
      </c>
      <c r="AK662" s="2">
        <v>0.148677036844167</v>
      </c>
      <c r="AL662" s="2">
        <v>0.58199408545523201</v>
      </c>
      <c r="AM662" s="2">
        <v>16.600000000000001</v>
      </c>
      <c r="AN662" s="2">
        <v>101.7</v>
      </c>
      <c r="AO662" s="2">
        <v>19.899999999999999</v>
      </c>
      <c r="AP662" s="2">
        <v>564</v>
      </c>
      <c r="AQ662" s="2">
        <v>71</v>
      </c>
      <c r="AR662" s="2">
        <v>1.7</v>
      </c>
      <c r="AS662" s="2">
        <v>185</v>
      </c>
      <c r="AT662" s="2">
        <v>0.8</v>
      </c>
      <c r="AU662" s="2">
        <v>162</v>
      </c>
      <c r="AV662" s="2">
        <v>19.5</v>
      </c>
      <c r="AW662" s="2">
        <v>15.6</v>
      </c>
      <c r="AX662" s="2">
        <v>35</v>
      </c>
      <c r="AY662" s="2">
        <v>0.68</v>
      </c>
      <c r="AZ662" s="2">
        <v>5.4</v>
      </c>
      <c r="BA662" s="2">
        <v>0.9</v>
      </c>
      <c r="BB662" s="2">
        <v>4.5999999999999996</v>
      </c>
      <c r="BC662" s="2">
        <v>2.1</v>
      </c>
      <c r="BD662" s="2">
        <f>+AN662*EXP(-0.0495*Y662)</f>
        <v>90.874094127326757</v>
      </c>
      <c r="BE662" s="2">
        <f>+AO662*EXP(-0.024*Y662)</f>
        <v>18.843139631181074</v>
      </c>
    </row>
    <row r="663" spans="1:57" x14ac:dyDescent="0.2">
      <c r="A663" s="2" t="s">
        <v>1508</v>
      </c>
      <c r="B663" s="2" t="s">
        <v>19</v>
      </c>
      <c r="C663" s="2" t="s">
        <v>20</v>
      </c>
      <c r="D663" s="2" t="s">
        <v>21</v>
      </c>
      <c r="E663" s="2" t="s">
        <v>1509</v>
      </c>
      <c r="F663" s="2">
        <v>3</v>
      </c>
      <c r="G663" s="2">
        <v>55</v>
      </c>
      <c r="H663" s="2">
        <v>2</v>
      </c>
      <c r="I663" s="2">
        <v>1</v>
      </c>
      <c r="J663" s="2">
        <v>0</v>
      </c>
      <c r="K663" s="2" t="s">
        <v>61</v>
      </c>
      <c r="L663" s="6" t="s">
        <v>113</v>
      </c>
      <c r="M663" s="5">
        <v>231000000</v>
      </c>
      <c r="N663" s="2">
        <v>0</v>
      </c>
      <c r="O663" s="2">
        <v>4.6132521449999997</v>
      </c>
      <c r="P663" s="2">
        <v>-74.133796810000007</v>
      </c>
      <c r="Q663" s="2" t="s">
        <v>1510</v>
      </c>
      <c r="R663" s="2">
        <v>4200000</v>
      </c>
      <c r="S663" s="2">
        <v>0</v>
      </c>
      <c r="T663" s="2" t="s">
        <v>455</v>
      </c>
      <c r="U663" s="2" t="s">
        <v>456</v>
      </c>
      <c r="V663" s="2" t="s">
        <v>28</v>
      </c>
      <c r="W663" s="2" t="s">
        <v>39</v>
      </c>
      <c r="X663" s="2" t="s">
        <v>457</v>
      </c>
      <c r="Y663" s="2">
        <v>2.15769741977175</v>
      </c>
      <c r="Z663" s="2">
        <v>4.6085000000000003</v>
      </c>
      <c r="AA663" s="2">
        <v>-74.114944444444404</v>
      </c>
      <c r="AB663" s="2">
        <v>2559</v>
      </c>
      <c r="AC663" s="2" t="s">
        <v>31</v>
      </c>
      <c r="AD663" s="2" t="s">
        <v>458</v>
      </c>
      <c r="AE663" s="2" t="s">
        <v>33</v>
      </c>
      <c r="AF663" s="2" t="s">
        <v>34</v>
      </c>
      <c r="AG663" s="2" t="s">
        <v>172</v>
      </c>
      <c r="AH663" s="2">
        <v>1.85938085444846</v>
      </c>
      <c r="AI663" s="2">
        <v>5.7813653047199098</v>
      </c>
      <c r="AJ663" s="2">
        <v>2.34729458975831</v>
      </c>
      <c r="AK663" s="2">
        <v>6.9062724414349602E-2</v>
      </c>
      <c r="AL663" s="2">
        <v>0.15966099964775801</v>
      </c>
      <c r="AM663" s="2">
        <v>16.600000000000001</v>
      </c>
      <c r="AN663" s="2">
        <v>101.7</v>
      </c>
      <c r="AO663" s="2">
        <v>19.899999999999999</v>
      </c>
      <c r="AP663" s="2">
        <v>564</v>
      </c>
      <c r="AQ663" s="2">
        <v>71</v>
      </c>
      <c r="AR663" s="2">
        <v>1.7</v>
      </c>
      <c r="AS663" s="2">
        <v>185</v>
      </c>
      <c r="AT663" s="2">
        <v>0.8</v>
      </c>
      <c r="AU663" s="2">
        <v>162</v>
      </c>
      <c r="AV663" s="2">
        <v>19.5</v>
      </c>
      <c r="AW663" s="2">
        <v>15.6</v>
      </c>
      <c r="AX663" s="2">
        <v>35</v>
      </c>
      <c r="AY663" s="2">
        <v>0.68</v>
      </c>
      <c r="AZ663" s="2">
        <v>5.4</v>
      </c>
      <c r="BA663" s="2">
        <v>0.9</v>
      </c>
      <c r="BB663" s="2">
        <v>4.5999999999999996</v>
      </c>
      <c r="BC663" s="2">
        <v>2.1</v>
      </c>
      <c r="BD663" s="2">
        <f>+AN663*EXP(-0.0495*Y663)</f>
        <v>91.397788358414147</v>
      </c>
      <c r="BE663" s="2">
        <f>+AO663*EXP(-0.024*Y663)</f>
        <v>18.895711539662344</v>
      </c>
    </row>
    <row r="664" spans="1:57" x14ac:dyDescent="0.2">
      <c r="A664" s="2" t="s">
        <v>1705</v>
      </c>
      <c r="B664" s="2" t="s">
        <v>19</v>
      </c>
      <c r="C664" s="2" t="s">
        <v>20</v>
      </c>
      <c r="D664" s="2" t="s">
        <v>21</v>
      </c>
      <c r="E664" s="2" t="s">
        <v>252</v>
      </c>
      <c r="F664" s="2">
        <v>3</v>
      </c>
      <c r="G664" s="2">
        <v>54.81</v>
      </c>
      <c r="H664" s="2">
        <v>2</v>
      </c>
      <c r="I664" s="2">
        <v>1</v>
      </c>
      <c r="J664" s="2">
        <v>1</v>
      </c>
      <c r="K664" s="2" t="s">
        <v>23</v>
      </c>
      <c r="L664" s="6" t="s">
        <v>24</v>
      </c>
      <c r="M664" s="5">
        <v>439000000</v>
      </c>
      <c r="N664" s="2">
        <v>0</v>
      </c>
      <c r="O664" s="2">
        <v>4.6217503999999998</v>
      </c>
      <c r="P664" s="2">
        <v>-74.109700000000004</v>
      </c>
      <c r="Q664" s="2" t="s">
        <v>1706</v>
      </c>
      <c r="R664" s="2">
        <v>8009487.3200000003</v>
      </c>
      <c r="S664" s="2">
        <v>0</v>
      </c>
      <c r="T664" s="2" t="s">
        <v>39</v>
      </c>
      <c r="U664" s="2" t="s">
        <v>40</v>
      </c>
      <c r="V664" s="2" t="s">
        <v>28</v>
      </c>
      <c r="W664" s="2" t="s">
        <v>39</v>
      </c>
      <c r="X664" s="2" t="s">
        <v>41</v>
      </c>
      <c r="Y664" s="2">
        <v>1.41034236313207</v>
      </c>
      <c r="Z664" s="2">
        <v>4.6317666666666701</v>
      </c>
      <c r="AA664" s="2">
        <v>-74.117483333333297</v>
      </c>
      <c r="AB664" s="2">
        <v>2590</v>
      </c>
      <c r="AC664" s="2" t="s">
        <v>31</v>
      </c>
      <c r="AD664" s="2" t="s">
        <v>42</v>
      </c>
      <c r="AE664" s="2" t="s">
        <v>33</v>
      </c>
      <c r="AF664" s="2" t="s">
        <v>34</v>
      </c>
      <c r="AG664" s="2" t="s">
        <v>239</v>
      </c>
      <c r="AH664" s="2">
        <v>0.70573106363599802</v>
      </c>
      <c r="AI664" s="2">
        <v>5.1364967079326798</v>
      </c>
      <c r="AJ664" s="2">
        <v>2.55170292907937</v>
      </c>
      <c r="AK664" s="2">
        <v>0.35621134260336301</v>
      </c>
      <c r="AL664" s="2">
        <v>0.44431420857394799</v>
      </c>
      <c r="AM664" s="2">
        <v>16.600000000000001</v>
      </c>
      <c r="AN664" s="2">
        <v>101.7</v>
      </c>
      <c r="AO664" s="2">
        <v>19.899999999999999</v>
      </c>
      <c r="AP664" s="2">
        <v>564</v>
      </c>
      <c r="AQ664" s="2">
        <v>71</v>
      </c>
      <c r="AR664" s="2">
        <v>1.7</v>
      </c>
      <c r="AS664" s="2">
        <v>185</v>
      </c>
      <c r="AT664" s="2">
        <v>0.8</v>
      </c>
      <c r="AU664" s="2">
        <v>162</v>
      </c>
      <c r="AV664" s="2">
        <v>19.5</v>
      </c>
      <c r="AW664" s="2">
        <v>15.6</v>
      </c>
      <c r="AX664" s="2">
        <v>35</v>
      </c>
      <c r="AY664" s="2">
        <v>0.68</v>
      </c>
      <c r="AZ664" s="2">
        <v>5.4</v>
      </c>
      <c r="BA664" s="2">
        <v>0.9</v>
      </c>
      <c r="BB664" s="2">
        <v>4.5999999999999996</v>
      </c>
      <c r="BC664" s="2">
        <v>2.1</v>
      </c>
      <c r="BD664" s="2">
        <f>+AN664*EXP(-0.0495*Y664)</f>
        <v>94.842285186165228</v>
      </c>
      <c r="BE664" s="2">
        <f>+AO664*EXP(-0.024*Y664)</f>
        <v>19.237692680884678</v>
      </c>
    </row>
    <row r="665" spans="1:57" x14ac:dyDescent="0.2">
      <c r="A665" s="2" t="s">
        <v>1353</v>
      </c>
      <c r="B665" s="2" t="s">
        <v>19</v>
      </c>
      <c r="C665" s="2" t="s">
        <v>20</v>
      </c>
      <c r="D665" s="2" t="s">
        <v>21</v>
      </c>
      <c r="E665" s="2" t="s">
        <v>252</v>
      </c>
      <c r="F665" s="2">
        <v>3</v>
      </c>
      <c r="G665" s="2">
        <v>54.81</v>
      </c>
      <c r="H665" s="2">
        <v>2</v>
      </c>
      <c r="I665" s="2">
        <v>1</v>
      </c>
      <c r="J665" s="2">
        <v>1</v>
      </c>
      <c r="K665" s="2" t="s">
        <v>23</v>
      </c>
      <c r="L665" s="6" t="s">
        <v>24</v>
      </c>
      <c r="M665" s="5">
        <v>438700000</v>
      </c>
      <c r="N665" s="2">
        <v>0</v>
      </c>
      <c r="O665" s="2">
        <v>4.6217503999999998</v>
      </c>
      <c r="P665" s="2">
        <v>-74.109700000000004</v>
      </c>
      <c r="Q665" s="2" t="s">
        <v>1354</v>
      </c>
      <c r="R665" s="2">
        <v>8004013.8660000004</v>
      </c>
      <c r="S665" s="2">
        <v>0</v>
      </c>
      <c r="T665" s="2" t="s">
        <v>39</v>
      </c>
      <c r="U665" s="2" t="s">
        <v>40</v>
      </c>
      <c r="V665" s="2" t="s">
        <v>28</v>
      </c>
      <c r="W665" s="2" t="s">
        <v>39</v>
      </c>
      <c r="X665" s="2" t="s">
        <v>41</v>
      </c>
      <c r="Y665" s="2">
        <v>1.41034236313207</v>
      </c>
      <c r="Z665" s="2">
        <v>4.6317666666666701</v>
      </c>
      <c r="AA665" s="2">
        <v>-74.117483333333297</v>
      </c>
      <c r="AB665" s="2">
        <v>2590</v>
      </c>
      <c r="AC665" s="2" t="s">
        <v>31</v>
      </c>
      <c r="AD665" s="2" t="s">
        <v>42</v>
      </c>
      <c r="AE665" s="2" t="s">
        <v>33</v>
      </c>
      <c r="AF665" s="2" t="s">
        <v>34</v>
      </c>
      <c r="AG665" s="2" t="s">
        <v>239</v>
      </c>
      <c r="AH665" s="2">
        <v>0.70573106363599802</v>
      </c>
      <c r="AI665" s="2">
        <v>5.1364967079326798</v>
      </c>
      <c r="AJ665" s="2">
        <v>2.55170292907937</v>
      </c>
      <c r="AK665" s="2">
        <v>0.35621134260336301</v>
      </c>
      <c r="AL665" s="2">
        <v>0.44431420857394799</v>
      </c>
      <c r="AM665" s="2">
        <v>16.600000000000001</v>
      </c>
      <c r="AN665" s="2">
        <v>101.7</v>
      </c>
      <c r="AO665" s="2">
        <v>19.899999999999999</v>
      </c>
      <c r="AP665" s="2">
        <v>564</v>
      </c>
      <c r="AQ665" s="2">
        <v>71</v>
      </c>
      <c r="AR665" s="2">
        <v>1.7</v>
      </c>
      <c r="AS665" s="2">
        <v>185</v>
      </c>
      <c r="AT665" s="2">
        <v>0.8</v>
      </c>
      <c r="AU665" s="2">
        <v>162</v>
      </c>
      <c r="AV665" s="2">
        <v>19.5</v>
      </c>
      <c r="AW665" s="2">
        <v>15.6</v>
      </c>
      <c r="AX665" s="2">
        <v>35</v>
      </c>
      <c r="AY665" s="2">
        <v>0.68</v>
      </c>
      <c r="AZ665" s="2">
        <v>5.4</v>
      </c>
      <c r="BA665" s="2">
        <v>0.9</v>
      </c>
      <c r="BB665" s="2">
        <v>4.5999999999999996</v>
      </c>
      <c r="BC665" s="2">
        <v>2.1</v>
      </c>
      <c r="BD665" s="2">
        <f>+AN665*EXP(-0.0495*Y665)</f>
        <v>94.842285186165228</v>
      </c>
      <c r="BE665" s="2">
        <f>+AO665*EXP(-0.024*Y665)</f>
        <v>19.237692680884678</v>
      </c>
    </row>
    <row r="666" spans="1:57" x14ac:dyDescent="0.2">
      <c r="A666" s="2" t="s">
        <v>251</v>
      </c>
      <c r="B666" s="2" t="s">
        <v>19</v>
      </c>
      <c r="C666" s="2" t="s">
        <v>20</v>
      </c>
      <c r="D666" s="2" t="s">
        <v>21</v>
      </c>
      <c r="E666" s="2" t="s">
        <v>252</v>
      </c>
      <c r="F666" s="2">
        <v>3</v>
      </c>
      <c r="G666" s="2">
        <v>53.94</v>
      </c>
      <c r="H666" s="2">
        <v>2</v>
      </c>
      <c r="I666" s="2">
        <v>1</v>
      </c>
      <c r="J666" s="2">
        <v>1</v>
      </c>
      <c r="K666" s="2" t="s">
        <v>23</v>
      </c>
      <c r="L666" s="6" t="s">
        <v>24</v>
      </c>
      <c r="M666" s="5">
        <v>423000000</v>
      </c>
      <c r="N666" s="2">
        <v>0</v>
      </c>
      <c r="O666" s="2">
        <v>4.6217503999999998</v>
      </c>
      <c r="P666" s="2">
        <v>-74.109700000000004</v>
      </c>
      <c r="Q666" s="2" t="s">
        <v>253</v>
      </c>
      <c r="R666" s="2">
        <v>7842046.7189999996</v>
      </c>
      <c r="S666" s="2">
        <v>0</v>
      </c>
      <c r="T666" s="2" t="s">
        <v>39</v>
      </c>
      <c r="U666" s="2" t="s">
        <v>40</v>
      </c>
      <c r="V666" s="2" t="s">
        <v>28</v>
      </c>
      <c r="W666" s="2" t="s">
        <v>39</v>
      </c>
      <c r="X666" s="2" t="s">
        <v>41</v>
      </c>
      <c r="Y666" s="2">
        <v>1.41034236313207</v>
      </c>
      <c r="Z666" s="2">
        <v>4.6317666666666701</v>
      </c>
      <c r="AA666" s="2">
        <v>-74.117483333333297</v>
      </c>
      <c r="AB666" s="2">
        <v>2590</v>
      </c>
      <c r="AC666" s="2" t="s">
        <v>31</v>
      </c>
      <c r="AD666" s="2" t="s">
        <v>42</v>
      </c>
      <c r="AE666" s="2" t="s">
        <v>33</v>
      </c>
      <c r="AF666" s="2" t="s">
        <v>34</v>
      </c>
      <c r="AG666" s="2" t="s">
        <v>239</v>
      </c>
      <c r="AH666" s="2">
        <v>0.70573106363599802</v>
      </c>
      <c r="AI666" s="2">
        <v>5.1364967079326798</v>
      </c>
      <c r="AJ666" s="2">
        <v>2.55170292907937</v>
      </c>
      <c r="AK666" s="2">
        <v>0.35621134260336301</v>
      </c>
      <c r="AL666" s="2">
        <v>0.44431420857394799</v>
      </c>
      <c r="AM666" s="2">
        <v>16.600000000000001</v>
      </c>
      <c r="AN666" s="2">
        <v>101.7</v>
      </c>
      <c r="AO666" s="2">
        <v>19.899999999999999</v>
      </c>
      <c r="AP666" s="2">
        <v>564</v>
      </c>
      <c r="AQ666" s="2">
        <v>71</v>
      </c>
      <c r="AR666" s="2">
        <v>1.7</v>
      </c>
      <c r="AS666" s="2">
        <v>185</v>
      </c>
      <c r="AT666" s="2">
        <v>0.8</v>
      </c>
      <c r="AU666" s="2">
        <v>162</v>
      </c>
      <c r="AV666" s="2">
        <v>19.5</v>
      </c>
      <c r="AW666" s="2">
        <v>15.6</v>
      </c>
      <c r="AX666" s="2">
        <v>35</v>
      </c>
      <c r="AY666" s="2">
        <v>0.68</v>
      </c>
      <c r="AZ666" s="2">
        <v>5.4</v>
      </c>
      <c r="BA666" s="2">
        <v>0.9</v>
      </c>
      <c r="BB666" s="2">
        <v>4.5999999999999996</v>
      </c>
      <c r="BC666" s="2">
        <v>2.1</v>
      </c>
      <c r="BD666" s="2">
        <f>+AN666*EXP(-0.0495*Y666)</f>
        <v>94.842285186165228</v>
      </c>
      <c r="BE666" s="2">
        <f>+AO666*EXP(-0.024*Y666)</f>
        <v>19.237692680884678</v>
      </c>
    </row>
    <row r="667" spans="1:57" x14ac:dyDescent="0.2">
      <c r="A667" s="2" t="s">
        <v>1217</v>
      </c>
      <c r="B667" s="2" t="s">
        <v>19</v>
      </c>
      <c r="C667" s="2" t="s">
        <v>20</v>
      </c>
      <c r="D667" s="2" t="s">
        <v>21</v>
      </c>
      <c r="E667" s="2" t="s">
        <v>1218</v>
      </c>
      <c r="F667" s="2">
        <v>3</v>
      </c>
      <c r="G667" s="2">
        <v>53.83</v>
      </c>
      <c r="H667" s="2">
        <v>2</v>
      </c>
      <c r="I667" s="2">
        <v>1</v>
      </c>
      <c r="J667" s="2">
        <v>1</v>
      </c>
      <c r="K667" s="2" t="s">
        <v>61</v>
      </c>
      <c r="L667" s="6" t="s">
        <v>62</v>
      </c>
      <c r="M667" s="5">
        <v>352000000</v>
      </c>
      <c r="N667" s="2">
        <v>0</v>
      </c>
      <c r="O667" s="2">
        <v>4.6002860070000002</v>
      </c>
      <c r="P667" s="2">
        <v>-74.115989690000006</v>
      </c>
      <c r="Q667" s="2" t="s">
        <v>1219</v>
      </c>
      <c r="R667" s="2">
        <v>6539104.5889999997</v>
      </c>
      <c r="S667" s="2">
        <v>0</v>
      </c>
      <c r="T667" s="2" t="s">
        <v>455</v>
      </c>
      <c r="U667" s="2" t="s">
        <v>456</v>
      </c>
      <c r="V667" s="2" t="s">
        <v>28</v>
      </c>
      <c r="W667" s="2" t="s">
        <v>39</v>
      </c>
      <c r="X667" s="2" t="s">
        <v>457</v>
      </c>
      <c r="Y667" s="2">
        <v>0.921703730078411</v>
      </c>
      <c r="Z667" s="2">
        <v>4.6085000000000003</v>
      </c>
      <c r="AA667" s="2">
        <v>-74.114944444444404</v>
      </c>
      <c r="AB667" s="2">
        <v>2559</v>
      </c>
      <c r="AC667" s="2" t="s">
        <v>31</v>
      </c>
      <c r="AD667" s="2" t="s">
        <v>458</v>
      </c>
      <c r="AE667" s="2" t="s">
        <v>33</v>
      </c>
      <c r="AF667" s="2" t="s">
        <v>34</v>
      </c>
      <c r="AG667" s="2" t="s">
        <v>239</v>
      </c>
      <c r="AH667" s="2">
        <v>0.64168519057722595</v>
      </c>
      <c r="AI667" s="2">
        <v>5.3880085143120802</v>
      </c>
      <c r="AJ667" s="2">
        <v>2.30454282140927</v>
      </c>
      <c r="AK667" s="2">
        <v>0.26848072445350202</v>
      </c>
      <c r="AL667" s="2">
        <v>1.7076148037051601E-2</v>
      </c>
      <c r="AM667" s="2">
        <v>16.600000000000001</v>
      </c>
      <c r="AN667" s="2">
        <v>101.7</v>
      </c>
      <c r="AO667" s="2">
        <v>19.899999999999999</v>
      </c>
      <c r="AP667" s="2">
        <v>564</v>
      </c>
      <c r="AQ667" s="2">
        <v>71</v>
      </c>
      <c r="AR667" s="2">
        <v>1.7</v>
      </c>
      <c r="AS667" s="2">
        <v>185</v>
      </c>
      <c r="AT667" s="2">
        <v>0.8</v>
      </c>
      <c r="AU667" s="2">
        <v>162</v>
      </c>
      <c r="AV667" s="2">
        <v>19.5</v>
      </c>
      <c r="AW667" s="2">
        <v>15.6</v>
      </c>
      <c r="AX667" s="2">
        <v>35</v>
      </c>
      <c r="AY667" s="2">
        <v>0.68</v>
      </c>
      <c r="AZ667" s="2">
        <v>5.4</v>
      </c>
      <c r="BA667" s="2">
        <v>0.9</v>
      </c>
      <c r="BB667" s="2">
        <v>4.5999999999999996</v>
      </c>
      <c r="BC667" s="2">
        <v>2.1</v>
      </c>
      <c r="BD667" s="2">
        <f>+AN667*EXP(-0.0495*Y667)</f>
        <v>97.164261947079154</v>
      </c>
      <c r="BE667" s="2">
        <f>+AO667*EXP(-0.024*Y667)</f>
        <v>19.464627465774676</v>
      </c>
    </row>
    <row r="668" spans="1:57" x14ac:dyDescent="0.2">
      <c r="A668" s="2" t="s">
        <v>431</v>
      </c>
      <c r="B668" s="2" t="s">
        <v>19</v>
      </c>
      <c r="C668" s="2" t="s">
        <v>20</v>
      </c>
      <c r="D668" s="2" t="s">
        <v>21</v>
      </c>
      <c r="E668" s="2" t="s">
        <v>252</v>
      </c>
      <c r="F668" s="2">
        <v>3</v>
      </c>
      <c r="G668" s="2">
        <v>51.86</v>
      </c>
      <c r="H668" s="2">
        <v>2</v>
      </c>
      <c r="I668" s="2">
        <v>1</v>
      </c>
      <c r="J668" s="2">
        <v>1</v>
      </c>
      <c r="K668" s="2" t="s">
        <v>23</v>
      </c>
      <c r="L668" s="6" t="s">
        <v>24</v>
      </c>
      <c r="M668" s="5">
        <v>414000000</v>
      </c>
      <c r="N668" s="2">
        <v>0</v>
      </c>
      <c r="O668" s="2">
        <v>4.6217503999999998</v>
      </c>
      <c r="P668" s="2">
        <v>-74.109700000000004</v>
      </c>
      <c r="Q668" s="2" t="s">
        <v>432</v>
      </c>
      <c r="R668" s="2">
        <v>7983031.2379999999</v>
      </c>
      <c r="S668" s="2">
        <v>0</v>
      </c>
      <c r="T668" s="2" t="s">
        <v>39</v>
      </c>
      <c r="U668" s="2" t="s">
        <v>40</v>
      </c>
      <c r="V668" s="2" t="s">
        <v>28</v>
      </c>
      <c r="W668" s="2" t="s">
        <v>39</v>
      </c>
      <c r="X668" s="2" t="s">
        <v>41</v>
      </c>
      <c r="Y668" s="2">
        <v>1.41034236313207</v>
      </c>
      <c r="Z668" s="2">
        <v>4.6317666666666701</v>
      </c>
      <c r="AA668" s="2">
        <v>-74.117483333333297</v>
      </c>
      <c r="AB668" s="2">
        <v>2590</v>
      </c>
      <c r="AC668" s="2" t="s">
        <v>31</v>
      </c>
      <c r="AD668" s="2" t="s">
        <v>42</v>
      </c>
      <c r="AE668" s="2" t="s">
        <v>33</v>
      </c>
      <c r="AF668" s="2" t="s">
        <v>34</v>
      </c>
      <c r="AG668" s="2" t="s">
        <v>239</v>
      </c>
      <c r="AH668" s="2">
        <v>0.70573106363599802</v>
      </c>
      <c r="AI668" s="2">
        <v>5.1364967079326798</v>
      </c>
      <c r="AJ668" s="2">
        <v>2.55170292907937</v>
      </c>
      <c r="AK668" s="2">
        <v>0.35621134260336301</v>
      </c>
      <c r="AL668" s="2">
        <v>0.44431420857394799</v>
      </c>
      <c r="AM668" s="2">
        <v>16.600000000000001</v>
      </c>
      <c r="AN668" s="2">
        <v>101.7</v>
      </c>
      <c r="AO668" s="2">
        <v>19.899999999999999</v>
      </c>
      <c r="AP668" s="2">
        <v>564</v>
      </c>
      <c r="AQ668" s="2">
        <v>71</v>
      </c>
      <c r="AR668" s="2">
        <v>1.7</v>
      </c>
      <c r="AS668" s="2">
        <v>185</v>
      </c>
      <c r="AT668" s="2">
        <v>0.8</v>
      </c>
      <c r="AU668" s="2">
        <v>162</v>
      </c>
      <c r="AV668" s="2">
        <v>19.5</v>
      </c>
      <c r="AW668" s="2">
        <v>15.6</v>
      </c>
      <c r="AX668" s="2">
        <v>35</v>
      </c>
      <c r="AY668" s="2">
        <v>0.68</v>
      </c>
      <c r="AZ668" s="2">
        <v>5.4</v>
      </c>
      <c r="BA668" s="2">
        <v>0.9</v>
      </c>
      <c r="BB668" s="2">
        <v>4.5999999999999996</v>
      </c>
      <c r="BC668" s="2">
        <v>2.1</v>
      </c>
      <c r="BD668" s="2">
        <f>+AN668*EXP(-0.0495*Y668)</f>
        <v>94.842285186165228</v>
      </c>
      <c r="BE668" s="2">
        <f>+AO668*EXP(-0.024*Y668)</f>
        <v>19.237692680884678</v>
      </c>
    </row>
    <row r="669" spans="1:57" x14ac:dyDescent="0.2">
      <c r="A669" s="2" t="s">
        <v>246</v>
      </c>
      <c r="B669" s="2" t="s">
        <v>19</v>
      </c>
      <c r="C669" s="2" t="s">
        <v>20</v>
      </c>
      <c r="D669" s="2" t="s">
        <v>21</v>
      </c>
      <c r="E669" s="2" t="s">
        <v>247</v>
      </c>
      <c r="F669" s="2">
        <v>4</v>
      </c>
      <c r="G669" s="2">
        <v>51.27</v>
      </c>
      <c r="H669" s="2">
        <v>2</v>
      </c>
      <c r="I669" s="2">
        <v>2</v>
      </c>
      <c r="J669" s="2">
        <v>1</v>
      </c>
      <c r="K669" s="2" t="s">
        <v>23</v>
      </c>
      <c r="L669" s="6" t="s">
        <v>24</v>
      </c>
      <c r="M669" s="5">
        <v>474750502</v>
      </c>
      <c r="N669" s="2">
        <v>0</v>
      </c>
      <c r="O669" s="2">
        <v>4.6455397999999999</v>
      </c>
      <c r="P669" s="2">
        <v>-74.124979999999994</v>
      </c>
      <c r="Q669" s="2" t="s">
        <v>248</v>
      </c>
      <c r="R669" s="2">
        <v>9259810.8450000007</v>
      </c>
      <c r="S669" s="2">
        <v>0</v>
      </c>
      <c r="T669" s="2" t="s">
        <v>39</v>
      </c>
      <c r="U669" s="2" t="s">
        <v>40</v>
      </c>
      <c r="V669" s="2" t="s">
        <v>28</v>
      </c>
      <c r="W669" s="2" t="s">
        <v>39</v>
      </c>
      <c r="X669" s="2" t="s">
        <v>41</v>
      </c>
      <c r="Y669" s="2">
        <v>1.7443151642725301</v>
      </c>
      <c r="Z669" s="2">
        <v>4.6317666666666701</v>
      </c>
      <c r="AA669" s="2">
        <v>-74.117483333333297</v>
      </c>
      <c r="AB669" s="2">
        <v>2590</v>
      </c>
      <c r="AC669" s="2" t="s">
        <v>31</v>
      </c>
      <c r="AD669" s="2" t="s">
        <v>42</v>
      </c>
      <c r="AE669" s="2" t="s">
        <v>33</v>
      </c>
      <c r="AF669" s="2" t="s">
        <v>34</v>
      </c>
      <c r="AG669" s="2" t="s">
        <v>43</v>
      </c>
      <c r="AH669" s="2">
        <v>1.84488475579095</v>
      </c>
      <c r="AI669" s="2">
        <v>3.9776146963822301</v>
      </c>
      <c r="AJ669" s="2">
        <v>0.57825767745824197</v>
      </c>
      <c r="AK669" s="2">
        <v>0.20112158476043501</v>
      </c>
      <c r="AL669" s="2">
        <v>3.8607558916069502E-3</v>
      </c>
      <c r="AM669" s="2">
        <v>16.600000000000001</v>
      </c>
      <c r="AN669" s="2">
        <v>101.7</v>
      </c>
      <c r="AO669" s="2">
        <v>19.899999999999999</v>
      </c>
      <c r="AP669" s="2">
        <v>564</v>
      </c>
      <c r="AQ669" s="2">
        <v>71</v>
      </c>
      <c r="AR669" s="2">
        <v>1.7</v>
      </c>
      <c r="AS669" s="2">
        <v>185</v>
      </c>
      <c r="AT669" s="2">
        <v>0.8</v>
      </c>
      <c r="AU669" s="2">
        <v>162</v>
      </c>
      <c r="AV669" s="2">
        <v>19.5</v>
      </c>
      <c r="AW669" s="2">
        <v>15.6</v>
      </c>
      <c r="AX669" s="2">
        <v>35</v>
      </c>
      <c r="AY669" s="2">
        <v>0.68</v>
      </c>
      <c r="AZ669" s="2">
        <v>5.4</v>
      </c>
      <c r="BA669" s="2">
        <v>0.9</v>
      </c>
      <c r="BB669" s="2">
        <v>4.5999999999999996</v>
      </c>
      <c r="BC669" s="2">
        <v>2.1</v>
      </c>
      <c r="BD669" s="2">
        <f>+AN669*EXP(-0.0495*Y669)</f>
        <v>93.287274241306449</v>
      </c>
      <c r="BE669" s="2">
        <f>+AO669*EXP(-0.024*Y669)</f>
        <v>19.084112216808048</v>
      </c>
    </row>
    <row r="670" spans="1:57" x14ac:dyDescent="0.2">
      <c r="A670" s="2" t="s">
        <v>891</v>
      </c>
      <c r="B670" s="2" t="s">
        <v>19</v>
      </c>
      <c r="C670" s="2" t="s">
        <v>20</v>
      </c>
      <c r="D670" s="2" t="s">
        <v>21</v>
      </c>
      <c r="E670" s="2" t="s">
        <v>252</v>
      </c>
      <c r="F670" s="2">
        <v>3</v>
      </c>
      <c r="G670" s="2">
        <v>47.24</v>
      </c>
      <c r="H670" s="2">
        <v>1</v>
      </c>
      <c r="I670" s="2">
        <v>1</v>
      </c>
      <c r="J670" s="2">
        <v>1</v>
      </c>
      <c r="K670" s="2" t="s">
        <v>23</v>
      </c>
      <c r="L670" s="6" t="s">
        <v>24</v>
      </c>
      <c r="M670" s="5">
        <v>371000000</v>
      </c>
      <c r="N670" s="2">
        <v>0</v>
      </c>
      <c r="O670" s="2">
        <v>4.6217503999999998</v>
      </c>
      <c r="P670" s="2">
        <v>-74.109700000000004</v>
      </c>
      <c r="Q670" s="2" t="s">
        <v>892</v>
      </c>
      <c r="R670" s="2">
        <v>7853513.9709999999</v>
      </c>
      <c r="S670" s="2">
        <v>0</v>
      </c>
      <c r="T670" s="2" t="s">
        <v>39</v>
      </c>
      <c r="U670" s="2" t="s">
        <v>40</v>
      </c>
      <c r="V670" s="2" t="s">
        <v>28</v>
      </c>
      <c r="W670" s="2" t="s">
        <v>39</v>
      </c>
      <c r="X670" s="2" t="s">
        <v>41</v>
      </c>
      <c r="Y670" s="2">
        <v>1.41034236313207</v>
      </c>
      <c r="Z670" s="2">
        <v>4.6317666666666701</v>
      </c>
      <c r="AA670" s="2">
        <v>-74.117483333333297</v>
      </c>
      <c r="AB670" s="2">
        <v>2590</v>
      </c>
      <c r="AC670" s="2" t="s">
        <v>31</v>
      </c>
      <c r="AD670" s="2" t="s">
        <v>42</v>
      </c>
      <c r="AE670" s="2" t="s">
        <v>33</v>
      </c>
      <c r="AF670" s="2" t="s">
        <v>34</v>
      </c>
      <c r="AG670" s="2" t="s">
        <v>239</v>
      </c>
      <c r="AH670" s="2">
        <v>0.70573106363599802</v>
      </c>
      <c r="AI670" s="2">
        <v>5.1364967079326798</v>
      </c>
      <c r="AJ670" s="2">
        <v>2.55170292907937</v>
      </c>
      <c r="AK670" s="2">
        <v>0.35621134260336301</v>
      </c>
      <c r="AL670" s="2">
        <v>0.44431420857394799</v>
      </c>
      <c r="AM670" s="2">
        <v>16.600000000000001</v>
      </c>
      <c r="AN670" s="2">
        <v>101.7</v>
      </c>
      <c r="AO670" s="2">
        <v>19.899999999999999</v>
      </c>
      <c r="AP670" s="2">
        <v>564</v>
      </c>
      <c r="AQ670" s="2">
        <v>71</v>
      </c>
      <c r="AR670" s="2">
        <v>1.7</v>
      </c>
      <c r="AS670" s="2">
        <v>185</v>
      </c>
      <c r="AT670" s="2">
        <v>0.8</v>
      </c>
      <c r="AU670" s="2">
        <v>162</v>
      </c>
      <c r="AV670" s="2">
        <v>19.5</v>
      </c>
      <c r="AW670" s="2">
        <v>15.6</v>
      </c>
      <c r="AX670" s="2">
        <v>35</v>
      </c>
      <c r="AY670" s="2">
        <v>0.68</v>
      </c>
      <c r="AZ670" s="2">
        <v>5.4</v>
      </c>
      <c r="BA670" s="2">
        <v>0.9</v>
      </c>
      <c r="BB670" s="2">
        <v>4.5999999999999996</v>
      </c>
      <c r="BC670" s="2">
        <v>2.1</v>
      </c>
      <c r="BD670" s="2">
        <f>+AN670*EXP(-0.0495*Y670)</f>
        <v>94.842285186165228</v>
      </c>
      <c r="BE670" s="2">
        <f>+AO670*EXP(-0.024*Y670)</f>
        <v>19.237692680884678</v>
      </c>
    </row>
    <row r="671" spans="1:57" x14ac:dyDescent="0.2">
      <c r="A671" s="2" t="s">
        <v>595</v>
      </c>
      <c r="B671" s="2" t="s">
        <v>19</v>
      </c>
      <c r="C671" s="2" t="s">
        <v>20</v>
      </c>
      <c r="D671" s="2" t="s">
        <v>21</v>
      </c>
      <c r="E671" s="2" t="s">
        <v>252</v>
      </c>
      <c r="F671" s="2">
        <v>3</v>
      </c>
      <c r="G671" s="2">
        <v>47.24</v>
      </c>
      <c r="H671" s="2">
        <v>1</v>
      </c>
      <c r="I671" s="2">
        <v>1</v>
      </c>
      <c r="J671" s="2">
        <v>1</v>
      </c>
      <c r="K671" s="2" t="s">
        <v>23</v>
      </c>
      <c r="L671" s="6" t="s">
        <v>24</v>
      </c>
      <c r="M671" s="5">
        <v>366000000</v>
      </c>
      <c r="N671" s="2">
        <v>0</v>
      </c>
      <c r="O671" s="2">
        <v>4.6217503999999998</v>
      </c>
      <c r="P671" s="2">
        <v>-74.109700000000004</v>
      </c>
      <c r="Q671" s="2" t="s">
        <v>596</v>
      </c>
      <c r="R671" s="2">
        <v>7747671.4649999999</v>
      </c>
      <c r="S671" s="2">
        <v>0</v>
      </c>
      <c r="T671" s="2" t="s">
        <v>39</v>
      </c>
      <c r="U671" s="2" t="s">
        <v>40</v>
      </c>
      <c r="V671" s="2" t="s">
        <v>28</v>
      </c>
      <c r="W671" s="2" t="s">
        <v>39</v>
      </c>
      <c r="X671" s="2" t="s">
        <v>41</v>
      </c>
      <c r="Y671" s="2">
        <v>1.41034236313207</v>
      </c>
      <c r="Z671" s="2">
        <v>4.6317666666666701</v>
      </c>
      <c r="AA671" s="2">
        <v>-74.117483333333297</v>
      </c>
      <c r="AB671" s="2">
        <v>2590</v>
      </c>
      <c r="AC671" s="2" t="s">
        <v>31</v>
      </c>
      <c r="AD671" s="2" t="s">
        <v>42</v>
      </c>
      <c r="AE671" s="2" t="s">
        <v>33</v>
      </c>
      <c r="AF671" s="2" t="s">
        <v>34</v>
      </c>
      <c r="AG671" s="2" t="s">
        <v>239</v>
      </c>
      <c r="AH671" s="2">
        <v>0.70573106363599802</v>
      </c>
      <c r="AI671" s="2">
        <v>5.1364967079326798</v>
      </c>
      <c r="AJ671" s="2">
        <v>2.55170292907937</v>
      </c>
      <c r="AK671" s="2">
        <v>0.35621134260336301</v>
      </c>
      <c r="AL671" s="2">
        <v>0.44431420857394799</v>
      </c>
      <c r="AM671" s="2">
        <v>16.600000000000001</v>
      </c>
      <c r="AN671" s="2">
        <v>101.7</v>
      </c>
      <c r="AO671" s="2">
        <v>19.899999999999999</v>
      </c>
      <c r="AP671" s="2">
        <v>564</v>
      </c>
      <c r="AQ671" s="2">
        <v>71</v>
      </c>
      <c r="AR671" s="2">
        <v>1.7</v>
      </c>
      <c r="AS671" s="2">
        <v>185</v>
      </c>
      <c r="AT671" s="2">
        <v>0.8</v>
      </c>
      <c r="AU671" s="2">
        <v>162</v>
      </c>
      <c r="AV671" s="2">
        <v>19.5</v>
      </c>
      <c r="AW671" s="2">
        <v>15.6</v>
      </c>
      <c r="AX671" s="2">
        <v>35</v>
      </c>
      <c r="AY671" s="2">
        <v>0.68</v>
      </c>
      <c r="AZ671" s="2">
        <v>5.4</v>
      </c>
      <c r="BA671" s="2">
        <v>0.9</v>
      </c>
      <c r="BB671" s="2">
        <v>4.5999999999999996</v>
      </c>
      <c r="BC671" s="2">
        <v>2.1</v>
      </c>
      <c r="BD671" s="2">
        <f>+AN671*EXP(-0.0495*Y671)</f>
        <v>94.842285186165228</v>
      </c>
      <c r="BE671" s="2">
        <f>+AO671*EXP(-0.024*Y671)</f>
        <v>19.237692680884678</v>
      </c>
    </row>
    <row r="672" spans="1:57" x14ac:dyDescent="0.2">
      <c r="A672" s="2" t="s">
        <v>4618</v>
      </c>
      <c r="B672" s="2" t="s">
        <v>19</v>
      </c>
      <c r="C672" s="2" t="s">
        <v>3245</v>
      </c>
      <c r="D672" s="2" t="s">
        <v>21</v>
      </c>
      <c r="E672" s="2" t="s">
        <v>119</v>
      </c>
      <c r="F672" s="2">
        <v>4</v>
      </c>
      <c r="G672" s="2">
        <v>45</v>
      </c>
      <c r="H672" s="2">
        <v>2</v>
      </c>
      <c r="I672" s="2">
        <v>1</v>
      </c>
      <c r="J672" s="2">
        <v>1</v>
      </c>
      <c r="K672" s="2" t="s">
        <v>61</v>
      </c>
      <c r="L672" s="6" t="s">
        <v>84</v>
      </c>
      <c r="M672" s="5">
        <v>420000000</v>
      </c>
      <c r="N672" s="2">
        <v>0</v>
      </c>
      <c r="O672" s="2">
        <v>4.6326980000000004</v>
      </c>
      <c r="P672" s="2">
        <v>-74.095579999999998</v>
      </c>
      <c r="Q672" s="2" t="s">
        <v>4619</v>
      </c>
      <c r="R672" s="2">
        <v>9333333.3330000006</v>
      </c>
      <c r="S672" s="2">
        <v>0</v>
      </c>
      <c r="T672" s="2" t="s">
        <v>39</v>
      </c>
      <c r="U672" s="2" t="s">
        <v>40</v>
      </c>
      <c r="V672" s="2" t="s">
        <v>28</v>
      </c>
      <c r="W672" s="2" t="s">
        <v>39</v>
      </c>
      <c r="X672" s="2" t="s">
        <v>41</v>
      </c>
      <c r="Y672" s="2">
        <v>2.4325139334704402</v>
      </c>
      <c r="Z672" s="2">
        <v>4.6317666666666701</v>
      </c>
      <c r="AA672" s="2">
        <v>-74.117483333333297</v>
      </c>
      <c r="AB672" s="2">
        <v>2590</v>
      </c>
      <c r="AC672" s="2" t="s">
        <v>31</v>
      </c>
      <c r="AD672" s="2" t="s">
        <v>42</v>
      </c>
      <c r="AE672" s="2" t="s">
        <v>33</v>
      </c>
      <c r="AF672" s="2" t="s">
        <v>34</v>
      </c>
      <c r="AG672" s="2" t="s">
        <v>35</v>
      </c>
      <c r="AH672" s="2">
        <v>0.59641686886103595</v>
      </c>
      <c r="AI672" s="2">
        <v>3.8624241826482599</v>
      </c>
      <c r="AJ672" s="2">
        <v>0.98007540635996404</v>
      </c>
      <c r="AK672" s="2">
        <v>9.6040692947989004E-2</v>
      </c>
      <c r="AL672" s="2">
        <v>0.48669433850770799</v>
      </c>
      <c r="AM672" s="2">
        <v>16.600000000000001</v>
      </c>
      <c r="AN672" s="2">
        <v>101.7</v>
      </c>
      <c r="AO672" s="2">
        <v>19.899999999999999</v>
      </c>
      <c r="AP672" s="2">
        <v>564</v>
      </c>
      <c r="AQ672" s="2">
        <v>71</v>
      </c>
      <c r="AR672" s="2">
        <v>1.7</v>
      </c>
      <c r="AS672" s="2">
        <v>185</v>
      </c>
      <c r="AT672" s="2">
        <v>0.8</v>
      </c>
      <c r="AU672" s="2">
        <v>162</v>
      </c>
      <c r="AV672" s="2">
        <v>19.5</v>
      </c>
      <c r="AW672" s="2">
        <v>15.6</v>
      </c>
      <c r="AX672" s="2">
        <v>35</v>
      </c>
      <c r="AY672" s="2">
        <v>0.68</v>
      </c>
      <c r="AZ672" s="2">
        <v>5.4</v>
      </c>
      <c r="BA672" s="2">
        <v>0.9</v>
      </c>
      <c r="BB672" s="2">
        <v>4.5999999999999996</v>
      </c>
      <c r="BC672" s="2">
        <v>2.1</v>
      </c>
      <c r="BD672" s="2">
        <f>+AN672*EXP(-0.0495*Y672)</f>
        <v>90.162884590581186</v>
      </c>
      <c r="BE672" s="2">
        <f>+AO672*EXP(-0.024*Y672)</f>
        <v>18.771493151485295</v>
      </c>
    </row>
    <row r="673" spans="1:57" x14ac:dyDescent="0.2">
      <c r="A673" s="2" t="s">
        <v>424</v>
      </c>
      <c r="B673" s="2" t="s">
        <v>19</v>
      </c>
      <c r="C673" s="2" t="s">
        <v>20</v>
      </c>
      <c r="D673" s="2" t="s">
        <v>21</v>
      </c>
      <c r="E673" s="2" t="s">
        <v>247</v>
      </c>
      <c r="F673" s="2">
        <v>4</v>
      </c>
      <c r="G673" s="2">
        <v>44.35</v>
      </c>
      <c r="H673" s="2">
        <v>2</v>
      </c>
      <c r="I673" s="2">
        <v>2</v>
      </c>
      <c r="J673" s="2">
        <v>1</v>
      </c>
      <c r="K673" s="2" t="s">
        <v>23</v>
      </c>
      <c r="L673" s="6" t="s">
        <v>24</v>
      </c>
      <c r="M673" s="5">
        <v>424065140</v>
      </c>
      <c r="N673" s="2">
        <v>0</v>
      </c>
      <c r="O673" s="2">
        <v>4.6455397999999999</v>
      </c>
      <c r="P673" s="2">
        <v>-74.124979999999994</v>
      </c>
      <c r="Q673" s="2" t="s">
        <v>425</v>
      </c>
      <c r="R673" s="2">
        <v>9561784.4419999998</v>
      </c>
      <c r="S673" s="2">
        <v>0</v>
      </c>
      <c r="T673" s="2" t="s">
        <v>39</v>
      </c>
      <c r="U673" s="2" t="s">
        <v>40</v>
      </c>
      <c r="V673" s="2" t="s">
        <v>28</v>
      </c>
      <c r="W673" s="2" t="s">
        <v>39</v>
      </c>
      <c r="X673" s="2" t="s">
        <v>41</v>
      </c>
      <c r="Y673" s="2">
        <v>1.7443151642725301</v>
      </c>
      <c r="Z673" s="2">
        <v>4.6317666666666701</v>
      </c>
      <c r="AA673" s="2">
        <v>-74.117483333333297</v>
      </c>
      <c r="AB673" s="2">
        <v>2590</v>
      </c>
      <c r="AC673" s="2" t="s">
        <v>31</v>
      </c>
      <c r="AD673" s="2" t="s">
        <v>42</v>
      </c>
      <c r="AE673" s="2" t="s">
        <v>33</v>
      </c>
      <c r="AF673" s="2" t="s">
        <v>34</v>
      </c>
      <c r="AG673" s="2" t="s">
        <v>43</v>
      </c>
      <c r="AH673" s="2">
        <v>1.84488475579095</v>
      </c>
      <c r="AI673" s="2">
        <v>3.9776146963822301</v>
      </c>
      <c r="AJ673" s="2">
        <v>0.57825767745824197</v>
      </c>
      <c r="AK673" s="2">
        <v>0.20112158476043501</v>
      </c>
      <c r="AL673" s="2">
        <v>3.8607558916069502E-3</v>
      </c>
      <c r="AM673" s="2">
        <v>16.600000000000001</v>
      </c>
      <c r="AN673" s="2">
        <v>101.7</v>
      </c>
      <c r="AO673" s="2">
        <v>19.899999999999999</v>
      </c>
      <c r="AP673" s="2">
        <v>564</v>
      </c>
      <c r="AQ673" s="2">
        <v>71</v>
      </c>
      <c r="AR673" s="2">
        <v>1.7</v>
      </c>
      <c r="AS673" s="2">
        <v>185</v>
      </c>
      <c r="AT673" s="2">
        <v>0.8</v>
      </c>
      <c r="AU673" s="2">
        <v>162</v>
      </c>
      <c r="AV673" s="2">
        <v>19.5</v>
      </c>
      <c r="AW673" s="2">
        <v>15.6</v>
      </c>
      <c r="AX673" s="2">
        <v>35</v>
      </c>
      <c r="AY673" s="2">
        <v>0.68</v>
      </c>
      <c r="AZ673" s="2">
        <v>5.4</v>
      </c>
      <c r="BA673" s="2">
        <v>0.9</v>
      </c>
      <c r="BB673" s="2">
        <v>4.5999999999999996</v>
      </c>
      <c r="BC673" s="2">
        <v>2.1</v>
      </c>
      <c r="BD673" s="2">
        <f>+AN673*EXP(-0.0495*Y673)</f>
        <v>93.287274241306449</v>
      </c>
      <c r="BE673" s="2">
        <f>+AO673*EXP(-0.024*Y673)</f>
        <v>19.084112216808048</v>
      </c>
    </row>
    <row r="674" spans="1:57" x14ac:dyDescent="0.2">
      <c r="A674" s="2" t="s">
        <v>1149</v>
      </c>
      <c r="B674" s="2" t="s">
        <v>19</v>
      </c>
      <c r="C674" s="2" t="s">
        <v>20</v>
      </c>
      <c r="D674" s="2" t="s">
        <v>21</v>
      </c>
      <c r="E674" s="2" t="s">
        <v>1060</v>
      </c>
      <c r="F674" s="2">
        <v>3</v>
      </c>
      <c r="G674" s="2">
        <v>43.8</v>
      </c>
      <c r="H674" s="2">
        <v>2</v>
      </c>
      <c r="I674" s="2">
        <v>1</v>
      </c>
      <c r="J674" s="2">
        <v>0</v>
      </c>
      <c r="K674" s="2" t="s">
        <v>61</v>
      </c>
      <c r="L674" s="6" t="s">
        <v>62</v>
      </c>
      <c r="M674" s="5">
        <v>255000000</v>
      </c>
      <c r="N674" s="2">
        <v>0</v>
      </c>
      <c r="O674" s="2">
        <v>4.6305880000000004</v>
      </c>
      <c r="P674" s="2">
        <v>-74.119608439999993</v>
      </c>
      <c r="Q674" s="2" t="s">
        <v>1150</v>
      </c>
      <c r="R674" s="2">
        <v>5821917.8080000002</v>
      </c>
      <c r="S674" s="2">
        <v>0</v>
      </c>
      <c r="T674" s="2" t="s">
        <v>39</v>
      </c>
      <c r="U674" s="2" t="s">
        <v>40</v>
      </c>
      <c r="V674" s="2" t="s">
        <v>28</v>
      </c>
      <c r="W674" s="2" t="s">
        <v>39</v>
      </c>
      <c r="X674" s="2" t="s">
        <v>41</v>
      </c>
      <c r="Y674" s="2">
        <v>0.26984111900369601</v>
      </c>
      <c r="Z674" s="2">
        <v>4.6317666666666701</v>
      </c>
      <c r="AA674" s="2">
        <v>-74.117483333333297</v>
      </c>
      <c r="AB674" s="2">
        <v>2590</v>
      </c>
      <c r="AC674" s="2" t="s">
        <v>31</v>
      </c>
      <c r="AD674" s="2" t="s">
        <v>42</v>
      </c>
      <c r="AE674" s="2" t="s">
        <v>33</v>
      </c>
      <c r="AF674" s="2" t="s">
        <v>34</v>
      </c>
      <c r="AG674" s="2" t="s">
        <v>239</v>
      </c>
      <c r="AH674" s="2">
        <v>0.25215761656691099</v>
      </c>
      <c r="AI674" s="2">
        <v>5.3363056658121897</v>
      </c>
      <c r="AJ674" s="2">
        <v>1.1875996198465899</v>
      </c>
      <c r="AK674" s="2">
        <v>1.6477288322511399E-2</v>
      </c>
      <c r="AL674" s="2">
        <v>0.127659249970766</v>
      </c>
      <c r="AM674" s="2">
        <v>16.600000000000001</v>
      </c>
      <c r="AN674" s="2">
        <v>101.7</v>
      </c>
      <c r="AO674" s="2">
        <v>19.899999999999999</v>
      </c>
      <c r="AP674" s="2">
        <v>564</v>
      </c>
      <c r="AQ674" s="2">
        <v>71</v>
      </c>
      <c r="AR674" s="2">
        <v>1.7</v>
      </c>
      <c r="AS674" s="2">
        <v>185</v>
      </c>
      <c r="AT674" s="2">
        <v>0.8</v>
      </c>
      <c r="AU674" s="2">
        <v>162</v>
      </c>
      <c r="AV674" s="2">
        <v>19.5</v>
      </c>
      <c r="AW674" s="2">
        <v>15.6</v>
      </c>
      <c r="AX674" s="2">
        <v>35</v>
      </c>
      <c r="AY674" s="2">
        <v>0.68</v>
      </c>
      <c r="AZ674" s="2">
        <v>5.4</v>
      </c>
      <c r="BA674" s="2">
        <v>0.9</v>
      </c>
      <c r="BB674" s="2">
        <v>4.5999999999999996</v>
      </c>
      <c r="BC674" s="2">
        <v>2.1</v>
      </c>
      <c r="BD674" s="2">
        <f>+AN674*EXP(-0.0495*Y674)</f>
        <v>100.35061137635832</v>
      </c>
      <c r="BE674" s="2">
        <f>+AO674*EXP(-0.024*Y674)</f>
        <v>19.771540295067165</v>
      </c>
    </row>
    <row r="675" spans="1:57" x14ac:dyDescent="0.2">
      <c r="A675" s="2" t="s">
        <v>1641</v>
      </c>
      <c r="B675" s="2" t="s">
        <v>19</v>
      </c>
      <c r="C675" s="2" t="s">
        <v>20</v>
      </c>
      <c r="D675" s="2" t="s">
        <v>21</v>
      </c>
      <c r="E675" s="2" t="s">
        <v>1006</v>
      </c>
      <c r="F675" s="2">
        <v>3</v>
      </c>
      <c r="G675" s="2">
        <v>43.42</v>
      </c>
      <c r="H675" s="2">
        <v>2</v>
      </c>
      <c r="I675" s="2">
        <v>1</v>
      </c>
      <c r="J675" s="2">
        <v>0</v>
      </c>
      <c r="K675" s="2" t="s">
        <v>61</v>
      </c>
      <c r="L675" s="6" t="s">
        <v>62</v>
      </c>
      <c r="M675" s="5">
        <v>310000000</v>
      </c>
      <c r="N675" s="2">
        <v>0</v>
      </c>
      <c r="O675" s="2">
        <v>4.5942419680000004</v>
      </c>
      <c r="P675" s="2">
        <v>-74.110658169999994</v>
      </c>
      <c r="Q675" s="2" t="s">
        <v>1642</v>
      </c>
      <c r="R675" s="2">
        <v>7139567.0199999996</v>
      </c>
      <c r="S675" s="2">
        <v>0</v>
      </c>
      <c r="T675" s="2" t="s">
        <v>455</v>
      </c>
      <c r="U675" s="2" t="s">
        <v>456</v>
      </c>
      <c r="V675" s="2" t="s">
        <v>28</v>
      </c>
      <c r="W675" s="2" t="s">
        <v>39</v>
      </c>
      <c r="X675" s="2" t="s">
        <v>457</v>
      </c>
      <c r="Y675" s="2">
        <v>1.6569239190673299</v>
      </c>
      <c r="Z675" s="2">
        <v>4.6085000000000003</v>
      </c>
      <c r="AA675" s="2">
        <v>-74.114944444444404</v>
      </c>
      <c r="AB675" s="2">
        <v>2559</v>
      </c>
      <c r="AC675" s="2" t="s">
        <v>31</v>
      </c>
      <c r="AD675" s="2" t="s">
        <v>458</v>
      </c>
      <c r="AE675" s="2" t="s">
        <v>33</v>
      </c>
      <c r="AF675" s="2" t="s">
        <v>34</v>
      </c>
      <c r="AG675" s="2" t="s">
        <v>938</v>
      </c>
      <c r="AH675" s="2">
        <v>0.34575121529525199</v>
      </c>
      <c r="AI675" s="2">
        <v>4.5439762649475997</v>
      </c>
      <c r="AJ675" s="2">
        <v>1.8174060788754001</v>
      </c>
      <c r="AK675" s="2">
        <v>9.0234538885487103E-2</v>
      </c>
      <c r="AL675" s="2">
        <v>0.20957301889443899</v>
      </c>
      <c r="AM675" s="2">
        <v>16.600000000000001</v>
      </c>
      <c r="AN675" s="2">
        <v>101.7</v>
      </c>
      <c r="AO675" s="2">
        <v>19.899999999999999</v>
      </c>
      <c r="AP675" s="2">
        <v>564</v>
      </c>
      <c r="AQ675" s="2">
        <v>71</v>
      </c>
      <c r="AR675" s="2">
        <v>1.7</v>
      </c>
      <c r="AS675" s="2">
        <v>185</v>
      </c>
      <c r="AT675" s="2">
        <v>0.8</v>
      </c>
      <c r="AU675" s="2">
        <v>162</v>
      </c>
      <c r="AV675" s="2">
        <v>19.5</v>
      </c>
      <c r="AW675" s="2">
        <v>15.6</v>
      </c>
      <c r="AX675" s="2">
        <v>35</v>
      </c>
      <c r="AY675" s="2">
        <v>0.68</v>
      </c>
      <c r="AZ675" s="2">
        <v>5.4</v>
      </c>
      <c r="BA675" s="2">
        <v>0.9</v>
      </c>
      <c r="BB675" s="2">
        <v>4.5999999999999996</v>
      </c>
      <c r="BC675" s="2">
        <v>2.1</v>
      </c>
      <c r="BD675" s="2">
        <f>+AN675*EXP(-0.0495*Y675)</f>
        <v>93.691696656715109</v>
      </c>
      <c r="BE675" s="2">
        <f>+AO675*EXP(-0.024*Y675)</f>
        <v>19.124181046024187</v>
      </c>
    </row>
    <row r="676" spans="1:57" x14ac:dyDescent="0.2">
      <c r="A676" s="2" t="s">
        <v>664</v>
      </c>
      <c r="B676" s="2" t="s">
        <v>19</v>
      </c>
      <c r="C676" s="2" t="s">
        <v>20</v>
      </c>
      <c r="D676" s="2" t="s">
        <v>21</v>
      </c>
      <c r="E676" s="2" t="s">
        <v>247</v>
      </c>
      <c r="F676" s="2">
        <v>3</v>
      </c>
      <c r="G676" s="2">
        <v>43</v>
      </c>
      <c r="H676" s="2">
        <v>2</v>
      </c>
      <c r="I676" s="2">
        <v>1</v>
      </c>
      <c r="J676" s="2">
        <v>0</v>
      </c>
      <c r="K676" s="2" t="s">
        <v>61</v>
      </c>
      <c r="L676" s="6" t="s">
        <v>62</v>
      </c>
      <c r="M676" s="5">
        <v>335000000</v>
      </c>
      <c r="N676" s="2">
        <v>0</v>
      </c>
      <c r="O676" s="2">
        <v>4.6487340929999998</v>
      </c>
      <c r="P676" s="2">
        <v>-74.116920469999997</v>
      </c>
      <c r="Q676" s="2" t="s">
        <v>665</v>
      </c>
      <c r="R676" s="2">
        <v>7790697.6739999996</v>
      </c>
      <c r="S676" s="2">
        <v>0</v>
      </c>
      <c r="T676" s="2" t="s">
        <v>39</v>
      </c>
      <c r="U676" s="2" t="s">
        <v>40</v>
      </c>
      <c r="V676" s="2" t="s">
        <v>28</v>
      </c>
      <c r="W676" s="2" t="s">
        <v>39</v>
      </c>
      <c r="X676" s="2" t="s">
        <v>41</v>
      </c>
      <c r="Y676" s="2">
        <v>1.88983745235687</v>
      </c>
      <c r="Z676" s="2">
        <v>4.6317666666666701</v>
      </c>
      <c r="AA676" s="2">
        <v>-74.117483333333297</v>
      </c>
      <c r="AB676" s="2">
        <v>2590</v>
      </c>
      <c r="AC676" s="2" t="s">
        <v>31</v>
      </c>
      <c r="AD676" s="2" t="s">
        <v>42</v>
      </c>
      <c r="AE676" s="2" t="s">
        <v>33</v>
      </c>
      <c r="AF676" s="2" t="s">
        <v>34</v>
      </c>
      <c r="AG676" s="2" t="s">
        <v>43</v>
      </c>
      <c r="AH676" s="2">
        <v>1.5526984292050701</v>
      </c>
      <c r="AI676" s="2">
        <v>4.7068324225197404</v>
      </c>
      <c r="AJ676" s="2">
        <v>1.06165248879336</v>
      </c>
      <c r="AK676" s="2">
        <v>0.52870516141198398</v>
      </c>
      <c r="AL676" s="2">
        <v>0.26314763129002</v>
      </c>
      <c r="AM676" s="2">
        <v>16.600000000000001</v>
      </c>
      <c r="AN676" s="2">
        <v>101.7</v>
      </c>
      <c r="AO676" s="2">
        <v>19.899999999999999</v>
      </c>
      <c r="AP676" s="2">
        <v>564</v>
      </c>
      <c r="AQ676" s="2">
        <v>71</v>
      </c>
      <c r="AR676" s="2">
        <v>1.7</v>
      </c>
      <c r="AS676" s="2">
        <v>185</v>
      </c>
      <c r="AT676" s="2">
        <v>0.8</v>
      </c>
      <c r="AU676" s="2">
        <v>162</v>
      </c>
      <c r="AV676" s="2">
        <v>19.5</v>
      </c>
      <c r="AW676" s="2">
        <v>15.6</v>
      </c>
      <c r="AX676" s="2">
        <v>35</v>
      </c>
      <c r="AY676" s="2">
        <v>0.68</v>
      </c>
      <c r="AZ676" s="2">
        <v>5.4</v>
      </c>
      <c r="BA676" s="2">
        <v>0.9</v>
      </c>
      <c r="BB676" s="2">
        <v>4.5999999999999996</v>
      </c>
      <c r="BC676" s="2">
        <v>2.1</v>
      </c>
      <c r="BD676" s="2">
        <f>+AN676*EXP(-0.0495*Y676)</f>
        <v>92.617707508342605</v>
      </c>
      <c r="BE676" s="2">
        <f>+AO676*EXP(-0.024*Y676)</f>
        <v>19.017576545297963</v>
      </c>
    </row>
    <row r="677" spans="1:57" x14ac:dyDescent="0.2">
      <c r="A677" s="2" t="s">
        <v>1931</v>
      </c>
      <c r="B677" s="2" t="s">
        <v>19</v>
      </c>
      <c r="C677" s="2" t="s">
        <v>1907</v>
      </c>
      <c r="D677" s="2" t="s">
        <v>21</v>
      </c>
      <c r="E677" s="2" t="s">
        <v>1932</v>
      </c>
      <c r="F677" s="2">
        <v>3</v>
      </c>
      <c r="G677" s="2">
        <v>42.49</v>
      </c>
      <c r="H677" s="2">
        <v>4</v>
      </c>
      <c r="I677" s="2">
        <v>2</v>
      </c>
      <c r="J677" s="2">
        <v>0</v>
      </c>
      <c r="K677" s="2" t="s">
        <v>61</v>
      </c>
      <c r="L677" s="6" t="s">
        <v>75</v>
      </c>
      <c r="M677" s="5">
        <v>350000000</v>
      </c>
      <c r="N677" s="2">
        <v>0</v>
      </c>
      <c r="O677" s="2">
        <v>4.6403699999999999</v>
      </c>
      <c r="P677" s="2">
        <v>-74.12764</v>
      </c>
      <c r="Q677" s="2" t="s">
        <v>1933</v>
      </c>
      <c r="R677" s="2">
        <v>8237232.29</v>
      </c>
      <c r="S677" s="2">
        <v>0</v>
      </c>
      <c r="T677" s="2" t="s">
        <v>39</v>
      </c>
      <c r="U677" s="2" t="s">
        <v>40</v>
      </c>
      <c r="V677" s="2" t="s">
        <v>28</v>
      </c>
      <c r="W677" s="2" t="s">
        <v>39</v>
      </c>
      <c r="X677" s="2" t="s">
        <v>41</v>
      </c>
      <c r="Y677" s="2">
        <v>1.47892165113067</v>
      </c>
      <c r="Z677" s="2">
        <v>4.6317666666666701</v>
      </c>
      <c r="AA677" s="2">
        <v>-74.117483333333297</v>
      </c>
      <c r="AB677" s="2">
        <v>2590</v>
      </c>
      <c r="AC677" s="2" t="s">
        <v>31</v>
      </c>
      <c r="AD677" s="2" t="s">
        <v>42</v>
      </c>
      <c r="AE677" s="2" t="s">
        <v>33</v>
      </c>
      <c r="AF677" s="2" t="s">
        <v>34</v>
      </c>
      <c r="AG677" s="2" t="s">
        <v>172</v>
      </c>
      <c r="AH677" s="2">
        <v>1.2143958722755399</v>
      </c>
      <c r="AI677" s="2">
        <v>3.9857819309959899</v>
      </c>
      <c r="AJ677" s="2">
        <v>0.57253571717271001</v>
      </c>
      <c r="AK677" s="2">
        <v>0.57309584923849</v>
      </c>
      <c r="AL677" s="2">
        <v>5.5692549904330202E-2</v>
      </c>
      <c r="AM677" s="2">
        <v>16.600000000000001</v>
      </c>
      <c r="AN677" s="2">
        <v>101.7</v>
      </c>
      <c r="AO677" s="2">
        <v>19.899999999999999</v>
      </c>
      <c r="AP677" s="2">
        <v>564</v>
      </c>
      <c r="AQ677" s="2">
        <v>71</v>
      </c>
      <c r="AR677" s="2">
        <v>1.7</v>
      </c>
      <c r="AS677" s="2">
        <v>185</v>
      </c>
      <c r="AT677" s="2">
        <v>0.8</v>
      </c>
      <c r="AU677" s="2">
        <v>162</v>
      </c>
      <c r="AV677" s="2">
        <v>19.5</v>
      </c>
      <c r="AW677" s="2">
        <v>15.6</v>
      </c>
      <c r="AX677" s="2">
        <v>35</v>
      </c>
      <c r="AY677" s="2">
        <v>0.68</v>
      </c>
      <c r="AZ677" s="2">
        <v>5.4</v>
      </c>
      <c r="BA677" s="2">
        <v>0.9</v>
      </c>
      <c r="BB677" s="2">
        <v>4.5999999999999996</v>
      </c>
      <c r="BC677" s="2">
        <v>2.1</v>
      </c>
      <c r="BD677" s="2">
        <f>+AN677*EXP(-0.0495*Y677)</f>
        <v>94.520872329562749</v>
      </c>
      <c r="BE677" s="2">
        <f>+AO677*EXP(-0.024*Y677)</f>
        <v>19.206055349611649</v>
      </c>
    </row>
    <row r="678" spans="1:57" x14ac:dyDescent="0.2">
      <c r="A678" s="2" t="s">
        <v>1144</v>
      </c>
      <c r="B678" s="2" t="s">
        <v>19</v>
      </c>
      <c r="C678" s="2" t="s">
        <v>20</v>
      </c>
      <c r="D678" s="2" t="s">
        <v>21</v>
      </c>
      <c r="E678" s="2" t="s">
        <v>1060</v>
      </c>
      <c r="F678" s="2">
        <v>3</v>
      </c>
      <c r="G678" s="2">
        <v>42.26</v>
      </c>
      <c r="H678" s="2">
        <v>2</v>
      </c>
      <c r="I678" s="2">
        <v>1</v>
      </c>
      <c r="J678" s="2">
        <v>0</v>
      </c>
      <c r="K678" s="2" t="s">
        <v>61</v>
      </c>
      <c r="L678" s="6" t="s">
        <v>62</v>
      </c>
      <c r="M678" s="5">
        <v>245000000</v>
      </c>
      <c r="N678" s="2">
        <v>0</v>
      </c>
      <c r="O678" s="2">
        <v>4.6305880000000004</v>
      </c>
      <c r="P678" s="2">
        <v>-74.119608439999993</v>
      </c>
      <c r="Q678" s="2" t="s">
        <v>1145</v>
      </c>
      <c r="R678" s="2">
        <v>5797444.392</v>
      </c>
      <c r="S678" s="2">
        <v>0</v>
      </c>
      <c r="T678" s="2" t="s">
        <v>39</v>
      </c>
      <c r="U678" s="2" t="s">
        <v>40</v>
      </c>
      <c r="V678" s="2" t="s">
        <v>28</v>
      </c>
      <c r="W678" s="2" t="s">
        <v>39</v>
      </c>
      <c r="X678" s="2" t="s">
        <v>41</v>
      </c>
      <c r="Y678" s="2">
        <v>0.26984111900369601</v>
      </c>
      <c r="Z678" s="2">
        <v>4.6317666666666701</v>
      </c>
      <c r="AA678" s="2">
        <v>-74.117483333333297</v>
      </c>
      <c r="AB678" s="2">
        <v>2590</v>
      </c>
      <c r="AC678" s="2" t="s">
        <v>31</v>
      </c>
      <c r="AD678" s="2" t="s">
        <v>42</v>
      </c>
      <c r="AE678" s="2" t="s">
        <v>33</v>
      </c>
      <c r="AF678" s="2" t="s">
        <v>34</v>
      </c>
      <c r="AG678" s="2" t="s">
        <v>239</v>
      </c>
      <c r="AH678" s="2">
        <v>0.25215761656691099</v>
      </c>
      <c r="AI678" s="2">
        <v>5.3363056658121897</v>
      </c>
      <c r="AJ678" s="2">
        <v>1.1875996198465899</v>
      </c>
      <c r="AK678" s="2">
        <v>1.6477288322511399E-2</v>
      </c>
      <c r="AL678" s="2">
        <v>0.127659249970766</v>
      </c>
      <c r="AM678" s="2">
        <v>16.600000000000001</v>
      </c>
      <c r="AN678" s="2">
        <v>101.7</v>
      </c>
      <c r="AO678" s="2">
        <v>19.899999999999999</v>
      </c>
      <c r="AP678" s="2">
        <v>564</v>
      </c>
      <c r="AQ678" s="2">
        <v>71</v>
      </c>
      <c r="AR678" s="2">
        <v>1.7</v>
      </c>
      <c r="AS678" s="2">
        <v>185</v>
      </c>
      <c r="AT678" s="2">
        <v>0.8</v>
      </c>
      <c r="AU678" s="2">
        <v>162</v>
      </c>
      <c r="AV678" s="2">
        <v>19.5</v>
      </c>
      <c r="AW678" s="2">
        <v>15.6</v>
      </c>
      <c r="AX678" s="2">
        <v>35</v>
      </c>
      <c r="AY678" s="2">
        <v>0.68</v>
      </c>
      <c r="AZ678" s="2">
        <v>5.4</v>
      </c>
      <c r="BA678" s="2">
        <v>0.9</v>
      </c>
      <c r="BB678" s="2">
        <v>4.5999999999999996</v>
      </c>
      <c r="BC678" s="2">
        <v>2.1</v>
      </c>
      <c r="BD678" s="2">
        <f>+AN678*EXP(-0.0495*Y678)</f>
        <v>100.35061137635832</v>
      </c>
      <c r="BE678" s="2">
        <f>+AO678*EXP(-0.024*Y678)</f>
        <v>19.771540295067165</v>
      </c>
    </row>
    <row r="679" spans="1:57" x14ac:dyDescent="0.2">
      <c r="A679" s="2" t="s">
        <v>3476</v>
      </c>
      <c r="B679" s="2" t="s">
        <v>19</v>
      </c>
      <c r="C679" s="2" t="s">
        <v>3245</v>
      </c>
      <c r="D679" s="2" t="s">
        <v>21</v>
      </c>
      <c r="E679" s="2" t="s">
        <v>3477</v>
      </c>
      <c r="F679" s="2">
        <v>4</v>
      </c>
      <c r="G679" s="2">
        <v>41</v>
      </c>
      <c r="H679" s="2">
        <v>1</v>
      </c>
      <c r="I679" s="2">
        <v>1</v>
      </c>
      <c r="J679" s="2">
        <v>0</v>
      </c>
      <c r="K679" s="2" t="s">
        <v>61</v>
      </c>
      <c r="L679" s="6" t="s">
        <v>62</v>
      </c>
      <c r="M679" s="5">
        <v>326300000</v>
      </c>
      <c r="N679" s="2">
        <v>0</v>
      </c>
      <c r="O679" s="2">
        <v>4.6471898210000004</v>
      </c>
      <c r="P679" s="2">
        <v>-74.118206830000005</v>
      </c>
      <c r="Q679" s="2" t="s">
        <v>3478</v>
      </c>
      <c r="R679" s="2">
        <v>7958536.585</v>
      </c>
      <c r="S679" s="2">
        <v>0</v>
      </c>
      <c r="T679" s="2" t="s">
        <v>39</v>
      </c>
      <c r="U679" s="2" t="s">
        <v>40</v>
      </c>
      <c r="V679" s="2" t="s">
        <v>28</v>
      </c>
      <c r="W679" s="2" t="s">
        <v>39</v>
      </c>
      <c r="X679" s="2" t="s">
        <v>41</v>
      </c>
      <c r="Y679" s="2">
        <v>1.71877334289316</v>
      </c>
      <c r="Z679" s="2">
        <v>4.6317666666666701</v>
      </c>
      <c r="AA679" s="2">
        <v>-74.117483333333297</v>
      </c>
      <c r="AB679" s="2">
        <v>2590</v>
      </c>
      <c r="AC679" s="2" t="s">
        <v>31</v>
      </c>
      <c r="AD679" s="2" t="s">
        <v>42</v>
      </c>
      <c r="AE679" s="2" t="s">
        <v>33</v>
      </c>
      <c r="AF679" s="2" t="s">
        <v>34</v>
      </c>
      <c r="AG679" s="2" t="s">
        <v>43</v>
      </c>
      <c r="AH679" s="2">
        <v>1.7695529067048399</v>
      </c>
      <c r="AI679" s="2">
        <v>4.6180188959193504</v>
      </c>
      <c r="AJ679" s="2">
        <v>0.83997835854626401</v>
      </c>
      <c r="AK679" s="2">
        <v>0.34819435820965</v>
      </c>
      <c r="AL679" s="2">
        <v>0.26325357673023397</v>
      </c>
      <c r="AM679" s="2">
        <v>16.600000000000001</v>
      </c>
      <c r="AN679" s="2">
        <v>101.7</v>
      </c>
      <c r="AO679" s="2">
        <v>19.899999999999999</v>
      </c>
      <c r="AP679" s="2">
        <v>564</v>
      </c>
      <c r="AQ679" s="2">
        <v>71</v>
      </c>
      <c r="AR679" s="2">
        <v>1.7</v>
      </c>
      <c r="AS679" s="2">
        <v>185</v>
      </c>
      <c r="AT679" s="2">
        <v>0.8</v>
      </c>
      <c r="AU679" s="2">
        <v>162</v>
      </c>
      <c r="AV679" s="2">
        <v>19.5</v>
      </c>
      <c r="AW679" s="2">
        <v>15.6</v>
      </c>
      <c r="AX679" s="2">
        <v>35</v>
      </c>
      <c r="AY679" s="2">
        <v>0.68</v>
      </c>
      <c r="AZ679" s="2">
        <v>5.4</v>
      </c>
      <c r="BA679" s="2">
        <v>0.9</v>
      </c>
      <c r="BB679" s="2">
        <v>4.5999999999999996</v>
      </c>
      <c r="BC679" s="2">
        <v>2.1</v>
      </c>
      <c r="BD679" s="2">
        <f>+AN679*EXP(-0.0495*Y679)</f>
        <v>93.405293814181917</v>
      </c>
      <c r="BE679" s="2">
        <f>+AO679*EXP(-0.024*Y679)</f>
        <v>19.095814434843366</v>
      </c>
    </row>
    <row r="680" spans="1:57" x14ac:dyDescent="0.2">
      <c r="A680" s="2" t="s">
        <v>3669</v>
      </c>
      <c r="B680" s="2" t="s">
        <v>19</v>
      </c>
      <c r="C680" s="2" t="s">
        <v>3245</v>
      </c>
      <c r="D680" s="2" t="s">
        <v>21</v>
      </c>
      <c r="E680" s="2" t="s">
        <v>150</v>
      </c>
      <c r="F680" s="2">
        <v>3</v>
      </c>
      <c r="G680" s="2">
        <v>41</v>
      </c>
      <c r="H680" s="2">
        <v>1</v>
      </c>
      <c r="I680" s="2">
        <v>1</v>
      </c>
      <c r="J680" s="2">
        <v>0</v>
      </c>
      <c r="K680" s="2" t="s">
        <v>61</v>
      </c>
      <c r="L680" s="6" t="s">
        <v>62</v>
      </c>
      <c r="M680" s="5">
        <v>320000000</v>
      </c>
      <c r="N680" s="2">
        <v>0</v>
      </c>
      <c r="O680" s="2">
        <v>4.6480967409999998</v>
      </c>
      <c r="P680" s="2">
        <v>-74.117910859999995</v>
      </c>
      <c r="Q680" s="2" t="s">
        <v>3670</v>
      </c>
      <c r="R680" s="2">
        <v>7804878.0489999996</v>
      </c>
      <c r="S680" s="2">
        <v>0</v>
      </c>
      <c r="T680" s="2" t="s">
        <v>39</v>
      </c>
      <c r="U680" s="2" t="s">
        <v>40</v>
      </c>
      <c r="V680" s="2" t="s">
        <v>28</v>
      </c>
      <c r="W680" s="2" t="s">
        <v>39</v>
      </c>
      <c r="X680" s="2" t="s">
        <v>41</v>
      </c>
      <c r="Y680" s="2">
        <v>1.8184743650841599</v>
      </c>
      <c r="Z680" s="2">
        <v>4.6317666666666701</v>
      </c>
      <c r="AA680" s="2">
        <v>-74.117483333333297</v>
      </c>
      <c r="AB680" s="2">
        <v>2590</v>
      </c>
      <c r="AC680" s="2" t="s">
        <v>31</v>
      </c>
      <c r="AD680" s="2" t="s">
        <v>42</v>
      </c>
      <c r="AE680" s="2" t="s">
        <v>33</v>
      </c>
      <c r="AF680" s="2" t="s">
        <v>34</v>
      </c>
      <c r="AG680" s="2" t="s">
        <v>43</v>
      </c>
      <c r="AH680" s="2">
        <v>1.6829165069984</v>
      </c>
      <c r="AI680" s="2">
        <v>4.6201744202477704</v>
      </c>
      <c r="AJ680" s="2">
        <v>0.94159367036971497</v>
      </c>
      <c r="AK680" s="2">
        <v>0.44683003643996499</v>
      </c>
      <c r="AL680" s="2">
        <v>0.22294483401401999</v>
      </c>
      <c r="AM680" s="2">
        <v>16.600000000000001</v>
      </c>
      <c r="AN680" s="2">
        <v>101.7</v>
      </c>
      <c r="AO680" s="2">
        <v>19.899999999999999</v>
      </c>
      <c r="AP680" s="2">
        <v>564</v>
      </c>
      <c r="AQ680" s="2">
        <v>71</v>
      </c>
      <c r="AR680" s="2">
        <v>1.7</v>
      </c>
      <c r="AS680" s="2">
        <v>185</v>
      </c>
      <c r="AT680" s="2">
        <v>0.8</v>
      </c>
      <c r="AU680" s="2">
        <v>162</v>
      </c>
      <c r="AV680" s="2">
        <v>19.5</v>
      </c>
      <c r="AW680" s="2">
        <v>15.6</v>
      </c>
      <c r="AX680" s="2">
        <v>35</v>
      </c>
      <c r="AY680" s="2">
        <v>0.68</v>
      </c>
      <c r="AZ680" s="2">
        <v>5.4</v>
      </c>
      <c r="BA680" s="2">
        <v>0.9</v>
      </c>
      <c r="BB680" s="2">
        <v>4.5999999999999996</v>
      </c>
      <c r="BC680" s="2">
        <v>2.1</v>
      </c>
      <c r="BD680" s="2">
        <f>+AN680*EXP(-0.0495*Y680)</f>
        <v>92.94545558253516</v>
      </c>
      <c r="BE680" s="2">
        <f>+AO680*EXP(-0.024*Y680)</f>
        <v>19.050176125602579</v>
      </c>
    </row>
    <row r="681" spans="1:57" x14ac:dyDescent="0.2">
      <c r="A681" s="2" t="s">
        <v>889</v>
      </c>
      <c r="B681" s="2" t="s">
        <v>19</v>
      </c>
      <c r="C681" s="2" t="s">
        <v>20</v>
      </c>
      <c r="D681" s="2" t="s">
        <v>21</v>
      </c>
      <c r="E681" s="2" t="s">
        <v>239</v>
      </c>
      <c r="F681" s="2">
        <v>3</v>
      </c>
      <c r="G681" s="2">
        <v>39.69</v>
      </c>
      <c r="H681" s="2">
        <v>1</v>
      </c>
      <c r="I681" s="2">
        <v>1</v>
      </c>
      <c r="J681" s="2">
        <v>0</v>
      </c>
      <c r="K681" s="2" t="s">
        <v>23</v>
      </c>
      <c r="L681" s="6" t="s">
        <v>24</v>
      </c>
      <c r="M681" s="5">
        <v>276739000</v>
      </c>
      <c r="N681" s="2">
        <v>0</v>
      </c>
      <c r="O681" s="2">
        <v>4.6257004999999998</v>
      </c>
      <c r="P681" s="2">
        <v>-74.109099999999998</v>
      </c>
      <c r="Q681" s="2" t="s">
        <v>890</v>
      </c>
      <c r="R681" s="2">
        <v>6972511.9680000003</v>
      </c>
      <c r="S681" s="2">
        <v>0</v>
      </c>
      <c r="T681" s="2" t="s">
        <v>39</v>
      </c>
      <c r="U681" s="2" t="s">
        <v>40</v>
      </c>
      <c r="V681" s="2" t="s">
        <v>28</v>
      </c>
      <c r="W681" s="2" t="s">
        <v>39</v>
      </c>
      <c r="X681" s="2" t="s">
        <v>41</v>
      </c>
      <c r="Y681" s="2">
        <v>1.14945645985316</v>
      </c>
      <c r="Z681" s="2">
        <v>4.6317666666666701</v>
      </c>
      <c r="AA681" s="2">
        <v>-74.117483333333297</v>
      </c>
      <c r="AB681" s="2">
        <v>2590</v>
      </c>
      <c r="AC681" s="2" t="s">
        <v>31</v>
      </c>
      <c r="AD681" s="2" t="s">
        <v>42</v>
      </c>
      <c r="AE681" s="2" t="s">
        <v>33</v>
      </c>
      <c r="AF681" s="2" t="s">
        <v>34</v>
      </c>
      <c r="AG681" s="2" t="s">
        <v>239</v>
      </c>
      <c r="AH681" s="2">
        <v>0.36374906044271299</v>
      </c>
      <c r="AI681" s="2">
        <v>5.1584968977881198</v>
      </c>
      <c r="AJ681" s="2">
        <v>2.2459465802415601</v>
      </c>
      <c r="AK681" s="2">
        <v>8.5962718635282306E-2</v>
      </c>
      <c r="AL681" s="2">
        <v>0.46258128850125502</v>
      </c>
      <c r="AM681" s="2">
        <v>16.600000000000001</v>
      </c>
      <c r="AN681" s="2">
        <v>101.7</v>
      </c>
      <c r="AO681" s="2">
        <v>19.899999999999999</v>
      </c>
      <c r="AP681" s="2">
        <v>564</v>
      </c>
      <c r="AQ681" s="2">
        <v>71</v>
      </c>
      <c r="AR681" s="2">
        <v>1.7</v>
      </c>
      <c r="AS681" s="2">
        <v>185</v>
      </c>
      <c r="AT681" s="2">
        <v>0.8</v>
      </c>
      <c r="AU681" s="2">
        <v>162</v>
      </c>
      <c r="AV681" s="2">
        <v>19.5</v>
      </c>
      <c r="AW681" s="2">
        <v>15.6</v>
      </c>
      <c r="AX681" s="2">
        <v>35</v>
      </c>
      <c r="AY681" s="2">
        <v>0.68</v>
      </c>
      <c r="AZ681" s="2">
        <v>5.4</v>
      </c>
      <c r="BA681" s="2">
        <v>0.9</v>
      </c>
      <c r="BB681" s="2">
        <v>4.5999999999999996</v>
      </c>
      <c r="BC681" s="2">
        <v>2.1</v>
      </c>
      <c r="BD681" s="2">
        <f>+AN681*EXP(-0.0495*Y681)</f>
        <v>96.075006902112335</v>
      </c>
      <c r="BE681" s="2">
        <f>+AO681*EXP(-0.024*Y681)</f>
        <v>19.358522788569793</v>
      </c>
    </row>
    <row r="682" spans="1:57" x14ac:dyDescent="0.2">
      <c r="A682" s="2" t="s">
        <v>1098</v>
      </c>
      <c r="B682" s="2" t="s">
        <v>19</v>
      </c>
      <c r="C682" s="2" t="s">
        <v>20</v>
      </c>
      <c r="D682" s="2" t="s">
        <v>21</v>
      </c>
      <c r="E682" s="2" t="s">
        <v>453</v>
      </c>
      <c r="F682" s="2">
        <v>3</v>
      </c>
      <c r="G682" s="2">
        <v>38</v>
      </c>
      <c r="H682" s="2">
        <v>2</v>
      </c>
      <c r="I682" s="2">
        <v>1</v>
      </c>
      <c r="J682" s="2">
        <v>0</v>
      </c>
      <c r="K682" s="2" t="s">
        <v>61</v>
      </c>
      <c r="L682" s="6" t="s">
        <v>62</v>
      </c>
      <c r="M682" s="5">
        <v>245000000</v>
      </c>
      <c r="N682" s="2">
        <v>0</v>
      </c>
      <c r="O682" s="2">
        <v>4.6090730000000004</v>
      </c>
      <c r="P682" s="2">
        <v>-74.104518900000002</v>
      </c>
      <c r="Q682" s="2" t="s">
        <v>1099</v>
      </c>
      <c r="R682" s="2">
        <v>6447368.4210000001</v>
      </c>
      <c r="S682" s="2">
        <v>0</v>
      </c>
      <c r="T682" s="2" t="s">
        <v>455</v>
      </c>
      <c r="U682" s="2" t="s">
        <v>456</v>
      </c>
      <c r="V682" s="2" t="s">
        <v>28</v>
      </c>
      <c r="W682" s="2" t="s">
        <v>39</v>
      </c>
      <c r="X682" s="2" t="s">
        <v>457</v>
      </c>
      <c r="Y682" s="2">
        <v>1.15857091618799</v>
      </c>
      <c r="Z682" s="2">
        <v>4.6085000000000003</v>
      </c>
      <c r="AA682" s="2">
        <v>-74.114944444444404</v>
      </c>
      <c r="AB682" s="2">
        <v>2559</v>
      </c>
      <c r="AC682" s="2" t="s">
        <v>31</v>
      </c>
      <c r="AD682" s="2" t="s">
        <v>458</v>
      </c>
      <c r="AE682" s="2" t="s">
        <v>33</v>
      </c>
      <c r="AF682" s="2" t="s">
        <v>34</v>
      </c>
      <c r="AG682" s="2" t="s">
        <v>239</v>
      </c>
      <c r="AH682" s="2">
        <v>0.74220098852403404</v>
      </c>
      <c r="AI682" s="2">
        <v>4.3970103337315702</v>
      </c>
      <c r="AJ682" s="2">
        <v>2.0003490245584898</v>
      </c>
      <c r="AK682" s="2">
        <v>0.46606840628753998</v>
      </c>
      <c r="AL682" s="2">
        <v>0.57405051800932905</v>
      </c>
      <c r="AM682" s="2">
        <v>16.600000000000001</v>
      </c>
      <c r="AN682" s="2">
        <v>101.7</v>
      </c>
      <c r="AO682" s="2">
        <v>19.899999999999999</v>
      </c>
      <c r="AP682" s="2">
        <v>564</v>
      </c>
      <c r="AQ682" s="2">
        <v>71</v>
      </c>
      <c r="AR682" s="2">
        <v>1.7</v>
      </c>
      <c r="AS682" s="2">
        <v>185</v>
      </c>
      <c r="AT682" s="2">
        <v>0.8</v>
      </c>
      <c r="AU682" s="2">
        <v>162</v>
      </c>
      <c r="AV682" s="2">
        <v>19.5</v>
      </c>
      <c r="AW682" s="2">
        <v>15.6</v>
      </c>
      <c r="AX682" s="2">
        <v>35</v>
      </c>
      <c r="AY682" s="2">
        <v>0.68</v>
      </c>
      <c r="AZ682" s="2">
        <v>5.4</v>
      </c>
      <c r="BA682" s="2">
        <v>0.9</v>
      </c>
      <c r="BB682" s="2">
        <v>4.5999999999999996</v>
      </c>
      <c r="BC682" s="2">
        <v>2.1</v>
      </c>
      <c r="BD682" s="2">
        <f>+AN682*EXP(-0.0495*Y682)</f>
        <v>96.031670941658234</v>
      </c>
      <c r="BE682" s="2">
        <f>+AO682*EXP(-0.024*Y682)</f>
        <v>19.35428863383498</v>
      </c>
    </row>
    <row r="683" spans="1:57" x14ac:dyDescent="0.2">
      <c r="A683" s="2" t="s">
        <v>3479</v>
      </c>
      <c r="B683" s="2" t="s">
        <v>19</v>
      </c>
      <c r="C683" s="2" t="s">
        <v>3245</v>
      </c>
      <c r="D683" s="2" t="s">
        <v>21</v>
      </c>
      <c r="E683" s="2" t="s">
        <v>3480</v>
      </c>
      <c r="F683" s="2">
        <v>3</v>
      </c>
      <c r="G683" s="2">
        <v>37</v>
      </c>
      <c r="H683" s="2">
        <v>1</v>
      </c>
      <c r="I683" s="2">
        <v>1</v>
      </c>
      <c r="J683" s="2">
        <v>0</v>
      </c>
      <c r="K683" s="2" t="s">
        <v>61</v>
      </c>
      <c r="L683" s="6" t="s">
        <v>62</v>
      </c>
      <c r="M683" s="5">
        <v>222000000</v>
      </c>
      <c r="N683" s="2">
        <v>0</v>
      </c>
      <c r="O683" s="2">
        <v>4.6473699999999996</v>
      </c>
      <c r="P683" s="2">
        <v>-74.135239999999996</v>
      </c>
      <c r="Q683" s="2" t="s">
        <v>3481</v>
      </c>
      <c r="R683" s="2">
        <v>6000000</v>
      </c>
      <c r="S683" s="2">
        <v>0</v>
      </c>
      <c r="T683" s="2" t="s">
        <v>39</v>
      </c>
      <c r="U683" s="2" t="s">
        <v>40</v>
      </c>
      <c r="V683" s="2" t="s">
        <v>28</v>
      </c>
      <c r="W683" s="2" t="s">
        <v>39</v>
      </c>
      <c r="X683" s="2" t="s">
        <v>41</v>
      </c>
      <c r="Y683" s="2">
        <v>2.62652740823758</v>
      </c>
      <c r="Z683" s="2">
        <v>4.6317666666666701</v>
      </c>
      <c r="AA683" s="2">
        <v>-74.117483333333297</v>
      </c>
      <c r="AB683" s="2">
        <v>2590</v>
      </c>
      <c r="AC683" s="2" t="s">
        <v>31</v>
      </c>
      <c r="AD683" s="2" t="s">
        <v>42</v>
      </c>
      <c r="AE683" s="2" t="s">
        <v>33</v>
      </c>
      <c r="AF683" s="2" t="s">
        <v>34</v>
      </c>
      <c r="AG683" s="2" t="s">
        <v>172</v>
      </c>
      <c r="AH683" s="2">
        <v>1.9099448211557699</v>
      </c>
      <c r="AI683" s="2">
        <v>2.8655322729914401</v>
      </c>
      <c r="AJ683" s="2">
        <v>1.58099370444333</v>
      </c>
      <c r="AK683" s="2">
        <v>0.35621441395019499</v>
      </c>
      <c r="AL683" s="2">
        <v>7.6575781450120397E-3</v>
      </c>
      <c r="AM683" s="2">
        <v>16.600000000000001</v>
      </c>
      <c r="AN683" s="2">
        <v>101.7</v>
      </c>
      <c r="AO683" s="2">
        <v>19.899999999999999</v>
      </c>
      <c r="AP683" s="2">
        <v>564</v>
      </c>
      <c r="AQ683" s="2">
        <v>71</v>
      </c>
      <c r="AR683" s="2">
        <v>1.7</v>
      </c>
      <c r="AS683" s="2">
        <v>185</v>
      </c>
      <c r="AT683" s="2">
        <v>0.8</v>
      </c>
      <c r="AU683" s="2">
        <v>162</v>
      </c>
      <c r="AV683" s="2">
        <v>19.5</v>
      </c>
      <c r="AW683" s="2">
        <v>15.6</v>
      </c>
      <c r="AX683" s="2">
        <v>35</v>
      </c>
      <c r="AY683" s="2">
        <v>0.68</v>
      </c>
      <c r="AZ683" s="2">
        <v>5.4</v>
      </c>
      <c r="BA683" s="2">
        <v>0.9</v>
      </c>
      <c r="BB683" s="2">
        <v>4.5999999999999996</v>
      </c>
      <c r="BC683" s="2">
        <v>2.1</v>
      </c>
      <c r="BD683" s="2">
        <f>+AN683*EXP(-0.0495*Y683)</f>
        <v>89.301134873073281</v>
      </c>
      <c r="BE683" s="2">
        <f>+AO683*EXP(-0.024*Y683)</f>
        <v>18.684290188929729</v>
      </c>
    </row>
    <row r="684" spans="1:57" x14ac:dyDescent="0.2">
      <c r="A684" s="2" t="s">
        <v>3927</v>
      </c>
      <c r="B684" s="2" t="s">
        <v>19</v>
      </c>
      <c r="C684" s="2" t="s">
        <v>3245</v>
      </c>
      <c r="D684" s="2" t="s">
        <v>21</v>
      </c>
      <c r="E684" s="2" t="s">
        <v>3928</v>
      </c>
      <c r="F684" s="2">
        <v>3</v>
      </c>
      <c r="G684" s="2">
        <v>36</v>
      </c>
      <c r="H684" s="2">
        <v>1</v>
      </c>
      <c r="I684" s="2">
        <v>1</v>
      </c>
      <c r="J684" s="2">
        <v>1</v>
      </c>
      <c r="K684" s="2" t="s">
        <v>61</v>
      </c>
      <c r="L684" s="6" t="s">
        <v>62</v>
      </c>
      <c r="M684" s="5">
        <v>425000000</v>
      </c>
      <c r="N684" s="2">
        <v>0</v>
      </c>
      <c r="O684" s="2">
        <v>4.6001262660000002</v>
      </c>
      <c r="P684" s="2">
        <v>-74.091636660000006</v>
      </c>
      <c r="Q684" s="2" t="s">
        <v>3929</v>
      </c>
      <c r="R684" s="2">
        <v>11805555.560000001</v>
      </c>
      <c r="S684" s="2">
        <v>0</v>
      </c>
      <c r="T684" s="2" t="s">
        <v>455</v>
      </c>
      <c r="U684" s="2" t="s">
        <v>456</v>
      </c>
      <c r="V684" s="2" t="s">
        <v>28</v>
      </c>
      <c r="W684" s="2" t="s">
        <v>39</v>
      </c>
      <c r="X684" s="2" t="s">
        <v>457</v>
      </c>
      <c r="Y684" s="2">
        <v>2.7490991486681802</v>
      </c>
      <c r="Z684" s="2">
        <v>4.6085000000000003</v>
      </c>
      <c r="AA684" s="2">
        <v>-74.114944444444404</v>
      </c>
      <c r="AB684" s="2">
        <v>2559</v>
      </c>
      <c r="AC684" s="2" t="s">
        <v>31</v>
      </c>
      <c r="AD684" s="2" t="s">
        <v>458</v>
      </c>
      <c r="AE684" s="2" t="s">
        <v>33</v>
      </c>
      <c r="AF684" s="2" t="s">
        <v>34</v>
      </c>
      <c r="AG684" s="2" t="s">
        <v>259</v>
      </c>
      <c r="AH684" s="2">
        <v>0.32104607943653002</v>
      </c>
      <c r="AI684" s="2">
        <v>2.8330272685354698</v>
      </c>
      <c r="AJ684" s="2">
        <v>0.56712203288832996</v>
      </c>
      <c r="AK684" s="2">
        <v>0.43982669578281502</v>
      </c>
      <c r="AL684" s="2">
        <v>0.27083825596772998</v>
      </c>
      <c r="AM684" s="2">
        <v>16.600000000000001</v>
      </c>
      <c r="AN684" s="2">
        <v>101.7</v>
      </c>
      <c r="AO684" s="2">
        <v>19.899999999999999</v>
      </c>
      <c r="AP684" s="2">
        <v>564</v>
      </c>
      <c r="AQ684" s="2">
        <v>71</v>
      </c>
      <c r="AR684" s="2">
        <v>1.7</v>
      </c>
      <c r="AS684" s="2">
        <v>185</v>
      </c>
      <c r="AT684" s="2">
        <v>0.8</v>
      </c>
      <c r="AU684" s="2">
        <v>162</v>
      </c>
      <c r="AV684" s="2">
        <v>19.5</v>
      </c>
      <c r="AW684" s="2">
        <v>15.6</v>
      </c>
      <c r="AX684" s="2">
        <v>35</v>
      </c>
      <c r="AY684" s="2">
        <v>0.68</v>
      </c>
      <c r="AZ684" s="2">
        <v>5.4</v>
      </c>
      <c r="BA684" s="2">
        <v>0.9</v>
      </c>
      <c r="BB684" s="2">
        <v>4.5999999999999996</v>
      </c>
      <c r="BC684" s="2">
        <v>2.1</v>
      </c>
      <c r="BD684" s="2">
        <f>+AN684*EXP(-0.0495*Y684)</f>
        <v>88.760958358525414</v>
      </c>
      <c r="BE684" s="2">
        <f>+AO684*EXP(-0.024*Y684)</f>
        <v>18.629406970875088</v>
      </c>
    </row>
    <row r="685" spans="1:57" x14ac:dyDescent="0.2">
      <c r="A685" s="2" t="s">
        <v>3498</v>
      </c>
      <c r="B685" s="2" t="s">
        <v>19</v>
      </c>
      <c r="C685" s="2" t="s">
        <v>3245</v>
      </c>
      <c r="D685" s="2" t="s">
        <v>21</v>
      </c>
      <c r="E685" s="2" t="s">
        <v>3499</v>
      </c>
      <c r="F685" s="2">
        <v>3</v>
      </c>
      <c r="G685" s="2">
        <v>36</v>
      </c>
      <c r="H685" s="2">
        <v>1</v>
      </c>
      <c r="I685" s="2">
        <v>1</v>
      </c>
      <c r="J685" s="2">
        <v>0</v>
      </c>
      <c r="K685" s="2" t="s">
        <v>61</v>
      </c>
      <c r="L685" s="6" t="s">
        <v>62</v>
      </c>
      <c r="M685" s="5">
        <v>240100000</v>
      </c>
      <c r="N685" s="2">
        <v>0</v>
      </c>
      <c r="O685" s="2">
        <v>4.6132999999999997</v>
      </c>
      <c r="P685" s="2">
        <v>-74.105170000000001</v>
      </c>
      <c r="Q685" s="2" t="s">
        <v>3500</v>
      </c>
      <c r="R685" s="2">
        <v>6669444.4440000001</v>
      </c>
      <c r="S685" s="2">
        <v>0</v>
      </c>
      <c r="T685" s="2" t="s">
        <v>455</v>
      </c>
      <c r="U685" s="2" t="s">
        <v>456</v>
      </c>
      <c r="V685" s="2" t="s">
        <v>28</v>
      </c>
      <c r="W685" s="2" t="s">
        <v>39</v>
      </c>
      <c r="X685" s="2" t="s">
        <v>457</v>
      </c>
      <c r="Y685" s="2">
        <v>1.2090462920232701</v>
      </c>
      <c r="Z685" s="2">
        <v>4.6085000000000003</v>
      </c>
      <c r="AA685" s="2">
        <v>-74.114944444444404</v>
      </c>
      <c r="AB685" s="2">
        <v>2559</v>
      </c>
      <c r="AC685" s="2" t="s">
        <v>31</v>
      </c>
      <c r="AD685" s="2" t="s">
        <v>458</v>
      </c>
      <c r="AE685" s="2" t="s">
        <v>33</v>
      </c>
      <c r="AF685" s="2" t="s">
        <v>34</v>
      </c>
      <c r="AG685" s="2" t="s">
        <v>239</v>
      </c>
      <c r="AH685" s="2">
        <v>1.0581854580083401</v>
      </c>
      <c r="AI685" s="2">
        <v>4.5066358403461804</v>
      </c>
      <c r="AJ685" s="2">
        <v>2.2610084136458002</v>
      </c>
      <c r="AK685" s="2">
        <v>0.65605832625475502</v>
      </c>
      <c r="AL685" s="2">
        <v>0.13157206227137699</v>
      </c>
      <c r="AM685" s="2">
        <v>16.600000000000001</v>
      </c>
      <c r="AN685" s="2">
        <v>101.7</v>
      </c>
      <c r="AO685" s="2">
        <v>19.899999999999999</v>
      </c>
      <c r="AP685" s="2">
        <v>564</v>
      </c>
      <c r="AQ685" s="2">
        <v>71</v>
      </c>
      <c r="AR685" s="2">
        <v>1.7</v>
      </c>
      <c r="AS685" s="2">
        <v>185</v>
      </c>
      <c r="AT685" s="2">
        <v>0.8</v>
      </c>
      <c r="AU685" s="2">
        <v>162</v>
      </c>
      <c r="AV685" s="2">
        <v>19.5</v>
      </c>
      <c r="AW685" s="2">
        <v>15.6</v>
      </c>
      <c r="AX685" s="2">
        <v>35</v>
      </c>
      <c r="AY685" s="2">
        <v>0.68</v>
      </c>
      <c r="AZ685" s="2">
        <v>5.4</v>
      </c>
      <c r="BA685" s="2">
        <v>0.9</v>
      </c>
      <c r="BB685" s="2">
        <v>4.5999999999999996</v>
      </c>
      <c r="BC685" s="2">
        <v>2.1</v>
      </c>
      <c r="BD685" s="2">
        <f>+AN685*EXP(-0.0495*Y685)</f>
        <v>95.792032321793997</v>
      </c>
      <c r="BE685" s="2">
        <f>+AO685*EXP(-0.024*Y685)</f>
        <v>19.330856869598172</v>
      </c>
    </row>
    <row r="686" spans="1:57" x14ac:dyDescent="0.2">
      <c r="A686" s="2" t="s">
        <v>4132</v>
      </c>
      <c r="B686" s="2" t="s">
        <v>19</v>
      </c>
      <c r="C686" s="2" t="s">
        <v>3245</v>
      </c>
      <c r="D686" s="2" t="s">
        <v>21</v>
      </c>
      <c r="E686" s="2" t="s">
        <v>1625</v>
      </c>
      <c r="F686" s="2">
        <v>3</v>
      </c>
      <c r="G686" s="2">
        <v>36</v>
      </c>
      <c r="H686" s="2">
        <v>1</v>
      </c>
      <c r="I686" s="2">
        <v>1</v>
      </c>
      <c r="J686" s="2">
        <v>1</v>
      </c>
      <c r="K686" s="2" t="s">
        <v>61</v>
      </c>
      <c r="L686" s="6" t="s">
        <v>62</v>
      </c>
      <c r="M686" s="5">
        <v>240000000</v>
      </c>
      <c r="N686" s="2">
        <v>0</v>
      </c>
      <c r="O686" s="2">
        <v>4.6137456889999999</v>
      </c>
      <c r="P686" s="2">
        <v>-74.10749817</v>
      </c>
      <c r="Q686" s="2" t="s">
        <v>4133</v>
      </c>
      <c r="R686" s="2">
        <v>6666666.6670000004</v>
      </c>
      <c r="S686" s="2">
        <v>0</v>
      </c>
      <c r="T686" s="2" t="s">
        <v>455</v>
      </c>
      <c r="U686" s="2" t="s">
        <v>456</v>
      </c>
      <c r="V686" s="2" t="s">
        <v>28</v>
      </c>
      <c r="W686" s="2" t="s">
        <v>39</v>
      </c>
      <c r="X686" s="2" t="s">
        <v>457</v>
      </c>
      <c r="Y686" s="2">
        <v>1.01175826029492</v>
      </c>
      <c r="Z686" s="2">
        <v>4.6085000000000003</v>
      </c>
      <c r="AA686" s="2">
        <v>-74.114944444444404</v>
      </c>
      <c r="AB686" s="2">
        <v>2559</v>
      </c>
      <c r="AC686" s="2" t="s">
        <v>31</v>
      </c>
      <c r="AD686" s="2" t="s">
        <v>458</v>
      </c>
      <c r="AE686" s="2" t="s">
        <v>33</v>
      </c>
      <c r="AF686" s="2" t="s">
        <v>34</v>
      </c>
      <c r="AG686" s="2" t="s">
        <v>239</v>
      </c>
      <c r="AH686" s="2">
        <v>1.2036638889004401</v>
      </c>
      <c r="AI686" s="2">
        <v>4.7686217066441596</v>
      </c>
      <c r="AJ686" s="2">
        <v>2.5109346472595999</v>
      </c>
      <c r="AK686" s="2">
        <v>0.475084335505431</v>
      </c>
      <c r="AL686" s="2">
        <v>0.20474229328417101</v>
      </c>
      <c r="AM686" s="2">
        <v>16.600000000000001</v>
      </c>
      <c r="AN686" s="2">
        <v>101.7</v>
      </c>
      <c r="AO686" s="2">
        <v>19.899999999999999</v>
      </c>
      <c r="AP686" s="2">
        <v>564</v>
      </c>
      <c r="AQ686" s="2">
        <v>71</v>
      </c>
      <c r="AR686" s="2">
        <v>1.7</v>
      </c>
      <c r="AS686" s="2">
        <v>185</v>
      </c>
      <c r="AT686" s="2">
        <v>0.8</v>
      </c>
      <c r="AU686" s="2">
        <v>162</v>
      </c>
      <c r="AV686" s="2">
        <v>19.5</v>
      </c>
      <c r="AW686" s="2">
        <v>15.6</v>
      </c>
      <c r="AX686" s="2">
        <v>35</v>
      </c>
      <c r="AY686" s="2">
        <v>0.68</v>
      </c>
      <c r="AZ686" s="2">
        <v>5.4</v>
      </c>
      <c r="BA686" s="2">
        <v>0.9</v>
      </c>
      <c r="BB686" s="2">
        <v>4.5999999999999996</v>
      </c>
      <c r="BC686" s="2">
        <v>2.1</v>
      </c>
      <c r="BD686" s="2">
        <f>+AN686*EXP(-0.0495*Y686)</f>
        <v>96.732096836562718</v>
      </c>
      <c r="BE686" s="2">
        <f>+AO686*EXP(-0.024*Y686)</f>
        <v>19.422603825988467</v>
      </c>
    </row>
    <row r="687" spans="1:57" x14ac:dyDescent="0.2">
      <c r="A687" s="2" t="s">
        <v>4207</v>
      </c>
      <c r="B687" s="2" t="s">
        <v>19</v>
      </c>
      <c r="C687" s="2" t="s">
        <v>3245</v>
      </c>
      <c r="D687" s="2" t="s">
        <v>21</v>
      </c>
      <c r="E687" s="2" t="s">
        <v>45</v>
      </c>
      <c r="F687" s="2">
        <v>4</v>
      </c>
      <c r="G687" s="2">
        <v>35</v>
      </c>
      <c r="H687" s="2">
        <v>1</v>
      </c>
      <c r="I687" s="2">
        <v>1</v>
      </c>
      <c r="J687" s="2">
        <v>0</v>
      </c>
      <c r="K687" s="2" t="s">
        <v>61</v>
      </c>
      <c r="L687" s="6" t="s">
        <v>62</v>
      </c>
      <c r="M687" s="5">
        <v>265000000</v>
      </c>
      <c r="N687" s="2">
        <v>0</v>
      </c>
      <c r="O687" s="2">
        <v>4.6570168000000001</v>
      </c>
      <c r="P687" s="2">
        <v>-74.124520000000004</v>
      </c>
      <c r="Q687" s="2" t="s">
        <v>4208</v>
      </c>
      <c r="R687" s="2">
        <v>7571428.5710000005</v>
      </c>
      <c r="S687" s="2">
        <v>0</v>
      </c>
      <c r="T687" s="2" t="s">
        <v>39</v>
      </c>
      <c r="U687" s="2" t="s">
        <v>40</v>
      </c>
      <c r="V687" s="2" t="s">
        <v>28</v>
      </c>
      <c r="W687" s="2" t="s">
        <v>39</v>
      </c>
      <c r="X687" s="2" t="s">
        <v>41</v>
      </c>
      <c r="Y687" s="2">
        <v>2.9172488546870698</v>
      </c>
      <c r="Z687" s="2">
        <v>4.6317666666666701</v>
      </c>
      <c r="AA687" s="2">
        <v>-74.117483333333297</v>
      </c>
      <c r="AB687" s="2">
        <v>2590</v>
      </c>
      <c r="AC687" s="2" t="s">
        <v>31</v>
      </c>
      <c r="AD687" s="2" t="s">
        <v>42</v>
      </c>
      <c r="AE687" s="2" t="s">
        <v>33</v>
      </c>
      <c r="AF687" s="2" t="s">
        <v>34</v>
      </c>
      <c r="AG687" s="2" t="s">
        <v>43</v>
      </c>
      <c r="AH687" s="2">
        <v>1.81927113122011</v>
      </c>
      <c r="AI687" s="2">
        <v>3.7145406586442098</v>
      </c>
      <c r="AJ687" s="2">
        <v>1.7914529659768801</v>
      </c>
      <c r="AK687" s="2">
        <v>0.53978783834276001</v>
      </c>
      <c r="AL687" s="2">
        <v>0.29419366297365501</v>
      </c>
      <c r="AM687" s="2">
        <v>16.600000000000001</v>
      </c>
      <c r="AN687" s="2">
        <v>101.7</v>
      </c>
      <c r="AO687" s="2">
        <v>19.899999999999999</v>
      </c>
      <c r="AP687" s="2">
        <v>564</v>
      </c>
      <c r="AQ687" s="2">
        <v>71</v>
      </c>
      <c r="AR687" s="2">
        <v>1.7</v>
      </c>
      <c r="AS687" s="2">
        <v>185</v>
      </c>
      <c r="AT687" s="2">
        <v>0.8</v>
      </c>
      <c r="AU687" s="2">
        <v>162</v>
      </c>
      <c r="AV687" s="2">
        <v>19.5</v>
      </c>
      <c r="AW687" s="2">
        <v>15.6</v>
      </c>
      <c r="AX687" s="2">
        <v>35</v>
      </c>
      <c r="AY687" s="2">
        <v>0.68</v>
      </c>
      <c r="AZ687" s="2">
        <v>5.4</v>
      </c>
      <c r="BA687" s="2">
        <v>0.9</v>
      </c>
      <c r="BB687" s="2">
        <v>4.5999999999999996</v>
      </c>
      <c r="BC687" s="2">
        <v>2.1</v>
      </c>
      <c r="BD687" s="2">
        <f>+AN687*EXP(-0.0495*Y687)</f>
        <v>88.02523059995687</v>
      </c>
      <c r="BE687" s="2">
        <f>+AO687*EXP(-0.024*Y687)</f>
        <v>18.554377763042133</v>
      </c>
    </row>
    <row r="688" spans="1:57" x14ac:dyDescent="0.2">
      <c r="A688" s="2" t="s">
        <v>1299</v>
      </c>
      <c r="B688" s="2" t="s">
        <v>19</v>
      </c>
      <c r="C688" s="2" t="s">
        <v>20</v>
      </c>
      <c r="D688" s="2" t="s">
        <v>21</v>
      </c>
      <c r="E688" s="2" t="s">
        <v>1159</v>
      </c>
      <c r="F688" s="2">
        <v>3</v>
      </c>
      <c r="G688" s="2">
        <v>35</v>
      </c>
      <c r="H688" s="2">
        <v>2</v>
      </c>
      <c r="I688" s="2">
        <v>1</v>
      </c>
      <c r="J688" s="2">
        <v>0</v>
      </c>
      <c r="K688" s="2" t="s">
        <v>61</v>
      </c>
      <c r="L688" s="6" t="s">
        <v>62</v>
      </c>
      <c r="M688" s="5">
        <v>225500000</v>
      </c>
      <c r="N688" s="2">
        <v>0</v>
      </c>
      <c r="O688" s="2">
        <v>4.6094748000000001</v>
      </c>
      <c r="P688" s="2">
        <v>-74.089981300000005</v>
      </c>
      <c r="Q688" s="2" t="s">
        <v>1300</v>
      </c>
      <c r="R688" s="2">
        <v>6442857.1430000002</v>
      </c>
      <c r="S688" s="2">
        <v>0</v>
      </c>
      <c r="T688" s="2" t="s">
        <v>455</v>
      </c>
      <c r="U688" s="2" t="s">
        <v>456</v>
      </c>
      <c r="V688" s="2" t="s">
        <v>28</v>
      </c>
      <c r="W688" s="2" t="s">
        <v>39</v>
      </c>
      <c r="X688" s="2" t="s">
        <v>457</v>
      </c>
      <c r="Y688" s="2">
        <v>2.77202318643914</v>
      </c>
      <c r="Z688" s="2">
        <v>4.6085000000000003</v>
      </c>
      <c r="AA688" s="2">
        <v>-74.114944444444404</v>
      </c>
      <c r="AB688" s="2">
        <v>2559</v>
      </c>
      <c r="AC688" s="2" t="s">
        <v>31</v>
      </c>
      <c r="AD688" s="2" t="s">
        <v>458</v>
      </c>
      <c r="AE688" s="2" t="s">
        <v>33</v>
      </c>
      <c r="AF688" s="2" t="s">
        <v>34</v>
      </c>
      <c r="AG688" s="2" t="s">
        <v>259</v>
      </c>
      <c r="AH688" s="2">
        <v>0.35453272978192701</v>
      </c>
      <c r="AI688" s="2">
        <v>2.7884234813280302</v>
      </c>
      <c r="AJ688" s="2">
        <v>0.75483800661564804</v>
      </c>
      <c r="AK688" s="2">
        <v>0.204401064184974</v>
      </c>
      <c r="AL688" s="2">
        <v>0.108849502217195</v>
      </c>
      <c r="AM688" s="2">
        <v>16.600000000000001</v>
      </c>
      <c r="AN688" s="2">
        <v>101.7</v>
      </c>
      <c r="AO688" s="2">
        <v>19.899999999999999</v>
      </c>
      <c r="AP688" s="2">
        <v>564</v>
      </c>
      <c r="AQ688" s="2">
        <v>71</v>
      </c>
      <c r="AR688" s="2">
        <v>1.7</v>
      </c>
      <c r="AS688" s="2">
        <v>185</v>
      </c>
      <c r="AT688" s="2">
        <v>0.8</v>
      </c>
      <c r="AU688" s="2">
        <v>162</v>
      </c>
      <c r="AV688" s="2">
        <v>19.5</v>
      </c>
      <c r="AW688" s="2">
        <v>15.6</v>
      </c>
      <c r="AX688" s="2">
        <v>35</v>
      </c>
      <c r="AY688" s="2">
        <v>0.68</v>
      </c>
      <c r="AZ688" s="2">
        <v>5.4</v>
      </c>
      <c r="BA688" s="2">
        <v>0.9</v>
      </c>
      <c r="BB688" s="2">
        <v>4.5999999999999996</v>
      </c>
      <c r="BC688" s="2">
        <v>2.1</v>
      </c>
      <c r="BD688" s="2">
        <f>+AN688*EXP(-0.0495*Y688)</f>
        <v>88.660294884436752</v>
      </c>
      <c r="BE688" s="2">
        <f>+AO688*EXP(-0.024*Y688)</f>
        <v>18.619160320371574</v>
      </c>
    </row>
    <row r="689" spans="1:57" x14ac:dyDescent="0.2">
      <c r="A689" s="2" t="s">
        <v>751</v>
      </c>
      <c r="B689" s="2" t="s">
        <v>19</v>
      </c>
      <c r="C689" s="2" t="s">
        <v>20</v>
      </c>
      <c r="D689" s="2" t="s">
        <v>21</v>
      </c>
      <c r="E689" s="2" t="s">
        <v>752</v>
      </c>
      <c r="F689" s="2">
        <v>4</v>
      </c>
      <c r="G689" s="2">
        <v>34</v>
      </c>
      <c r="H689" s="2">
        <v>2</v>
      </c>
      <c r="I689" s="2">
        <v>1</v>
      </c>
      <c r="J689" s="2">
        <v>0</v>
      </c>
      <c r="K689" s="2" t="s">
        <v>61</v>
      </c>
      <c r="L689" s="6" t="s">
        <v>62</v>
      </c>
      <c r="M689" s="5">
        <v>325000000</v>
      </c>
      <c r="N689" s="2">
        <v>0</v>
      </c>
      <c r="O689" s="2">
        <v>4.6158222999999996</v>
      </c>
      <c r="P689" s="2">
        <v>-74.090829999999997</v>
      </c>
      <c r="Q689" s="2" t="s">
        <v>753</v>
      </c>
      <c r="R689" s="2">
        <v>9558823.5289999992</v>
      </c>
      <c r="S689" s="2">
        <v>0</v>
      </c>
      <c r="T689" s="2" t="s">
        <v>455</v>
      </c>
      <c r="U689" s="2" t="s">
        <v>456</v>
      </c>
      <c r="V689" s="2" t="s">
        <v>28</v>
      </c>
      <c r="W689" s="2" t="s">
        <v>39</v>
      </c>
      <c r="X689" s="2" t="s">
        <v>457</v>
      </c>
      <c r="Y689" s="2">
        <v>2.7971169740046302</v>
      </c>
      <c r="Z689" s="2">
        <v>4.6085000000000003</v>
      </c>
      <c r="AA689" s="2">
        <v>-74.114944444444404</v>
      </c>
      <c r="AB689" s="2">
        <v>2559</v>
      </c>
      <c r="AC689" s="2" t="s">
        <v>31</v>
      </c>
      <c r="AD689" s="2" t="s">
        <v>458</v>
      </c>
      <c r="AE689" s="2" t="s">
        <v>33</v>
      </c>
      <c r="AF689" s="2" t="s">
        <v>34</v>
      </c>
      <c r="AG689" s="2" t="s">
        <v>239</v>
      </c>
      <c r="AH689" s="2">
        <v>0.18656290338899501</v>
      </c>
      <c r="AI689" s="2">
        <v>2.9837972013457699</v>
      </c>
      <c r="AJ689" s="2">
        <v>1.4518916133764399</v>
      </c>
      <c r="AK689" s="2">
        <v>0.34244250814974397</v>
      </c>
      <c r="AL689" s="2">
        <v>0.48378107999574699</v>
      </c>
      <c r="AM689" s="2">
        <v>16.600000000000001</v>
      </c>
      <c r="AN689" s="2">
        <v>101.7</v>
      </c>
      <c r="AO689" s="2">
        <v>19.899999999999999</v>
      </c>
      <c r="AP689" s="2">
        <v>564</v>
      </c>
      <c r="AQ689" s="2">
        <v>71</v>
      </c>
      <c r="AR689" s="2">
        <v>1.7</v>
      </c>
      <c r="AS689" s="2">
        <v>185</v>
      </c>
      <c r="AT689" s="2">
        <v>0.8</v>
      </c>
      <c r="AU689" s="2">
        <v>162</v>
      </c>
      <c r="AV689" s="2">
        <v>19.5</v>
      </c>
      <c r="AW689" s="2">
        <v>15.6</v>
      </c>
      <c r="AX689" s="2">
        <v>35</v>
      </c>
      <c r="AY689" s="2">
        <v>0.68</v>
      </c>
      <c r="AZ689" s="2">
        <v>5.4</v>
      </c>
      <c r="BA689" s="2">
        <v>0.9</v>
      </c>
      <c r="BB689" s="2">
        <v>4.5999999999999996</v>
      </c>
      <c r="BC689" s="2">
        <v>2.1</v>
      </c>
      <c r="BD689" s="2">
        <f>+AN689*EXP(-0.0495*Y689)</f>
        <v>88.550234534942376</v>
      </c>
      <c r="BE689" s="2">
        <f>+AO689*EXP(-0.024*Y689)</f>
        <v>18.607950290246322</v>
      </c>
    </row>
    <row r="690" spans="1:57" x14ac:dyDescent="0.2">
      <c r="A690" s="2" t="s">
        <v>1158</v>
      </c>
      <c r="B690" s="2" t="s">
        <v>19</v>
      </c>
      <c r="C690" s="2" t="s">
        <v>20</v>
      </c>
      <c r="D690" s="2" t="s">
        <v>21</v>
      </c>
      <c r="E690" s="2" t="s">
        <v>1159</v>
      </c>
      <c r="F690" s="2">
        <v>3</v>
      </c>
      <c r="G690" s="2">
        <v>34</v>
      </c>
      <c r="H690" s="2">
        <v>2</v>
      </c>
      <c r="I690" s="2">
        <v>1</v>
      </c>
      <c r="J690" s="2">
        <v>0</v>
      </c>
      <c r="K690" s="2" t="s">
        <v>61</v>
      </c>
      <c r="L690" s="6" t="s">
        <v>62</v>
      </c>
      <c r="M690" s="5">
        <v>240000000</v>
      </c>
      <c r="N690" s="2">
        <v>0</v>
      </c>
      <c r="O690" s="2">
        <v>4.6094748000000001</v>
      </c>
      <c r="P690" s="2">
        <v>-74.089981300000005</v>
      </c>
      <c r="Q690" s="2" t="s">
        <v>1160</v>
      </c>
      <c r="R690" s="2">
        <v>7058823.5290000001</v>
      </c>
      <c r="S690" s="2">
        <v>0</v>
      </c>
      <c r="T690" s="2" t="s">
        <v>455</v>
      </c>
      <c r="U690" s="2" t="s">
        <v>456</v>
      </c>
      <c r="V690" s="2" t="s">
        <v>28</v>
      </c>
      <c r="W690" s="2" t="s">
        <v>39</v>
      </c>
      <c r="X690" s="2" t="s">
        <v>457</v>
      </c>
      <c r="Y690" s="2">
        <v>2.77202318643914</v>
      </c>
      <c r="Z690" s="2">
        <v>4.6085000000000003</v>
      </c>
      <c r="AA690" s="2">
        <v>-74.114944444444404</v>
      </c>
      <c r="AB690" s="2">
        <v>2559</v>
      </c>
      <c r="AC690" s="2" t="s">
        <v>31</v>
      </c>
      <c r="AD690" s="2" t="s">
        <v>458</v>
      </c>
      <c r="AE690" s="2" t="s">
        <v>33</v>
      </c>
      <c r="AF690" s="2" t="s">
        <v>34</v>
      </c>
      <c r="AG690" s="2" t="s">
        <v>259</v>
      </c>
      <c r="AH690" s="2">
        <v>0.35453272978192701</v>
      </c>
      <c r="AI690" s="2">
        <v>2.7884234813280302</v>
      </c>
      <c r="AJ690" s="2">
        <v>0.75483800661564804</v>
      </c>
      <c r="AK690" s="2">
        <v>0.204401064184974</v>
      </c>
      <c r="AL690" s="2">
        <v>0.108849502217195</v>
      </c>
      <c r="AM690" s="2">
        <v>16.600000000000001</v>
      </c>
      <c r="AN690" s="2">
        <v>101.7</v>
      </c>
      <c r="AO690" s="2">
        <v>19.899999999999999</v>
      </c>
      <c r="AP690" s="2">
        <v>564</v>
      </c>
      <c r="AQ690" s="2">
        <v>71</v>
      </c>
      <c r="AR690" s="2">
        <v>1.7</v>
      </c>
      <c r="AS690" s="2">
        <v>185</v>
      </c>
      <c r="AT690" s="2">
        <v>0.8</v>
      </c>
      <c r="AU690" s="2">
        <v>162</v>
      </c>
      <c r="AV690" s="2">
        <v>19.5</v>
      </c>
      <c r="AW690" s="2">
        <v>15.6</v>
      </c>
      <c r="AX690" s="2">
        <v>35</v>
      </c>
      <c r="AY690" s="2">
        <v>0.68</v>
      </c>
      <c r="AZ690" s="2">
        <v>5.4</v>
      </c>
      <c r="BA690" s="2">
        <v>0.9</v>
      </c>
      <c r="BB690" s="2">
        <v>4.5999999999999996</v>
      </c>
      <c r="BC690" s="2">
        <v>2.1</v>
      </c>
      <c r="BD690" s="2">
        <f>+AN690*EXP(-0.0495*Y690)</f>
        <v>88.660294884436752</v>
      </c>
      <c r="BE690" s="2">
        <f>+AO690*EXP(-0.024*Y690)</f>
        <v>18.619160320371574</v>
      </c>
    </row>
    <row r="691" spans="1:57" x14ac:dyDescent="0.2">
      <c r="A691" s="2" t="s">
        <v>4364</v>
      </c>
      <c r="B691" s="2" t="s">
        <v>19</v>
      </c>
      <c r="C691" s="2" t="s">
        <v>3245</v>
      </c>
      <c r="D691" s="2" t="s">
        <v>21</v>
      </c>
      <c r="E691" s="2" t="s">
        <v>4365</v>
      </c>
      <c r="F691" s="2">
        <v>3</v>
      </c>
      <c r="G691" s="2">
        <v>34</v>
      </c>
      <c r="H691" s="2">
        <v>1</v>
      </c>
      <c r="I691" s="2">
        <v>1</v>
      </c>
      <c r="J691" s="2">
        <v>0</v>
      </c>
      <c r="K691" s="2" t="s">
        <v>61</v>
      </c>
      <c r="L691" s="6" t="s">
        <v>84</v>
      </c>
      <c r="M691" s="5">
        <v>200000000</v>
      </c>
      <c r="N691" s="2">
        <v>0</v>
      </c>
      <c r="O691" s="2">
        <v>4.5862188340000003</v>
      </c>
      <c r="P691" s="2">
        <v>-74.106361390000004</v>
      </c>
      <c r="Q691" s="2" t="s">
        <v>4366</v>
      </c>
      <c r="R691" s="2">
        <v>5882352.9409999996</v>
      </c>
      <c r="S691" s="2">
        <v>0</v>
      </c>
      <c r="T691" s="2" t="s">
        <v>455</v>
      </c>
      <c r="U691" s="2" t="s">
        <v>456</v>
      </c>
      <c r="V691" s="2" t="s">
        <v>28</v>
      </c>
      <c r="W691" s="2" t="s">
        <v>39</v>
      </c>
      <c r="X691" s="2" t="s">
        <v>457</v>
      </c>
      <c r="Y691" s="2">
        <v>2.6568907532186699</v>
      </c>
      <c r="Z691" s="2">
        <v>4.6085000000000003</v>
      </c>
      <c r="AA691" s="2">
        <v>-74.114944444444404</v>
      </c>
      <c r="AB691" s="2">
        <v>2559</v>
      </c>
      <c r="AC691" s="2" t="s">
        <v>31</v>
      </c>
      <c r="AD691" s="2" t="s">
        <v>458</v>
      </c>
      <c r="AE691" s="2" t="s">
        <v>33</v>
      </c>
      <c r="AF691" s="2" t="s">
        <v>34</v>
      </c>
      <c r="AG691" s="2" t="s">
        <v>938</v>
      </c>
      <c r="AH691" s="2">
        <v>0.72968168008626999</v>
      </c>
      <c r="AI691" s="2">
        <v>3.7460166720666201</v>
      </c>
      <c r="AJ691" s="2">
        <v>1.0407687237525001</v>
      </c>
      <c r="AK691" s="2">
        <v>0.26815184031994399</v>
      </c>
      <c r="AL691" s="2">
        <v>0.42234754703580502</v>
      </c>
      <c r="AM691" s="2">
        <v>16.600000000000001</v>
      </c>
      <c r="AN691" s="2">
        <v>101.7</v>
      </c>
      <c r="AO691" s="2">
        <v>19.899999999999999</v>
      </c>
      <c r="AP691" s="2">
        <v>564</v>
      </c>
      <c r="AQ691" s="2">
        <v>71</v>
      </c>
      <c r="AR691" s="2">
        <v>1.7</v>
      </c>
      <c r="AS691" s="2">
        <v>185</v>
      </c>
      <c r="AT691" s="2">
        <v>0.8</v>
      </c>
      <c r="AU691" s="2">
        <v>162</v>
      </c>
      <c r="AV691" s="2">
        <v>19.5</v>
      </c>
      <c r="AW691" s="2">
        <v>15.6</v>
      </c>
      <c r="AX691" s="2">
        <v>35</v>
      </c>
      <c r="AY691" s="2">
        <v>0.68</v>
      </c>
      <c r="AZ691" s="2">
        <v>5.4</v>
      </c>
      <c r="BA691" s="2">
        <v>0.9</v>
      </c>
      <c r="BB691" s="2">
        <v>4.5999999999999996</v>
      </c>
      <c r="BC691" s="2">
        <v>2.1</v>
      </c>
      <c r="BD691" s="2">
        <f>+AN691*EXP(-0.0495*Y691)</f>
        <v>89.167017368972608</v>
      </c>
      <c r="BE691" s="2">
        <f>+AO691*EXP(-0.024*Y691)</f>
        <v>18.670679527544923</v>
      </c>
    </row>
    <row r="692" spans="1:57" x14ac:dyDescent="0.2">
      <c r="A692" s="2" t="s">
        <v>3736</v>
      </c>
      <c r="B692" s="2" t="s">
        <v>19</v>
      </c>
      <c r="C692" s="2" t="s">
        <v>3245</v>
      </c>
      <c r="D692" s="2" t="s">
        <v>21</v>
      </c>
      <c r="E692" s="2" t="s">
        <v>53</v>
      </c>
      <c r="F692" s="2">
        <v>5</v>
      </c>
      <c r="G692" s="2">
        <v>32.950000000000003</v>
      </c>
      <c r="H692" s="2">
        <v>1</v>
      </c>
      <c r="I692" s="2">
        <v>1</v>
      </c>
      <c r="J692" s="2">
        <v>1</v>
      </c>
      <c r="K692" s="2" t="s">
        <v>61</v>
      </c>
      <c r="L692" s="6" t="s">
        <v>113</v>
      </c>
      <c r="M692" s="5">
        <v>350000000</v>
      </c>
      <c r="N692" s="2">
        <v>0</v>
      </c>
      <c r="O692" s="2">
        <v>4.6134465999999996</v>
      </c>
      <c r="P692" s="2">
        <v>-74.094748999999993</v>
      </c>
      <c r="Q692" s="2" t="s">
        <v>3737</v>
      </c>
      <c r="R692" s="2">
        <v>10622154.779999999</v>
      </c>
      <c r="S692" s="2">
        <v>0</v>
      </c>
      <c r="T692" s="2" t="s">
        <v>455</v>
      </c>
      <c r="U692" s="2" t="s">
        <v>456</v>
      </c>
      <c r="V692" s="2" t="s">
        <v>28</v>
      </c>
      <c r="W692" s="2" t="s">
        <v>39</v>
      </c>
      <c r="X692" s="2" t="s">
        <v>457</v>
      </c>
      <c r="Y692" s="2">
        <v>2.30753530047458</v>
      </c>
      <c r="Z692" s="2">
        <v>4.6085000000000003</v>
      </c>
      <c r="AA692" s="2">
        <v>-74.114944444444404</v>
      </c>
      <c r="AB692" s="2">
        <v>2559</v>
      </c>
      <c r="AC692" s="2" t="s">
        <v>31</v>
      </c>
      <c r="AD692" s="2" t="s">
        <v>458</v>
      </c>
      <c r="AE692" s="2" t="s">
        <v>33</v>
      </c>
      <c r="AF692" s="2" t="s">
        <v>34</v>
      </c>
      <c r="AG692" s="2" t="s">
        <v>239</v>
      </c>
      <c r="AH692" s="2">
        <v>0.21804062815622899</v>
      </c>
      <c r="AI692" s="2">
        <v>3.3620400069638601</v>
      </c>
      <c r="AJ692" s="2">
        <v>1.39688223072769</v>
      </c>
      <c r="AK692" s="2">
        <v>0.304520844627369</v>
      </c>
      <c r="AL692" s="2">
        <v>7.6674454561057395E-4</v>
      </c>
      <c r="AM692" s="2">
        <v>16.600000000000001</v>
      </c>
      <c r="AN692" s="2">
        <v>101.7</v>
      </c>
      <c r="AO692" s="2">
        <v>19.899999999999999</v>
      </c>
      <c r="AP692" s="2">
        <v>564</v>
      </c>
      <c r="AQ692" s="2">
        <v>71</v>
      </c>
      <c r="AR692" s="2">
        <v>1.7</v>
      </c>
      <c r="AS692" s="2">
        <v>185</v>
      </c>
      <c r="AT692" s="2">
        <v>0.8</v>
      </c>
      <c r="AU692" s="2">
        <v>162</v>
      </c>
      <c r="AV692" s="2">
        <v>19.5</v>
      </c>
      <c r="AW692" s="2">
        <v>15.6</v>
      </c>
      <c r="AX692" s="2">
        <v>35</v>
      </c>
      <c r="AY692" s="2">
        <v>0.68</v>
      </c>
      <c r="AZ692" s="2">
        <v>5.4</v>
      </c>
      <c r="BA692" s="2">
        <v>0.9</v>
      </c>
      <c r="BB692" s="2">
        <v>4.5999999999999996</v>
      </c>
      <c r="BC692" s="2">
        <v>2.1</v>
      </c>
      <c r="BD692" s="2">
        <f>+AN692*EXP(-0.0495*Y692)</f>
        <v>90.722401000219335</v>
      </c>
      <c r="BE692" s="2">
        <f>+AO692*EXP(-0.024*Y692)</f>
        <v>18.827882532100912</v>
      </c>
    </row>
    <row r="693" spans="1:57" x14ac:dyDescent="0.2">
      <c r="A693" s="2" t="s">
        <v>3581</v>
      </c>
      <c r="B693" s="2" t="s">
        <v>19</v>
      </c>
      <c r="C693" s="2" t="s">
        <v>3245</v>
      </c>
      <c r="D693" s="2" t="s">
        <v>21</v>
      </c>
      <c r="E693" s="2" t="s">
        <v>2891</v>
      </c>
      <c r="F693" s="2">
        <v>3</v>
      </c>
      <c r="G693" s="2">
        <v>32.51</v>
      </c>
      <c r="H693" s="2">
        <v>1</v>
      </c>
      <c r="I693" s="2">
        <v>1</v>
      </c>
      <c r="J693" s="2">
        <v>1</v>
      </c>
      <c r="K693" s="2" t="s">
        <v>61</v>
      </c>
      <c r="L693" s="6" t="s">
        <v>84</v>
      </c>
      <c r="M693" s="5">
        <v>255000000</v>
      </c>
      <c r="N693" s="2">
        <v>0</v>
      </c>
      <c r="O693" s="2">
        <v>4.5963634999999998</v>
      </c>
      <c r="P693" s="2">
        <v>-74.102720000000005</v>
      </c>
      <c r="Q693" s="2" t="s">
        <v>3582</v>
      </c>
      <c r="R693" s="2">
        <v>7843740.3880000003</v>
      </c>
      <c r="S693" s="2">
        <v>0</v>
      </c>
      <c r="T693" s="2" t="s">
        <v>455</v>
      </c>
      <c r="U693" s="2" t="s">
        <v>456</v>
      </c>
      <c r="V693" s="2" t="s">
        <v>28</v>
      </c>
      <c r="W693" s="2" t="s">
        <v>39</v>
      </c>
      <c r="X693" s="2" t="s">
        <v>457</v>
      </c>
      <c r="Y693" s="2">
        <v>1.91446708816788</v>
      </c>
      <c r="Z693" s="2">
        <v>4.6085000000000003</v>
      </c>
      <c r="AA693" s="2">
        <v>-74.114944444444404</v>
      </c>
      <c r="AB693" s="2">
        <v>2559</v>
      </c>
      <c r="AC693" s="2" t="s">
        <v>31</v>
      </c>
      <c r="AD693" s="2" t="s">
        <v>458</v>
      </c>
      <c r="AE693" s="2" t="s">
        <v>33</v>
      </c>
      <c r="AF693" s="2" t="s">
        <v>34</v>
      </c>
      <c r="AG693" s="2" t="s">
        <v>259</v>
      </c>
      <c r="AH693" s="2">
        <v>0.58710479773959301</v>
      </c>
      <c r="AI693" s="2">
        <v>3.9243609781147502</v>
      </c>
      <c r="AJ693" s="2">
        <v>1.3961671250883501</v>
      </c>
      <c r="AK693" s="2">
        <v>0.381924413066971</v>
      </c>
      <c r="AL693" s="2">
        <v>0.64196684244731295</v>
      </c>
      <c r="AM693" s="2">
        <v>16.600000000000001</v>
      </c>
      <c r="AN693" s="2">
        <v>101.7</v>
      </c>
      <c r="AO693" s="2">
        <v>19.899999999999999</v>
      </c>
      <c r="AP693" s="2">
        <v>564</v>
      </c>
      <c r="AQ693" s="2">
        <v>71</v>
      </c>
      <c r="AR693" s="2">
        <v>1.7</v>
      </c>
      <c r="AS693" s="2">
        <v>185</v>
      </c>
      <c r="AT693" s="2">
        <v>0.8</v>
      </c>
      <c r="AU693" s="2">
        <v>162</v>
      </c>
      <c r="AV693" s="2">
        <v>19.5</v>
      </c>
      <c r="AW693" s="2">
        <v>15.6</v>
      </c>
      <c r="AX693" s="2">
        <v>35</v>
      </c>
      <c r="AY693" s="2">
        <v>0.68</v>
      </c>
      <c r="AZ693" s="2">
        <v>5.4</v>
      </c>
      <c r="BA693" s="2">
        <v>0.9</v>
      </c>
      <c r="BB693" s="2">
        <v>4.5999999999999996</v>
      </c>
      <c r="BC693" s="2">
        <v>2.1</v>
      </c>
      <c r="BD693" s="2">
        <f>+AN693*EXP(-0.0495*Y693)</f>
        <v>92.504859862305594</v>
      </c>
      <c r="BE693" s="2">
        <f>+AO693*EXP(-0.024*Y693)</f>
        <v>19.006338363509443</v>
      </c>
    </row>
    <row r="694" spans="1:57" x14ac:dyDescent="0.2">
      <c r="A694" s="2" t="s">
        <v>1624</v>
      </c>
      <c r="B694" s="2" t="s">
        <v>19</v>
      </c>
      <c r="C694" s="2" t="s">
        <v>20</v>
      </c>
      <c r="D694" s="2" t="s">
        <v>21</v>
      </c>
      <c r="E694" s="2" t="s">
        <v>1625</v>
      </c>
      <c r="F694" s="2">
        <v>3</v>
      </c>
      <c r="G694" s="2">
        <v>32.090000000000003</v>
      </c>
      <c r="H694" s="2">
        <v>2</v>
      </c>
      <c r="I694" s="2">
        <v>1</v>
      </c>
      <c r="J694" s="2">
        <v>0</v>
      </c>
      <c r="K694" s="2" t="s">
        <v>61</v>
      </c>
      <c r="L694" s="6" t="s">
        <v>62</v>
      </c>
      <c r="M694" s="5">
        <v>230000000</v>
      </c>
      <c r="N694" s="2">
        <v>0</v>
      </c>
      <c r="O694" s="2">
        <v>4.6145210270000003</v>
      </c>
      <c r="P694" s="2">
        <v>-74.106285099999994</v>
      </c>
      <c r="Q694" s="2" t="s">
        <v>1626</v>
      </c>
      <c r="R694" s="2">
        <v>7167341.8509999998</v>
      </c>
      <c r="S694" s="2">
        <v>0</v>
      </c>
      <c r="T694" s="2" t="s">
        <v>455</v>
      </c>
      <c r="U694" s="2" t="s">
        <v>456</v>
      </c>
      <c r="V694" s="2" t="s">
        <v>28</v>
      </c>
      <c r="W694" s="2" t="s">
        <v>39</v>
      </c>
      <c r="X694" s="2" t="s">
        <v>457</v>
      </c>
      <c r="Y694" s="2">
        <v>1.17151434759257</v>
      </c>
      <c r="Z694" s="2">
        <v>4.6085000000000003</v>
      </c>
      <c r="AA694" s="2">
        <v>-74.114944444444404</v>
      </c>
      <c r="AB694" s="2">
        <v>2559</v>
      </c>
      <c r="AC694" s="2" t="s">
        <v>31</v>
      </c>
      <c r="AD694" s="2" t="s">
        <v>458</v>
      </c>
      <c r="AE694" s="2" t="s">
        <v>33</v>
      </c>
      <c r="AF694" s="2" t="s">
        <v>34</v>
      </c>
      <c r="AG694" s="2" t="s">
        <v>239</v>
      </c>
      <c r="AH694" s="2">
        <v>1.05903055671974</v>
      </c>
      <c r="AI694" s="2">
        <v>4.6454341778547299</v>
      </c>
      <c r="AJ694" s="2">
        <v>2.4360431884323299</v>
      </c>
      <c r="AK694" s="2">
        <v>0.58993344576526097</v>
      </c>
      <c r="AL694" s="2">
        <v>0.17588149702575701</v>
      </c>
      <c r="AM694" s="2">
        <v>16.600000000000001</v>
      </c>
      <c r="AN694" s="2">
        <v>101.7</v>
      </c>
      <c r="AO694" s="2">
        <v>19.899999999999999</v>
      </c>
      <c r="AP694" s="2">
        <v>564</v>
      </c>
      <c r="AQ694" s="2">
        <v>71</v>
      </c>
      <c r="AR694" s="2">
        <v>1.7</v>
      </c>
      <c r="AS694" s="2">
        <v>185</v>
      </c>
      <c r="AT694" s="2">
        <v>0.8</v>
      </c>
      <c r="AU694" s="2">
        <v>162</v>
      </c>
      <c r="AV694" s="2">
        <v>19.5</v>
      </c>
      <c r="AW694" s="2">
        <v>15.6</v>
      </c>
      <c r="AX694" s="2">
        <v>35</v>
      </c>
      <c r="AY694" s="2">
        <v>0.68</v>
      </c>
      <c r="AZ694" s="2">
        <v>5.4</v>
      </c>
      <c r="BA694" s="2">
        <v>0.9</v>
      </c>
      <c r="BB694" s="2">
        <v>4.5999999999999996</v>
      </c>
      <c r="BC694" s="2">
        <v>2.1</v>
      </c>
      <c r="BD694" s="2">
        <f>+AN694*EXP(-0.0495*Y694)</f>
        <v>95.970163170170125</v>
      </c>
      <c r="BE694" s="2">
        <f>+AO694*EXP(-0.024*Y694)</f>
        <v>19.348277305794269</v>
      </c>
    </row>
    <row r="695" spans="1:57" x14ac:dyDescent="0.2">
      <c r="A695" s="2" t="s">
        <v>3833</v>
      </c>
      <c r="B695" s="2" t="s">
        <v>19</v>
      </c>
      <c r="C695" s="2" t="s">
        <v>3245</v>
      </c>
      <c r="D695" s="2" t="s">
        <v>21</v>
      </c>
      <c r="E695" s="2" t="s">
        <v>1159</v>
      </c>
      <c r="F695" s="2">
        <v>3</v>
      </c>
      <c r="G695" s="2">
        <v>30.99</v>
      </c>
      <c r="H695" s="2">
        <v>1</v>
      </c>
      <c r="I695" s="2">
        <v>1</v>
      </c>
      <c r="J695" s="2">
        <v>0</v>
      </c>
      <c r="K695" s="2" t="s">
        <v>61</v>
      </c>
      <c r="L695" s="6" t="s">
        <v>62</v>
      </c>
      <c r="M695" s="5">
        <v>220000000</v>
      </c>
      <c r="N695" s="2">
        <v>0</v>
      </c>
      <c r="O695" s="2">
        <v>4.6060499999999998</v>
      </c>
      <c r="P695" s="2">
        <v>-74.096670000000003</v>
      </c>
      <c r="Q695" s="2" t="s">
        <v>3834</v>
      </c>
      <c r="R695" s="2">
        <v>7099064.2139999997</v>
      </c>
      <c r="S695" s="2">
        <v>0</v>
      </c>
      <c r="T695" s="2" t="s">
        <v>455</v>
      </c>
      <c r="U695" s="2" t="s">
        <v>456</v>
      </c>
      <c r="V695" s="2" t="s">
        <v>28</v>
      </c>
      <c r="W695" s="2" t="s">
        <v>39</v>
      </c>
      <c r="X695" s="2" t="s">
        <v>457</v>
      </c>
      <c r="Y695" s="2">
        <v>2.0459876724487498</v>
      </c>
      <c r="Z695" s="2">
        <v>4.6085000000000003</v>
      </c>
      <c r="AA695" s="2">
        <v>-74.114944444444404</v>
      </c>
      <c r="AB695" s="2">
        <v>2559</v>
      </c>
      <c r="AC695" s="2" t="s">
        <v>31</v>
      </c>
      <c r="AD695" s="2" t="s">
        <v>458</v>
      </c>
      <c r="AE695" s="2" t="s">
        <v>33</v>
      </c>
      <c r="AF695" s="2" t="s">
        <v>34</v>
      </c>
      <c r="AG695" s="2" t="s">
        <v>259</v>
      </c>
      <c r="AH695" s="2">
        <v>0.283227606724337</v>
      </c>
      <c r="AI695" s="2">
        <v>3.5265450448830702</v>
      </c>
      <c r="AJ695" s="2">
        <v>1.06890322015136</v>
      </c>
      <c r="AK695" s="2">
        <v>0.273379514533442</v>
      </c>
      <c r="AL695" s="2">
        <v>0.42298275420428499</v>
      </c>
      <c r="AM695" s="2">
        <v>16.600000000000001</v>
      </c>
      <c r="AN695" s="2">
        <v>101.7</v>
      </c>
      <c r="AO695" s="2">
        <v>19.899999999999999</v>
      </c>
      <c r="AP695" s="2">
        <v>564</v>
      </c>
      <c r="AQ695" s="2">
        <v>71</v>
      </c>
      <c r="AR695" s="2">
        <v>1.7</v>
      </c>
      <c r="AS695" s="2">
        <v>185</v>
      </c>
      <c r="AT695" s="2">
        <v>0.8</v>
      </c>
      <c r="AU695" s="2">
        <v>162</v>
      </c>
      <c r="AV695" s="2">
        <v>19.5</v>
      </c>
      <c r="AW695" s="2">
        <v>15.6</v>
      </c>
      <c r="AX695" s="2">
        <v>35</v>
      </c>
      <c r="AY695" s="2">
        <v>0.68</v>
      </c>
      <c r="AZ695" s="2">
        <v>5.4</v>
      </c>
      <c r="BA695" s="2">
        <v>0.9</v>
      </c>
      <c r="BB695" s="2">
        <v>4.5999999999999996</v>
      </c>
      <c r="BC695" s="2">
        <v>2.1</v>
      </c>
      <c r="BD695" s="2">
        <f>+AN695*EXP(-0.0495*Y695)</f>
        <v>91.904584445366098</v>
      </c>
      <c r="BE695" s="2">
        <f>+AO695*EXP(-0.024*Y695)</f>
        <v>18.946439554919721</v>
      </c>
    </row>
    <row r="696" spans="1:57" x14ac:dyDescent="0.2">
      <c r="A696" s="2" t="s">
        <v>4203</v>
      </c>
      <c r="B696" s="2" t="s">
        <v>19</v>
      </c>
      <c r="C696" s="2" t="s">
        <v>3245</v>
      </c>
      <c r="D696" s="2" t="s">
        <v>21</v>
      </c>
      <c r="E696" s="2" t="s">
        <v>4176</v>
      </c>
      <c r="F696" s="2">
        <v>3</v>
      </c>
      <c r="G696" s="2">
        <v>30</v>
      </c>
      <c r="H696" s="2">
        <v>1</v>
      </c>
      <c r="I696" s="2">
        <v>1</v>
      </c>
      <c r="J696" s="2">
        <v>0</v>
      </c>
      <c r="K696" s="2" t="s">
        <v>61</v>
      </c>
      <c r="L696" s="6" t="s">
        <v>62</v>
      </c>
      <c r="M696" s="5">
        <v>290000000</v>
      </c>
      <c r="N696" s="2">
        <v>0</v>
      </c>
      <c r="O696" s="2">
        <v>4.6209600000000002</v>
      </c>
      <c r="P696" s="2">
        <v>-74.097319999999996</v>
      </c>
      <c r="Q696" s="2" t="s">
        <v>4204</v>
      </c>
      <c r="R696" s="2">
        <v>9666666.6669999994</v>
      </c>
      <c r="S696" s="2">
        <v>0</v>
      </c>
      <c r="T696" s="2" t="s">
        <v>455</v>
      </c>
      <c r="U696" s="2" t="s">
        <v>456</v>
      </c>
      <c r="V696" s="2" t="s">
        <v>28</v>
      </c>
      <c r="W696" s="2" t="s">
        <v>39</v>
      </c>
      <c r="X696" s="2" t="s">
        <v>457</v>
      </c>
      <c r="Y696" s="2">
        <v>2.3975385536393001</v>
      </c>
      <c r="Z696" s="2">
        <v>4.6085000000000003</v>
      </c>
      <c r="AA696" s="2">
        <v>-74.114944444444404</v>
      </c>
      <c r="AB696" s="2">
        <v>2559</v>
      </c>
      <c r="AC696" s="2" t="s">
        <v>31</v>
      </c>
      <c r="AD696" s="2" t="s">
        <v>458</v>
      </c>
      <c r="AE696" s="2" t="s">
        <v>33</v>
      </c>
      <c r="AF696" s="2" t="s">
        <v>34</v>
      </c>
      <c r="AG696" s="2" t="s">
        <v>239</v>
      </c>
      <c r="AH696" s="2">
        <v>0.16694277602486299</v>
      </c>
      <c r="AI696" s="2">
        <v>3.7692821349278698</v>
      </c>
      <c r="AJ696" s="2">
        <v>2.2033412529427201</v>
      </c>
      <c r="AK696" s="2">
        <v>0.385300793581074</v>
      </c>
      <c r="AL696" s="2">
        <v>0.186315199705991</v>
      </c>
      <c r="AM696" s="2">
        <v>16.600000000000001</v>
      </c>
      <c r="AN696" s="2">
        <v>101.7</v>
      </c>
      <c r="AO696" s="2">
        <v>19.899999999999999</v>
      </c>
      <c r="AP696" s="2">
        <v>564</v>
      </c>
      <c r="AQ696" s="2">
        <v>71</v>
      </c>
      <c r="AR696" s="2">
        <v>1.7</v>
      </c>
      <c r="AS696" s="2">
        <v>185</v>
      </c>
      <c r="AT696" s="2">
        <v>0.8</v>
      </c>
      <c r="AU696" s="2">
        <v>162</v>
      </c>
      <c r="AV696" s="2">
        <v>19.5</v>
      </c>
      <c r="AW696" s="2">
        <v>15.6</v>
      </c>
      <c r="AX696" s="2">
        <v>35</v>
      </c>
      <c r="AY696" s="2">
        <v>0.68</v>
      </c>
      <c r="AZ696" s="2">
        <v>5.4</v>
      </c>
      <c r="BA696" s="2">
        <v>0.9</v>
      </c>
      <c r="BB696" s="2">
        <v>4.5999999999999996</v>
      </c>
      <c r="BC696" s="2">
        <v>2.1</v>
      </c>
      <c r="BD696" s="2">
        <f>+AN696*EXP(-0.0495*Y696)</f>
        <v>90.319117108970374</v>
      </c>
      <c r="BE696" s="2">
        <f>+AO696*EXP(-0.024*Y696)</f>
        <v>18.787256729076365</v>
      </c>
    </row>
    <row r="697" spans="1:57" x14ac:dyDescent="0.2">
      <c r="A697" s="2" t="s">
        <v>4500</v>
      </c>
      <c r="B697" s="2" t="s">
        <v>19</v>
      </c>
      <c r="C697" s="2" t="s">
        <v>3245</v>
      </c>
      <c r="D697" s="2" t="s">
        <v>21</v>
      </c>
      <c r="E697" s="2" t="s">
        <v>239</v>
      </c>
      <c r="F697" s="2">
        <v>3</v>
      </c>
      <c r="G697" s="2">
        <v>30</v>
      </c>
      <c r="H697" s="2">
        <v>1</v>
      </c>
      <c r="I697" s="2">
        <v>1</v>
      </c>
      <c r="J697" s="2">
        <v>0</v>
      </c>
      <c r="K697" s="2" t="s">
        <v>61</v>
      </c>
      <c r="L697" s="6" t="s">
        <v>62</v>
      </c>
      <c r="M697" s="5">
        <v>285000000</v>
      </c>
      <c r="N697" s="2">
        <v>0</v>
      </c>
      <c r="O697" s="2">
        <v>4.6300410000000003</v>
      </c>
      <c r="P697" s="2">
        <v>-74.121403999999998</v>
      </c>
      <c r="Q697" s="2" t="s">
        <v>4501</v>
      </c>
      <c r="R697" s="2">
        <v>9500000</v>
      </c>
      <c r="S697" s="2">
        <v>0</v>
      </c>
      <c r="T697" s="2" t="s">
        <v>39</v>
      </c>
      <c r="U697" s="2" t="s">
        <v>40</v>
      </c>
      <c r="V697" s="2" t="s">
        <v>28</v>
      </c>
      <c r="W697" s="2" t="s">
        <v>39</v>
      </c>
      <c r="X697" s="2" t="s">
        <v>41</v>
      </c>
      <c r="Y697" s="2">
        <v>0.47554866011305602</v>
      </c>
      <c r="Z697" s="2">
        <v>4.6317666666666701</v>
      </c>
      <c r="AA697" s="2">
        <v>-74.117483333333297</v>
      </c>
      <c r="AB697" s="2">
        <v>2590</v>
      </c>
      <c r="AC697" s="2" t="s">
        <v>31</v>
      </c>
      <c r="AD697" s="2" t="s">
        <v>42</v>
      </c>
      <c r="AE697" s="2" t="s">
        <v>33</v>
      </c>
      <c r="AF697" s="2" t="s">
        <v>34</v>
      </c>
      <c r="AG697" s="2" t="s">
        <v>239</v>
      </c>
      <c r="AH697" s="2">
        <v>0.346694523301528</v>
      </c>
      <c r="AI697" s="2">
        <v>5.2172165079142401</v>
      </c>
      <c r="AJ697" s="2">
        <v>1.2099171004682401</v>
      </c>
      <c r="AK697" s="2">
        <v>0.19167162804572599</v>
      </c>
      <c r="AL697" s="2">
        <v>0.185350989137644</v>
      </c>
      <c r="AM697" s="2">
        <v>16.600000000000001</v>
      </c>
      <c r="AN697" s="2">
        <v>101.7</v>
      </c>
      <c r="AO697" s="2">
        <v>19.899999999999999</v>
      </c>
      <c r="AP697" s="2">
        <v>564</v>
      </c>
      <c r="AQ697" s="2">
        <v>71</v>
      </c>
      <c r="AR697" s="2">
        <v>1.7</v>
      </c>
      <c r="AS697" s="2">
        <v>185</v>
      </c>
      <c r="AT697" s="2">
        <v>0.8</v>
      </c>
      <c r="AU697" s="2">
        <v>162</v>
      </c>
      <c r="AV697" s="2">
        <v>19.5</v>
      </c>
      <c r="AW697" s="2">
        <v>15.6</v>
      </c>
      <c r="AX697" s="2">
        <v>35</v>
      </c>
      <c r="AY697" s="2">
        <v>0.68</v>
      </c>
      <c r="AZ697" s="2">
        <v>5.4</v>
      </c>
      <c r="BA697" s="2">
        <v>0.9</v>
      </c>
      <c r="BB697" s="2">
        <v>4.5999999999999996</v>
      </c>
      <c r="BC697" s="2">
        <v>2.1</v>
      </c>
      <c r="BD697" s="2">
        <f>+AN697*EXP(-0.0495*Y697)</f>
        <v>99.333973691865282</v>
      </c>
      <c r="BE697" s="2">
        <f>+AO697*EXP(-0.024*Y697)</f>
        <v>19.674169134114472</v>
      </c>
    </row>
    <row r="698" spans="1:57" x14ac:dyDescent="0.2">
      <c r="A698" s="2" t="s">
        <v>3810</v>
      </c>
      <c r="B698" s="2" t="s">
        <v>19</v>
      </c>
      <c r="C698" s="2" t="s">
        <v>3245</v>
      </c>
      <c r="D698" s="2" t="s">
        <v>21</v>
      </c>
      <c r="E698" s="2" t="s">
        <v>3811</v>
      </c>
      <c r="F698" s="2">
        <v>3</v>
      </c>
      <c r="G698" s="2">
        <v>30</v>
      </c>
      <c r="H698" s="2">
        <v>1</v>
      </c>
      <c r="I698" s="2">
        <v>1</v>
      </c>
      <c r="J698" s="2">
        <v>0</v>
      </c>
      <c r="K698" s="2" t="s">
        <v>61</v>
      </c>
      <c r="L698" s="6" t="s">
        <v>84</v>
      </c>
      <c r="M698" s="5">
        <v>173000000</v>
      </c>
      <c r="N698" s="2">
        <v>0</v>
      </c>
      <c r="O698" s="2">
        <v>4.6061399999999999</v>
      </c>
      <c r="P698" s="2">
        <v>-74.108360000000005</v>
      </c>
      <c r="Q698" s="2" t="s">
        <v>3812</v>
      </c>
      <c r="R698" s="2">
        <v>5766666.6670000004</v>
      </c>
      <c r="S698" s="2">
        <v>0</v>
      </c>
      <c r="T698" s="2" t="s">
        <v>455</v>
      </c>
      <c r="U698" s="2" t="s">
        <v>456</v>
      </c>
      <c r="V698" s="2" t="s">
        <v>28</v>
      </c>
      <c r="W698" s="2" t="s">
        <v>39</v>
      </c>
      <c r="X698" s="2" t="s">
        <v>457</v>
      </c>
      <c r="Y698" s="2">
        <v>0.77640671932656302</v>
      </c>
      <c r="Z698" s="2">
        <v>4.6085000000000003</v>
      </c>
      <c r="AA698" s="2">
        <v>-74.114944444444404</v>
      </c>
      <c r="AB698" s="2">
        <v>2559</v>
      </c>
      <c r="AC698" s="2" t="s">
        <v>31</v>
      </c>
      <c r="AD698" s="2" t="s">
        <v>458</v>
      </c>
      <c r="AE698" s="2" t="s">
        <v>33</v>
      </c>
      <c r="AF698" s="2" t="s">
        <v>34</v>
      </c>
      <c r="AG698" s="2" t="s">
        <v>239</v>
      </c>
      <c r="AH698" s="2">
        <v>0.80560901363246595</v>
      </c>
      <c r="AI698" s="2">
        <v>4.7803840340352401</v>
      </c>
      <c r="AJ698" s="2">
        <v>2.3389846220011399</v>
      </c>
      <c r="AK698" s="2">
        <v>0.36493195436348702</v>
      </c>
      <c r="AL698" s="2">
        <v>0.89568407142957496</v>
      </c>
      <c r="AM698" s="2">
        <v>16.600000000000001</v>
      </c>
      <c r="AN698" s="2">
        <v>101.7</v>
      </c>
      <c r="AO698" s="2">
        <v>19.899999999999999</v>
      </c>
      <c r="AP698" s="2">
        <v>564</v>
      </c>
      <c r="AQ698" s="2">
        <v>71</v>
      </c>
      <c r="AR698" s="2">
        <v>1.7</v>
      </c>
      <c r="AS698" s="2">
        <v>185</v>
      </c>
      <c r="AT698" s="2">
        <v>0.8</v>
      </c>
      <c r="AU698" s="2">
        <v>162</v>
      </c>
      <c r="AV698" s="2">
        <v>19.5</v>
      </c>
      <c r="AW698" s="2">
        <v>15.6</v>
      </c>
      <c r="AX698" s="2">
        <v>35</v>
      </c>
      <c r="AY698" s="2">
        <v>0.68</v>
      </c>
      <c r="AZ698" s="2">
        <v>5.4</v>
      </c>
      <c r="BA698" s="2">
        <v>0.9</v>
      </c>
      <c r="BB698" s="2">
        <v>4.5999999999999996</v>
      </c>
      <c r="BC698" s="2">
        <v>2.1</v>
      </c>
      <c r="BD698" s="2">
        <f>+AN698*EXP(-0.0495*Y698)</f>
        <v>97.86560603023932</v>
      </c>
      <c r="BE698" s="2">
        <f>+AO698*EXP(-0.024*Y698)</f>
        <v>19.53262160147781</v>
      </c>
    </row>
    <row r="699" spans="1:57" x14ac:dyDescent="0.2">
      <c r="A699" s="2" t="s">
        <v>4187</v>
      </c>
      <c r="B699" s="2" t="s">
        <v>19</v>
      </c>
      <c r="C699" s="2" t="s">
        <v>3245</v>
      </c>
      <c r="D699" s="2" t="s">
        <v>21</v>
      </c>
      <c r="E699" s="2" t="s">
        <v>3284</v>
      </c>
      <c r="F699" s="2">
        <v>3</v>
      </c>
      <c r="G699" s="2">
        <v>28</v>
      </c>
      <c r="H699" s="2">
        <v>1</v>
      </c>
      <c r="I699" s="2">
        <v>1</v>
      </c>
      <c r="J699" s="2">
        <v>0</v>
      </c>
      <c r="K699" s="2" t="s">
        <v>61</v>
      </c>
      <c r="L699" s="6" t="s">
        <v>62</v>
      </c>
      <c r="M699" s="5">
        <v>285000000</v>
      </c>
      <c r="N699" s="2">
        <v>0</v>
      </c>
      <c r="O699" s="2">
        <v>4.6548999999999996</v>
      </c>
      <c r="P699" s="2">
        <v>-74.117869999999996</v>
      </c>
      <c r="Q699" s="2" t="s">
        <v>4188</v>
      </c>
      <c r="R699" s="2">
        <v>10178571.43</v>
      </c>
      <c r="S699" s="2">
        <v>0</v>
      </c>
      <c r="T699" s="2" t="s">
        <v>39</v>
      </c>
      <c r="U699" s="2" t="s">
        <v>40</v>
      </c>
      <c r="V699" s="2" t="s">
        <v>28</v>
      </c>
      <c r="W699" s="2" t="s">
        <v>39</v>
      </c>
      <c r="X699" s="2" t="s">
        <v>41</v>
      </c>
      <c r="Y699" s="2">
        <v>2.5755482346260998</v>
      </c>
      <c r="Z699" s="2">
        <v>4.6317666666666701</v>
      </c>
      <c r="AA699" s="2">
        <v>-74.117483333333297</v>
      </c>
      <c r="AB699" s="2">
        <v>2590</v>
      </c>
      <c r="AC699" s="2" t="s">
        <v>31</v>
      </c>
      <c r="AD699" s="2" t="s">
        <v>42</v>
      </c>
      <c r="AE699" s="2" t="s">
        <v>33</v>
      </c>
      <c r="AF699" s="2" t="s">
        <v>34</v>
      </c>
      <c r="AG699" s="2" t="s">
        <v>43</v>
      </c>
      <c r="AH699" s="2">
        <v>1.2743011794272801</v>
      </c>
      <c r="AI699" s="2">
        <v>4.4722360459010497</v>
      </c>
      <c r="AJ699" s="2">
        <v>1.27094407129919</v>
      </c>
      <c r="AK699" s="2">
        <v>0.37044015331984098</v>
      </c>
      <c r="AL699" s="2">
        <v>0.33278610776345302</v>
      </c>
      <c r="AM699" s="2">
        <v>16.600000000000001</v>
      </c>
      <c r="AN699" s="2">
        <v>101.7</v>
      </c>
      <c r="AO699" s="2">
        <v>19.899999999999999</v>
      </c>
      <c r="AP699" s="2">
        <v>564</v>
      </c>
      <c r="AQ699" s="2">
        <v>71</v>
      </c>
      <c r="AR699" s="2">
        <v>1.7</v>
      </c>
      <c r="AS699" s="2">
        <v>185</v>
      </c>
      <c r="AT699" s="2">
        <v>0.8</v>
      </c>
      <c r="AU699" s="2">
        <v>162</v>
      </c>
      <c r="AV699" s="2">
        <v>19.5</v>
      </c>
      <c r="AW699" s="2">
        <v>15.6</v>
      </c>
      <c r="AX699" s="2">
        <v>35</v>
      </c>
      <c r="AY699" s="2">
        <v>0.68</v>
      </c>
      <c r="AZ699" s="2">
        <v>5.4</v>
      </c>
      <c r="BA699" s="2">
        <v>0.9</v>
      </c>
      <c r="BB699" s="2">
        <v>4.5999999999999996</v>
      </c>
      <c r="BC699" s="2">
        <v>2.1</v>
      </c>
      <c r="BD699" s="2">
        <f>+AN699*EXP(-0.0495*Y699)</f>
        <v>89.526768096462717</v>
      </c>
      <c r="BE699" s="2">
        <f>+AO699*EXP(-0.024*Y699)</f>
        <v>18.70716441154422</v>
      </c>
    </row>
    <row r="700" spans="1:57" x14ac:dyDescent="0.2">
      <c r="A700" s="2" t="s">
        <v>3260</v>
      </c>
      <c r="B700" s="2" t="s">
        <v>19</v>
      </c>
      <c r="C700" s="2" t="s">
        <v>3245</v>
      </c>
      <c r="D700" s="2" t="s">
        <v>21</v>
      </c>
      <c r="E700" s="2" t="s">
        <v>3261</v>
      </c>
      <c r="F700" s="2">
        <v>3</v>
      </c>
      <c r="G700" s="2">
        <v>28</v>
      </c>
      <c r="H700" s="2">
        <v>1</v>
      </c>
      <c r="I700" s="2">
        <v>1</v>
      </c>
      <c r="J700" s="2">
        <v>0</v>
      </c>
      <c r="K700" s="2" t="s">
        <v>61</v>
      </c>
      <c r="L700" s="6" t="s">
        <v>62</v>
      </c>
      <c r="M700" s="5">
        <v>275000000</v>
      </c>
      <c r="N700" s="2">
        <v>0</v>
      </c>
      <c r="O700" s="2">
        <v>4.6524725</v>
      </c>
      <c r="P700" s="2">
        <v>-74.114769999999993</v>
      </c>
      <c r="Q700" s="2" t="s">
        <v>3262</v>
      </c>
      <c r="R700" s="2">
        <v>9821428.5710000005</v>
      </c>
      <c r="S700" s="2">
        <v>0</v>
      </c>
      <c r="T700" s="2" t="s">
        <v>39</v>
      </c>
      <c r="U700" s="2" t="s">
        <v>40</v>
      </c>
      <c r="V700" s="2" t="s">
        <v>28</v>
      </c>
      <c r="W700" s="2" t="s">
        <v>39</v>
      </c>
      <c r="X700" s="2" t="s">
        <v>41</v>
      </c>
      <c r="Y700" s="2">
        <v>2.3245404642750702</v>
      </c>
      <c r="Z700" s="2">
        <v>4.6317666666666701</v>
      </c>
      <c r="AA700" s="2">
        <v>-74.117483333333297</v>
      </c>
      <c r="AB700" s="2">
        <v>2590</v>
      </c>
      <c r="AC700" s="2" t="s">
        <v>31</v>
      </c>
      <c r="AD700" s="2" t="s">
        <v>42</v>
      </c>
      <c r="AE700" s="2" t="s">
        <v>33</v>
      </c>
      <c r="AF700" s="2" t="s">
        <v>34</v>
      </c>
      <c r="AG700" s="2" t="s">
        <v>43</v>
      </c>
      <c r="AH700" s="2">
        <v>1.13193371180297</v>
      </c>
      <c r="AI700" s="2">
        <v>4.8513249352361401</v>
      </c>
      <c r="AJ700" s="2">
        <v>1.0653099201926599</v>
      </c>
      <c r="AK700" s="2">
        <v>0.31484282038205502</v>
      </c>
      <c r="AL700" s="2">
        <v>0.113057707802848</v>
      </c>
      <c r="AM700" s="2">
        <v>16.600000000000001</v>
      </c>
      <c r="AN700" s="2">
        <v>101.7</v>
      </c>
      <c r="AO700" s="2">
        <v>19.899999999999999</v>
      </c>
      <c r="AP700" s="2">
        <v>564</v>
      </c>
      <c r="AQ700" s="2">
        <v>71</v>
      </c>
      <c r="AR700" s="2">
        <v>1.7</v>
      </c>
      <c r="AS700" s="2">
        <v>185</v>
      </c>
      <c r="AT700" s="2">
        <v>0.8</v>
      </c>
      <c r="AU700" s="2">
        <v>162</v>
      </c>
      <c r="AV700" s="2">
        <v>19.5</v>
      </c>
      <c r="AW700" s="2">
        <v>15.6</v>
      </c>
      <c r="AX700" s="2">
        <v>35</v>
      </c>
      <c r="AY700" s="2">
        <v>0.68</v>
      </c>
      <c r="AZ700" s="2">
        <v>5.4</v>
      </c>
      <c r="BA700" s="2">
        <v>0.9</v>
      </c>
      <c r="BB700" s="2">
        <v>4.5999999999999996</v>
      </c>
      <c r="BC700" s="2">
        <v>2.1</v>
      </c>
      <c r="BD700" s="2">
        <f>+AN700*EXP(-0.0495*Y700)</f>
        <v>90.646067042170756</v>
      </c>
      <c r="BE700" s="2">
        <f>+AO700*EXP(-0.024*Y700)</f>
        <v>18.820199990486696</v>
      </c>
    </row>
    <row r="701" spans="1:57" x14ac:dyDescent="0.2">
      <c r="A701" s="2" t="s">
        <v>3434</v>
      </c>
      <c r="B701" s="2" t="s">
        <v>19</v>
      </c>
      <c r="C701" s="2" t="s">
        <v>3245</v>
      </c>
      <c r="D701" s="2" t="s">
        <v>21</v>
      </c>
      <c r="E701" s="2" t="s">
        <v>1625</v>
      </c>
      <c r="F701" s="2">
        <v>3</v>
      </c>
      <c r="G701" s="2">
        <v>27</v>
      </c>
      <c r="H701" s="2">
        <v>1</v>
      </c>
      <c r="I701" s="2">
        <v>1</v>
      </c>
      <c r="J701" s="2">
        <v>1</v>
      </c>
      <c r="K701" s="2" t="s">
        <v>61</v>
      </c>
      <c r="L701" s="6" t="s">
        <v>62</v>
      </c>
      <c r="M701" s="5">
        <v>195000000</v>
      </c>
      <c r="N701" s="2">
        <v>0</v>
      </c>
      <c r="O701" s="2">
        <v>4.6149020199999997</v>
      </c>
      <c r="P701" s="2">
        <v>-74.114097599999994</v>
      </c>
      <c r="Q701" s="2" t="s">
        <v>3435</v>
      </c>
      <c r="R701" s="2">
        <v>7222222.2220000001</v>
      </c>
      <c r="S701" s="2">
        <v>0</v>
      </c>
      <c r="T701" s="2" t="s">
        <v>455</v>
      </c>
      <c r="U701" s="2" t="s">
        <v>456</v>
      </c>
      <c r="V701" s="2" t="s">
        <v>28</v>
      </c>
      <c r="W701" s="2" t="s">
        <v>39</v>
      </c>
      <c r="X701" s="2" t="s">
        <v>457</v>
      </c>
      <c r="Y701" s="2">
        <v>0.71883753807395101</v>
      </c>
      <c r="Z701" s="2">
        <v>4.6085000000000003</v>
      </c>
      <c r="AA701" s="2">
        <v>-74.114944444444404</v>
      </c>
      <c r="AB701" s="2">
        <v>2559</v>
      </c>
      <c r="AC701" s="2" t="s">
        <v>31</v>
      </c>
      <c r="AD701" s="2" t="s">
        <v>458</v>
      </c>
      <c r="AE701" s="2" t="s">
        <v>33</v>
      </c>
      <c r="AF701" s="2" t="s">
        <v>34</v>
      </c>
      <c r="AG701" s="2" t="s">
        <v>239</v>
      </c>
      <c r="AH701" s="2">
        <v>1.4578296537306401</v>
      </c>
      <c r="AI701" s="2">
        <v>5.5102716624155299</v>
      </c>
      <c r="AJ701" s="2">
        <v>3.0241666710869102</v>
      </c>
      <c r="AK701" s="2">
        <v>0.27993196438872098</v>
      </c>
      <c r="AL701" s="2">
        <v>0.21791078866764799</v>
      </c>
      <c r="AM701" s="2">
        <v>16.600000000000001</v>
      </c>
      <c r="AN701" s="2">
        <v>101.7</v>
      </c>
      <c r="AO701" s="2">
        <v>19.899999999999999</v>
      </c>
      <c r="AP701" s="2">
        <v>564</v>
      </c>
      <c r="AQ701" s="2">
        <v>71</v>
      </c>
      <c r="AR701" s="2">
        <v>1.7</v>
      </c>
      <c r="AS701" s="2">
        <v>185</v>
      </c>
      <c r="AT701" s="2">
        <v>0.8</v>
      </c>
      <c r="AU701" s="2">
        <v>162</v>
      </c>
      <c r="AV701" s="2">
        <v>19.5</v>
      </c>
      <c r="AW701" s="2">
        <v>15.6</v>
      </c>
      <c r="AX701" s="2">
        <v>35</v>
      </c>
      <c r="AY701" s="2">
        <v>0.68</v>
      </c>
      <c r="AZ701" s="2">
        <v>5.4</v>
      </c>
      <c r="BA701" s="2">
        <v>0.9</v>
      </c>
      <c r="BB701" s="2">
        <v>4.5999999999999996</v>
      </c>
      <c r="BC701" s="2">
        <v>2.1</v>
      </c>
      <c r="BD701" s="2">
        <f>+AN701*EXP(-0.0495*Y701)</f>
        <v>98.144888893056859</v>
      </c>
      <c r="BE701" s="2">
        <f>+AO701*EXP(-0.024*Y701)</f>
        <v>19.559627702610737</v>
      </c>
    </row>
    <row r="702" spans="1:57" x14ac:dyDescent="0.2">
      <c r="A702" s="2" t="s">
        <v>4175</v>
      </c>
      <c r="B702" s="2" t="s">
        <v>19</v>
      </c>
      <c r="C702" s="2" t="s">
        <v>3245</v>
      </c>
      <c r="D702" s="2" t="s">
        <v>21</v>
      </c>
      <c r="E702" s="2" t="s">
        <v>4176</v>
      </c>
      <c r="F702" s="2">
        <v>3</v>
      </c>
      <c r="G702" s="2">
        <v>26.62</v>
      </c>
      <c r="H702" s="2">
        <v>1</v>
      </c>
      <c r="I702" s="2">
        <v>1</v>
      </c>
      <c r="J702" s="2">
        <v>0</v>
      </c>
      <c r="K702" s="2" t="s">
        <v>61</v>
      </c>
      <c r="L702" s="6" t="s">
        <v>62</v>
      </c>
      <c r="M702" s="5">
        <v>295000000</v>
      </c>
      <c r="N702" s="2">
        <v>0</v>
      </c>
      <c r="O702" s="2">
        <v>4.6205811499999996</v>
      </c>
      <c r="P702" s="2">
        <v>-74.0981369</v>
      </c>
      <c r="Q702" s="2" t="s">
        <v>4177</v>
      </c>
      <c r="R702" s="2">
        <v>11081893.310000001</v>
      </c>
      <c r="S702" s="2">
        <v>0</v>
      </c>
      <c r="T702" s="2" t="s">
        <v>455</v>
      </c>
      <c r="U702" s="2" t="s">
        <v>456</v>
      </c>
      <c r="V702" s="2" t="s">
        <v>28</v>
      </c>
      <c r="W702" s="2" t="s">
        <v>39</v>
      </c>
      <c r="X702" s="2" t="s">
        <v>457</v>
      </c>
      <c r="Y702" s="2">
        <v>2.2992778579692801</v>
      </c>
      <c r="Z702" s="2">
        <v>4.6085000000000003</v>
      </c>
      <c r="AA702" s="2">
        <v>-74.114944444444404</v>
      </c>
      <c r="AB702" s="2">
        <v>2559</v>
      </c>
      <c r="AC702" s="2" t="s">
        <v>31</v>
      </c>
      <c r="AD702" s="2" t="s">
        <v>458</v>
      </c>
      <c r="AE702" s="2" t="s">
        <v>33</v>
      </c>
      <c r="AF702" s="2" t="s">
        <v>34</v>
      </c>
      <c r="AG702" s="2" t="s">
        <v>239</v>
      </c>
      <c r="AH702" s="2">
        <v>6.7148026834992797E-2</v>
      </c>
      <c r="AI702" s="2">
        <v>3.8506174629754599</v>
      </c>
      <c r="AJ702" s="2">
        <v>2.2625055241488199</v>
      </c>
      <c r="AK702" s="2">
        <v>0.40456375709284897</v>
      </c>
      <c r="AL702" s="2">
        <v>8.7824911363001898E-2</v>
      </c>
      <c r="AM702" s="2">
        <v>16.600000000000001</v>
      </c>
      <c r="AN702" s="2">
        <v>101.7</v>
      </c>
      <c r="AO702" s="2">
        <v>19.899999999999999</v>
      </c>
      <c r="AP702" s="2">
        <v>564</v>
      </c>
      <c r="AQ702" s="2">
        <v>71</v>
      </c>
      <c r="AR702" s="2">
        <v>1.7</v>
      </c>
      <c r="AS702" s="2">
        <v>185</v>
      </c>
      <c r="AT702" s="2">
        <v>0.8</v>
      </c>
      <c r="AU702" s="2">
        <v>162</v>
      </c>
      <c r="AV702" s="2">
        <v>19.5</v>
      </c>
      <c r="AW702" s="2">
        <v>15.6</v>
      </c>
      <c r="AX702" s="2">
        <v>35</v>
      </c>
      <c r="AY702" s="2">
        <v>0.68</v>
      </c>
      <c r="AZ702" s="2">
        <v>5.4</v>
      </c>
      <c r="BA702" s="2">
        <v>0.9</v>
      </c>
      <c r="BB702" s="2">
        <v>4.5999999999999996</v>
      </c>
      <c r="BC702" s="2">
        <v>2.1</v>
      </c>
      <c r="BD702" s="2">
        <f>+AN702*EXP(-0.0495*Y702)</f>
        <v>90.759490762805854</v>
      </c>
      <c r="BE702" s="2">
        <f>+AO702*EXP(-0.024*Y702)</f>
        <v>18.8316141856358</v>
      </c>
    </row>
    <row r="703" spans="1:57" x14ac:dyDescent="0.2">
      <c r="A703" s="2" t="s">
        <v>4591</v>
      </c>
      <c r="B703" s="2" t="s">
        <v>19</v>
      </c>
      <c r="C703" s="2" t="s">
        <v>3245</v>
      </c>
      <c r="D703" s="2" t="s">
        <v>21</v>
      </c>
      <c r="E703" s="2" t="s">
        <v>4592</v>
      </c>
      <c r="F703" s="2">
        <v>3</v>
      </c>
      <c r="G703" s="2">
        <v>26.62</v>
      </c>
      <c r="H703" s="2">
        <v>1</v>
      </c>
      <c r="I703" s="2">
        <v>1</v>
      </c>
      <c r="J703" s="2">
        <v>0</v>
      </c>
      <c r="K703" s="2" t="s">
        <v>61</v>
      </c>
      <c r="L703" s="6" t="s">
        <v>62</v>
      </c>
      <c r="M703" s="5">
        <v>295000000</v>
      </c>
      <c r="N703" s="2">
        <v>0</v>
      </c>
      <c r="O703" s="2">
        <v>4.6199946399999998</v>
      </c>
      <c r="P703" s="2">
        <v>-74.099670410000002</v>
      </c>
      <c r="Q703" s="2" t="s">
        <v>4593</v>
      </c>
      <c r="R703" s="2">
        <v>11081893.310000001</v>
      </c>
      <c r="S703" s="2">
        <v>0</v>
      </c>
      <c r="T703" s="2" t="s">
        <v>455</v>
      </c>
      <c r="U703" s="2" t="s">
        <v>456</v>
      </c>
      <c r="V703" s="2" t="s">
        <v>28</v>
      </c>
      <c r="W703" s="2" t="s">
        <v>39</v>
      </c>
      <c r="X703" s="2" t="s">
        <v>457</v>
      </c>
      <c r="Y703" s="2">
        <v>2.1235868637799298</v>
      </c>
      <c r="Z703" s="2">
        <v>4.6085000000000003</v>
      </c>
      <c r="AA703" s="2">
        <v>-74.114944444444404</v>
      </c>
      <c r="AB703" s="2">
        <v>2559</v>
      </c>
      <c r="AC703" s="2" t="s">
        <v>31</v>
      </c>
      <c r="AD703" s="2" t="s">
        <v>458</v>
      </c>
      <c r="AE703" s="2" t="s">
        <v>33</v>
      </c>
      <c r="AF703" s="2" t="s">
        <v>34</v>
      </c>
      <c r="AG703" s="2" t="s">
        <v>239</v>
      </c>
      <c r="AH703" s="2">
        <v>0.11510411100667201</v>
      </c>
      <c r="AI703" s="2">
        <v>4.0076499358316902</v>
      </c>
      <c r="AJ703" s="2">
        <v>2.3029788723361699</v>
      </c>
      <c r="AK703" s="2">
        <v>0.466398623509931</v>
      </c>
      <c r="AL703" s="2">
        <v>5.8019667235574598E-2</v>
      </c>
      <c r="AM703" s="2">
        <v>16.600000000000001</v>
      </c>
      <c r="AN703" s="2">
        <v>101.7</v>
      </c>
      <c r="AO703" s="2">
        <v>19.899999999999999</v>
      </c>
      <c r="AP703" s="2">
        <v>564</v>
      </c>
      <c r="AQ703" s="2">
        <v>71</v>
      </c>
      <c r="AR703" s="2">
        <v>1.7</v>
      </c>
      <c r="AS703" s="2">
        <v>185</v>
      </c>
      <c r="AT703" s="2">
        <v>0.8</v>
      </c>
      <c r="AU703" s="2">
        <v>162</v>
      </c>
      <c r="AV703" s="2">
        <v>19.5</v>
      </c>
      <c r="AW703" s="2">
        <v>15.6</v>
      </c>
      <c r="AX703" s="2">
        <v>35</v>
      </c>
      <c r="AY703" s="2">
        <v>0.68</v>
      </c>
      <c r="AZ703" s="2">
        <v>5.4</v>
      </c>
      <c r="BA703" s="2">
        <v>0.9</v>
      </c>
      <c r="BB703" s="2">
        <v>4.5999999999999996</v>
      </c>
      <c r="BC703" s="2">
        <v>2.1</v>
      </c>
      <c r="BD703" s="2">
        <f>+AN703*EXP(-0.0495*Y703)</f>
        <v>91.552241370730798</v>
      </c>
      <c r="BE703" s="2">
        <f>+AO703*EXP(-0.024*Y703)</f>
        <v>18.911186910715678</v>
      </c>
    </row>
    <row r="704" spans="1:57" x14ac:dyDescent="0.2">
      <c r="A704" s="2" t="s">
        <v>1059</v>
      </c>
      <c r="B704" s="2" t="s">
        <v>19</v>
      </c>
      <c r="C704" s="2" t="s">
        <v>20</v>
      </c>
      <c r="D704" s="2" t="s">
        <v>21</v>
      </c>
      <c r="E704" s="2" t="s">
        <v>1060</v>
      </c>
      <c r="F704" s="2">
        <v>3</v>
      </c>
      <c r="G704" s="2">
        <v>26</v>
      </c>
      <c r="H704" s="2">
        <v>1</v>
      </c>
      <c r="I704" s="2">
        <v>1</v>
      </c>
      <c r="J704" s="2">
        <v>0</v>
      </c>
      <c r="K704" s="2" t="s">
        <v>61</v>
      </c>
      <c r="L704" s="6" t="s">
        <v>62</v>
      </c>
      <c r="M704" s="5">
        <v>260000000</v>
      </c>
      <c r="N704" s="2">
        <v>0</v>
      </c>
      <c r="O704" s="2">
        <v>4.6294427000000002</v>
      </c>
      <c r="P704" s="2">
        <v>-74.121729999999999</v>
      </c>
      <c r="Q704" s="2" t="s">
        <v>1061</v>
      </c>
      <c r="R704" s="2">
        <v>10000000</v>
      </c>
      <c r="S704" s="2">
        <v>0</v>
      </c>
      <c r="T704" s="2" t="s">
        <v>39</v>
      </c>
      <c r="U704" s="2" t="s">
        <v>40</v>
      </c>
      <c r="V704" s="2" t="s">
        <v>28</v>
      </c>
      <c r="W704" s="2" t="s">
        <v>39</v>
      </c>
      <c r="X704" s="2" t="s">
        <v>41</v>
      </c>
      <c r="Y704" s="2">
        <v>0.53754129474474999</v>
      </c>
      <c r="Z704" s="2">
        <v>4.6317666666666701</v>
      </c>
      <c r="AA704" s="2">
        <v>-74.117483333333297</v>
      </c>
      <c r="AB704" s="2">
        <v>2590</v>
      </c>
      <c r="AC704" s="2" t="s">
        <v>31</v>
      </c>
      <c r="AD704" s="2" t="s">
        <v>42</v>
      </c>
      <c r="AE704" s="2" t="s">
        <v>33</v>
      </c>
      <c r="AF704" s="2" t="s">
        <v>34</v>
      </c>
      <c r="AG704" s="2" t="s">
        <v>239</v>
      </c>
      <c r="AH704" s="2">
        <v>0.35399472938465898</v>
      </c>
      <c r="AI704" s="2">
        <v>5.2314287437130602</v>
      </c>
      <c r="AJ704" s="2">
        <v>1.2727577125043701</v>
      </c>
      <c r="AK704" s="2">
        <v>0.154042461416878</v>
      </c>
      <c r="AL704" s="2">
        <v>0.25191701468262201</v>
      </c>
      <c r="AM704" s="2">
        <v>16.600000000000001</v>
      </c>
      <c r="AN704" s="2">
        <v>101.7</v>
      </c>
      <c r="AO704" s="2">
        <v>19.899999999999999</v>
      </c>
      <c r="AP704" s="2">
        <v>564</v>
      </c>
      <c r="AQ704" s="2">
        <v>71</v>
      </c>
      <c r="AR704" s="2">
        <v>1.7</v>
      </c>
      <c r="AS704" s="2">
        <v>185</v>
      </c>
      <c r="AT704" s="2">
        <v>0.8</v>
      </c>
      <c r="AU704" s="2">
        <v>162</v>
      </c>
      <c r="AV704" s="2">
        <v>19.5</v>
      </c>
      <c r="AW704" s="2">
        <v>15.6</v>
      </c>
      <c r="AX704" s="2">
        <v>35</v>
      </c>
      <c r="AY704" s="2">
        <v>0.68</v>
      </c>
      <c r="AZ704" s="2">
        <v>5.4</v>
      </c>
      <c r="BA704" s="2">
        <v>0.9</v>
      </c>
      <c r="BB704" s="2">
        <v>4.5999999999999996</v>
      </c>
      <c r="BC704" s="2">
        <v>2.1</v>
      </c>
      <c r="BD704" s="2">
        <f>+AN704*EXP(-0.0495*Y704)</f>
        <v>99.02962115466994</v>
      </c>
      <c r="BE704" s="2">
        <f>+AO704*EXP(-0.024*Y704)</f>
        <v>19.64491921297472</v>
      </c>
    </row>
    <row r="705" spans="1:57" x14ac:dyDescent="0.2">
      <c r="A705" s="2" t="s">
        <v>3697</v>
      </c>
      <c r="B705" s="2" t="s">
        <v>19</v>
      </c>
      <c r="C705" s="2" t="s">
        <v>3245</v>
      </c>
      <c r="D705" s="2" t="s">
        <v>21</v>
      </c>
      <c r="E705" s="2" t="s">
        <v>2937</v>
      </c>
      <c r="F705" s="2">
        <v>3</v>
      </c>
      <c r="G705" s="2">
        <v>24</v>
      </c>
      <c r="H705" s="2">
        <v>1</v>
      </c>
      <c r="I705" s="2">
        <v>1</v>
      </c>
      <c r="J705" s="2">
        <v>0</v>
      </c>
      <c r="K705" s="2" t="s">
        <v>61</v>
      </c>
      <c r="L705" s="6" t="s">
        <v>84</v>
      </c>
      <c r="M705" s="5">
        <v>185000000</v>
      </c>
      <c r="N705" s="2">
        <v>0</v>
      </c>
      <c r="O705" s="2">
        <v>4.6046699999999996</v>
      </c>
      <c r="P705" s="2">
        <v>-74.10078</v>
      </c>
      <c r="Q705" s="2" t="s">
        <v>3698</v>
      </c>
      <c r="R705" s="2">
        <v>7708333.3329999996</v>
      </c>
      <c r="S705" s="2">
        <v>0</v>
      </c>
      <c r="T705" s="2" t="s">
        <v>455</v>
      </c>
      <c r="U705" s="2" t="s">
        <v>456</v>
      </c>
      <c r="V705" s="2" t="s">
        <v>28</v>
      </c>
      <c r="W705" s="2" t="s">
        <v>39</v>
      </c>
      <c r="X705" s="2" t="s">
        <v>457</v>
      </c>
      <c r="Y705" s="2">
        <v>1.62848758390218</v>
      </c>
      <c r="Z705" s="2">
        <v>4.6085000000000003</v>
      </c>
      <c r="AA705" s="2">
        <v>-74.114944444444404</v>
      </c>
      <c r="AB705" s="2">
        <v>2559</v>
      </c>
      <c r="AC705" s="2" t="s">
        <v>31</v>
      </c>
      <c r="AD705" s="2" t="s">
        <v>458</v>
      </c>
      <c r="AE705" s="2" t="s">
        <v>33</v>
      </c>
      <c r="AF705" s="2" t="s">
        <v>34</v>
      </c>
      <c r="AG705" s="2" t="s">
        <v>239</v>
      </c>
      <c r="AH705" s="2">
        <v>0.11194744421722801</v>
      </c>
      <c r="AI705" s="2">
        <v>3.92494896469189</v>
      </c>
      <c r="AJ705" s="2">
        <v>1.48439196490678</v>
      </c>
      <c r="AK705" s="2">
        <v>0.16231904282871201</v>
      </c>
      <c r="AL705" s="2">
        <v>0.16453542357343601</v>
      </c>
      <c r="AM705" s="2">
        <v>16.600000000000001</v>
      </c>
      <c r="AN705" s="2">
        <v>101.7</v>
      </c>
      <c r="AO705" s="2">
        <v>19.899999999999999</v>
      </c>
      <c r="AP705" s="2">
        <v>564</v>
      </c>
      <c r="AQ705" s="2">
        <v>71</v>
      </c>
      <c r="AR705" s="2">
        <v>1.7</v>
      </c>
      <c r="AS705" s="2">
        <v>185</v>
      </c>
      <c r="AT705" s="2">
        <v>0.8</v>
      </c>
      <c r="AU705" s="2">
        <v>162</v>
      </c>
      <c r="AV705" s="2">
        <v>19.5</v>
      </c>
      <c r="AW705" s="2">
        <v>15.6</v>
      </c>
      <c r="AX705" s="2">
        <v>35</v>
      </c>
      <c r="AY705" s="2">
        <v>0.68</v>
      </c>
      <c r="AZ705" s="2">
        <v>5.4</v>
      </c>
      <c r="BA705" s="2">
        <v>0.9</v>
      </c>
      <c r="BB705" s="2">
        <v>4.5999999999999996</v>
      </c>
      <c r="BC705" s="2">
        <v>2.1</v>
      </c>
      <c r="BD705" s="2">
        <f>+AN705*EXP(-0.0495*Y705)</f>
        <v>93.823669817714517</v>
      </c>
      <c r="BE705" s="2">
        <f>+AO705*EXP(-0.024*Y705)</f>
        <v>19.137237219681793</v>
      </c>
    </row>
    <row r="706" spans="1:57" x14ac:dyDescent="0.2">
      <c r="A706" s="2" t="s">
        <v>3110</v>
      </c>
      <c r="B706" s="2" t="s">
        <v>19</v>
      </c>
      <c r="C706" s="2" t="s">
        <v>1907</v>
      </c>
      <c r="D706" s="2" t="s">
        <v>21</v>
      </c>
      <c r="E706" s="2" t="s">
        <v>1096</v>
      </c>
      <c r="F706" s="2">
        <v>4</v>
      </c>
      <c r="G706" s="2">
        <v>700</v>
      </c>
      <c r="H706" s="2">
        <v>5</v>
      </c>
      <c r="I706" s="2">
        <v>5</v>
      </c>
      <c r="J706" s="2">
        <v>3</v>
      </c>
      <c r="K706" s="2" t="s">
        <v>61</v>
      </c>
      <c r="L706" s="6" t="s">
        <v>113</v>
      </c>
      <c r="M706" s="5">
        <v>1700000000</v>
      </c>
      <c r="N706" s="2">
        <v>0</v>
      </c>
      <c r="O706" s="2">
        <v>4.6701545720000004</v>
      </c>
      <c r="P706" s="2">
        <v>-74.102630619999999</v>
      </c>
      <c r="Q706" s="2" t="s">
        <v>3111</v>
      </c>
      <c r="R706" s="2">
        <v>2428571.429</v>
      </c>
      <c r="S706" s="2">
        <v>0</v>
      </c>
      <c r="T706" s="2" t="s">
        <v>26</v>
      </c>
      <c r="U706" s="2" t="s">
        <v>27</v>
      </c>
      <c r="V706" s="2" t="s">
        <v>28</v>
      </c>
      <c r="W706" s="2" t="s">
        <v>29</v>
      </c>
      <c r="X706" s="2" t="s">
        <v>30</v>
      </c>
      <c r="Y706" s="2">
        <v>2.4456029259714702</v>
      </c>
      <c r="Z706" s="2">
        <v>4.6584666666666701</v>
      </c>
      <c r="AA706" s="2">
        <v>-74.083966666666697</v>
      </c>
      <c r="AB706" s="2">
        <v>2552</v>
      </c>
      <c r="AC706" s="2" t="s">
        <v>31</v>
      </c>
      <c r="AD706" s="2" t="s">
        <v>32</v>
      </c>
      <c r="AE706" s="2" t="s">
        <v>33</v>
      </c>
      <c r="AF706" s="2" t="s">
        <v>34</v>
      </c>
      <c r="AG706" s="2" t="s">
        <v>363</v>
      </c>
      <c r="AH706" s="2">
        <v>1.1344577194352301</v>
      </c>
      <c r="AI706" s="2">
        <v>5.9535298056065402</v>
      </c>
      <c r="AJ706" s="2">
        <v>1.43709960104598</v>
      </c>
      <c r="AK706" s="2">
        <v>6.5734622516183894E-2</v>
      </c>
      <c r="AL706" s="2">
        <v>0.45176713435278198</v>
      </c>
      <c r="AN706" s="2">
        <v>6.8</v>
      </c>
      <c r="AO706" s="2">
        <v>19.899999999999999</v>
      </c>
      <c r="AP706" s="2">
        <v>564</v>
      </c>
      <c r="AQ706" s="2">
        <v>68</v>
      </c>
      <c r="AR706" s="2">
        <v>1.5</v>
      </c>
      <c r="AS706" s="2">
        <v>135</v>
      </c>
      <c r="AT706" s="2">
        <v>0.8</v>
      </c>
      <c r="AU706" s="2">
        <v>162</v>
      </c>
      <c r="AV706" s="2">
        <v>9.1</v>
      </c>
      <c r="AW706" s="2">
        <v>9.1999999999999993</v>
      </c>
      <c r="AX706" s="2">
        <v>18.3</v>
      </c>
      <c r="AY706" s="2">
        <v>0.34</v>
      </c>
      <c r="AZ706" s="2">
        <v>7.3</v>
      </c>
      <c r="BA706" s="2">
        <v>0.9</v>
      </c>
      <c r="BB706" s="2">
        <v>7.5</v>
      </c>
      <c r="BC706" s="2">
        <v>2.9</v>
      </c>
      <c r="BD706" s="2">
        <f>+AN706*EXP(-0.0495*Y706)</f>
        <v>6.024685430729992</v>
      </c>
      <c r="BE706" s="2">
        <f>+AO706*EXP(-0.024*Y706)</f>
        <v>18.765597279191887</v>
      </c>
    </row>
    <row r="707" spans="1:57" x14ac:dyDescent="0.2">
      <c r="A707" s="2" t="s">
        <v>2125</v>
      </c>
      <c r="B707" s="2" t="s">
        <v>19</v>
      </c>
      <c r="C707" s="2" t="s">
        <v>1907</v>
      </c>
      <c r="D707" s="2" t="s">
        <v>21</v>
      </c>
      <c r="E707" s="2" t="s">
        <v>1142</v>
      </c>
      <c r="F707" s="2">
        <v>4</v>
      </c>
      <c r="G707" s="2">
        <v>680</v>
      </c>
      <c r="H707" s="2">
        <v>5</v>
      </c>
      <c r="I707" s="2">
        <v>5</v>
      </c>
      <c r="J707" s="2">
        <v>4</v>
      </c>
      <c r="K707" s="2" t="s">
        <v>61</v>
      </c>
      <c r="L707" s="6" t="s">
        <v>113</v>
      </c>
      <c r="M707" s="5">
        <v>2700000000</v>
      </c>
      <c r="N707" s="2">
        <v>0</v>
      </c>
      <c r="O707" s="2">
        <v>4.652211189</v>
      </c>
      <c r="P707" s="2">
        <v>-74.060714719999993</v>
      </c>
      <c r="Q707" s="2" t="s">
        <v>2126</v>
      </c>
      <c r="R707" s="2">
        <v>3970588.2349999999</v>
      </c>
      <c r="S707" s="2">
        <v>0</v>
      </c>
      <c r="T707" s="2" t="s">
        <v>26</v>
      </c>
      <c r="U707" s="2" t="s">
        <v>27</v>
      </c>
      <c r="V707" s="2" t="s">
        <v>28</v>
      </c>
      <c r="W707" s="2" t="s">
        <v>29</v>
      </c>
      <c r="X707" s="2" t="s">
        <v>30</v>
      </c>
      <c r="Y707" s="2">
        <v>2.6721840419879399</v>
      </c>
      <c r="Z707" s="2">
        <v>4.6584666666666701</v>
      </c>
      <c r="AA707" s="2">
        <v>-74.083966666666697</v>
      </c>
      <c r="AB707" s="2">
        <v>2552</v>
      </c>
      <c r="AC707" s="2" t="s">
        <v>31</v>
      </c>
      <c r="AD707" s="2" t="s">
        <v>32</v>
      </c>
      <c r="AE707" s="2" t="s">
        <v>33</v>
      </c>
      <c r="AF707" s="2" t="s">
        <v>34</v>
      </c>
      <c r="AG707" s="2" t="s">
        <v>81</v>
      </c>
      <c r="AH707" s="2">
        <v>0.39143358827290398</v>
      </c>
      <c r="AI707" s="2">
        <v>1.1081952671976301</v>
      </c>
      <c r="AJ707" s="2">
        <v>0.15887575705823101</v>
      </c>
      <c r="AK707" s="2">
        <v>4.2418293031545998E-2</v>
      </c>
      <c r="AL707" s="2">
        <v>8.0737157147833492E-3</v>
      </c>
      <c r="AN707" s="2">
        <v>6.8</v>
      </c>
      <c r="AO707" s="2">
        <v>19.899999999999999</v>
      </c>
      <c r="AP707" s="2">
        <v>564</v>
      </c>
      <c r="AQ707" s="2">
        <v>68</v>
      </c>
      <c r="AR707" s="2">
        <v>1.5</v>
      </c>
      <c r="AS707" s="2">
        <v>135</v>
      </c>
      <c r="AT707" s="2">
        <v>0.8</v>
      </c>
      <c r="AU707" s="2">
        <v>162</v>
      </c>
      <c r="AV707" s="2">
        <v>9.1</v>
      </c>
      <c r="AW707" s="2">
        <v>9.1999999999999993</v>
      </c>
      <c r="AX707" s="2">
        <v>18.3</v>
      </c>
      <c r="AY707" s="2">
        <v>0.34</v>
      </c>
      <c r="AZ707" s="2">
        <v>7.3</v>
      </c>
      <c r="BA707" s="2">
        <v>0.9</v>
      </c>
      <c r="BB707" s="2">
        <v>7.5</v>
      </c>
      <c r="BC707" s="2">
        <v>2.9</v>
      </c>
      <c r="BD707" s="2">
        <f>+AN707*EXP(-0.0495*Y707)</f>
        <v>5.9574914933686616</v>
      </c>
      <c r="BE707" s="2">
        <f>+AO707*EXP(-0.024*Y707)</f>
        <v>18.663827918780623</v>
      </c>
    </row>
    <row r="708" spans="1:57" x14ac:dyDescent="0.2">
      <c r="A708" s="2" t="s">
        <v>2230</v>
      </c>
      <c r="B708" s="2" t="s">
        <v>19</v>
      </c>
      <c r="C708" s="2" t="s">
        <v>1907</v>
      </c>
      <c r="D708" s="2" t="s">
        <v>21</v>
      </c>
      <c r="E708" s="2" t="s">
        <v>244</v>
      </c>
      <c r="F708" s="2">
        <v>3</v>
      </c>
      <c r="G708" s="2">
        <v>658</v>
      </c>
      <c r="H708" s="2">
        <v>5</v>
      </c>
      <c r="I708" s="2">
        <v>4</v>
      </c>
      <c r="J708" s="2">
        <v>2</v>
      </c>
      <c r="K708" s="2" t="s">
        <v>61</v>
      </c>
      <c r="L708" s="6" t="s">
        <v>113</v>
      </c>
      <c r="M708" s="5">
        <v>2800000000</v>
      </c>
      <c r="N708" s="2">
        <v>0</v>
      </c>
      <c r="O708" s="2">
        <v>4.6150215000000001</v>
      </c>
      <c r="P708" s="2">
        <v>-74.071764299999998</v>
      </c>
      <c r="Q708" s="2" t="s">
        <v>2231</v>
      </c>
      <c r="R708" s="2">
        <v>4255319.1490000002</v>
      </c>
      <c r="S708" s="2">
        <v>0</v>
      </c>
      <c r="T708" s="2" t="s">
        <v>77</v>
      </c>
      <c r="U708" s="2" t="s">
        <v>78</v>
      </c>
      <c r="V708" s="2" t="s">
        <v>28</v>
      </c>
      <c r="W708" s="2" t="s">
        <v>79</v>
      </c>
      <c r="X708" s="2" t="s">
        <v>80</v>
      </c>
      <c r="Y708" s="2">
        <v>1.28014419478371</v>
      </c>
      <c r="Z708" s="2">
        <v>4.6254861111111101</v>
      </c>
      <c r="AA708" s="2">
        <v>-74.066980555555503</v>
      </c>
      <c r="AB708" s="2">
        <v>2621</v>
      </c>
      <c r="AC708" s="2" t="s">
        <v>31</v>
      </c>
      <c r="AD708" s="2" t="s">
        <v>32</v>
      </c>
      <c r="AE708" s="2" t="s">
        <v>33</v>
      </c>
      <c r="AF708" s="2" t="s">
        <v>34</v>
      </c>
      <c r="AG708" s="2" t="s">
        <v>89</v>
      </c>
      <c r="AH708" s="2">
        <v>0.18536733381345599</v>
      </c>
      <c r="AI708" s="2">
        <v>0.86806832905159104</v>
      </c>
      <c r="AJ708" s="2">
        <v>0.249578023172773</v>
      </c>
      <c r="AK708" s="2">
        <v>0.106232067493285</v>
      </c>
      <c r="AL708" s="2">
        <v>0.28065880158380202</v>
      </c>
      <c r="AN708" s="2">
        <v>6.8</v>
      </c>
      <c r="AO708" s="2">
        <v>19.899999999999999</v>
      </c>
      <c r="AP708" s="2">
        <v>564</v>
      </c>
      <c r="AQ708" s="2">
        <v>68</v>
      </c>
      <c r="AR708" s="2">
        <v>1.5</v>
      </c>
      <c r="AS708" s="2">
        <v>135</v>
      </c>
      <c r="AT708" s="2">
        <v>0.8</v>
      </c>
      <c r="AU708" s="2">
        <v>162</v>
      </c>
      <c r="AV708" s="2">
        <v>9.1</v>
      </c>
      <c r="AW708" s="2">
        <v>9.1999999999999993</v>
      </c>
      <c r="AX708" s="2">
        <v>18.3</v>
      </c>
      <c r="AY708" s="2">
        <v>0.34</v>
      </c>
      <c r="AZ708" s="2">
        <v>7.3</v>
      </c>
      <c r="BA708" s="2">
        <v>0.9</v>
      </c>
      <c r="BB708" s="2">
        <v>7.5</v>
      </c>
      <c r="BC708" s="2">
        <v>2.9</v>
      </c>
      <c r="BD708" s="2">
        <f>+AN708*EXP(-0.0495*Y708)</f>
        <v>6.3824719451878398</v>
      </c>
      <c r="BE708" s="2">
        <f>+AO708*EXP(-0.024*Y708)</f>
        <v>19.297899794573944</v>
      </c>
    </row>
    <row r="709" spans="1:57" x14ac:dyDescent="0.2">
      <c r="A709" s="2" t="s">
        <v>2355</v>
      </c>
      <c r="B709" s="2" t="s">
        <v>19</v>
      </c>
      <c r="C709" s="2" t="s">
        <v>1907</v>
      </c>
      <c r="D709" s="2" t="s">
        <v>21</v>
      </c>
      <c r="E709" s="2" t="s">
        <v>2356</v>
      </c>
      <c r="F709" s="2">
        <v>3</v>
      </c>
      <c r="G709" s="2">
        <v>560</v>
      </c>
      <c r="H709" s="2">
        <v>5</v>
      </c>
      <c r="I709" s="2">
        <v>5</v>
      </c>
      <c r="J709" s="2">
        <v>0</v>
      </c>
      <c r="K709" s="2" t="s">
        <v>61</v>
      </c>
      <c r="L709" s="6" t="s">
        <v>62</v>
      </c>
      <c r="M709" s="5">
        <v>3055000000</v>
      </c>
      <c r="N709" s="2">
        <v>0</v>
      </c>
      <c r="O709" s="2">
        <v>4.6548530000000001</v>
      </c>
      <c r="P709" s="2">
        <v>-74.066737000000003</v>
      </c>
      <c r="Q709" s="2" t="s">
        <v>2357</v>
      </c>
      <c r="R709" s="2">
        <v>5455357.1430000002</v>
      </c>
      <c r="S709" s="2">
        <v>0</v>
      </c>
      <c r="T709" s="2" t="s">
        <v>26</v>
      </c>
      <c r="U709" s="2" t="s">
        <v>27</v>
      </c>
      <c r="V709" s="2" t="s">
        <v>28</v>
      </c>
      <c r="W709" s="2" t="s">
        <v>29</v>
      </c>
      <c r="X709" s="2" t="s">
        <v>30</v>
      </c>
      <c r="Y709" s="2">
        <v>1.95353306843476</v>
      </c>
      <c r="Z709" s="2">
        <v>4.6584666666666701</v>
      </c>
      <c r="AA709" s="2">
        <v>-74.083966666666697</v>
      </c>
      <c r="AB709" s="2">
        <v>2552</v>
      </c>
      <c r="AC709" s="2" t="s">
        <v>31</v>
      </c>
      <c r="AD709" s="2" t="s">
        <v>32</v>
      </c>
      <c r="AE709" s="2" t="s">
        <v>33</v>
      </c>
      <c r="AF709" s="2" t="s">
        <v>34</v>
      </c>
      <c r="AG709" s="2" t="s">
        <v>293</v>
      </c>
      <c r="AH709" s="2">
        <v>0.41340206733656898</v>
      </c>
      <c r="AI709" s="2">
        <v>1.83553149755685</v>
      </c>
      <c r="AJ709" s="2">
        <v>0.26611012078056601</v>
      </c>
      <c r="AK709" s="2">
        <v>0.18810890223891999</v>
      </c>
      <c r="AL709" s="2">
        <v>1.00966899416601E-2</v>
      </c>
      <c r="AN709" s="2">
        <v>6.8</v>
      </c>
      <c r="AO709" s="2">
        <v>19.899999999999999</v>
      </c>
      <c r="AP709" s="2">
        <v>564</v>
      </c>
      <c r="AQ709" s="2">
        <v>68</v>
      </c>
      <c r="AR709" s="2">
        <v>1.5</v>
      </c>
      <c r="AS709" s="2">
        <v>135</v>
      </c>
      <c r="AT709" s="2">
        <v>0.8</v>
      </c>
      <c r="AU709" s="2">
        <v>162</v>
      </c>
      <c r="AV709" s="2">
        <v>9.1</v>
      </c>
      <c r="AW709" s="2">
        <v>9.1999999999999993</v>
      </c>
      <c r="AX709" s="2">
        <v>18.3</v>
      </c>
      <c r="AY709" s="2">
        <v>0.34</v>
      </c>
      <c r="AZ709" s="2">
        <v>7.3</v>
      </c>
      <c r="BA709" s="2">
        <v>0.9</v>
      </c>
      <c r="BB709" s="2">
        <v>7.5</v>
      </c>
      <c r="BC709" s="2">
        <v>2.9</v>
      </c>
      <c r="BD709" s="2">
        <f>+AN709*EXP(-0.0495*Y709)</f>
        <v>6.1732332319683545</v>
      </c>
      <c r="BE709" s="2">
        <f>+AO709*EXP(-0.024*Y709)</f>
        <v>18.988526685035492</v>
      </c>
    </row>
    <row r="710" spans="1:57" x14ac:dyDescent="0.2">
      <c r="A710" s="2" t="s">
        <v>2409</v>
      </c>
      <c r="B710" s="2" t="s">
        <v>19</v>
      </c>
      <c r="C710" s="2" t="s">
        <v>1907</v>
      </c>
      <c r="D710" s="2" t="s">
        <v>21</v>
      </c>
      <c r="E710" s="2" t="s">
        <v>81</v>
      </c>
      <c r="F710" s="2">
        <v>5</v>
      </c>
      <c r="G710" s="2">
        <v>523.70000000000005</v>
      </c>
      <c r="H710" s="2">
        <v>5</v>
      </c>
      <c r="I710" s="2">
        <v>5</v>
      </c>
      <c r="J710" s="2">
        <v>2</v>
      </c>
      <c r="K710" s="2" t="s">
        <v>61</v>
      </c>
      <c r="L710" s="6" t="s">
        <v>113</v>
      </c>
      <c r="M710" s="5">
        <v>2050000000</v>
      </c>
      <c r="N710" s="2">
        <v>0</v>
      </c>
      <c r="O710" s="2">
        <v>4.6285141000000003</v>
      </c>
      <c r="P710" s="2">
        <v>-74.067667999999998</v>
      </c>
      <c r="Q710" s="2" t="s">
        <v>2410</v>
      </c>
      <c r="R710" s="2">
        <v>3914454.841</v>
      </c>
      <c r="S710" s="2">
        <v>0</v>
      </c>
      <c r="T710" s="2" t="s">
        <v>77</v>
      </c>
      <c r="U710" s="2" t="s">
        <v>78</v>
      </c>
      <c r="V710" s="2" t="s">
        <v>28</v>
      </c>
      <c r="W710" s="2" t="s">
        <v>79</v>
      </c>
      <c r="X710" s="2" t="s">
        <v>80</v>
      </c>
      <c r="Y710" s="2">
        <v>0.34559675648635702</v>
      </c>
      <c r="Z710" s="2">
        <v>4.6254861111111101</v>
      </c>
      <c r="AA710" s="2">
        <v>-74.066980555555503</v>
      </c>
      <c r="AB710" s="2">
        <v>2621</v>
      </c>
      <c r="AC710" s="2" t="s">
        <v>31</v>
      </c>
      <c r="AD710" s="2" t="s">
        <v>32</v>
      </c>
      <c r="AE710" s="2" t="s">
        <v>33</v>
      </c>
      <c r="AF710" s="2" t="s">
        <v>34</v>
      </c>
      <c r="AG710" s="2" t="s">
        <v>81</v>
      </c>
      <c r="AH710" s="2">
        <v>0.212001933779249</v>
      </c>
      <c r="AI710" s="2">
        <v>0.74680886920634304</v>
      </c>
      <c r="AJ710" s="2">
        <v>0.164909424478553</v>
      </c>
      <c r="AK710" s="2">
        <v>9.1007391324608694E-2</v>
      </c>
      <c r="AL710" s="2">
        <v>0.102652309210954</v>
      </c>
      <c r="AN710" s="2">
        <v>6.8</v>
      </c>
      <c r="AO710" s="2">
        <v>19.899999999999999</v>
      </c>
      <c r="AP710" s="2">
        <v>564</v>
      </c>
      <c r="AQ710" s="2">
        <v>68</v>
      </c>
      <c r="AR710" s="2">
        <v>1.5</v>
      </c>
      <c r="AS710" s="2">
        <v>135</v>
      </c>
      <c r="AT710" s="2">
        <v>0.8</v>
      </c>
      <c r="AU710" s="2">
        <v>162</v>
      </c>
      <c r="AV710" s="2">
        <v>9.1</v>
      </c>
      <c r="AW710" s="2">
        <v>9.1999999999999993</v>
      </c>
      <c r="AX710" s="2">
        <v>18.3</v>
      </c>
      <c r="AY710" s="2">
        <v>0.34</v>
      </c>
      <c r="AZ710" s="2">
        <v>7.3</v>
      </c>
      <c r="BA710" s="2">
        <v>0.9</v>
      </c>
      <c r="BB710" s="2">
        <v>7.5</v>
      </c>
      <c r="BC710" s="2">
        <v>2.9</v>
      </c>
      <c r="BD710" s="2">
        <f>+AN710*EXP(-0.0495*Y710)</f>
        <v>6.6846614947578598</v>
      </c>
      <c r="BE710" s="2">
        <f>+AO710*EXP(-0.024*Y710)</f>
        <v>19.735625618493525</v>
      </c>
    </row>
    <row r="711" spans="1:57" x14ac:dyDescent="0.2">
      <c r="A711" s="2" t="s">
        <v>2942</v>
      </c>
      <c r="B711" s="2" t="s">
        <v>19</v>
      </c>
      <c r="C711" s="2" t="s">
        <v>1907</v>
      </c>
      <c r="D711" s="2" t="s">
        <v>21</v>
      </c>
      <c r="E711" s="2" t="s">
        <v>2943</v>
      </c>
      <c r="F711" s="2">
        <v>3</v>
      </c>
      <c r="G711" s="2">
        <v>513.6</v>
      </c>
      <c r="H711" s="2">
        <v>5</v>
      </c>
      <c r="I711" s="2">
        <v>5</v>
      </c>
      <c r="J711" s="2">
        <v>2</v>
      </c>
      <c r="K711" s="2" t="s">
        <v>61</v>
      </c>
      <c r="L711" s="6" t="s">
        <v>113</v>
      </c>
      <c r="M711" s="5">
        <v>880000000</v>
      </c>
      <c r="N711" s="2">
        <v>0</v>
      </c>
      <c r="O711" s="2">
        <v>4.6799200000000001</v>
      </c>
      <c r="P711" s="2">
        <v>-74.08914</v>
      </c>
      <c r="Q711" s="2" t="s">
        <v>2944</v>
      </c>
      <c r="R711" s="2">
        <v>1713395.639</v>
      </c>
      <c r="S711" s="2">
        <v>0</v>
      </c>
      <c r="T711" s="2" t="s">
        <v>26</v>
      </c>
      <c r="U711" s="2" t="s">
        <v>27</v>
      </c>
      <c r="V711" s="2" t="s">
        <v>28</v>
      </c>
      <c r="W711" s="2" t="s">
        <v>29</v>
      </c>
      <c r="X711" s="2" t="s">
        <v>30</v>
      </c>
      <c r="Y711" s="2">
        <v>2.4561821241264199</v>
      </c>
      <c r="Z711" s="2">
        <v>4.6584666666666701</v>
      </c>
      <c r="AA711" s="2">
        <v>-74.083966666666697</v>
      </c>
      <c r="AB711" s="2">
        <v>2552</v>
      </c>
      <c r="AC711" s="2" t="s">
        <v>31</v>
      </c>
      <c r="AD711" s="2" t="s">
        <v>32</v>
      </c>
      <c r="AE711" s="2" t="s">
        <v>33</v>
      </c>
      <c r="AF711" s="2" t="s">
        <v>34</v>
      </c>
      <c r="AG711" s="2" t="s">
        <v>363</v>
      </c>
      <c r="AH711" s="2">
        <v>1.15279774250805</v>
      </c>
      <c r="AI711" s="2">
        <v>5.1577498219750098</v>
      </c>
      <c r="AJ711" s="2">
        <v>1.7409819362213801</v>
      </c>
      <c r="AK711" s="2">
        <v>0.12780144398689899</v>
      </c>
      <c r="AL711" s="2">
        <v>9.0081148816427304E-3</v>
      </c>
      <c r="AN711" s="2">
        <v>6.8</v>
      </c>
      <c r="AO711" s="2">
        <v>19.899999999999999</v>
      </c>
      <c r="AP711" s="2">
        <v>564</v>
      </c>
      <c r="AQ711" s="2">
        <v>68</v>
      </c>
      <c r="AR711" s="2">
        <v>1.5</v>
      </c>
      <c r="AS711" s="2">
        <v>135</v>
      </c>
      <c r="AT711" s="2">
        <v>0.8</v>
      </c>
      <c r="AU711" s="2">
        <v>162</v>
      </c>
      <c r="AV711" s="2">
        <v>9.1</v>
      </c>
      <c r="AW711" s="2">
        <v>9.1999999999999993</v>
      </c>
      <c r="AX711" s="2">
        <v>18.3</v>
      </c>
      <c r="AY711" s="2">
        <v>0.34</v>
      </c>
      <c r="AZ711" s="2">
        <v>7.3</v>
      </c>
      <c r="BA711" s="2">
        <v>0.9</v>
      </c>
      <c r="BB711" s="2">
        <v>7.5</v>
      </c>
      <c r="BC711" s="2">
        <v>2.9</v>
      </c>
      <c r="BD711" s="2">
        <f>+AN711*EXP(-0.0495*Y711)</f>
        <v>6.0215313077831913</v>
      </c>
      <c r="BE711" s="2">
        <f>+AO711*EXP(-0.024*Y711)</f>
        <v>18.760833284677684</v>
      </c>
    </row>
    <row r="712" spans="1:57" x14ac:dyDescent="0.2">
      <c r="A712" s="2" t="s">
        <v>2043</v>
      </c>
      <c r="B712" s="2" t="s">
        <v>19</v>
      </c>
      <c r="C712" s="2" t="s">
        <v>1907</v>
      </c>
      <c r="D712" s="2" t="s">
        <v>21</v>
      </c>
      <c r="E712" s="2" t="s">
        <v>2044</v>
      </c>
      <c r="F712" s="2">
        <v>4</v>
      </c>
      <c r="G712" s="2">
        <v>508</v>
      </c>
      <c r="H712" s="2">
        <v>5</v>
      </c>
      <c r="I712" s="2">
        <v>5</v>
      </c>
      <c r="J712" s="2">
        <v>4</v>
      </c>
      <c r="K712" s="2" t="s">
        <v>61</v>
      </c>
      <c r="L712" s="6" t="s">
        <v>113</v>
      </c>
      <c r="M712" s="5">
        <v>1750000000</v>
      </c>
      <c r="N712" s="2">
        <v>0</v>
      </c>
      <c r="O712" s="2">
        <v>4.6717901230000001</v>
      </c>
      <c r="P712" s="2">
        <v>-74.110977169999998</v>
      </c>
      <c r="Q712" s="2" t="s">
        <v>2045</v>
      </c>
      <c r="R712" s="2">
        <v>3444881.89</v>
      </c>
      <c r="S712" s="2">
        <v>0</v>
      </c>
      <c r="T712" s="2" t="s">
        <v>26</v>
      </c>
      <c r="U712" s="2" t="s">
        <v>27</v>
      </c>
      <c r="V712" s="2" t="s">
        <v>28</v>
      </c>
      <c r="W712" s="2" t="s">
        <v>29</v>
      </c>
      <c r="X712" s="2" t="s">
        <v>30</v>
      </c>
      <c r="Y712" s="2">
        <v>3.34376730023155</v>
      </c>
      <c r="Z712" s="2">
        <v>4.6584666666666701</v>
      </c>
      <c r="AA712" s="2">
        <v>-74.083966666666697</v>
      </c>
      <c r="AB712" s="2">
        <v>2552</v>
      </c>
      <c r="AC712" s="2" t="s">
        <v>31</v>
      </c>
      <c r="AD712" s="2" t="s">
        <v>32</v>
      </c>
      <c r="AE712" s="2" t="s">
        <v>33</v>
      </c>
      <c r="AF712" s="2" t="s">
        <v>34</v>
      </c>
      <c r="AG712" s="2" t="s">
        <v>363</v>
      </c>
      <c r="AH712" s="2">
        <v>0.39961463616695297</v>
      </c>
      <c r="AI712" s="2">
        <v>5.2169901758561199</v>
      </c>
      <c r="AJ712" s="2">
        <v>1.61030822589427</v>
      </c>
      <c r="AK712" s="2">
        <v>0.20257162401083201</v>
      </c>
      <c r="AL712" s="2">
        <v>0.242322011841137</v>
      </c>
      <c r="AN712" s="2">
        <v>6.8</v>
      </c>
      <c r="AO712" s="2">
        <v>19.899999999999999</v>
      </c>
      <c r="AP712" s="2">
        <v>564</v>
      </c>
      <c r="AQ712" s="2">
        <v>68</v>
      </c>
      <c r="AR712" s="2">
        <v>1.5</v>
      </c>
      <c r="AS712" s="2">
        <v>135</v>
      </c>
      <c r="AT712" s="2">
        <v>0.8</v>
      </c>
      <c r="AU712" s="2">
        <v>162</v>
      </c>
      <c r="AV712" s="2">
        <v>9.1</v>
      </c>
      <c r="AW712" s="2">
        <v>9.1999999999999993</v>
      </c>
      <c r="AX712" s="2">
        <v>18.3</v>
      </c>
      <c r="AY712" s="2">
        <v>0.34</v>
      </c>
      <c r="AZ712" s="2">
        <v>7.3</v>
      </c>
      <c r="BA712" s="2">
        <v>0.9</v>
      </c>
      <c r="BB712" s="2">
        <v>7.5</v>
      </c>
      <c r="BC712" s="2">
        <v>2.9</v>
      </c>
      <c r="BD712" s="2">
        <f>+AN712*EXP(-0.0495*Y712)</f>
        <v>5.7627000918675835</v>
      </c>
      <c r="BE712" s="2">
        <f>+AO712*EXP(-0.024*Y712)</f>
        <v>18.36541573786166</v>
      </c>
    </row>
    <row r="713" spans="1:57" x14ac:dyDescent="0.2">
      <c r="A713" s="2" t="s">
        <v>2861</v>
      </c>
      <c r="B713" s="2" t="s">
        <v>19</v>
      </c>
      <c r="C713" s="2" t="s">
        <v>1907</v>
      </c>
      <c r="D713" s="2" t="s">
        <v>21</v>
      </c>
      <c r="E713" s="2" t="s">
        <v>584</v>
      </c>
      <c r="F713" s="2">
        <v>4</v>
      </c>
      <c r="G713" s="2">
        <v>500</v>
      </c>
      <c r="H713" s="2">
        <v>5</v>
      </c>
      <c r="I713" s="2">
        <v>5</v>
      </c>
      <c r="J713" s="2">
        <v>2</v>
      </c>
      <c r="K713" s="2" t="s">
        <v>61</v>
      </c>
      <c r="L713" s="6" t="s">
        <v>113</v>
      </c>
      <c r="M713" s="5">
        <v>2500000000</v>
      </c>
      <c r="N713" s="2">
        <v>0</v>
      </c>
      <c r="O713" s="2">
        <v>4.6259100000000002</v>
      </c>
      <c r="P713" s="2">
        <v>-74.071089999999998</v>
      </c>
      <c r="Q713" s="2" t="s">
        <v>2862</v>
      </c>
      <c r="R713" s="2">
        <v>5000000</v>
      </c>
      <c r="S713" s="2">
        <v>0</v>
      </c>
      <c r="T713" s="2" t="s">
        <v>77</v>
      </c>
      <c r="U713" s="2" t="s">
        <v>78</v>
      </c>
      <c r="V713" s="2" t="s">
        <v>28</v>
      </c>
      <c r="W713" s="2" t="s">
        <v>79</v>
      </c>
      <c r="X713" s="2" t="s">
        <v>80</v>
      </c>
      <c r="Y713" s="2">
        <v>0.458406346821982</v>
      </c>
      <c r="Z713" s="2">
        <v>4.6254861111111101</v>
      </c>
      <c r="AA713" s="2">
        <v>-74.066980555555503</v>
      </c>
      <c r="AB713" s="2">
        <v>2621</v>
      </c>
      <c r="AC713" s="2" t="s">
        <v>31</v>
      </c>
      <c r="AD713" s="2" t="s">
        <v>32</v>
      </c>
      <c r="AE713" s="2" t="s">
        <v>33</v>
      </c>
      <c r="AF713" s="2" t="s">
        <v>34</v>
      </c>
      <c r="AG713" s="2" t="s">
        <v>35</v>
      </c>
      <c r="AH713" s="2">
        <v>0.244119855042744</v>
      </c>
      <c r="AI713" s="2">
        <v>1.1247234569020199</v>
      </c>
      <c r="AJ713" s="2">
        <v>0.127910796077675</v>
      </c>
      <c r="AK713" s="2">
        <v>5.99495520680123E-2</v>
      </c>
      <c r="AL713" s="2">
        <v>0.13467407968062001</v>
      </c>
      <c r="AN713" s="2">
        <v>6.8</v>
      </c>
      <c r="AO713" s="2">
        <v>19.899999999999999</v>
      </c>
      <c r="AP713" s="2">
        <v>564</v>
      </c>
      <c r="AQ713" s="2">
        <v>68</v>
      </c>
      <c r="AR713" s="2">
        <v>1.5</v>
      </c>
      <c r="AS713" s="2">
        <v>135</v>
      </c>
      <c r="AT713" s="2">
        <v>0.8</v>
      </c>
      <c r="AU713" s="2">
        <v>162</v>
      </c>
      <c r="AV713" s="2">
        <v>9.1</v>
      </c>
      <c r="AW713" s="2">
        <v>9.1999999999999993</v>
      </c>
      <c r="AX713" s="2">
        <v>18.3</v>
      </c>
      <c r="AY713" s="2">
        <v>0.34</v>
      </c>
      <c r="AZ713" s="2">
        <v>7.3</v>
      </c>
      <c r="BA713" s="2">
        <v>0.9</v>
      </c>
      <c r="BB713" s="2">
        <v>7.5</v>
      </c>
      <c r="BC713" s="2">
        <v>2.9</v>
      </c>
      <c r="BD713" s="2">
        <f>+AN713*EXP(-0.0495*Y713)</f>
        <v>6.6474378719532083</v>
      </c>
      <c r="BE713" s="2">
        <f>+AO713*EXP(-0.024*Y713)</f>
        <v>19.682265057899542</v>
      </c>
    </row>
    <row r="714" spans="1:57" x14ac:dyDescent="0.2">
      <c r="A714" s="2" t="s">
        <v>2817</v>
      </c>
      <c r="B714" s="2" t="s">
        <v>19</v>
      </c>
      <c r="C714" s="2" t="s">
        <v>1907</v>
      </c>
      <c r="D714" s="2" t="s">
        <v>21</v>
      </c>
      <c r="E714" s="2" t="s">
        <v>35</v>
      </c>
      <c r="F714" s="2">
        <v>4</v>
      </c>
      <c r="G714" s="2">
        <v>500</v>
      </c>
      <c r="H714" s="2">
        <v>5</v>
      </c>
      <c r="I714" s="2">
        <v>5</v>
      </c>
      <c r="J714" s="2">
        <v>3</v>
      </c>
      <c r="K714" s="2" t="s">
        <v>61</v>
      </c>
      <c r="L714" s="6" t="s">
        <v>113</v>
      </c>
      <c r="M714" s="5">
        <v>1880000000</v>
      </c>
      <c r="N714" s="2">
        <v>0</v>
      </c>
      <c r="O714" s="2">
        <v>4.6292678199999999</v>
      </c>
      <c r="P714" s="2">
        <v>-74.070207769999996</v>
      </c>
      <c r="Q714" s="2" t="s">
        <v>2818</v>
      </c>
      <c r="R714" s="2">
        <v>3760000</v>
      </c>
      <c r="S714" s="2">
        <v>0</v>
      </c>
      <c r="T714" s="2" t="s">
        <v>77</v>
      </c>
      <c r="U714" s="2" t="s">
        <v>78</v>
      </c>
      <c r="V714" s="2" t="s">
        <v>28</v>
      </c>
      <c r="W714" s="2" t="s">
        <v>79</v>
      </c>
      <c r="X714" s="2" t="s">
        <v>80</v>
      </c>
      <c r="Y714" s="2">
        <v>0.55267016043369599</v>
      </c>
      <c r="Z714" s="2">
        <v>4.6254861111111101</v>
      </c>
      <c r="AA714" s="2">
        <v>-74.066980555555503</v>
      </c>
      <c r="AB714" s="2">
        <v>2621</v>
      </c>
      <c r="AC714" s="2" t="s">
        <v>31</v>
      </c>
      <c r="AD714" s="2" t="s">
        <v>32</v>
      </c>
      <c r="AE714" s="2" t="s">
        <v>33</v>
      </c>
      <c r="AF714" s="2" t="s">
        <v>34</v>
      </c>
      <c r="AG714" s="2" t="s">
        <v>35</v>
      </c>
      <c r="AH714" s="2">
        <v>0.31098217996959998</v>
      </c>
      <c r="AI714" s="2">
        <v>1.02734485310915</v>
      </c>
      <c r="AJ714" s="2">
        <v>3.9249289941335398E-2</v>
      </c>
      <c r="AK714" s="2">
        <v>7.5899565748374406E-2</v>
      </c>
      <c r="AL714" s="2">
        <v>1.3178116957570499E-4</v>
      </c>
      <c r="AN714" s="2">
        <v>6.8</v>
      </c>
      <c r="AO714" s="2">
        <v>19.899999999999999</v>
      </c>
      <c r="AP714" s="2">
        <v>564</v>
      </c>
      <c r="AQ714" s="2">
        <v>68</v>
      </c>
      <c r="AR714" s="2">
        <v>1.5</v>
      </c>
      <c r="AS714" s="2">
        <v>135</v>
      </c>
      <c r="AT714" s="2">
        <v>0.8</v>
      </c>
      <c r="AU714" s="2">
        <v>162</v>
      </c>
      <c r="AV714" s="2">
        <v>9.1</v>
      </c>
      <c r="AW714" s="2">
        <v>9.1999999999999993</v>
      </c>
      <c r="AX714" s="2">
        <v>18.3</v>
      </c>
      <c r="AY714" s="2">
        <v>0.34</v>
      </c>
      <c r="AZ714" s="2">
        <v>7.3</v>
      </c>
      <c r="BA714" s="2">
        <v>0.9</v>
      </c>
      <c r="BB714" s="2">
        <v>7.5</v>
      </c>
      <c r="BC714" s="2">
        <v>2.9</v>
      </c>
      <c r="BD714" s="2">
        <f>+AN714*EXP(-0.0495*Y714)</f>
        <v>6.6164927880826205</v>
      </c>
      <c r="BE714" s="2">
        <f>+AO714*EXP(-0.024*Y714)</f>
        <v>19.637787579513532</v>
      </c>
    </row>
    <row r="715" spans="1:57" x14ac:dyDescent="0.2">
      <c r="A715" s="2" t="s">
        <v>3200</v>
      </c>
      <c r="B715" s="2" t="s">
        <v>19</v>
      </c>
      <c r="C715" s="2" t="s">
        <v>1907</v>
      </c>
      <c r="D715" s="2" t="s">
        <v>21</v>
      </c>
      <c r="E715" s="2" t="s">
        <v>2134</v>
      </c>
      <c r="F715" s="2">
        <v>4</v>
      </c>
      <c r="G715" s="2">
        <v>481</v>
      </c>
      <c r="H715" s="2">
        <v>5</v>
      </c>
      <c r="I715" s="2">
        <v>5</v>
      </c>
      <c r="J715" s="2">
        <v>4</v>
      </c>
      <c r="K715" s="2" t="s">
        <v>61</v>
      </c>
      <c r="L715" s="6" t="s">
        <v>113</v>
      </c>
      <c r="M715" s="5">
        <v>2375000000</v>
      </c>
      <c r="N715" s="2">
        <v>0</v>
      </c>
      <c r="O715" s="2">
        <v>4.6307520870000003</v>
      </c>
      <c r="P715" s="2">
        <v>-74.067253109999996</v>
      </c>
      <c r="Q715" s="2" t="s">
        <v>3201</v>
      </c>
      <c r="R715" s="2">
        <v>4937629.9380000001</v>
      </c>
      <c r="S715" s="2">
        <v>0</v>
      </c>
      <c r="T715" s="2" t="s">
        <v>77</v>
      </c>
      <c r="U715" s="2" t="s">
        <v>78</v>
      </c>
      <c r="V715" s="2" t="s">
        <v>28</v>
      </c>
      <c r="W715" s="2" t="s">
        <v>79</v>
      </c>
      <c r="X715" s="2" t="s">
        <v>80</v>
      </c>
      <c r="Y715" s="2">
        <v>0.58698530356381895</v>
      </c>
      <c r="Z715" s="2">
        <v>4.6254861111111101</v>
      </c>
      <c r="AA715" s="2">
        <v>-74.066980555555503</v>
      </c>
      <c r="AB715" s="2">
        <v>2621</v>
      </c>
      <c r="AC715" s="2" t="s">
        <v>31</v>
      </c>
      <c r="AD715" s="2" t="s">
        <v>32</v>
      </c>
      <c r="AE715" s="2" t="s">
        <v>33</v>
      </c>
      <c r="AF715" s="2" t="s">
        <v>34</v>
      </c>
      <c r="AG715" s="2" t="s">
        <v>81</v>
      </c>
      <c r="AH715" s="2">
        <v>0.103935642824174</v>
      </c>
      <c r="AI715" s="2">
        <v>0.72657051122361305</v>
      </c>
      <c r="AJ715" s="2">
        <v>9.3165920895006193E-2</v>
      </c>
      <c r="AK715" s="2">
        <v>5.0666652216638901E-2</v>
      </c>
      <c r="AL715" s="2">
        <v>0.32465100238878603</v>
      </c>
      <c r="AN715" s="2">
        <v>6.8</v>
      </c>
      <c r="AO715" s="2">
        <v>19.899999999999999</v>
      </c>
      <c r="AP715" s="2">
        <v>564</v>
      </c>
      <c r="AQ715" s="2">
        <v>68</v>
      </c>
      <c r="AR715" s="2">
        <v>1.5</v>
      </c>
      <c r="AS715" s="2">
        <v>135</v>
      </c>
      <c r="AT715" s="2">
        <v>0.8</v>
      </c>
      <c r="AU715" s="2">
        <v>162</v>
      </c>
      <c r="AV715" s="2">
        <v>9.1</v>
      </c>
      <c r="AW715" s="2">
        <v>9.1999999999999993</v>
      </c>
      <c r="AX715" s="2">
        <v>18.3</v>
      </c>
      <c r="AY715" s="2">
        <v>0.34</v>
      </c>
      <c r="AZ715" s="2">
        <v>7.3</v>
      </c>
      <c r="BA715" s="2">
        <v>0.9</v>
      </c>
      <c r="BB715" s="2">
        <v>7.5</v>
      </c>
      <c r="BC715" s="2">
        <v>2.9</v>
      </c>
      <c r="BD715" s="2">
        <f>+AN715*EXP(-0.0495*Y715)</f>
        <v>6.6052635558635311</v>
      </c>
      <c r="BE715" s="2">
        <f>+AO715*EXP(-0.024*Y715)</f>
        <v>19.621621273619279</v>
      </c>
    </row>
    <row r="716" spans="1:57" x14ac:dyDescent="0.2">
      <c r="A716" s="2" t="s">
        <v>2955</v>
      </c>
      <c r="B716" s="2" t="s">
        <v>19</v>
      </c>
      <c r="C716" s="2" t="s">
        <v>1907</v>
      </c>
      <c r="D716" s="2" t="s">
        <v>21</v>
      </c>
      <c r="E716" s="2" t="s">
        <v>2956</v>
      </c>
      <c r="F716" s="2">
        <v>4</v>
      </c>
      <c r="G716" s="2">
        <v>479</v>
      </c>
      <c r="H716" s="2">
        <v>4</v>
      </c>
      <c r="I716" s="2">
        <v>4</v>
      </c>
      <c r="J716" s="2">
        <v>2</v>
      </c>
      <c r="K716" s="2" t="s">
        <v>61</v>
      </c>
      <c r="L716" s="6" t="s">
        <v>113</v>
      </c>
      <c r="M716" s="5">
        <v>1400000000</v>
      </c>
      <c r="N716" s="2">
        <v>0</v>
      </c>
      <c r="O716" s="2">
        <v>4.6545699999999997</v>
      </c>
      <c r="P716" s="2">
        <v>-74.098680000000002</v>
      </c>
      <c r="Q716" s="2" t="s">
        <v>2957</v>
      </c>
      <c r="R716" s="2">
        <v>2922755.7409999999</v>
      </c>
      <c r="S716" s="2">
        <v>0</v>
      </c>
      <c r="T716" s="2" t="s">
        <v>26</v>
      </c>
      <c r="U716" s="2" t="s">
        <v>27</v>
      </c>
      <c r="V716" s="2" t="s">
        <v>28</v>
      </c>
      <c r="W716" s="2" t="s">
        <v>29</v>
      </c>
      <c r="X716" s="2" t="s">
        <v>30</v>
      </c>
      <c r="Y716" s="2">
        <v>1.68912225819724</v>
      </c>
      <c r="Z716" s="2">
        <v>4.6584666666666701</v>
      </c>
      <c r="AA716" s="2">
        <v>-74.083966666666697</v>
      </c>
      <c r="AB716" s="2">
        <v>2552</v>
      </c>
      <c r="AC716" s="2" t="s">
        <v>31</v>
      </c>
      <c r="AD716" s="2" t="s">
        <v>32</v>
      </c>
      <c r="AE716" s="2" t="s">
        <v>33</v>
      </c>
      <c r="AF716" s="2" t="s">
        <v>34</v>
      </c>
      <c r="AG716" s="2" t="s">
        <v>35</v>
      </c>
      <c r="AH716" s="2">
        <v>0.52539707495071197</v>
      </c>
      <c r="AI716" s="2">
        <v>4.8040827685323002</v>
      </c>
      <c r="AJ716" s="2">
        <v>0.96897906178416204</v>
      </c>
      <c r="AK716" s="2">
        <v>0.114191424094558</v>
      </c>
      <c r="AL716" s="2">
        <v>0.59632376317445801</v>
      </c>
      <c r="AN716" s="2">
        <v>6.8</v>
      </c>
      <c r="AO716" s="2">
        <v>19.899999999999999</v>
      </c>
      <c r="AP716" s="2">
        <v>564</v>
      </c>
      <c r="AQ716" s="2">
        <v>68</v>
      </c>
      <c r="AR716" s="2">
        <v>1.5</v>
      </c>
      <c r="AS716" s="2">
        <v>135</v>
      </c>
      <c r="AT716" s="2">
        <v>0.8</v>
      </c>
      <c r="AU716" s="2">
        <v>162</v>
      </c>
      <c r="AV716" s="2">
        <v>9.1</v>
      </c>
      <c r="AW716" s="2">
        <v>9.1999999999999993</v>
      </c>
      <c r="AX716" s="2">
        <v>18.3</v>
      </c>
      <c r="AY716" s="2">
        <v>0.34</v>
      </c>
      <c r="AZ716" s="2">
        <v>7.3</v>
      </c>
      <c r="BA716" s="2">
        <v>0.9</v>
      </c>
      <c r="BB716" s="2">
        <v>7.5</v>
      </c>
      <c r="BC716" s="2">
        <v>2.9</v>
      </c>
      <c r="BD716" s="2">
        <f>+AN716*EXP(-0.0495*Y716)</f>
        <v>6.2545616429585378</v>
      </c>
      <c r="BE716" s="2">
        <f>+AO716*EXP(-0.024*Y716)</f>
        <v>19.109408349829067</v>
      </c>
    </row>
    <row r="717" spans="1:57" x14ac:dyDescent="0.2">
      <c r="A717" s="2" t="s">
        <v>954</v>
      </c>
      <c r="B717" s="2" t="s">
        <v>19</v>
      </c>
      <c r="C717" s="2" t="s">
        <v>20</v>
      </c>
      <c r="D717" s="2" t="s">
        <v>21</v>
      </c>
      <c r="E717" s="2" t="s">
        <v>783</v>
      </c>
      <c r="F717" s="2">
        <v>6</v>
      </c>
      <c r="G717" s="2">
        <v>478.91</v>
      </c>
      <c r="H717" s="2">
        <v>5</v>
      </c>
      <c r="I717" s="2">
        <v>4</v>
      </c>
      <c r="J717" s="2">
        <v>4</v>
      </c>
      <c r="K717" s="2" t="s">
        <v>61</v>
      </c>
      <c r="L717" s="6" t="s">
        <v>113</v>
      </c>
      <c r="M717" s="5">
        <v>4000000000</v>
      </c>
      <c r="N717" s="2">
        <v>0</v>
      </c>
      <c r="O717" s="2">
        <v>4.6545249999999996</v>
      </c>
      <c r="P717" s="2">
        <v>-74.049301999999997</v>
      </c>
      <c r="Q717" s="2" t="s">
        <v>955</v>
      </c>
      <c r="R717" s="2">
        <v>8352300.0149999997</v>
      </c>
      <c r="S717" s="2">
        <v>0</v>
      </c>
      <c r="T717" s="2" t="s">
        <v>77</v>
      </c>
      <c r="U717" s="2" t="s">
        <v>78</v>
      </c>
      <c r="V717" s="2" t="s">
        <v>28</v>
      </c>
      <c r="W717" s="2" t="s">
        <v>79</v>
      </c>
      <c r="X717" s="2" t="s">
        <v>80</v>
      </c>
      <c r="Y717" s="2">
        <v>3.7811663652202001</v>
      </c>
      <c r="Z717" s="2">
        <v>4.6254861111111101</v>
      </c>
      <c r="AA717" s="2">
        <v>-74.066980555555503</v>
      </c>
      <c r="AB717" s="2">
        <v>2621</v>
      </c>
      <c r="AC717" s="2" t="s">
        <v>31</v>
      </c>
      <c r="AD717" s="2" t="s">
        <v>32</v>
      </c>
      <c r="AE717" s="2" t="s">
        <v>33</v>
      </c>
      <c r="AF717" s="2" t="s">
        <v>34</v>
      </c>
      <c r="AG717" s="2" t="s">
        <v>81</v>
      </c>
      <c r="AH717" s="2">
        <v>1.4737963045637399</v>
      </c>
      <c r="AI717" s="2">
        <v>0.114969921885405</v>
      </c>
      <c r="AJ717" s="2">
        <v>0.98117141715999001</v>
      </c>
      <c r="AK717" s="2">
        <v>0.56035660363158801</v>
      </c>
      <c r="AL717" s="2">
        <v>0.259157172535178</v>
      </c>
      <c r="AN717" s="2">
        <v>6.8</v>
      </c>
      <c r="AO717" s="2">
        <v>19.899999999999999</v>
      </c>
      <c r="AP717" s="2">
        <v>564</v>
      </c>
      <c r="AQ717" s="2">
        <v>68</v>
      </c>
      <c r="AR717" s="2">
        <v>1.5</v>
      </c>
      <c r="AS717" s="2">
        <v>135</v>
      </c>
      <c r="AT717" s="2">
        <v>0.8</v>
      </c>
      <c r="AU717" s="2">
        <v>162</v>
      </c>
      <c r="AV717" s="2">
        <v>9.1</v>
      </c>
      <c r="AW717" s="2">
        <v>9.1999999999999993</v>
      </c>
      <c r="AX717" s="2">
        <v>18.3</v>
      </c>
      <c r="AY717" s="2">
        <v>0.34</v>
      </c>
      <c r="AZ717" s="2">
        <v>7.3</v>
      </c>
      <c r="BA717" s="2">
        <v>0.9</v>
      </c>
      <c r="BB717" s="2">
        <v>7.5</v>
      </c>
      <c r="BC717" s="2">
        <v>2.9</v>
      </c>
      <c r="BD717" s="2">
        <f>+AN717*EXP(-0.0495*Y717)</f>
        <v>5.6392714244512012</v>
      </c>
      <c r="BE717" s="2">
        <f>+AO717*EXP(-0.024*Y717)</f>
        <v>18.173631756545269</v>
      </c>
    </row>
    <row r="718" spans="1:57" x14ac:dyDescent="0.2">
      <c r="A718" s="2" t="s">
        <v>2027</v>
      </c>
      <c r="B718" s="2" t="s">
        <v>19</v>
      </c>
      <c r="C718" s="2" t="s">
        <v>1907</v>
      </c>
      <c r="D718" s="2" t="s">
        <v>21</v>
      </c>
      <c r="E718" s="2" t="s">
        <v>645</v>
      </c>
      <c r="F718" s="2">
        <v>4</v>
      </c>
      <c r="G718" s="2">
        <v>458</v>
      </c>
      <c r="H718" s="2">
        <v>5</v>
      </c>
      <c r="I718" s="2">
        <v>5</v>
      </c>
      <c r="J718" s="2">
        <v>2</v>
      </c>
      <c r="K718" s="2" t="s">
        <v>61</v>
      </c>
      <c r="L718" s="6" t="s">
        <v>113</v>
      </c>
      <c r="M718" s="5">
        <v>2800000000</v>
      </c>
      <c r="N718" s="2">
        <v>0</v>
      </c>
      <c r="O718" s="2">
        <v>4.6442093849999999</v>
      </c>
      <c r="P718" s="2">
        <v>-74.061004639999993</v>
      </c>
      <c r="Q718" s="2" t="s">
        <v>2028</v>
      </c>
      <c r="R718" s="2">
        <v>6113537.1179999998</v>
      </c>
      <c r="S718" s="2">
        <v>0</v>
      </c>
      <c r="T718" s="2" t="s">
        <v>77</v>
      </c>
      <c r="U718" s="2" t="s">
        <v>78</v>
      </c>
      <c r="V718" s="2" t="s">
        <v>28</v>
      </c>
      <c r="W718" s="2" t="s">
        <v>79</v>
      </c>
      <c r="X718" s="2" t="s">
        <v>80</v>
      </c>
      <c r="Y718" s="2">
        <v>2.1871925216867898</v>
      </c>
      <c r="Z718" s="2">
        <v>4.6254861111111101</v>
      </c>
      <c r="AA718" s="2">
        <v>-74.066980555555503</v>
      </c>
      <c r="AB718" s="2">
        <v>2621</v>
      </c>
      <c r="AC718" s="2" t="s">
        <v>31</v>
      </c>
      <c r="AD718" s="2" t="s">
        <v>32</v>
      </c>
      <c r="AE718" s="2" t="s">
        <v>33</v>
      </c>
      <c r="AF718" s="2" t="s">
        <v>34</v>
      </c>
      <c r="AG718" s="2" t="s">
        <v>81</v>
      </c>
      <c r="AH718" s="2">
        <v>0.55181693209264604</v>
      </c>
      <c r="AI718" s="2">
        <v>0.52716220180092299</v>
      </c>
      <c r="AJ718" s="2">
        <v>0.119495549060274</v>
      </c>
      <c r="AK718" s="2">
        <v>8.6531553935872502E-2</v>
      </c>
      <c r="AL718" s="2">
        <v>0.173922159925917</v>
      </c>
      <c r="AN718" s="2">
        <v>6.8</v>
      </c>
      <c r="AO718" s="2">
        <v>19.899999999999999</v>
      </c>
      <c r="AP718" s="2">
        <v>564</v>
      </c>
      <c r="AQ718" s="2">
        <v>68</v>
      </c>
      <c r="AR718" s="2">
        <v>1.5</v>
      </c>
      <c r="AS718" s="2">
        <v>135</v>
      </c>
      <c r="AT718" s="2">
        <v>0.8</v>
      </c>
      <c r="AU718" s="2">
        <v>162</v>
      </c>
      <c r="AV718" s="2">
        <v>9.1</v>
      </c>
      <c r="AW718" s="2">
        <v>9.1999999999999993</v>
      </c>
      <c r="AX718" s="2">
        <v>18.3</v>
      </c>
      <c r="AY718" s="2">
        <v>0.34</v>
      </c>
      <c r="AZ718" s="2">
        <v>7.3</v>
      </c>
      <c r="BA718" s="2">
        <v>0.9</v>
      </c>
      <c r="BB718" s="2">
        <v>7.5</v>
      </c>
      <c r="BC718" s="2">
        <v>2.9</v>
      </c>
      <c r="BD718" s="2">
        <f>+AN718*EXP(-0.0495*Y718)</f>
        <v>6.1022440608637627</v>
      </c>
      <c r="BE718" s="2">
        <f>+AO718*EXP(-0.024*Y718)</f>
        <v>18.882340330340014</v>
      </c>
    </row>
    <row r="719" spans="1:57" x14ac:dyDescent="0.2">
      <c r="A719" s="2" t="s">
        <v>3009</v>
      </c>
      <c r="B719" s="2" t="s">
        <v>19</v>
      </c>
      <c r="C719" s="2" t="s">
        <v>1907</v>
      </c>
      <c r="D719" s="2" t="s">
        <v>21</v>
      </c>
      <c r="E719" s="2" t="s">
        <v>3010</v>
      </c>
      <c r="F719" s="2">
        <v>3</v>
      </c>
      <c r="G719" s="2">
        <v>458</v>
      </c>
      <c r="H719" s="2">
        <v>5</v>
      </c>
      <c r="I719" s="2">
        <v>4</v>
      </c>
      <c r="J719" s="2">
        <v>2</v>
      </c>
      <c r="K719" s="2" t="s">
        <v>61</v>
      </c>
      <c r="L719" s="6" t="s">
        <v>113</v>
      </c>
      <c r="M719" s="5">
        <v>1200000000</v>
      </c>
      <c r="N719" s="2">
        <v>0</v>
      </c>
      <c r="O719" s="2">
        <v>4.6528391840000003</v>
      </c>
      <c r="P719" s="2">
        <v>-74.069137569999995</v>
      </c>
      <c r="Q719" s="2" t="s">
        <v>3011</v>
      </c>
      <c r="R719" s="2">
        <v>2620087.3360000001</v>
      </c>
      <c r="S719" s="2">
        <v>0</v>
      </c>
      <c r="T719" s="2" t="s">
        <v>26</v>
      </c>
      <c r="U719" s="2" t="s">
        <v>27</v>
      </c>
      <c r="V719" s="2" t="s">
        <v>28</v>
      </c>
      <c r="W719" s="2" t="s">
        <v>29</v>
      </c>
      <c r="X719" s="2" t="s">
        <v>30</v>
      </c>
      <c r="Y719" s="2">
        <v>1.7605448737984499</v>
      </c>
      <c r="Z719" s="2">
        <v>4.6584666666666701</v>
      </c>
      <c r="AA719" s="2">
        <v>-74.083966666666697</v>
      </c>
      <c r="AB719" s="2">
        <v>2552</v>
      </c>
      <c r="AC719" s="2" t="s">
        <v>31</v>
      </c>
      <c r="AD719" s="2" t="s">
        <v>32</v>
      </c>
      <c r="AE719" s="2" t="s">
        <v>33</v>
      </c>
      <c r="AF719" s="2" t="s">
        <v>34</v>
      </c>
      <c r="AG719" s="2" t="s">
        <v>293</v>
      </c>
      <c r="AH719" s="2">
        <v>0.68126163270392204</v>
      </c>
      <c r="AI719" s="2">
        <v>1.83818196686482</v>
      </c>
      <c r="AJ719" s="2">
        <v>0.31995237933644199</v>
      </c>
      <c r="AK719" s="2">
        <v>5.5516919634495197E-2</v>
      </c>
      <c r="AL719" s="2">
        <v>6.2398143272201596E-3</v>
      </c>
      <c r="AN719" s="2">
        <v>6.8</v>
      </c>
      <c r="AO719" s="2">
        <v>19.899999999999999</v>
      </c>
      <c r="AP719" s="2">
        <v>564</v>
      </c>
      <c r="AQ719" s="2">
        <v>68</v>
      </c>
      <c r="AR719" s="2">
        <v>1.5</v>
      </c>
      <c r="AS719" s="2">
        <v>135</v>
      </c>
      <c r="AT719" s="2">
        <v>0.8</v>
      </c>
      <c r="AU719" s="2">
        <v>162</v>
      </c>
      <c r="AV719" s="2">
        <v>9.1</v>
      </c>
      <c r="AW719" s="2">
        <v>9.1999999999999993</v>
      </c>
      <c r="AX719" s="2">
        <v>18.3</v>
      </c>
      <c r="AY719" s="2">
        <v>0.34</v>
      </c>
      <c r="AZ719" s="2">
        <v>7.3</v>
      </c>
      <c r="BA719" s="2">
        <v>0.9</v>
      </c>
      <c r="BB719" s="2">
        <v>7.5</v>
      </c>
      <c r="BC719" s="2">
        <v>2.9</v>
      </c>
      <c r="BD719" s="2">
        <f>+AN719*EXP(-0.0495*Y719)</f>
        <v>6.2324881863913468</v>
      </c>
      <c r="BE719" s="2">
        <f>+AO719*EXP(-0.024*Y719)</f>
        <v>19.076680153996527</v>
      </c>
    </row>
    <row r="720" spans="1:57" x14ac:dyDescent="0.2">
      <c r="A720" s="2" t="s">
        <v>2591</v>
      </c>
      <c r="B720" s="2" t="s">
        <v>19</v>
      </c>
      <c r="C720" s="2" t="s">
        <v>1907</v>
      </c>
      <c r="D720" s="2" t="s">
        <v>21</v>
      </c>
      <c r="E720" s="2" t="s">
        <v>2592</v>
      </c>
      <c r="F720" s="2">
        <v>2</v>
      </c>
      <c r="G720" s="2">
        <v>457</v>
      </c>
      <c r="H720" s="2">
        <v>5</v>
      </c>
      <c r="I720" s="2">
        <v>5</v>
      </c>
      <c r="J720" s="2">
        <v>1</v>
      </c>
      <c r="K720" s="2" t="s">
        <v>61</v>
      </c>
      <c r="L720" s="6" t="s">
        <v>113</v>
      </c>
      <c r="M720" s="5">
        <v>550000000</v>
      </c>
      <c r="N720" s="2">
        <v>0</v>
      </c>
      <c r="O720" s="2">
        <v>4.6017380000000001</v>
      </c>
      <c r="P720" s="2">
        <v>-74.182875899999999</v>
      </c>
      <c r="Q720" s="2" t="s">
        <v>2593</v>
      </c>
      <c r="R720" s="2">
        <v>1203501.094</v>
      </c>
      <c r="S720" s="2">
        <v>0</v>
      </c>
      <c r="T720" s="2" t="s">
        <v>316</v>
      </c>
      <c r="U720" s="2" t="s">
        <v>317</v>
      </c>
      <c r="V720" s="2" t="s">
        <v>28</v>
      </c>
      <c r="W720" s="2" t="s">
        <v>316</v>
      </c>
      <c r="X720" s="2" t="s">
        <v>318</v>
      </c>
      <c r="Y720" s="2">
        <v>2.38932448988716</v>
      </c>
      <c r="Z720" s="2">
        <v>4.6056111111111102</v>
      </c>
      <c r="AA720" s="2">
        <v>-74.204055555555598</v>
      </c>
      <c r="AB720" s="2">
        <v>2546</v>
      </c>
      <c r="AC720" s="2" t="s">
        <v>31</v>
      </c>
      <c r="AD720" s="2" t="s">
        <v>58</v>
      </c>
      <c r="AE720" s="2" t="s">
        <v>33</v>
      </c>
      <c r="AF720" s="2" t="s">
        <v>34</v>
      </c>
      <c r="AG720" s="2" t="s">
        <v>319</v>
      </c>
      <c r="AH720" s="2">
        <v>0.56641558129384895</v>
      </c>
      <c r="AI720" s="2">
        <v>3.4002929910813902</v>
      </c>
      <c r="AJ720" s="2">
        <v>4.98438292891068</v>
      </c>
      <c r="AK720" s="2">
        <v>0.13171291171280899</v>
      </c>
      <c r="AL720" s="2">
        <v>7.0594879443187805E-2</v>
      </c>
      <c r="AN720" s="2">
        <v>6.8</v>
      </c>
      <c r="AO720" s="2">
        <v>19.899999999999999</v>
      </c>
      <c r="AP720" s="2">
        <v>564</v>
      </c>
      <c r="AQ720" s="2">
        <v>68</v>
      </c>
      <c r="AR720" s="2">
        <v>1.5</v>
      </c>
      <c r="AS720" s="2">
        <v>135</v>
      </c>
      <c r="AT720" s="2">
        <v>0.8</v>
      </c>
      <c r="AU720" s="2">
        <v>162</v>
      </c>
      <c r="AV720" s="2">
        <v>9.1</v>
      </c>
      <c r="AW720" s="2">
        <v>9.1999999999999993</v>
      </c>
      <c r="AX720" s="2">
        <v>18.3</v>
      </c>
      <c r="AY720" s="2">
        <v>0.34</v>
      </c>
      <c r="AZ720" s="2">
        <v>7.3</v>
      </c>
      <c r="BA720" s="2">
        <v>0.9</v>
      </c>
      <c r="BB720" s="2">
        <v>7.5</v>
      </c>
      <c r="BC720" s="2">
        <v>2.9</v>
      </c>
      <c r="BD720" s="2">
        <f>+AN720*EXP(-0.0495*Y720)</f>
        <v>6.0414922937540076</v>
      </c>
      <c r="BE720" s="2">
        <f>+AO720*EXP(-0.024*Y720)</f>
        <v>18.790960767554878</v>
      </c>
    </row>
    <row r="721" spans="1:57" x14ac:dyDescent="0.2">
      <c r="A721" s="2" t="s">
        <v>2503</v>
      </c>
      <c r="B721" s="2" t="s">
        <v>19</v>
      </c>
      <c r="C721" s="2" t="s">
        <v>1907</v>
      </c>
      <c r="D721" s="2" t="s">
        <v>21</v>
      </c>
      <c r="E721" s="2" t="s">
        <v>1142</v>
      </c>
      <c r="F721" s="2">
        <v>4</v>
      </c>
      <c r="G721" s="2">
        <v>450</v>
      </c>
      <c r="H721" s="2">
        <v>5</v>
      </c>
      <c r="I721" s="2">
        <v>3</v>
      </c>
      <c r="J721" s="2">
        <v>2</v>
      </c>
      <c r="K721" s="2" t="s">
        <v>61</v>
      </c>
      <c r="L721" s="6" t="s">
        <v>113</v>
      </c>
      <c r="M721" s="5">
        <v>2400000000</v>
      </c>
      <c r="N721" s="2">
        <v>0</v>
      </c>
      <c r="O721" s="2">
        <v>4.6538548469999999</v>
      </c>
      <c r="P721" s="2">
        <v>-74.061782840000006</v>
      </c>
      <c r="Q721" s="2" t="s">
        <v>2504</v>
      </c>
      <c r="R721" s="2">
        <v>5333333.3329999996</v>
      </c>
      <c r="S721" s="2">
        <v>0</v>
      </c>
      <c r="T721" s="2" t="s">
        <v>26</v>
      </c>
      <c r="U721" s="2" t="s">
        <v>27</v>
      </c>
      <c r="V721" s="2" t="s">
        <v>28</v>
      </c>
      <c r="W721" s="2" t="s">
        <v>29</v>
      </c>
      <c r="X721" s="2" t="s">
        <v>30</v>
      </c>
      <c r="Y721" s="2">
        <v>2.5143132677413398</v>
      </c>
      <c r="Z721" s="2">
        <v>4.6584666666666701</v>
      </c>
      <c r="AA721" s="2">
        <v>-74.083966666666697</v>
      </c>
      <c r="AB721" s="2">
        <v>2552</v>
      </c>
      <c r="AC721" s="2" t="s">
        <v>31</v>
      </c>
      <c r="AD721" s="2" t="s">
        <v>32</v>
      </c>
      <c r="AE721" s="2" t="s">
        <v>33</v>
      </c>
      <c r="AF721" s="2" t="s">
        <v>34</v>
      </c>
      <c r="AG721" s="2" t="s">
        <v>81</v>
      </c>
      <c r="AH721" s="2">
        <v>0.17862573226859599</v>
      </c>
      <c r="AI721" s="2">
        <v>1.3016956366083801</v>
      </c>
      <c r="AJ721" s="2">
        <v>0.13862753792846</v>
      </c>
      <c r="AK721" s="2">
        <v>5.8187022255209803E-2</v>
      </c>
      <c r="AL721" s="2">
        <v>8.2978507197789902E-2</v>
      </c>
      <c r="AN721" s="2">
        <v>6.8</v>
      </c>
      <c r="AO721" s="2">
        <v>19.899999999999999</v>
      </c>
      <c r="AP721" s="2">
        <v>564</v>
      </c>
      <c r="AQ721" s="2">
        <v>68</v>
      </c>
      <c r="AR721" s="2">
        <v>1.5</v>
      </c>
      <c r="AS721" s="2">
        <v>135</v>
      </c>
      <c r="AT721" s="2">
        <v>0.8</v>
      </c>
      <c r="AU721" s="2">
        <v>162</v>
      </c>
      <c r="AV721" s="2">
        <v>9.1</v>
      </c>
      <c r="AW721" s="2">
        <v>9.1999999999999993</v>
      </c>
      <c r="AX721" s="2">
        <v>18.3</v>
      </c>
      <c r="AY721" s="2">
        <v>0.34</v>
      </c>
      <c r="AZ721" s="2">
        <v>7.3</v>
      </c>
      <c r="BA721" s="2">
        <v>0.9</v>
      </c>
      <c r="BB721" s="2">
        <v>7.5</v>
      </c>
      <c r="BC721" s="2">
        <v>2.9</v>
      </c>
      <c r="BD721" s="2">
        <f>+AN721*EXP(-0.0495*Y721)</f>
        <v>6.0042293070913066</v>
      </c>
      <c r="BE721" s="2">
        <f>+AO721*EXP(-0.024*Y721)</f>
        <v>18.734677405917807</v>
      </c>
    </row>
    <row r="722" spans="1:57" x14ac:dyDescent="0.2">
      <c r="A722" s="2" t="s">
        <v>2900</v>
      </c>
      <c r="B722" s="2" t="s">
        <v>19</v>
      </c>
      <c r="C722" s="2" t="s">
        <v>1907</v>
      </c>
      <c r="D722" s="2" t="s">
        <v>21</v>
      </c>
      <c r="E722" s="2" t="s">
        <v>302</v>
      </c>
      <c r="F722" s="2">
        <v>6</v>
      </c>
      <c r="G722" s="2">
        <v>446</v>
      </c>
      <c r="H722" s="2">
        <v>3</v>
      </c>
      <c r="I722" s="2">
        <v>5</v>
      </c>
      <c r="J722" s="2">
        <v>2</v>
      </c>
      <c r="K722" s="2" t="s">
        <v>61</v>
      </c>
      <c r="L722" s="6" t="s">
        <v>113</v>
      </c>
      <c r="M722" s="5">
        <v>3900000000</v>
      </c>
      <c r="N722" s="2">
        <v>0</v>
      </c>
      <c r="O722" s="2">
        <v>4.6539244650000002</v>
      </c>
      <c r="P722" s="2">
        <v>-74.050193789999994</v>
      </c>
      <c r="Q722" s="2" t="s">
        <v>2901</v>
      </c>
      <c r="R722" s="2">
        <v>8744394.6190000009</v>
      </c>
      <c r="S722" s="2">
        <v>0</v>
      </c>
      <c r="T722" s="2" t="s">
        <v>77</v>
      </c>
      <c r="U722" s="2" t="s">
        <v>78</v>
      </c>
      <c r="V722" s="2" t="s">
        <v>28</v>
      </c>
      <c r="W722" s="2" t="s">
        <v>79</v>
      </c>
      <c r="X722" s="2" t="s">
        <v>80</v>
      </c>
      <c r="Y722" s="2">
        <v>3.6730230565448498</v>
      </c>
      <c r="Z722" s="2">
        <v>4.6254861111111101</v>
      </c>
      <c r="AA722" s="2">
        <v>-74.066980555555503</v>
      </c>
      <c r="AB722" s="2">
        <v>2621</v>
      </c>
      <c r="AC722" s="2" t="s">
        <v>31</v>
      </c>
      <c r="AD722" s="2" t="s">
        <v>32</v>
      </c>
      <c r="AE722" s="2" t="s">
        <v>33</v>
      </c>
      <c r="AF722" s="2" t="s">
        <v>34</v>
      </c>
      <c r="AG722" s="2" t="s">
        <v>81</v>
      </c>
      <c r="AH722" s="2">
        <v>1.4002732059958101</v>
      </c>
      <c r="AI722" s="2">
        <v>0.18166874780772199</v>
      </c>
      <c r="AJ722" s="2">
        <v>0.889073344100208</v>
      </c>
      <c r="AK722" s="2">
        <v>0.45007462716412999</v>
      </c>
      <c r="AL722" s="2">
        <v>0.17487316970882399</v>
      </c>
      <c r="AN722" s="2">
        <v>6.8</v>
      </c>
      <c r="AO722" s="2">
        <v>19.899999999999999</v>
      </c>
      <c r="AP722" s="2">
        <v>564</v>
      </c>
      <c r="AQ722" s="2">
        <v>68</v>
      </c>
      <c r="AR722" s="2">
        <v>1.5</v>
      </c>
      <c r="AS722" s="2">
        <v>135</v>
      </c>
      <c r="AT722" s="2">
        <v>0.8</v>
      </c>
      <c r="AU722" s="2">
        <v>162</v>
      </c>
      <c r="AV722" s="2">
        <v>9.1</v>
      </c>
      <c r="AW722" s="2">
        <v>9.1999999999999993</v>
      </c>
      <c r="AX722" s="2">
        <v>18.3</v>
      </c>
      <c r="AY722" s="2">
        <v>0.34</v>
      </c>
      <c r="AZ722" s="2">
        <v>7.3</v>
      </c>
      <c r="BA722" s="2">
        <v>0.9</v>
      </c>
      <c r="BB722" s="2">
        <v>7.5</v>
      </c>
      <c r="BC722" s="2">
        <v>2.9</v>
      </c>
      <c r="BD722" s="2">
        <f>+AN722*EXP(-0.0495*Y722)</f>
        <v>5.6695399159906872</v>
      </c>
      <c r="BE722" s="2">
        <f>+AO722*EXP(-0.024*Y722)</f>
        <v>18.220861581157624</v>
      </c>
    </row>
    <row r="723" spans="1:57" x14ac:dyDescent="0.2">
      <c r="A723" s="2" t="s">
        <v>2221</v>
      </c>
      <c r="B723" s="2" t="s">
        <v>19</v>
      </c>
      <c r="C723" s="2" t="s">
        <v>1907</v>
      </c>
      <c r="D723" s="2" t="s">
        <v>21</v>
      </c>
      <c r="E723" s="2" t="s">
        <v>244</v>
      </c>
      <c r="F723" s="2">
        <v>3</v>
      </c>
      <c r="G723" s="2">
        <v>423</v>
      </c>
      <c r="H723" s="2">
        <v>5</v>
      </c>
      <c r="I723" s="2">
        <v>4</v>
      </c>
      <c r="J723" s="2">
        <v>2</v>
      </c>
      <c r="K723" s="2" t="s">
        <v>61</v>
      </c>
      <c r="L723" s="6" t="s">
        <v>113</v>
      </c>
      <c r="M723" s="5">
        <v>1800000000</v>
      </c>
      <c r="N723" s="2">
        <v>0</v>
      </c>
      <c r="O723" s="2">
        <v>4.6100545999999998</v>
      </c>
      <c r="P723" s="2">
        <v>-74.067315300000004</v>
      </c>
      <c r="Q723" s="2" t="s">
        <v>2222</v>
      </c>
      <c r="R723" s="2">
        <v>4255319.1490000002</v>
      </c>
      <c r="S723" s="2">
        <v>0</v>
      </c>
      <c r="T723" s="2" t="s">
        <v>77</v>
      </c>
      <c r="U723" s="2" t="s">
        <v>78</v>
      </c>
      <c r="V723" s="2" t="s">
        <v>28</v>
      </c>
      <c r="W723" s="2" t="s">
        <v>79</v>
      </c>
      <c r="X723" s="2" t="s">
        <v>80</v>
      </c>
      <c r="Y723" s="2">
        <v>1.71822945827415</v>
      </c>
      <c r="Z723" s="2">
        <v>4.6254861111111101</v>
      </c>
      <c r="AA723" s="2">
        <v>-74.066980555555503</v>
      </c>
      <c r="AB723" s="2">
        <v>2621</v>
      </c>
      <c r="AC723" s="2" t="s">
        <v>31</v>
      </c>
      <c r="AD723" s="2" t="s">
        <v>32</v>
      </c>
      <c r="AE723" s="2" t="s">
        <v>33</v>
      </c>
      <c r="AF723" s="2" t="s">
        <v>34</v>
      </c>
      <c r="AG723" s="2" t="s">
        <v>89</v>
      </c>
      <c r="AH723" s="2">
        <v>0.473350271192438</v>
      </c>
      <c r="AI723" s="2">
        <v>0.30698328615998599</v>
      </c>
      <c r="AJ723" s="2">
        <v>0.36284848923539398</v>
      </c>
      <c r="AK723" s="2">
        <v>0.43808411626325899</v>
      </c>
      <c r="AL723" s="2">
        <v>3.2370505689852301E-2</v>
      </c>
      <c r="AN723" s="2">
        <v>6.8</v>
      </c>
      <c r="AO723" s="2">
        <v>19.899999999999999</v>
      </c>
      <c r="AP723" s="2">
        <v>564</v>
      </c>
      <c r="AQ723" s="2">
        <v>68</v>
      </c>
      <c r="AR723" s="2">
        <v>1.5</v>
      </c>
      <c r="AS723" s="2">
        <v>135</v>
      </c>
      <c r="AT723" s="2">
        <v>0.8</v>
      </c>
      <c r="AU723" s="2">
        <v>162</v>
      </c>
      <c r="AV723" s="2">
        <v>9.1</v>
      </c>
      <c r="AW723" s="2">
        <v>9.1999999999999993</v>
      </c>
      <c r="AX723" s="2">
        <v>18.3</v>
      </c>
      <c r="AY723" s="2">
        <v>0.34</v>
      </c>
      <c r="AZ723" s="2">
        <v>7.3</v>
      </c>
      <c r="BA723" s="2">
        <v>0.9</v>
      </c>
      <c r="BB723" s="2">
        <v>7.5</v>
      </c>
      <c r="BC723" s="2">
        <v>2.9</v>
      </c>
      <c r="BD723" s="2">
        <f>+AN723*EXP(-0.0495*Y723)</f>
        <v>6.245556519368054</v>
      </c>
      <c r="BE723" s="2">
        <f>+AO723*EXP(-0.024*Y723)</f>
        <v>19.096063698544416</v>
      </c>
    </row>
    <row r="724" spans="1:57" x14ac:dyDescent="0.2">
      <c r="A724" s="2" t="s">
        <v>2680</v>
      </c>
      <c r="B724" s="2" t="s">
        <v>19</v>
      </c>
      <c r="C724" s="2" t="s">
        <v>1907</v>
      </c>
      <c r="D724" s="2" t="s">
        <v>21</v>
      </c>
      <c r="E724" s="2" t="s">
        <v>584</v>
      </c>
      <c r="F724" s="2">
        <v>4</v>
      </c>
      <c r="G724" s="2">
        <v>423</v>
      </c>
      <c r="H724" s="2">
        <v>5</v>
      </c>
      <c r="I724" s="2">
        <v>5</v>
      </c>
      <c r="J724" s="2">
        <v>0</v>
      </c>
      <c r="K724" s="2" t="s">
        <v>61</v>
      </c>
      <c r="L724" s="6" t="s">
        <v>113</v>
      </c>
      <c r="M724" s="5">
        <v>1700000000</v>
      </c>
      <c r="N724" s="2">
        <v>0</v>
      </c>
      <c r="O724" s="2">
        <v>4.6271000000000004</v>
      </c>
      <c r="P724" s="2">
        <v>-74.078230000000005</v>
      </c>
      <c r="Q724" s="2" t="s">
        <v>2681</v>
      </c>
      <c r="R724" s="2">
        <v>4018912.53</v>
      </c>
      <c r="S724" s="2">
        <v>0</v>
      </c>
      <c r="T724" s="2" t="s">
        <v>77</v>
      </c>
      <c r="U724" s="2" t="s">
        <v>78</v>
      </c>
      <c r="V724" s="2" t="s">
        <v>28</v>
      </c>
      <c r="W724" s="2" t="s">
        <v>79</v>
      </c>
      <c r="X724" s="2" t="s">
        <v>80</v>
      </c>
      <c r="Y724" s="2">
        <v>1.2610654650274999</v>
      </c>
      <c r="Z724" s="2">
        <v>4.6254861111111101</v>
      </c>
      <c r="AA724" s="2">
        <v>-74.066980555555503</v>
      </c>
      <c r="AB724" s="2">
        <v>2621</v>
      </c>
      <c r="AC724" s="2" t="s">
        <v>31</v>
      </c>
      <c r="AD724" s="2" t="s">
        <v>32</v>
      </c>
      <c r="AE724" s="2" t="s">
        <v>33</v>
      </c>
      <c r="AF724" s="2" t="s">
        <v>34</v>
      </c>
      <c r="AG724" s="2" t="s">
        <v>35</v>
      </c>
      <c r="AH724" s="2">
        <v>0.25939126898076598</v>
      </c>
      <c r="AI724" s="2">
        <v>1.91428439016934</v>
      </c>
      <c r="AJ724" s="2">
        <v>0.25528911431569201</v>
      </c>
      <c r="AK724" s="2">
        <v>0.199540723547943</v>
      </c>
      <c r="AL724" s="2">
        <v>8.8778070760814107E-2</v>
      </c>
      <c r="AN724" s="2">
        <v>6.8</v>
      </c>
      <c r="AO724" s="2">
        <v>19.899999999999999</v>
      </c>
      <c r="AP724" s="2">
        <v>564</v>
      </c>
      <c r="AQ724" s="2">
        <v>68</v>
      </c>
      <c r="AR724" s="2">
        <v>1.5</v>
      </c>
      <c r="AS724" s="2">
        <v>135</v>
      </c>
      <c r="AT724" s="2">
        <v>0.8</v>
      </c>
      <c r="AU724" s="2">
        <v>162</v>
      </c>
      <c r="AV724" s="2">
        <v>9.1</v>
      </c>
      <c r="AW724" s="2">
        <v>9.1999999999999993</v>
      </c>
      <c r="AX724" s="2">
        <v>18.3</v>
      </c>
      <c r="AY724" s="2">
        <v>0.34</v>
      </c>
      <c r="AZ724" s="2">
        <v>7.3</v>
      </c>
      <c r="BA724" s="2">
        <v>0.9</v>
      </c>
      <c r="BB724" s="2">
        <v>7.5</v>
      </c>
      <c r="BC724" s="2">
        <v>2.9</v>
      </c>
      <c r="BD724" s="2">
        <f>+AN724*EXP(-0.0495*Y724)</f>
        <v>6.3885023804447201</v>
      </c>
      <c r="BE724" s="2">
        <f>+AO724*EXP(-0.024*Y724)</f>
        <v>19.30673812386971</v>
      </c>
    </row>
    <row r="725" spans="1:57" x14ac:dyDescent="0.2">
      <c r="A725" s="2" t="s">
        <v>3154</v>
      </c>
      <c r="B725" s="2" t="s">
        <v>19</v>
      </c>
      <c r="C725" s="2" t="s">
        <v>1907</v>
      </c>
      <c r="D725" s="2" t="s">
        <v>21</v>
      </c>
      <c r="E725" s="2" t="s">
        <v>1142</v>
      </c>
      <c r="F725" s="2">
        <v>4</v>
      </c>
      <c r="G725" s="2">
        <v>422.2</v>
      </c>
      <c r="H725" s="2">
        <v>5</v>
      </c>
      <c r="I725" s="2">
        <v>4</v>
      </c>
      <c r="J725" s="2">
        <v>4</v>
      </c>
      <c r="K725" s="2" t="s">
        <v>61</v>
      </c>
      <c r="L725" s="6" t="s">
        <v>113</v>
      </c>
      <c r="M725" s="5">
        <v>1800000000</v>
      </c>
      <c r="N725" s="2">
        <v>0</v>
      </c>
      <c r="O725" s="2">
        <v>4.6546099999999999</v>
      </c>
      <c r="P725" s="2">
        <v>-74.06062</v>
      </c>
      <c r="Q725" s="2" t="s">
        <v>3155</v>
      </c>
      <c r="R725" s="2">
        <v>4263382.2829999998</v>
      </c>
      <c r="S725" s="2">
        <v>0</v>
      </c>
      <c r="T725" s="2" t="s">
        <v>26</v>
      </c>
      <c r="U725" s="2" t="s">
        <v>27</v>
      </c>
      <c r="V725" s="2" t="s">
        <v>28</v>
      </c>
      <c r="W725" s="2" t="s">
        <v>29</v>
      </c>
      <c r="X725" s="2" t="s">
        <v>30</v>
      </c>
      <c r="Y725" s="2">
        <v>2.6256971654583601</v>
      </c>
      <c r="Z725" s="2">
        <v>4.6584666666666701</v>
      </c>
      <c r="AA725" s="2">
        <v>-74.083966666666697</v>
      </c>
      <c r="AB725" s="2">
        <v>2552</v>
      </c>
      <c r="AC725" s="2" t="s">
        <v>31</v>
      </c>
      <c r="AD725" s="2" t="s">
        <v>32</v>
      </c>
      <c r="AE725" s="2" t="s">
        <v>33</v>
      </c>
      <c r="AF725" s="2" t="s">
        <v>34</v>
      </c>
      <c r="AG725" s="2" t="s">
        <v>81</v>
      </c>
      <c r="AH725" s="2">
        <v>0.266890505370942</v>
      </c>
      <c r="AI725" s="2">
        <v>1.23931739605323</v>
      </c>
      <c r="AJ725" s="2">
        <v>7.7305414700667402E-2</v>
      </c>
      <c r="AK725" s="2">
        <v>8.9123217925163298E-2</v>
      </c>
      <c r="AL725" s="2">
        <v>0.217736528962165</v>
      </c>
      <c r="AN725" s="2">
        <v>6.8</v>
      </c>
      <c r="AO725" s="2">
        <v>19.899999999999999</v>
      </c>
      <c r="AP725" s="2">
        <v>564</v>
      </c>
      <c r="AQ725" s="2">
        <v>68</v>
      </c>
      <c r="AR725" s="2">
        <v>1.5</v>
      </c>
      <c r="AS725" s="2">
        <v>135</v>
      </c>
      <c r="AT725" s="2">
        <v>0.8</v>
      </c>
      <c r="AU725" s="2">
        <v>162</v>
      </c>
      <c r="AV725" s="2">
        <v>9.1</v>
      </c>
      <c r="AW725" s="2">
        <v>9.1999999999999993</v>
      </c>
      <c r="AX725" s="2">
        <v>18.3</v>
      </c>
      <c r="AY725" s="2">
        <v>0.34</v>
      </c>
      <c r="AZ725" s="2">
        <v>7.3</v>
      </c>
      <c r="BA725" s="2">
        <v>0.9</v>
      </c>
      <c r="BB725" s="2">
        <v>7.5</v>
      </c>
      <c r="BC725" s="2">
        <v>2.9</v>
      </c>
      <c r="BD725" s="2">
        <f>+AN725*EXP(-0.0495*Y725)</f>
        <v>5.9712160641083258</v>
      </c>
      <c r="BE725" s="2">
        <f>+AO725*EXP(-0.024*Y725)</f>
        <v>18.684662492567284</v>
      </c>
    </row>
    <row r="726" spans="1:57" x14ac:dyDescent="0.2">
      <c r="A726" s="2" t="s">
        <v>3146</v>
      </c>
      <c r="B726" s="2" t="s">
        <v>19</v>
      </c>
      <c r="C726" s="2" t="s">
        <v>1907</v>
      </c>
      <c r="D726" s="2" t="s">
        <v>21</v>
      </c>
      <c r="E726" s="2" t="s">
        <v>1897</v>
      </c>
      <c r="F726" s="2">
        <v>3</v>
      </c>
      <c r="G726" s="2">
        <v>413</v>
      </c>
      <c r="H726" s="2">
        <v>5</v>
      </c>
      <c r="I726" s="2">
        <v>5</v>
      </c>
      <c r="J726" s="2">
        <v>0</v>
      </c>
      <c r="K726" s="2" t="s">
        <v>61</v>
      </c>
      <c r="L726" s="6" t="s">
        <v>113</v>
      </c>
      <c r="M726" s="5">
        <v>1500000000</v>
      </c>
      <c r="N726" s="2">
        <v>0</v>
      </c>
      <c r="O726" s="2">
        <v>4.5795500000000002</v>
      </c>
      <c r="P726" s="2">
        <v>-74.107190000000003</v>
      </c>
      <c r="Q726" s="2" t="s">
        <v>3147</v>
      </c>
      <c r="R726" s="2">
        <v>3631961.2590000001</v>
      </c>
      <c r="S726" s="2">
        <v>0</v>
      </c>
      <c r="T726" s="2" t="s">
        <v>1794</v>
      </c>
      <c r="U726" s="2" t="s">
        <v>1795</v>
      </c>
      <c r="V726" s="2" t="s">
        <v>28</v>
      </c>
      <c r="W726" s="2" t="s">
        <v>1796</v>
      </c>
      <c r="X726" s="2" t="s">
        <v>1797</v>
      </c>
      <c r="Y726" s="2">
        <v>2.6629783668167599</v>
      </c>
      <c r="Z726" s="2">
        <v>4.576225</v>
      </c>
      <c r="AA726" s="2">
        <v>-74.130955555555502</v>
      </c>
      <c r="AB726" s="2">
        <v>2589</v>
      </c>
      <c r="AC726" s="2" t="s">
        <v>31</v>
      </c>
      <c r="AD726" s="2" t="s">
        <v>58</v>
      </c>
      <c r="AE726" s="2" t="s">
        <v>33</v>
      </c>
      <c r="AF726" s="2" t="s">
        <v>34</v>
      </c>
      <c r="AG726" s="2" t="s">
        <v>1798</v>
      </c>
      <c r="AH726" s="2">
        <v>7.2755423516672593E-2</v>
      </c>
      <c r="AI726" s="2">
        <v>3.64679499330621</v>
      </c>
      <c r="AJ726" s="2">
        <v>1.28072622353679</v>
      </c>
      <c r="AK726" s="2">
        <v>9.8878926210988101E-3</v>
      </c>
      <c r="AL726" s="2">
        <v>1.11852969647645E-2</v>
      </c>
      <c r="AN726" s="2">
        <v>6.8</v>
      </c>
      <c r="AO726" s="2">
        <v>19.899999999999999</v>
      </c>
      <c r="AP726" s="2">
        <v>564</v>
      </c>
      <c r="AQ726" s="2">
        <v>68</v>
      </c>
      <c r="AR726" s="2">
        <v>1.5</v>
      </c>
      <c r="AS726" s="2">
        <v>135</v>
      </c>
      <c r="AT726" s="2">
        <v>0.8</v>
      </c>
      <c r="AU726" s="2">
        <v>162</v>
      </c>
      <c r="AV726" s="2">
        <v>9.1</v>
      </c>
      <c r="AW726" s="2">
        <v>9.1999999999999993</v>
      </c>
      <c r="AX726" s="2">
        <v>18.3</v>
      </c>
      <c r="AY726" s="2">
        <v>0.34</v>
      </c>
      <c r="AZ726" s="2">
        <v>7.3</v>
      </c>
      <c r="BA726" s="2">
        <v>0.9</v>
      </c>
      <c r="BB726" s="2">
        <v>7.5</v>
      </c>
      <c r="BC726" s="2">
        <v>2.9</v>
      </c>
      <c r="BD726" s="2">
        <f>+AN726*EXP(-0.0495*Y726)</f>
        <v>5.9602068271949751</v>
      </c>
      <c r="BE726" s="2">
        <f>+AO726*EXP(-0.024*Y726)</f>
        <v>18.667951889625584</v>
      </c>
    </row>
    <row r="727" spans="1:57" x14ac:dyDescent="0.2">
      <c r="A727" s="2" t="s">
        <v>2724</v>
      </c>
      <c r="B727" s="2" t="s">
        <v>19</v>
      </c>
      <c r="C727" s="2" t="s">
        <v>1907</v>
      </c>
      <c r="D727" s="2" t="s">
        <v>21</v>
      </c>
      <c r="E727" s="2" t="s">
        <v>693</v>
      </c>
      <c r="F727" s="2">
        <v>5</v>
      </c>
      <c r="G727" s="2">
        <v>400</v>
      </c>
      <c r="H727" s="2">
        <v>5</v>
      </c>
      <c r="I727" s="2">
        <v>5</v>
      </c>
      <c r="J727" s="2">
        <v>1</v>
      </c>
      <c r="K727" s="2" t="s">
        <v>61</v>
      </c>
      <c r="L727" s="6" t="s">
        <v>113</v>
      </c>
      <c r="M727" s="5">
        <v>2999000000</v>
      </c>
      <c r="N727" s="2">
        <v>0</v>
      </c>
      <c r="O727" s="2">
        <v>4.6592301410000001</v>
      </c>
      <c r="P727" s="2">
        <v>-74.057203150000007</v>
      </c>
      <c r="Q727" s="2" t="s">
        <v>2725</v>
      </c>
      <c r="R727" s="2">
        <v>7497500</v>
      </c>
      <c r="S727" s="2">
        <v>0</v>
      </c>
      <c r="T727" s="2" t="s">
        <v>26</v>
      </c>
      <c r="U727" s="2" t="s">
        <v>27</v>
      </c>
      <c r="V727" s="2" t="s">
        <v>28</v>
      </c>
      <c r="W727" s="2" t="s">
        <v>29</v>
      </c>
      <c r="X727" s="2" t="s">
        <v>30</v>
      </c>
      <c r="Y727" s="2">
        <v>2.9706733830932901</v>
      </c>
      <c r="Z727" s="2">
        <v>4.6584666666666701</v>
      </c>
      <c r="AA727" s="2">
        <v>-74.083966666666697</v>
      </c>
      <c r="AB727" s="2">
        <v>2552</v>
      </c>
      <c r="AC727" s="2" t="s">
        <v>31</v>
      </c>
      <c r="AD727" s="2" t="s">
        <v>32</v>
      </c>
      <c r="AE727" s="2" t="s">
        <v>33</v>
      </c>
      <c r="AF727" s="2" t="s">
        <v>34</v>
      </c>
      <c r="AG727" s="2" t="s">
        <v>81</v>
      </c>
      <c r="AH727" s="2">
        <v>0.55046072780202204</v>
      </c>
      <c r="AI727" s="2">
        <v>1.1319369505379999</v>
      </c>
      <c r="AJ727" s="2">
        <v>0.12975686784659199</v>
      </c>
      <c r="AK727" s="2">
        <v>4.10566985576621E-2</v>
      </c>
      <c r="AL727" s="2">
        <v>0.222553969876186</v>
      </c>
      <c r="AN727" s="2">
        <v>6.8</v>
      </c>
      <c r="AO727" s="2">
        <v>19.899999999999999</v>
      </c>
      <c r="AP727" s="2">
        <v>564</v>
      </c>
      <c r="AQ727" s="2">
        <v>68</v>
      </c>
      <c r="AR727" s="2">
        <v>1.5</v>
      </c>
      <c r="AS727" s="2">
        <v>135</v>
      </c>
      <c r="AT727" s="2">
        <v>0.8</v>
      </c>
      <c r="AU727" s="2">
        <v>162</v>
      </c>
      <c r="AV727" s="2">
        <v>9.1</v>
      </c>
      <c r="AW727" s="2">
        <v>9.1999999999999993</v>
      </c>
      <c r="AX727" s="2">
        <v>18.3</v>
      </c>
      <c r="AY727" s="2">
        <v>0.34</v>
      </c>
      <c r="AZ727" s="2">
        <v>7.3</v>
      </c>
      <c r="BA727" s="2">
        <v>0.9</v>
      </c>
      <c r="BB727" s="2">
        <v>7.5</v>
      </c>
      <c r="BC727" s="2">
        <v>2.9</v>
      </c>
      <c r="BD727" s="2">
        <f>+AN727*EXP(-0.0495*Y727)</f>
        <v>5.8701153224421683</v>
      </c>
      <c r="BE727" s="2">
        <f>+AO727*EXP(-0.024*Y727)</f>
        <v>18.530602795132026</v>
      </c>
    </row>
    <row r="728" spans="1:57" x14ac:dyDescent="0.2">
      <c r="A728" s="2" t="s">
        <v>1409</v>
      </c>
      <c r="B728" s="2" t="s">
        <v>19</v>
      </c>
      <c r="C728" s="2" t="s">
        <v>20</v>
      </c>
      <c r="D728" s="2" t="s">
        <v>21</v>
      </c>
      <c r="E728" s="2" t="s">
        <v>83</v>
      </c>
      <c r="F728" s="2">
        <v>6</v>
      </c>
      <c r="G728" s="2">
        <v>390</v>
      </c>
      <c r="H728" s="2">
        <v>4</v>
      </c>
      <c r="I728" s="2">
        <v>5</v>
      </c>
      <c r="J728" s="2">
        <v>3</v>
      </c>
      <c r="K728" s="2" t="s">
        <v>61</v>
      </c>
      <c r="L728" s="6" t="s">
        <v>113</v>
      </c>
      <c r="M728" s="5">
        <v>3650000000</v>
      </c>
      <c r="N728" s="2">
        <v>0</v>
      </c>
      <c r="O728" s="2">
        <v>4.6708973</v>
      </c>
      <c r="P728" s="2">
        <v>-74.045653250000001</v>
      </c>
      <c r="Q728" s="2" t="s">
        <v>1410</v>
      </c>
      <c r="R728" s="2">
        <v>9358974.3589999992</v>
      </c>
      <c r="S728" s="2">
        <v>0</v>
      </c>
      <c r="T728" s="2" t="s">
        <v>26</v>
      </c>
      <c r="U728" s="2" t="s">
        <v>27</v>
      </c>
      <c r="V728" s="2" t="s">
        <v>28</v>
      </c>
      <c r="W728" s="2" t="s">
        <v>29</v>
      </c>
      <c r="X728" s="2" t="s">
        <v>30</v>
      </c>
      <c r="Y728" s="2">
        <v>4.4704586509294897</v>
      </c>
      <c r="Z728" s="2">
        <v>4.6584666666666701</v>
      </c>
      <c r="AA728" s="2">
        <v>-74.083966666666697</v>
      </c>
      <c r="AB728" s="2">
        <v>2552</v>
      </c>
      <c r="AC728" s="2" t="s">
        <v>31</v>
      </c>
      <c r="AD728" s="2" t="s">
        <v>32</v>
      </c>
      <c r="AE728" s="2" t="s">
        <v>33</v>
      </c>
      <c r="AF728" s="2" t="s">
        <v>34</v>
      </c>
      <c r="AG728" s="2" t="s">
        <v>81</v>
      </c>
      <c r="AH728" s="2">
        <v>1.55914965764624</v>
      </c>
      <c r="AI728" s="2">
        <v>0.38903870606310698</v>
      </c>
      <c r="AJ728" s="2">
        <v>1.11409504127714</v>
      </c>
      <c r="AK728" s="2">
        <v>0.43113338825584702</v>
      </c>
      <c r="AL728" s="2">
        <v>0.618543984409619</v>
      </c>
      <c r="AN728" s="2">
        <v>6.8</v>
      </c>
      <c r="AO728" s="2">
        <v>19.899999999999999</v>
      </c>
      <c r="AP728" s="2">
        <v>564</v>
      </c>
      <c r="AQ728" s="2">
        <v>68</v>
      </c>
      <c r="AR728" s="2">
        <v>1.5</v>
      </c>
      <c r="AS728" s="2">
        <v>135</v>
      </c>
      <c r="AT728" s="2">
        <v>0.8</v>
      </c>
      <c r="AU728" s="2">
        <v>162</v>
      </c>
      <c r="AV728" s="2">
        <v>9.1</v>
      </c>
      <c r="AW728" s="2">
        <v>9.1999999999999993</v>
      </c>
      <c r="AX728" s="2">
        <v>18.3</v>
      </c>
      <c r="AY728" s="2">
        <v>0.34</v>
      </c>
      <c r="AZ728" s="2">
        <v>7.3</v>
      </c>
      <c r="BA728" s="2">
        <v>0.9</v>
      </c>
      <c r="BB728" s="2">
        <v>7.5</v>
      </c>
      <c r="BC728" s="2">
        <v>2.9</v>
      </c>
      <c r="BD728" s="2">
        <f>+AN728*EXP(-0.0495*Y728)</f>
        <v>5.4501051875732189</v>
      </c>
      <c r="BE728" s="2">
        <f>+AO728*EXP(-0.024*Y728)</f>
        <v>17.875458240937807</v>
      </c>
    </row>
    <row r="729" spans="1:57" x14ac:dyDescent="0.2">
      <c r="A729" s="2" t="s">
        <v>3048</v>
      </c>
      <c r="B729" s="2" t="s">
        <v>19</v>
      </c>
      <c r="C729" s="2" t="s">
        <v>1907</v>
      </c>
      <c r="D729" s="2" t="s">
        <v>21</v>
      </c>
      <c r="E729" s="2" t="s">
        <v>1142</v>
      </c>
      <c r="F729" s="2">
        <v>5</v>
      </c>
      <c r="G729" s="2">
        <v>388</v>
      </c>
      <c r="H729" s="2">
        <v>5</v>
      </c>
      <c r="I729" s="2">
        <v>3</v>
      </c>
      <c r="J729" s="2">
        <v>4</v>
      </c>
      <c r="K729" s="2" t="s">
        <v>61</v>
      </c>
      <c r="L729" s="6" t="s">
        <v>113</v>
      </c>
      <c r="M729" s="5">
        <v>2300000000</v>
      </c>
      <c r="N729" s="2">
        <v>0</v>
      </c>
      <c r="O729" s="2">
        <v>4.6551400000000003</v>
      </c>
      <c r="P729" s="2">
        <v>-74.060180000000003</v>
      </c>
      <c r="Q729" s="2" t="s">
        <v>3049</v>
      </c>
      <c r="R729" s="2">
        <v>5927835.0520000001</v>
      </c>
      <c r="S729" s="2">
        <v>0</v>
      </c>
      <c r="T729" s="2" t="s">
        <v>26</v>
      </c>
      <c r="U729" s="2" t="s">
        <v>27</v>
      </c>
      <c r="V729" s="2" t="s">
        <v>28</v>
      </c>
      <c r="W729" s="2" t="s">
        <v>29</v>
      </c>
      <c r="X729" s="2" t="s">
        <v>30</v>
      </c>
      <c r="Y729" s="2">
        <v>2.6650332553203899</v>
      </c>
      <c r="Z729" s="2">
        <v>4.6584666666666701</v>
      </c>
      <c r="AA729" s="2">
        <v>-74.083966666666697</v>
      </c>
      <c r="AB729" s="2">
        <v>2552</v>
      </c>
      <c r="AC729" s="2" t="s">
        <v>31</v>
      </c>
      <c r="AD729" s="2" t="s">
        <v>32</v>
      </c>
      <c r="AE729" s="2" t="s">
        <v>33</v>
      </c>
      <c r="AF729" s="2" t="s">
        <v>34</v>
      </c>
      <c r="AG729" s="2" t="s">
        <v>81</v>
      </c>
      <c r="AH729" s="2">
        <v>0.31479989861494201</v>
      </c>
      <c r="AI729" s="2">
        <v>1.2332147706130201</v>
      </c>
      <c r="AJ729" s="2">
        <v>0.12213913845749599</v>
      </c>
      <c r="AK729" s="2">
        <v>0.14972496395485899</v>
      </c>
      <c r="AL729" s="2">
        <v>0.240984969893869</v>
      </c>
      <c r="AN729" s="2">
        <v>6.8</v>
      </c>
      <c r="AO729" s="2">
        <v>19.899999999999999</v>
      </c>
      <c r="AP729" s="2">
        <v>564</v>
      </c>
      <c r="AQ729" s="2">
        <v>68</v>
      </c>
      <c r="AR729" s="2">
        <v>1.5</v>
      </c>
      <c r="AS729" s="2">
        <v>135</v>
      </c>
      <c r="AT729" s="2">
        <v>0.8</v>
      </c>
      <c r="AU729" s="2">
        <v>162</v>
      </c>
      <c r="AV729" s="2">
        <v>9.1</v>
      </c>
      <c r="AW729" s="2">
        <v>9.1999999999999993</v>
      </c>
      <c r="AX729" s="2">
        <v>18.3</v>
      </c>
      <c r="AY729" s="2">
        <v>0.34</v>
      </c>
      <c r="AZ729" s="2">
        <v>7.3</v>
      </c>
      <c r="BA729" s="2">
        <v>0.9</v>
      </c>
      <c r="BB729" s="2">
        <v>7.5</v>
      </c>
      <c r="BC729" s="2">
        <v>2.9</v>
      </c>
      <c r="BD729" s="2">
        <f>+AN729*EXP(-0.0495*Y729)</f>
        <v>5.9596006037829268</v>
      </c>
      <c r="BE729" s="2">
        <f>+AO729*EXP(-0.024*Y729)</f>
        <v>18.667031258893907</v>
      </c>
    </row>
    <row r="730" spans="1:57" x14ac:dyDescent="0.2">
      <c r="A730" s="2" t="s">
        <v>2902</v>
      </c>
      <c r="B730" s="2" t="s">
        <v>19</v>
      </c>
      <c r="C730" s="2" t="s">
        <v>1907</v>
      </c>
      <c r="D730" s="2" t="s">
        <v>21</v>
      </c>
      <c r="E730" s="2" t="s">
        <v>2903</v>
      </c>
      <c r="F730" s="2">
        <v>3</v>
      </c>
      <c r="G730" s="2">
        <v>380</v>
      </c>
      <c r="H730" s="2">
        <v>5</v>
      </c>
      <c r="I730" s="2">
        <v>5</v>
      </c>
      <c r="J730" s="2">
        <v>0</v>
      </c>
      <c r="K730" s="2" t="s">
        <v>61</v>
      </c>
      <c r="L730" s="6" t="s">
        <v>113</v>
      </c>
      <c r="M730" s="5">
        <v>880000000</v>
      </c>
      <c r="N730" s="2">
        <v>0</v>
      </c>
      <c r="O730" s="2">
        <v>4.6772818999999997</v>
      </c>
      <c r="P730" s="2">
        <v>-74.0892743</v>
      </c>
      <c r="Q730" s="2" t="s">
        <v>2904</v>
      </c>
      <c r="R730" s="2">
        <v>2315789.4739999999</v>
      </c>
      <c r="S730" s="2">
        <v>0</v>
      </c>
      <c r="T730" s="2" t="s">
        <v>26</v>
      </c>
      <c r="U730" s="2" t="s">
        <v>27</v>
      </c>
      <c r="V730" s="2" t="s">
        <v>28</v>
      </c>
      <c r="W730" s="2" t="s">
        <v>29</v>
      </c>
      <c r="X730" s="2" t="s">
        <v>30</v>
      </c>
      <c r="Y730" s="2">
        <v>2.1757120665298499</v>
      </c>
      <c r="Z730" s="2">
        <v>4.6584666666666701</v>
      </c>
      <c r="AA730" s="2">
        <v>-74.083966666666697</v>
      </c>
      <c r="AB730" s="2">
        <v>2552</v>
      </c>
      <c r="AC730" s="2" t="s">
        <v>31</v>
      </c>
      <c r="AD730" s="2" t="s">
        <v>32</v>
      </c>
      <c r="AE730" s="2" t="s">
        <v>33</v>
      </c>
      <c r="AF730" s="2" t="s">
        <v>34</v>
      </c>
      <c r="AG730" s="2" t="s">
        <v>363</v>
      </c>
      <c r="AH730" s="2">
        <v>1.35655219799208</v>
      </c>
      <c r="AI730" s="2">
        <v>5.0775605975715203</v>
      </c>
      <c r="AJ730" s="2">
        <v>1.8976753590722399</v>
      </c>
      <c r="AK730" s="2">
        <v>0.15652573119619101</v>
      </c>
      <c r="AL730" s="2">
        <v>0.19013470464018101</v>
      </c>
      <c r="AN730" s="2">
        <v>6.8</v>
      </c>
      <c r="AO730" s="2">
        <v>19.899999999999999</v>
      </c>
      <c r="AP730" s="2">
        <v>564</v>
      </c>
      <c r="AQ730" s="2">
        <v>68</v>
      </c>
      <c r="AR730" s="2">
        <v>1.5</v>
      </c>
      <c r="AS730" s="2">
        <v>135</v>
      </c>
      <c r="AT730" s="2">
        <v>0.8</v>
      </c>
      <c r="AU730" s="2">
        <v>162</v>
      </c>
      <c r="AV730" s="2">
        <v>9.1</v>
      </c>
      <c r="AW730" s="2">
        <v>9.1999999999999993</v>
      </c>
      <c r="AX730" s="2">
        <v>18.3</v>
      </c>
      <c r="AY730" s="2">
        <v>0.34</v>
      </c>
      <c r="AZ730" s="2">
        <v>7.3</v>
      </c>
      <c r="BA730" s="2">
        <v>0.9</v>
      </c>
      <c r="BB730" s="2">
        <v>7.5</v>
      </c>
      <c r="BC730" s="2">
        <v>2.9</v>
      </c>
      <c r="BD730" s="2">
        <f>+AN730*EXP(-0.0495*Y730)</f>
        <v>6.1057128450903733</v>
      </c>
      <c r="BE730" s="2">
        <f>+AO730*EXP(-0.024*Y730)</f>
        <v>18.887543715827992</v>
      </c>
    </row>
    <row r="731" spans="1:57" x14ac:dyDescent="0.2">
      <c r="A731" s="2" t="s">
        <v>3148</v>
      </c>
      <c r="B731" s="2" t="s">
        <v>19</v>
      </c>
      <c r="C731" s="2" t="s">
        <v>1907</v>
      </c>
      <c r="D731" s="2" t="s">
        <v>21</v>
      </c>
      <c r="E731" s="2" t="s">
        <v>1520</v>
      </c>
      <c r="F731" s="2">
        <v>3</v>
      </c>
      <c r="G731" s="2">
        <v>379</v>
      </c>
      <c r="H731" s="2">
        <v>5</v>
      </c>
      <c r="I731" s="2">
        <v>5</v>
      </c>
      <c r="J731" s="2">
        <v>2</v>
      </c>
      <c r="K731" s="2" t="s">
        <v>61</v>
      </c>
      <c r="L731" s="6" t="s">
        <v>113</v>
      </c>
      <c r="M731" s="5">
        <v>799000000</v>
      </c>
      <c r="N731" s="2">
        <v>0</v>
      </c>
      <c r="O731" s="2">
        <v>4.7024765999999998</v>
      </c>
      <c r="P731" s="2">
        <v>-74.104955700000005</v>
      </c>
      <c r="Q731" s="2" t="s">
        <v>3149</v>
      </c>
      <c r="R731" s="2">
        <v>2108179.42</v>
      </c>
      <c r="S731" s="2">
        <v>0</v>
      </c>
      <c r="T731" s="2" t="s">
        <v>370</v>
      </c>
      <c r="U731" s="2" t="s">
        <v>371</v>
      </c>
      <c r="V731" s="2" t="s">
        <v>28</v>
      </c>
      <c r="W731" s="2" t="s">
        <v>29</v>
      </c>
      <c r="X731" s="2" t="s">
        <v>372</v>
      </c>
      <c r="Y731" s="2">
        <v>4.3770671983529903</v>
      </c>
      <c r="Z731" s="2">
        <v>4.7358055555555598</v>
      </c>
      <c r="AA731" s="2">
        <v>-74.125888888888895</v>
      </c>
      <c r="AB731" s="2">
        <v>2574</v>
      </c>
      <c r="AC731" s="2" t="s">
        <v>105</v>
      </c>
      <c r="AD731" s="2" t="s">
        <v>58</v>
      </c>
      <c r="AE731" s="2" t="s">
        <v>33</v>
      </c>
      <c r="AF731" s="2" t="s">
        <v>34</v>
      </c>
      <c r="AG731" s="2" t="s">
        <v>363</v>
      </c>
      <c r="AH731" s="2">
        <v>0.24575434797463</v>
      </c>
      <c r="AI731" s="2">
        <v>3.4242991867838999</v>
      </c>
      <c r="AJ731" s="2">
        <v>1.15231627344321</v>
      </c>
      <c r="AK731" s="2">
        <v>0.19184460829897301</v>
      </c>
      <c r="AL731" s="2">
        <v>5.1028799133635602E-2</v>
      </c>
      <c r="AN731" s="2">
        <v>6.8</v>
      </c>
      <c r="AO731" s="2">
        <v>19.899999999999999</v>
      </c>
      <c r="AP731" s="2">
        <v>564</v>
      </c>
      <c r="AQ731" s="2">
        <v>68</v>
      </c>
      <c r="AR731" s="2">
        <v>1.5</v>
      </c>
      <c r="AS731" s="2">
        <v>135</v>
      </c>
      <c r="AT731" s="2">
        <v>0.8</v>
      </c>
      <c r="AU731" s="2">
        <v>162</v>
      </c>
      <c r="AV731" s="2">
        <v>9.1</v>
      </c>
      <c r="AW731" s="2">
        <v>9.1999999999999993</v>
      </c>
      <c r="AX731" s="2">
        <v>18.3</v>
      </c>
      <c r="AY731" s="2">
        <v>0.34</v>
      </c>
      <c r="AZ731" s="2">
        <v>7.3</v>
      </c>
      <c r="BA731" s="2">
        <v>0.9</v>
      </c>
      <c r="BB731" s="2">
        <v>7.5</v>
      </c>
      <c r="BC731" s="2">
        <v>2.9</v>
      </c>
      <c r="BD731" s="2">
        <f>+AN731*EXP(-0.0495*Y731)</f>
        <v>5.4753586798800633</v>
      </c>
      <c r="BE731" s="2">
        <f>+AO731*EXP(-0.024*Y731)</f>
        <v>17.915569136577108</v>
      </c>
    </row>
    <row r="732" spans="1:57" x14ac:dyDescent="0.2">
      <c r="A732" s="2" t="s">
        <v>1570</v>
      </c>
      <c r="B732" s="2" t="s">
        <v>19</v>
      </c>
      <c r="C732" s="2" t="s">
        <v>20</v>
      </c>
      <c r="D732" s="2" t="s">
        <v>21</v>
      </c>
      <c r="E732" s="2" t="s">
        <v>783</v>
      </c>
      <c r="F732" s="2">
        <v>6</v>
      </c>
      <c r="G732" s="2">
        <v>378</v>
      </c>
      <c r="H732" s="2">
        <v>3</v>
      </c>
      <c r="I732" s="2">
        <v>4</v>
      </c>
      <c r="J732" s="2">
        <v>4</v>
      </c>
      <c r="K732" s="2" t="s">
        <v>61</v>
      </c>
      <c r="L732" s="6" t="s">
        <v>113</v>
      </c>
      <c r="M732" s="5">
        <v>3350000000</v>
      </c>
      <c r="N732" s="2">
        <v>0</v>
      </c>
      <c r="O732" s="2">
        <v>4.6511003000000004</v>
      </c>
      <c r="P732" s="2">
        <v>-74.051613799999998</v>
      </c>
      <c r="Q732" s="2" t="s">
        <v>1571</v>
      </c>
      <c r="R732" s="2">
        <v>8862433.8619999997</v>
      </c>
      <c r="S732" s="2">
        <v>0</v>
      </c>
      <c r="T732" s="2" t="s">
        <v>77</v>
      </c>
      <c r="U732" s="2" t="s">
        <v>78</v>
      </c>
      <c r="V732" s="2" t="s">
        <v>28</v>
      </c>
      <c r="W732" s="2" t="s">
        <v>79</v>
      </c>
      <c r="X732" s="2" t="s">
        <v>80</v>
      </c>
      <c r="Y732" s="2">
        <v>3.3222475467974002</v>
      </c>
      <c r="Z732" s="2">
        <v>4.6254861111111101</v>
      </c>
      <c r="AA732" s="2">
        <v>-74.066980555555503</v>
      </c>
      <c r="AB732" s="2">
        <v>2621</v>
      </c>
      <c r="AC732" s="2" t="s">
        <v>31</v>
      </c>
      <c r="AD732" s="2" t="s">
        <v>32</v>
      </c>
      <c r="AE732" s="2" t="s">
        <v>33</v>
      </c>
      <c r="AF732" s="2" t="s">
        <v>34</v>
      </c>
      <c r="AG732" s="2" t="s">
        <v>81</v>
      </c>
      <c r="AH732" s="2">
        <v>1.33162377294336</v>
      </c>
      <c r="AI732" s="2">
        <v>0.264673672094557</v>
      </c>
      <c r="AJ732" s="2">
        <v>0.63280411260838898</v>
      </c>
      <c r="AK732" s="2">
        <v>0.37536255758863801</v>
      </c>
      <c r="AL732" s="2">
        <v>0.100222373751368</v>
      </c>
      <c r="AN732" s="2">
        <v>6.8</v>
      </c>
      <c r="AO732" s="2">
        <v>19.899999999999999</v>
      </c>
      <c r="AP732" s="2">
        <v>564</v>
      </c>
      <c r="AQ732" s="2">
        <v>68</v>
      </c>
      <c r="AR732" s="2">
        <v>1.5</v>
      </c>
      <c r="AS732" s="2">
        <v>135</v>
      </c>
      <c r="AT732" s="2">
        <v>0.8</v>
      </c>
      <c r="AU732" s="2">
        <v>162</v>
      </c>
      <c r="AV732" s="2">
        <v>9.1</v>
      </c>
      <c r="AW732" s="2">
        <v>9.1999999999999993</v>
      </c>
      <c r="AX732" s="2">
        <v>18.3</v>
      </c>
      <c r="AY732" s="2">
        <v>0.34</v>
      </c>
      <c r="AZ732" s="2">
        <v>7.3</v>
      </c>
      <c r="BA732" s="2">
        <v>0.9</v>
      </c>
      <c r="BB732" s="2">
        <v>7.5</v>
      </c>
      <c r="BC732" s="2">
        <v>2.9</v>
      </c>
      <c r="BD732" s="2">
        <f>+AN732*EXP(-0.0495*Y732)</f>
        <v>5.7688419508383095</v>
      </c>
      <c r="BE732" s="2">
        <f>+AO732*EXP(-0.024*Y732)</f>
        <v>18.374903448970674</v>
      </c>
    </row>
    <row r="733" spans="1:57" x14ac:dyDescent="0.2">
      <c r="A733" s="2" t="s">
        <v>308</v>
      </c>
      <c r="B733" s="2" t="s">
        <v>19</v>
      </c>
      <c r="C733" s="2" t="s">
        <v>20</v>
      </c>
      <c r="D733" s="2" t="s">
        <v>21</v>
      </c>
      <c r="E733" s="2" t="s">
        <v>261</v>
      </c>
      <c r="F733" s="2">
        <v>6</v>
      </c>
      <c r="G733" s="2">
        <v>378</v>
      </c>
      <c r="H733" s="2">
        <v>3</v>
      </c>
      <c r="I733" s="2">
        <v>4</v>
      </c>
      <c r="J733" s="2">
        <v>4</v>
      </c>
      <c r="K733" s="2" t="s">
        <v>61</v>
      </c>
      <c r="L733" s="6" t="s">
        <v>113</v>
      </c>
      <c r="M733" s="5">
        <v>3000000000</v>
      </c>
      <c r="N733" s="2">
        <v>0</v>
      </c>
      <c r="O733" s="2">
        <v>4.6615614890000003</v>
      </c>
      <c r="P733" s="2">
        <v>-74.04798126</v>
      </c>
      <c r="Q733" s="2" t="s">
        <v>309</v>
      </c>
      <c r="R733" s="2">
        <v>7936507.9369999999</v>
      </c>
      <c r="S733" s="2">
        <v>0</v>
      </c>
      <c r="T733" s="2" t="s">
        <v>26</v>
      </c>
      <c r="U733" s="2" t="s">
        <v>27</v>
      </c>
      <c r="V733" s="2" t="s">
        <v>28</v>
      </c>
      <c r="W733" s="2" t="s">
        <v>29</v>
      </c>
      <c r="X733" s="2" t="s">
        <v>30</v>
      </c>
      <c r="Y733" s="2">
        <v>4.0074710729068999</v>
      </c>
      <c r="Z733" s="2">
        <v>4.6584666666666701</v>
      </c>
      <c r="AA733" s="2">
        <v>-74.083966666666697</v>
      </c>
      <c r="AB733" s="2">
        <v>2552</v>
      </c>
      <c r="AC733" s="2" t="s">
        <v>31</v>
      </c>
      <c r="AD733" s="2" t="s">
        <v>32</v>
      </c>
      <c r="AE733" s="2" t="s">
        <v>33</v>
      </c>
      <c r="AF733" s="2" t="s">
        <v>34</v>
      </c>
      <c r="AG733" s="2" t="s">
        <v>81</v>
      </c>
      <c r="AH733" s="2">
        <v>1.4814438658560101</v>
      </c>
      <c r="AI733" s="2">
        <v>0.21934984596433299</v>
      </c>
      <c r="AJ733" s="2">
        <v>0.72572525222634998</v>
      </c>
      <c r="AK733" s="2">
        <v>0.16106089315952901</v>
      </c>
      <c r="AL733" s="2">
        <v>0.421387744226834</v>
      </c>
      <c r="AN733" s="2">
        <v>6.8</v>
      </c>
      <c r="AO733" s="2">
        <v>19.899999999999999</v>
      </c>
      <c r="AP733" s="2">
        <v>564</v>
      </c>
      <c r="AQ733" s="2">
        <v>68</v>
      </c>
      <c r="AR733" s="2">
        <v>1.5</v>
      </c>
      <c r="AS733" s="2">
        <v>135</v>
      </c>
      <c r="AT733" s="2">
        <v>0.8</v>
      </c>
      <c r="AU733" s="2">
        <v>162</v>
      </c>
      <c r="AV733" s="2">
        <v>9.1</v>
      </c>
      <c r="AW733" s="2">
        <v>9.1999999999999993</v>
      </c>
      <c r="AX733" s="2">
        <v>18.3</v>
      </c>
      <c r="AY733" s="2">
        <v>0.34</v>
      </c>
      <c r="AZ733" s="2">
        <v>7.3</v>
      </c>
      <c r="BA733" s="2">
        <v>0.9</v>
      </c>
      <c r="BB733" s="2">
        <v>7.5</v>
      </c>
      <c r="BC733" s="2">
        <v>2.9</v>
      </c>
      <c r="BD733" s="2">
        <f>+AN733*EXP(-0.0495*Y733)</f>
        <v>5.5764523468960236</v>
      </c>
      <c r="BE733" s="2">
        <f>+AO733*EXP(-0.024*Y733)</f>
        <v>18.075192643217125</v>
      </c>
    </row>
    <row r="734" spans="1:57" x14ac:dyDescent="0.2">
      <c r="A734" s="2" t="s">
        <v>2010</v>
      </c>
      <c r="B734" s="2" t="s">
        <v>19</v>
      </c>
      <c r="C734" s="2" t="s">
        <v>1907</v>
      </c>
      <c r="D734" s="2" t="s">
        <v>21</v>
      </c>
      <c r="E734" s="2" t="s">
        <v>2011</v>
      </c>
      <c r="F734" s="2">
        <v>4</v>
      </c>
      <c r="G734" s="2">
        <v>378</v>
      </c>
      <c r="H734" s="2">
        <v>3</v>
      </c>
      <c r="I734" s="2">
        <v>2</v>
      </c>
      <c r="J734" s="2">
        <v>0</v>
      </c>
      <c r="K734" s="2" t="s">
        <v>61</v>
      </c>
      <c r="L734" s="6" t="s">
        <v>84</v>
      </c>
      <c r="M734" s="5">
        <v>1750000000</v>
      </c>
      <c r="N734" s="2">
        <v>0</v>
      </c>
      <c r="O734" s="2">
        <v>4.6314306260000002</v>
      </c>
      <c r="P734" s="2">
        <v>-74.071556090000001</v>
      </c>
      <c r="Q734" s="2" t="s">
        <v>2012</v>
      </c>
      <c r="R734" s="2">
        <v>4629629.63</v>
      </c>
      <c r="S734" s="2">
        <v>0</v>
      </c>
      <c r="T734" s="2" t="s">
        <v>77</v>
      </c>
      <c r="U734" s="2" t="s">
        <v>78</v>
      </c>
      <c r="V734" s="2" t="s">
        <v>28</v>
      </c>
      <c r="W734" s="2" t="s">
        <v>79</v>
      </c>
      <c r="X734" s="2" t="s">
        <v>80</v>
      </c>
      <c r="Y734" s="2">
        <v>0.83405307125158101</v>
      </c>
      <c r="Z734" s="2">
        <v>4.6254861111111101</v>
      </c>
      <c r="AA734" s="2">
        <v>-74.066980555555503</v>
      </c>
      <c r="AB734" s="2">
        <v>2621</v>
      </c>
      <c r="AC734" s="2" t="s">
        <v>31</v>
      </c>
      <c r="AD734" s="2" t="s">
        <v>32</v>
      </c>
      <c r="AE734" s="2" t="s">
        <v>33</v>
      </c>
      <c r="AF734" s="2" t="s">
        <v>34</v>
      </c>
      <c r="AG734" s="2" t="s">
        <v>35</v>
      </c>
      <c r="AH734" s="2">
        <v>0.40778656933888502</v>
      </c>
      <c r="AI734" s="2">
        <v>1.2075018819980401</v>
      </c>
      <c r="AJ734" s="2">
        <v>0.312636848726429</v>
      </c>
      <c r="AK734" s="2">
        <v>0.184382085382748</v>
      </c>
      <c r="AL734" s="2">
        <v>5.5356625294249402E-2</v>
      </c>
      <c r="AN734" s="2">
        <v>6.8</v>
      </c>
      <c r="AO734" s="2">
        <v>19.899999999999999</v>
      </c>
      <c r="AP734" s="2">
        <v>564</v>
      </c>
      <c r="AQ734" s="2">
        <v>68</v>
      </c>
      <c r="AR734" s="2">
        <v>1.5</v>
      </c>
      <c r="AS734" s="2">
        <v>135</v>
      </c>
      <c r="AT734" s="2">
        <v>0.8</v>
      </c>
      <c r="AU734" s="2">
        <v>162</v>
      </c>
      <c r="AV734" s="2">
        <v>9.1</v>
      </c>
      <c r="AW734" s="2">
        <v>9.1999999999999993</v>
      </c>
      <c r="AX734" s="2">
        <v>18.3</v>
      </c>
      <c r="AY734" s="2">
        <v>0.34</v>
      </c>
      <c r="AZ734" s="2">
        <v>7.3</v>
      </c>
      <c r="BA734" s="2">
        <v>0.9</v>
      </c>
      <c r="BB734" s="2">
        <v>7.5</v>
      </c>
      <c r="BC734" s="2">
        <v>2.9</v>
      </c>
      <c r="BD734" s="2">
        <f>+AN734*EXP(-0.0495*Y734)</f>
        <v>6.5249741085013069</v>
      </c>
      <c r="BE734" s="2">
        <f>+AO734*EXP(-0.024*Y734)</f>
        <v>19.505616661528038</v>
      </c>
    </row>
    <row r="735" spans="1:57" x14ac:dyDescent="0.2">
      <c r="A735" s="2" t="s">
        <v>2303</v>
      </c>
      <c r="B735" s="2" t="s">
        <v>19</v>
      </c>
      <c r="C735" s="2" t="s">
        <v>1907</v>
      </c>
      <c r="D735" s="2" t="s">
        <v>21</v>
      </c>
      <c r="E735" s="2" t="s">
        <v>783</v>
      </c>
      <c r="F735" s="2">
        <v>6</v>
      </c>
      <c r="G735" s="2">
        <v>362</v>
      </c>
      <c r="H735" s="2">
        <v>4</v>
      </c>
      <c r="I735" s="2">
        <v>5</v>
      </c>
      <c r="J735" s="2">
        <v>4</v>
      </c>
      <c r="K735" s="2" t="s">
        <v>61</v>
      </c>
      <c r="L735" s="6" t="s">
        <v>113</v>
      </c>
      <c r="M735" s="5">
        <v>3300000000</v>
      </c>
      <c r="N735" s="2">
        <v>0</v>
      </c>
      <c r="O735" s="2">
        <v>4.6549199999999997</v>
      </c>
      <c r="P735" s="2">
        <v>-74.053319999999999</v>
      </c>
      <c r="Q735" s="2" t="s">
        <v>2304</v>
      </c>
      <c r="R735" s="2">
        <v>9116022.0989999995</v>
      </c>
      <c r="S735" s="2">
        <v>0</v>
      </c>
      <c r="T735" s="2" t="s">
        <v>26</v>
      </c>
      <c r="U735" s="2" t="s">
        <v>27</v>
      </c>
      <c r="V735" s="2" t="s">
        <v>28</v>
      </c>
      <c r="W735" s="2" t="s">
        <v>29</v>
      </c>
      <c r="X735" s="2" t="s">
        <v>30</v>
      </c>
      <c r="Y735" s="2">
        <v>3.4231541704114199</v>
      </c>
      <c r="Z735" s="2">
        <v>4.6584666666666701</v>
      </c>
      <c r="AA735" s="2">
        <v>-74.083966666666697</v>
      </c>
      <c r="AB735" s="2">
        <v>2552</v>
      </c>
      <c r="AC735" s="2" t="s">
        <v>31</v>
      </c>
      <c r="AD735" s="2" t="s">
        <v>32</v>
      </c>
      <c r="AE735" s="2" t="s">
        <v>33</v>
      </c>
      <c r="AF735" s="2" t="s">
        <v>34</v>
      </c>
      <c r="AG735" s="2" t="s">
        <v>81</v>
      </c>
      <c r="AH735" s="2">
        <v>1.0369777211990201</v>
      </c>
      <c r="AI735" s="2">
        <v>0.54535681626115196</v>
      </c>
      <c r="AJ735" s="2">
        <v>0.56625286613839698</v>
      </c>
      <c r="AK735" s="2">
        <v>0.16980822962929601</v>
      </c>
      <c r="AL735" s="2">
        <v>6.77833974245611E-3</v>
      </c>
      <c r="AN735" s="2">
        <v>6.8</v>
      </c>
      <c r="AO735" s="2">
        <v>19.899999999999999</v>
      </c>
      <c r="AP735" s="2">
        <v>564</v>
      </c>
      <c r="AQ735" s="2">
        <v>68</v>
      </c>
      <c r="AR735" s="2">
        <v>1.5</v>
      </c>
      <c r="AS735" s="2">
        <v>135</v>
      </c>
      <c r="AT735" s="2">
        <v>0.8</v>
      </c>
      <c r="AU735" s="2">
        <v>162</v>
      </c>
      <c r="AV735" s="2">
        <v>9.1</v>
      </c>
      <c r="AW735" s="2">
        <v>9.1999999999999993</v>
      </c>
      <c r="AX735" s="2">
        <v>18.3</v>
      </c>
      <c r="AY735" s="2">
        <v>0.34</v>
      </c>
      <c r="AZ735" s="2">
        <v>7.3</v>
      </c>
      <c r="BA735" s="2">
        <v>0.9</v>
      </c>
      <c r="BB735" s="2">
        <v>7.5</v>
      </c>
      <c r="BC735" s="2">
        <v>2.9</v>
      </c>
      <c r="BD735" s="2">
        <f>+AN735*EXP(-0.0495*Y735)</f>
        <v>5.7400991330393989</v>
      </c>
      <c r="BE735" s="2">
        <f>+AO735*EXP(-0.024*Y735)</f>
        <v>18.330457701945953</v>
      </c>
    </row>
    <row r="736" spans="1:57" x14ac:dyDescent="0.2">
      <c r="A736" s="2" t="s">
        <v>1782</v>
      </c>
      <c r="B736" s="2" t="s">
        <v>19</v>
      </c>
      <c r="C736" s="2" t="s">
        <v>20</v>
      </c>
      <c r="D736" s="2" t="s">
        <v>21</v>
      </c>
      <c r="E736" s="2" t="s">
        <v>1783</v>
      </c>
      <c r="F736" s="2">
        <v>6</v>
      </c>
      <c r="G736" s="2">
        <v>360</v>
      </c>
      <c r="H736" s="2">
        <v>3</v>
      </c>
      <c r="I736" s="2">
        <v>5</v>
      </c>
      <c r="J736" s="2">
        <v>4</v>
      </c>
      <c r="K736" s="2" t="s">
        <v>61</v>
      </c>
      <c r="L736" s="6" t="s">
        <v>75</v>
      </c>
      <c r="M736" s="5">
        <v>3500000000</v>
      </c>
      <c r="N736" s="2">
        <v>0</v>
      </c>
      <c r="O736" s="2">
        <v>4.6665679000000004</v>
      </c>
      <c r="P736" s="2">
        <v>-74.045590300000001</v>
      </c>
      <c r="Q736" s="2" t="s">
        <v>1784</v>
      </c>
      <c r="R736" s="2">
        <v>9722222.2219999991</v>
      </c>
      <c r="S736" s="2">
        <v>0</v>
      </c>
      <c r="T736" s="2" t="s">
        <v>26</v>
      </c>
      <c r="U736" s="2" t="s">
        <v>27</v>
      </c>
      <c r="V736" s="2" t="s">
        <v>28</v>
      </c>
      <c r="W736" s="2" t="s">
        <v>29</v>
      </c>
      <c r="X736" s="2" t="s">
        <v>30</v>
      </c>
      <c r="Y736" s="2">
        <v>4.35235626259926</v>
      </c>
      <c r="Z736" s="2">
        <v>4.6584666666666701</v>
      </c>
      <c r="AA736" s="2">
        <v>-74.083966666666697</v>
      </c>
      <c r="AB736" s="2">
        <v>2552</v>
      </c>
      <c r="AC736" s="2" t="s">
        <v>31</v>
      </c>
      <c r="AD736" s="2" t="s">
        <v>32</v>
      </c>
      <c r="AE736" s="2" t="s">
        <v>33</v>
      </c>
      <c r="AF736" s="2" t="s">
        <v>34</v>
      </c>
      <c r="AG736" s="2" t="s">
        <v>81</v>
      </c>
      <c r="AH736" s="2">
        <v>1.6413299338280101</v>
      </c>
      <c r="AI736" s="2">
        <v>0.20728502009000099</v>
      </c>
      <c r="AJ736" s="2">
        <v>0.91619726278046099</v>
      </c>
      <c r="AK736" s="2">
        <v>0.23429897534282801</v>
      </c>
      <c r="AL736" s="2">
        <v>0.39419451606758199</v>
      </c>
      <c r="AN736" s="2">
        <v>6.8</v>
      </c>
      <c r="AO736" s="2">
        <v>19.899999999999999</v>
      </c>
      <c r="AP736" s="2">
        <v>564</v>
      </c>
      <c r="AQ736" s="2">
        <v>68</v>
      </c>
      <c r="AR736" s="2">
        <v>1.5</v>
      </c>
      <c r="AS736" s="2">
        <v>135</v>
      </c>
      <c r="AT736" s="2">
        <v>0.8</v>
      </c>
      <c r="AU736" s="2">
        <v>162</v>
      </c>
      <c r="AV736" s="2">
        <v>9.1</v>
      </c>
      <c r="AW736" s="2">
        <v>9.1999999999999993</v>
      </c>
      <c r="AX736" s="2">
        <v>18.3</v>
      </c>
      <c r="AY736" s="2">
        <v>0.34</v>
      </c>
      <c r="AZ736" s="2">
        <v>7.3</v>
      </c>
      <c r="BA736" s="2">
        <v>0.9</v>
      </c>
      <c r="BB736" s="2">
        <v>7.5</v>
      </c>
      <c r="BC736" s="2">
        <v>2.9</v>
      </c>
      <c r="BD736" s="2">
        <f>+AN736*EXP(-0.0495*Y736)</f>
        <v>5.4820601888683846</v>
      </c>
      <c r="BE736" s="2">
        <f>+AO736*EXP(-0.024*Y736)</f>
        <v>17.926197339329828</v>
      </c>
    </row>
    <row r="737" spans="1:57" x14ac:dyDescent="0.2">
      <c r="A737" s="2" t="s">
        <v>2322</v>
      </c>
      <c r="B737" s="2" t="s">
        <v>19</v>
      </c>
      <c r="C737" s="2" t="s">
        <v>1907</v>
      </c>
      <c r="D737" s="2" t="s">
        <v>21</v>
      </c>
      <c r="E737" s="2" t="s">
        <v>223</v>
      </c>
      <c r="F737" s="2">
        <v>6</v>
      </c>
      <c r="G737" s="2">
        <v>360</v>
      </c>
      <c r="H737" s="2">
        <v>5</v>
      </c>
      <c r="I737" s="2">
        <v>4</v>
      </c>
      <c r="J737" s="2">
        <v>2</v>
      </c>
      <c r="K737" s="2" t="s">
        <v>61</v>
      </c>
      <c r="L737" s="6" t="s">
        <v>113</v>
      </c>
      <c r="M737" s="5">
        <v>2500000000</v>
      </c>
      <c r="N737" s="2">
        <v>0</v>
      </c>
      <c r="O737" s="2">
        <v>4.6227939999999998</v>
      </c>
      <c r="P737" s="2">
        <v>-74.090960199999998</v>
      </c>
      <c r="Q737" s="2" t="s">
        <v>2323</v>
      </c>
      <c r="R737" s="2">
        <v>6944444.4440000001</v>
      </c>
      <c r="S737" s="2">
        <v>0</v>
      </c>
      <c r="T737" s="2" t="s">
        <v>77</v>
      </c>
      <c r="U737" s="2" t="s">
        <v>78</v>
      </c>
      <c r="V737" s="2" t="s">
        <v>28</v>
      </c>
      <c r="W737" s="2" t="s">
        <v>79</v>
      </c>
      <c r="X737" s="2" t="s">
        <v>80</v>
      </c>
      <c r="Y737" s="2">
        <v>2.6775369153745001</v>
      </c>
      <c r="Z737" s="2">
        <v>4.6254861111111101</v>
      </c>
      <c r="AA737" s="2">
        <v>-74.066980555555503</v>
      </c>
      <c r="AB737" s="2">
        <v>2621</v>
      </c>
      <c r="AC737" s="2" t="s">
        <v>31</v>
      </c>
      <c r="AD737" s="2" t="s">
        <v>32</v>
      </c>
      <c r="AE737" s="2" t="s">
        <v>33</v>
      </c>
      <c r="AF737" s="2" t="s">
        <v>34</v>
      </c>
      <c r="AG737" s="2" t="s">
        <v>239</v>
      </c>
      <c r="AH737" s="2">
        <v>0.66743251898662503</v>
      </c>
      <c r="AI737" s="2">
        <v>3.1337604789985098</v>
      </c>
      <c r="AJ737" s="2">
        <v>1.5332800914459901</v>
      </c>
      <c r="AK737" s="2">
        <v>6.5377647119212901E-2</v>
      </c>
      <c r="AL737" s="2">
        <v>0.54905754830896403</v>
      </c>
      <c r="AN737" s="2">
        <v>6.8</v>
      </c>
      <c r="AO737" s="2">
        <v>19.899999999999999</v>
      </c>
      <c r="AP737" s="2">
        <v>564</v>
      </c>
      <c r="AQ737" s="2">
        <v>68</v>
      </c>
      <c r="AR737" s="2">
        <v>1.5</v>
      </c>
      <c r="AS737" s="2">
        <v>135</v>
      </c>
      <c r="AT737" s="2">
        <v>0.8</v>
      </c>
      <c r="AU737" s="2">
        <v>162</v>
      </c>
      <c r="AV737" s="2">
        <v>9.1</v>
      </c>
      <c r="AW737" s="2">
        <v>9.1999999999999993</v>
      </c>
      <c r="AX737" s="2">
        <v>18.3</v>
      </c>
      <c r="AY737" s="2">
        <v>0.34</v>
      </c>
      <c r="AZ737" s="2">
        <v>7.3</v>
      </c>
      <c r="BA737" s="2">
        <v>0.9</v>
      </c>
      <c r="BB737" s="2">
        <v>7.5</v>
      </c>
      <c r="BC737" s="2">
        <v>2.9</v>
      </c>
      <c r="BD737" s="2">
        <f>+AN737*EXP(-0.0495*Y737)</f>
        <v>5.9559131624464419</v>
      </c>
      <c r="BE737" s="2">
        <f>+AO737*EXP(-0.024*Y737)</f>
        <v>18.661430350204302</v>
      </c>
    </row>
    <row r="738" spans="1:57" x14ac:dyDescent="0.2">
      <c r="A738" s="2" t="s">
        <v>2268</v>
      </c>
      <c r="B738" s="2" t="s">
        <v>19</v>
      </c>
      <c r="C738" s="2" t="s">
        <v>1907</v>
      </c>
      <c r="D738" s="2" t="s">
        <v>21</v>
      </c>
      <c r="E738" s="2" t="s">
        <v>511</v>
      </c>
      <c r="F738" s="2">
        <v>2</v>
      </c>
      <c r="G738" s="2">
        <v>360</v>
      </c>
      <c r="H738" s="2">
        <v>5</v>
      </c>
      <c r="I738" s="2">
        <v>5</v>
      </c>
      <c r="J738" s="2">
        <v>1</v>
      </c>
      <c r="K738" s="2" t="s">
        <v>61</v>
      </c>
      <c r="L738" s="6" t="s">
        <v>75</v>
      </c>
      <c r="M738" s="5">
        <v>950000000</v>
      </c>
      <c r="N738" s="2">
        <v>0</v>
      </c>
      <c r="O738" s="2">
        <v>4.7422924039999996</v>
      </c>
      <c r="P738" s="2">
        <v>-74.122596740000006</v>
      </c>
      <c r="Q738" s="2" t="s">
        <v>2269</v>
      </c>
      <c r="R738" s="2">
        <v>2638888.889</v>
      </c>
      <c r="S738" s="2">
        <v>0</v>
      </c>
      <c r="T738" s="2" t="s">
        <v>370</v>
      </c>
      <c r="U738" s="2" t="s">
        <v>371</v>
      </c>
      <c r="V738" s="2" t="s">
        <v>28</v>
      </c>
      <c r="W738" s="2" t="s">
        <v>29</v>
      </c>
      <c r="X738" s="2" t="s">
        <v>372</v>
      </c>
      <c r="Y738" s="2">
        <v>0.80922048682024805</v>
      </c>
      <c r="Z738" s="2">
        <v>4.7358055555555598</v>
      </c>
      <c r="AA738" s="2">
        <v>-74.125888888888895</v>
      </c>
      <c r="AB738" s="2">
        <v>2574</v>
      </c>
      <c r="AC738" s="2" t="s">
        <v>105</v>
      </c>
      <c r="AD738" s="2" t="s">
        <v>58</v>
      </c>
      <c r="AE738" s="2" t="s">
        <v>33</v>
      </c>
      <c r="AF738" s="2" t="s">
        <v>34</v>
      </c>
      <c r="AG738" s="2" t="s">
        <v>72</v>
      </c>
      <c r="AH738" s="2">
        <v>3.1792066156693801</v>
      </c>
      <c r="AI738" s="2">
        <v>0.496370435605686</v>
      </c>
      <c r="AJ738" s="2">
        <v>5.7400559395505999</v>
      </c>
      <c r="AK738" s="2">
        <v>0.24368093964416301</v>
      </c>
      <c r="AL738" s="2">
        <v>2.2622164865424701E-2</v>
      </c>
      <c r="AN738" s="2">
        <v>6.8</v>
      </c>
      <c r="AO738" s="2">
        <v>19.899999999999999</v>
      </c>
      <c r="AP738" s="2">
        <v>564</v>
      </c>
      <c r="AQ738" s="2">
        <v>68</v>
      </c>
      <c r="AR738" s="2">
        <v>1.5</v>
      </c>
      <c r="AS738" s="2">
        <v>135</v>
      </c>
      <c r="AT738" s="2">
        <v>0.8</v>
      </c>
      <c r="AU738" s="2">
        <v>162</v>
      </c>
      <c r="AV738" s="2">
        <v>9.1</v>
      </c>
      <c r="AW738" s="2">
        <v>9.1999999999999993</v>
      </c>
      <c r="AX738" s="2">
        <v>18.3</v>
      </c>
      <c r="AY738" s="2">
        <v>0.34</v>
      </c>
      <c r="AZ738" s="2">
        <v>7.3</v>
      </c>
      <c r="BA738" s="2">
        <v>0.9</v>
      </c>
      <c r="BB738" s="2">
        <v>7.5</v>
      </c>
      <c r="BC738" s="2">
        <v>2.9</v>
      </c>
      <c r="BD738" s="2">
        <f>+AN738*EXP(-0.0495*Y738)</f>
        <v>6.5329996225614586</v>
      </c>
      <c r="BE738" s="2">
        <f>+AO738*EXP(-0.024*Y738)</f>
        <v>19.517245123304129</v>
      </c>
    </row>
    <row r="739" spans="1:57" x14ac:dyDescent="0.2">
      <c r="A739" s="2" t="s">
        <v>2657</v>
      </c>
      <c r="B739" s="2" t="s">
        <v>19</v>
      </c>
      <c r="C739" s="2" t="s">
        <v>1907</v>
      </c>
      <c r="D739" s="2" t="s">
        <v>21</v>
      </c>
      <c r="E739" s="2" t="s">
        <v>2658</v>
      </c>
      <c r="F739" s="2">
        <v>2</v>
      </c>
      <c r="G739" s="2">
        <v>360</v>
      </c>
      <c r="H739" s="2">
        <v>5</v>
      </c>
      <c r="I739" s="2">
        <v>4</v>
      </c>
      <c r="J739" s="2">
        <v>2</v>
      </c>
      <c r="K739" s="2" t="s">
        <v>61</v>
      </c>
      <c r="L739" s="6" t="s">
        <v>113</v>
      </c>
      <c r="M739" s="5">
        <v>450000000</v>
      </c>
      <c r="N739" s="2">
        <v>0</v>
      </c>
      <c r="O739" s="2">
        <v>4.5743099999999997</v>
      </c>
      <c r="P739" s="2">
        <v>-74.108320000000006</v>
      </c>
      <c r="Q739" s="2" t="s">
        <v>2659</v>
      </c>
      <c r="R739" s="2">
        <v>1250000</v>
      </c>
      <c r="S739" s="2">
        <v>0</v>
      </c>
      <c r="T739" s="2" t="s">
        <v>1794</v>
      </c>
      <c r="U739" s="2" t="s">
        <v>1795</v>
      </c>
      <c r="V739" s="2" t="s">
        <v>28</v>
      </c>
      <c r="W739" s="2" t="s">
        <v>1796</v>
      </c>
      <c r="X739" s="2" t="s">
        <v>1797</v>
      </c>
      <c r="Y739" s="2">
        <v>2.5207791283721099</v>
      </c>
      <c r="Z739" s="2">
        <v>4.576225</v>
      </c>
      <c r="AA739" s="2">
        <v>-74.130955555555502</v>
      </c>
      <c r="AB739" s="2">
        <v>2589</v>
      </c>
      <c r="AC739" s="2" t="s">
        <v>31</v>
      </c>
      <c r="AD739" s="2" t="s">
        <v>58</v>
      </c>
      <c r="AE739" s="2" t="s">
        <v>33</v>
      </c>
      <c r="AF739" s="2" t="s">
        <v>34</v>
      </c>
      <c r="AG739" s="2" t="s">
        <v>1798</v>
      </c>
      <c r="AH739" s="2">
        <v>0.51986519541292298</v>
      </c>
      <c r="AI739" s="2">
        <v>3.5505682232115698</v>
      </c>
      <c r="AJ739" s="2">
        <v>1.7268336573983001</v>
      </c>
      <c r="AK739" s="2">
        <v>0.25943354112252698</v>
      </c>
      <c r="AL739" s="2">
        <v>5.2525134524167599E-2</v>
      </c>
      <c r="AN739" s="2">
        <v>6.8</v>
      </c>
      <c r="AO739" s="2">
        <v>19.899999999999999</v>
      </c>
      <c r="AP739" s="2">
        <v>564</v>
      </c>
      <c r="AQ739" s="2">
        <v>68</v>
      </c>
      <c r="AR739" s="2">
        <v>1.5</v>
      </c>
      <c r="AS739" s="2">
        <v>135</v>
      </c>
      <c r="AT739" s="2">
        <v>0.8</v>
      </c>
      <c r="AU739" s="2">
        <v>162</v>
      </c>
      <c r="AV739" s="2">
        <v>9.1</v>
      </c>
      <c r="AW739" s="2">
        <v>9.1999999999999993</v>
      </c>
      <c r="AX739" s="2">
        <v>18.3</v>
      </c>
      <c r="AY739" s="2">
        <v>0.34</v>
      </c>
      <c r="AZ739" s="2">
        <v>7.3</v>
      </c>
      <c r="BA739" s="2">
        <v>0.9</v>
      </c>
      <c r="BB739" s="2">
        <v>7.5</v>
      </c>
      <c r="BC739" s="2">
        <v>2.9</v>
      </c>
      <c r="BD739" s="2">
        <f>+AN739*EXP(-0.0495*Y739)</f>
        <v>6.0023079003507327</v>
      </c>
      <c r="BE739" s="2">
        <f>+AO739*EXP(-0.024*Y739)</f>
        <v>18.731770371967698</v>
      </c>
    </row>
    <row r="740" spans="1:57" x14ac:dyDescent="0.2">
      <c r="A740" s="2" t="s">
        <v>939</v>
      </c>
      <c r="B740" s="2" t="s">
        <v>19</v>
      </c>
      <c r="C740" s="2" t="s">
        <v>20</v>
      </c>
      <c r="D740" s="2" t="s">
        <v>21</v>
      </c>
      <c r="E740" s="2" t="s">
        <v>940</v>
      </c>
      <c r="F740" s="2">
        <v>6</v>
      </c>
      <c r="G740" s="2">
        <v>354</v>
      </c>
      <c r="H740" s="2">
        <v>4</v>
      </c>
      <c r="I740" s="2">
        <v>4</v>
      </c>
      <c r="J740" s="2">
        <v>3</v>
      </c>
      <c r="K740" s="2" t="s">
        <v>61</v>
      </c>
      <c r="L740" s="6" t="s">
        <v>113</v>
      </c>
      <c r="M740" s="5">
        <v>2800000000</v>
      </c>
      <c r="N740" s="2">
        <v>0</v>
      </c>
      <c r="O740" s="2">
        <v>4.6687900000000004</v>
      </c>
      <c r="P740" s="2">
        <v>-74.043139999999994</v>
      </c>
      <c r="Q740" s="2" t="s">
        <v>941</v>
      </c>
      <c r="R740" s="2">
        <v>7909604.5199999996</v>
      </c>
      <c r="S740" s="2">
        <v>0</v>
      </c>
      <c r="T740" s="2" t="s">
        <v>26</v>
      </c>
      <c r="U740" s="2" t="s">
        <v>27</v>
      </c>
      <c r="V740" s="2" t="s">
        <v>28</v>
      </c>
      <c r="W740" s="2" t="s">
        <v>29</v>
      </c>
      <c r="X740" s="2" t="s">
        <v>30</v>
      </c>
      <c r="Y740" s="2">
        <v>4.6732569220550104</v>
      </c>
      <c r="Z740" s="2">
        <v>4.6584666666666701</v>
      </c>
      <c r="AA740" s="2">
        <v>-74.083966666666697</v>
      </c>
      <c r="AB740" s="2">
        <v>2552</v>
      </c>
      <c r="AC740" s="2" t="s">
        <v>31</v>
      </c>
      <c r="AD740" s="2" t="s">
        <v>32</v>
      </c>
      <c r="AE740" s="2" t="s">
        <v>33</v>
      </c>
      <c r="AF740" s="2" t="s">
        <v>34</v>
      </c>
      <c r="AG740" s="2" t="s">
        <v>81</v>
      </c>
      <c r="AH740" s="2">
        <v>1.87091209236246</v>
      </c>
      <c r="AI740" s="2">
        <v>4.5232242227715998E-2</v>
      </c>
      <c r="AJ740" s="2">
        <v>1.2471015092901601</v>
      </c>
      <c r="AK740" s="2">
        <v>0.54112401474991501</v>
      </c>
      <c r="AL740" s="2">
        <v>0.71107334971162695</v>
      </c>
      <c r="AN740" s="2">
        <v>6.8</v>
      </c>
      <c r="AO740" s="2">
        <v>19.899999999999999</v>
      </c>
      <c r="AP740" s="2">
        <v>564</v>
      </c>
      <c r="AQ740" s="2">
        <v>68</v>
      </c>
      <c r="AR740" s="2">
        <v>1.5</v>
      </c>
      <c r="AS740" s="2">
        <v>135</v>
      </c>
      <c r="AT740" s="2">
        <v>0.8</v>
      </c>
      <c r="AU740" s="2">
        <v>162</v>
      </c>
      <c r="AV740" s="2">
        <v>9.1</v>
      </c>
      <c r="AW740" s="2">
        <v>9.1999999999999993</v>
      </c>
      <c r="AX740" s="2">
        <v>18.3</v>
      </c>
      <c r="AY740" s="2">
        <v>0.34</v>
      </c>
      <c r="AZ740" s="2">
        <v>7.3</v>
      </c>
      <c r="BA740" s="2">
        <v>0.9</v>
      </c>
      <c r="BB740" s="2">
        <v>7.5</v>
      </c>
      <c r="BC740" s="2">
        <v>2.9</v>
      </c>
      <c r="BD740" s="2">
        <f>+AN740*EXP(-0.0495*Y740)</f>
        <v>5.3956679198461375</v>
      </c>
      <c r="BE740" s="2">
        <f>+AO740*EXP(-0.024*Y740)</f>
        <v>17.78866693714485</v>
      </c>
    </row>
    <row r="741" spans="1:57" x14ac:dyDescent="0.2">
      <c r="A741" s="2" t="s">
        <v>1734</v>
      </c>
      <c r="B741" s="2" t="s">
        <v>19</v>
      </c>
      <c r="C741" s="2" t="s">
        <v>20</v>
      </c>
      <c r="D741" s="2" t="s">
        <v>21</v>
      </c>
      <c r="E741" s="2" t="s">
        <v>183</v>
      </c>
      <c r="F741" s="2">
        <v>6</v>
      </c>
      <c r="G741" s="2">
        <v>350</v>
      </c>
      <c r="H741" s="2">
        <v>4</v>
      </c>
      <c r="I741" s="2">
        <v>5</v>
      </c>
      <c r="J741" s="2">
        <v>2</v>
      </c>
      <c r="K741" s="2" t="s">
        <v>61</v>
      </c>
      <c r="L741" s="6" t="s">
        <v>66</v>
      </c>
      <c r="M741" s="5">
        <v>2250000000</v>
      </c>
      <c r="N741" s="2">
        <v>0</v>
      </c>
      <c r="O741" s="2">
        <v>4.6641492839999996</v>
      </c>
      <c r="P741" s="2">
        <v>-74.047767640000004</v>
      </c>
      <c r="Q741" s="2" t="s">
        <v>1735</v>
      </c>
      <c r="R741" s="2">
        <v>6428571.4289999995</v>
      </c>
      <c r="S741" s="2">
        <v>0</v>
      </c>
      <c r="T741" s="2" t="s">
        <v>26</v>
      </c>
      <c r="U741" s="2" t="s">
        <v>27</v>
      </c>
      <c r="V741" s="2" t="s">
        <v>28</v>
      </c>
      <c r="W741" s="2" t="s">
        <v>29</v>
      </c>
      <c r="X741" s="2" t="s">
        <v>30</v>
      </c>
      <c r="Y741" s="2">
        <v>4.06584118269501</v>
      </c>
      <c r="Z741" s="2">
        <v>4.6584666666666701</v>
      </c>
      <c r="AA741" s="2">
        <v>-74.083966666666697</v>
      </c>
      <c r="AB741" s="2">
        <v>2552</v>
      </c>
      <c r="AC741" s="2" t="s">
        <v>31</v>
      </c>
      <c r="AD741" s="2" t="s">
        <v>32</v>
      </c>
      <c r="AE741" s="2" t="s">
        <v>33</v>
      </c>
      <c r="AF741" s="2" t="s">
        <v>34</v>
      </c>
      <c r="AG741" s="2" t="s">
        <v>81</v>
      </c>
      <c r="AH741" s="2">
        <v>1.4588489986192901</v>
      </c>
      <c r="AI741" s="2">
        <v>0.28280260423803499</v>
      </c>
      <c r="AJ741" s="2">
        <v>0.65819132903626698</v>
      </c>
      <c r="AK741" s="2">
        <v>0.12838055237545201</v>
      </c>
      <c r="AL741" s="2">
        <v>0.278227471370326</v>
      </c>
      <c r="AN741" s="2">
        <v>6.8</v>
      </c>
      <c r="AO741" s="2">
        <v>19.899999999999999</v>
      </c>
      <c r="AP741" s="2">
        <v>564</v>
      </c>
      <c r="AQ741" s="2">
        <v>68</v>
      </c>
      <c r="AR741" s="2">
        <v>1.5</v>
      </c>
      <c r="AS741" s="2">
        <v>135</v>
      </c>
      <c r="AT741" s="2">
        <v>0.8</v>
      </c>
      <c r="AU741" s="2">
        <v>162</v>
      </c>
      <c r="AV741" s="2">
        <v>9.1</v>
      </c>
      <c r="AW741" s="2">
        <v>9.1999999999999993</v>
      </c>
      <c r="AX741" s="2">
        <v>18.3</v>
      </c>
      <c r="AY741" s="2">
        <v>0.34</v>
      </c>
      <c r="AZ741" s="2">
        <v>7.3</v>
      </c>
      <c r="BA741" s="2">
        <v>0.9</v>
      </c>
      <c r="BB741" s="2">
        <v>7.5</v>
      </c>
      <c r="BC741" s="2">
        <v>2.9</v>
      </c>
      <c r="BD741" s="2">
        <f>+AN741*EXP(-0.0495*Y741)</f>
        <v>5.5603634433696651</v>
      </c>
      <c r="BE741" s="2">
        <f>+AO741*EXP(-0.024*Y741)</f>
        <v>18.049889147472516</v>
      </c>
    </row>
    <row r="742" spans="1:57" x14ac:dyDescent="0.2">
      <c r="A742" s="2" t="s">
        <v>1707</v>
      </c>
      <c r="B742" s="2" t="s">
        <v>19</v>
      </c>
      <c r="C742" s="2" t="s">
        <v>20</v>
      </c>
      <c r="D742" s="2" t="s">
        <v>21</v>
      </c>
      <c r="E742" s="2" t="s">
        <v>693</v>
      </c>
      <c r="F742" s="2">
        <v>6</v>
      </c>
      <c r="G742" s="2">
        <v>341</v>
      </c>
      <c r="H742" s="2">
        <v>4</v>
      </c>
      <c r="I742" s="2">
        <v>5</v>
      </c>
      <c r="J742" s="2">
        <v>4</v>
      </c>
      <c r="K742" s="2" t="s">
        <v>61</v>
      </c>
      <c r="L742" s="6" t="s">
        <v>75</v>
      </c>
      <c r="M742" s="5">
        <v>3700000000</v>
      </c>
      <c r="N742" s="2">
        <v>0</v>
      </c>
      <c r="O742" s="2">
        <v>4.664451122</v>
      </c>
      <c r="P742" s="2">
        <v>-74.050231929999995</v>
      </c>
      <c r="Q742" s="2" t="s">
        <v>1708</v>
      </c>
      <c r="R742" s="2">
        <v>10850439.880000001</v>
      </c>
      <c r="S742" s="2">
        <v>0</v>
      </c>
      <c r="T742" s="2" t="s">
        <v>26</v>
      </c>
      <c r="U742" s="2" t="s">
        <v>27</v>
      </c>
      <c r="V742" s="2" t="s">
        <v>28</v>
      </c>
      <c r="W742" s="2" t="s">
        <v>29</v>
      </c>
      <c r="X742" s="2" t="s">
        <v>30</v>
      </c>
      <c r="Y742" s="2">
        <v>3.8017358581459999</v>
      </c>
      <c r="Z742" s="2">
        <v>4.6584666666666701</v>
      </c>
      <c r="AA742" s="2">
        <v>-74.083966666666697</v>
      </c>
      <c r="AB742" s="2">
        <v>2552</v>
      </c>
      <c r="AC742" s="2" t="s">
        <v>31</v>
      </c>
      <c r="AD742" s="2" t="s">
        <v>32</v>
      </c>
      <c r="AE742" s="2" t="s">
        <v>33</v>
      </c>
      <c r="AF742" s="2" t="s">
        <v>34</v>
      </c>
      <c r="AG742" s="2" t="s">
        <v>81</v>
      </c>
      <c r="AH742" s="2">
        <v>1.1893686675075199</v>
      </c>
      <c r="AI742" s="2">
        <v>0.554421494944348</v>
      </c>
      <c r="AJ742" s="2">
        <v>0.382935679436264</v>
      </c>
      <c r="AK742" s="2">
        <v>0.107601839271023</v>
      </c>
      <c r="AL742" s="2">
        <v>6.4528948774528694E-2</v>
      </c>
      <c r="AN742" s="2">
        <v>6.8</v>
      </c>
      <c r="AO742" s="2">
        <v>19.899999999999999</v>
      </c>
      <c r="AP742" s="2">
        <v>564</v>
      </c>
      <c r="AQ742" s="2">
        <v>68</v>
      </c>
      <c r="AR742" s="2">
        <v>1.5</v>
      </c>
      <c r="AS742" s="2">
        <v>135</v>
      </c>
      <c r="AT742" s="2">
        <v>0.8</v>
      </c>
      <c r="AU742" s="2">
        <v>162</v>
      </c>
      <c r="AV742" s="2">
        <v>9.1</v>
      </c>
      <c r="AW742" s="2">
        <v>9.1999999999999993</v>
      </c>
      <c r="AX742" s="2">
        <v>18.3</v>
      </c>
      <c r="AY742" s="2">
        <v>0.34</v>
      </c>
      <c r="AZ742" s="2">
        <v>7.3</v>
      </c>
      <c r="BA742" s="2">
        <v>0.9</v>
      </c>
      <c r="BB742" s="2">
        <v>7.5</v>
      </c>
      <c r="BC742" s="2">
        <v>2.9</v>
      </c>
      <c r="BD742" s="2">
        <f>+AN742*EXP(-0.0495*Y742)</f>
        <v>5.6335324973990231</v>
      </c>
      <c r="BE742" s="2">
        <f>+AO742*EXP(-0.024*Y742)</f>
        <v>18.164662233353503</v>
      </c>
    </row>
    <row r="743" spans="1:57" x14ac:dyDescent="0.2">
      <c r="A743" s="2" t="s">
        <v>2153</v>
      </c>
      <c r="B743" s="2" t="s">
        <v>19</v>
      </c>
      <c r="C743" s="2" t="s">
        <v>1907</v>
      </c>
      <c r="D743" s="2" t="s">
        <v>21</v>
      </c>
      <c r="E743" s="2" t="s">
        <v>1096</v>
      </c>
      <c r="F743" s="2">
        <v>4</v>
      </c>
      <c r="G743" s="2">
        <v>335</v>
      </c>
      <c r="H743" s="2">
        <v>4</v>
      </c>
      <c r="I743" s="2">
        <v>5</v>
      </c>
      <c r="J743" s="2">
        <v>2</v>
      </c>
      <c r="K743" s="2" t="s">
        <v>61</v>
      </c>
      <c r="L743" s="6" t="s">
        <v>113</v>
      </c>
      <c r="M743" s="5">
        <v>1300000000</v>
      </c>
      <c r="N743" s="2">
        <v>0</v>
      </c>
      <c r="O743" s="2">
        <v>4.6706700330000004</v>
      </c>
      <c r="P743" s="2">
        <v>-74.103172299999997</v>
      </c>
      <c r="Q743" s="2" t="s">
        <v>2154</v>
      </c>
      <c r="R743" s="2">
        <v>3880597.0150000001</v>
      </c>
      <c r="S743" s="2">
        <v>0</v>
      </c>
      <c r="T743" s="2" t="s">
        <v>26</v>
      </c>
      <c r="U743" s="2" t="s">
        <v>27</v>
      </c>
      <c r="V743" s="2" t="s">
        <v>28</v>
      </c>
      <c r="W743" s="2" t="s">
        <v>29</v>
      </c>
      <c r="X743" s="2" t="s">
        <v>30</v>
      </c>
      <c r="Y743" s="2">
        <v>2.5270729377209902</v>
      </c>
      <c r="Z743" s="2">
        <v>4.6584666666666701</v>
      </c>
      <c r="AA743" s="2">
        <v>-74.083966666666697</v>
      </c>
      <c r="AB743" s="2">
        <v>2552</v>
      </c>
      <c r="AC743" s="2" t="s">
        <v>31</v>
      </c>
      <c r="AD743" s="2" t="s">
        <v>32</v>
      </c>
      <c r="AE743" s="2" t="s">
        <v>33</v>
      </c>
      <c r="AF743" s="2" t="s">
        <v>34</v>
      </c>
      <c r="AG743" s="2" t="s">
        <v>363</v>
      </c>
      <c r="AH743" s="2">
        <v>1.13572842765354</v>
      </c>
      <c r="AI743" s="2">
        <v>6.0349082647641401</v>
      </c>
      <c r="AJ743" s="2">
        <v>1.4737010239389901</v>
      </c>
      <c r="AK743" s="2">
        <v>5.35475064988334E-2</v>
      </c>
      <c r="AL743" s="2">
        <v>0.47091755102294902</v>
      </c>
      <c r="AN743" s="2">
        <v>6.8</v>
      </c>
      <c r="AO743" s="2">
        <v>19.899999999999999</v>
      </c>
      <c r="AP743" s="2">
        <v>564</v>
      </c>
      <c r="AQ743" s="2">
        <v>68</v>
      </c>
      <c r="AR743" s="2">
        <v>1.5</v>
      </c>
      <c r="AS743" s="2">
        <v>135</v>
      </c>
      <c r="AT743" s="2">
        <v>0.8</v>
      </c>
      <c r="AU743" s="2">
        <v>162</v>
      </c>
      <c r="AV743" s="2">
        <v>9.1</v>
      </c>
      <c r="AW743" s="2">
        <v>9.1999999999999993</v>
      </c>
      <c r="AX743" s="2">
        <v>18.3</v>
      </c>
      <c r="AY743" s="2">
        <v>0.34</v>
      </c>
      <c r="AZ743" s="2">
        <v>7.3</v>
      </c>
      <c r="BA743" s="2">
        <v>0.9</v>
      </c>
      <c r="BB743" s="2">
        <v>7.5</v>
      </c>
      <c r="BC743" s="2">
        <v>2.9</v>
      </c>
      <c r="BD743" s="2">
        <f>+AN743*EXP(-0.0495*Y743)</f>
        <v>6.0004382112225461</v>
      </c>
      <c r="BE743" s="2">
        <f>+AO743*EXP(-0.024*Y743)</f>
        <v>18.728941125058252</v>
      </c>
    </row>
    <row r="744" spans="1:57" x14ac:dyDescent="0.2">
      <c r="A744" s="2" t="s">
        <v>2712</v>
      </c>
      <c r="B744" s="2" t="s">
        <v>19</v>
      </c>
      <c r="C744" s="2" t="s">
        <v>1907</v>
      </c>
      <c r="D744" s="2" t="s">
        <v>21</v>
      </c>
      <c r="E744" s="2" t="s">
        <v>2713</v>
      </c>
      <c r="F744" s="2">
        <v>3</v>
      </c>
      <c r="G744" s="2">
        <v>333.6</v>
      </c>
      <c r="H744" s="2">
        <v>5</v>
      </c>
      <c r="I744" s="2">
        <v>3</v>
      </c>
      <c r="J744" s="2">
        <v>2</v>
      </c>
      <c r="K744" s="2" t="s">
        <v>61</v>
      </c>
      <c r="L744" s="6" t="s">
        <v>113</v>
      </c>
      <c r="M744" s="5">
        <v>800000000</v>
      </c>
      <c r="N744" s="2">
        <v>0</v>
      </c>
      <c r="O744" s="2">
        <v>4.7250528340000004</v>
      </c>
      <c r="P744" s="2">
        <v>-74.098487849999998</v>
      </c>
      <c r="Q744" s="2" t="s">
        <v>2714</v>
      </c>
      <c r="R744" s="2">
        <v>2398081.5350000001</v>
      </c>
      <c r="S744" s="2">
        <v>0</v>
      </c>
      <c r="T744" s="2" t="s">
        <v>370</v>
      </c>
      <c r="U744" s="2" t="s">
        <v>371</v>
      </c>
      <c r="V744" s="2" t="s">
        <v>28</v>
      </c>
      <c r="W744" s="2" t="s">
        <v>29</v>
      </c>
      <c r="X744" s="2" t="s">
        <v>372</v>
      </c>
      <c r="Y744" s="2">
        <v>3.2670548391330101</v>
      </c>
      <c r="Z744" s="2">
        <v>4.7358055555555598</v>
      </c>
      <c r="AA744" s="2">
        <v>-74.125888888888895</v>
      </c>
      <c r="AB744" s="2">
        <v>2574</v>
      </c>
      <c r="AC744" s="2" t="s">
        <v>105</v>
      </c>
      <c r="AD744" s="2" t="s">
        <v>58</v>
      </c>
      <c r="AE744" s="2" t="s">
        <v>33</v>
      </c>
      <c r="AF744" s="2" t="s">
        <v>34</v>
      </c>
      <c r="AG744" s="2" t="s">
        <v>72</v>
      </c>
      <c r="AH744" s="2">
        <v>1.9946862184193901</v>
      </c>
      <c r="AI744" s="2">
        <v>2.9661538486791699</v>
      </c>
      <c r="AJ744" s="2">
        <v>2.78427293974103</v>
      </c>
      <c r="AK744" s="2">
        <v>0.60280271000415198</v>
      </c>
      <c r="AL744" s="2">
        <v>0.224451216393799</v>
      </c>
      <c r="AN744" s="2">
        <v>6.8</v>
      </c>
      <c r="AO744" s="2">
        <v>19.899999999999999</v>
      </c>
      <c r="AP744" s="2">
        <v>564</v>
      </c>
      <c r="AQ744" s="2">
        <v>68</v>
      </c>
      <c r="AR744" s="2">
        <v>1.5</v>
      </c>
      <c r="AS744" s="2">
        <v>135</v>
      </c>
      <c r="AT744" s="2">
        <v>0.8</v>
      </c>
      <c r="AU744" s="2">
        <v>162</v>
      </c>
      <c r="AV744" s="2">
        <v>9.1</v>
      </c>
      <c r="AW744" s="2">
        <v>9.1999999999999993</v>
      </c>
      <c r="AX744" s="2">
        <v>18.3</v>
      </c>
      <c r="AY744" s="2">
        <v>0.34</v>
      </c>
      <c r="AZ744" s="2">
        <v>7.3</v>
      </c>
      <c r="BA744" s="2">
        <v>0.9</v>
      </c>
      <c r="BB744" s="2">
        <v>7.5</v>
      </c>
      <c r="BC744" s="2">
        <v>2.9</v>
      </c>
      <c r="BD744" s="2">
        <f>+AN744*EXP(-0.0495*Y744)</f>
        <v>5.7846242012478042</v>
      </c>
      <c r="BE744" s="2">
        <f>+AO744*EXP(-0.024*Y744)</f>
        <v>18.399259432867836</v>
      </c>
    </row>
    <row r="745" spans="1:57" x14ac:dyDescent="0.2">
      <c r="A745" s="2" t="s">
        <v>1856</v>
      </c>
      <c r="B745" s="2" t="s">
        <v>19</v>
      </c>
      <c r="C745" s="2" t="s">
        <v>20</v>
      </c>
      <c r="D745" s="2" t="s">
        <v>21</v>
      </c>
      <c r="E745" s="2" t="s">
        <v>280</v>
      </c>
      <c r="F745" s="2">
        <v>6</v>
      </c>
      <c r="G745" s="2">
        <v>328</v>
      </c>
      <c r="H745" s="2">
        <v>4</v>
      </c>
      <c r="I745" s="2">
        <v>5</v>
      </c>
      <c r="J745" s="2">
        <v>3</v>
      </c>
      <c r="K745" s="2" t="s">
        <v>61</v>
      </c>
      <c r="L745" s="6" t="s">
        <v>84</v>
      </c>
      <c r="M745" s="5">
        <v>3300000000</v>
      </c>
      <c r="N745" s="2">
        <v>0</v>
      </c>
      <c r="O745" s="2">
        <v>4.6967706680000001</v>
      </c>
      <c r="P745" s="2">
        <v>-74.082138060000005</v>
      </c>
      <c r="Q745" s="2" t="s">
        <v>1857</v>
      </c>
      <c r="R745" s="2">
        <v>10060975.609999999</v>
      </c>
      <c r="S745" s="2">
        <v>0</v>
      </c>
      <c r="T745" s="2" t="s">
        <v>26</v>
      </c>
      <c r="U745" s="2" t="s">
        <v>27</v>
      </c>
      <c r="V745" s="2" t="s">
        <v>28</v>
      </c>
      <c r="W745" s="2" t="s">
        <v>29</v>
      </c>
      <c r="X745" s="2" t="s">
        <v>30</v>
      </c>
      <c r="Y745" s="2">
        <v>4.2688057787260902</v>
      </c>
      <c r="Z745" s="2">
        <v>4.6584666666666701</v>
      </c>
      <c r="AA745" s="2">
        <v>-74.083966666666697</v>
      </c>
      <c r="AB745" s="2">
        <v>2552</v>
      </c>
      <c r="AC745" s="2" t="s">
        <v>31</v>
      </c>
      <c r="AD745" s="2" t="s">
        <v>32</v>
      </c>
      <c r="AE745" s="2" t="s">
        <v>33</v>
      </c>
      <c r="AF745" s="2" t="s">
        <v>34</v>
      </c>
      <c r="AG745" s="2" t="s">
        <v>72</v>
      </c>
      <c r="AH745" s="2">
        <v>0.63637337561917995</v>
      </c>
      <c r="AI745" s="2">
        <v>5.3371689802200599</v>
      </c>
      <c r="AJ745" s="2">
        <v>0.95312713371362001</v>
      </c>
      <c r="AK745" s="2">
        <v>0.473500973002769</v>
      </c>
      <c r="AL745" s="2">
        <v>0.58405157318440903</v>
      </c>
      <c r="AN745" s="2">
        <v>6.8</v>
      </c>
      <c r="AO745" s="2">
        <v>19.899999999999999</v>
      </c>
      <c r="AP745" s="2">
        <v>564</v>
      </c>
      <c r="AQ745" s="2">
        <v>68</v>
      </c>
      <c r="AR745" s="2">
        <v>1.5</v>
      </c>
      <c r="AS745" s="2">
        <v>135</v>
      </c>
      <c r="AT745" s="2">
        <v>0.8</v>
      </c>
      <c r="AU745" s="2">
        <v>162</v>
      </c>
      <c r="AV745" s="2">
        <v>9.1</v>
      </c>
      <c r="AW745" s="2">
        <v>9.1999999999999993</v>
      </c>
      <c r="AX745" s="2">
        <v>18.3</v>
      </c>
      <c r="AY745" s="2">
        <v>0.34</v>
      </c>
      <c r="AZ745" s="2">
        <v>7.3</v>
      </c>
      <c r="BA745" s="2">
        <v>0.9</v>
      </c>
      <c r="BB745" s="2">
        <v>7.5</v>
      </c>
      <c r="BC745" s="2">
        <v>2.9</v>
      </c>
      <c r="BD745" s="2">
        <f>+AN745*EXP(-0.0495*Y745)</f>
        <v>5.5047795619760649</v>
      </c>
      <c r="BE745" s="2">
        <f>+AO745*EXP(-0.024*Y745)</f>
        <v>17.962179221998738</v>
      </c>
    </row>
    <row r="746" spans="1:57" x14ac:dyDescent="0.2">
      <c r="A746" s="2" t="s">
        <v>570</v>
      </c>
      <c r="B746" s="2" t="s">
        <v>19</v>
      </c>
      <c r="C746" s="2" t="s">
        <v>20</v>
      </c>
      <c r="D746" s="2" t="s">
        <v>21</v>
      </c>
      <c r="E746" s="2" t="s">
        <v>571</v>
      </c>
      <c r="F746" s="2">
        <v>6</v>
      </c>
      <c r="G746" s="2">
        <v>320</v>
      </c>
      <c r="H746" s="2">
        <v>4</v>
      </c>
      <c r="I746" s="2">
        <v>5</v>
      </c>
      <c r="J746" s="2">
        <v>3</v>
      </c>
      <c r="K746" s="2" t="s">
        <v>61</v>
      </c>
      <c r="L746" s="6" t="s">
        <v>75</v>
      </c>
      <c r="M746" s="5">
        <v>3070000000</v>
      </c>
      <c r="N746" s="2">
        <v>0</v>
      </c>
      <c r="O746" s="2">
        <v>4.6677899360000001</v>
      </c>
      <c r="P746" s="2">
        <v>-74.051185610000005</v>
      </c>
      <c r="Q746" s="2" t="s">
        <v>572</v>
      </c>
      <c r="R746" s="2">
        <v>9593750</v>
      </c>
      <c r="S746" s="2">
        <v>0</v>
      </c>
      <c r="T746" s="2" t="s">
        <v>26</v>
      </c>
      <c r="U746" s="2" t="s">
        <v>27</v>
      </c>
      <c r="V746" s="2" t="s">
        <v>28</v>
      </c>
      <c r="W746" s="2" t="s">
        <v>29</v>
      </c>
      <c r="X746" s="2" t="s">
        <v>30</v>
      </c>
      <c r="Y746" s="2">
        <v>3.7822732461742699</v>
      </c>
      <c r="Z746" s="2">
        <v>4.6584666666666701</v>
      </c>
      <c r="AA746" s="2">
        <v>-74.083966666666697</v>
      </c>
      <c r="AB746" s="2">
        <v>2552</v>
      </c>
      <c r="AC746" s="2" t="s">
        <v>31</v>
      </c>
      <c r="AD746" s="2" t="s">
        <v>32</v>
      </c>
      <c r="AE746" s="2" t="s">
        <v>33</v>
      </c>
      <c r="AF746" s="2" t="s">
        <v>34</v>
      </c>
      <c r="AG746" s="2" t="s">
        <v>81</v>
      </c>
      <c r="AH746" s="2">
        <v>1.0124549455509699</v>
      </c>
      <c r="AI746" s="2">
        <v>0.751208090037503</v>
      </c>
      <c r="AJ746" s="2">
        <v>0.42863293521194101</v>
      </c>
      <c r="AK746" s="2">
        <v>0.20622339769255299</v>
      </c>
      <c r="AL746" s="2">
        <v>0.26551830697072998</v>
      </c>
      <c r="AN746" s="2">
        <v>6.8</v>
      </c>
      <c r="AO746" s="2">
        <v>19.899999999999999</v>
      </c>
      <c r="AP746" s="2">
        <v>564</v>
      </c>
      <c r="AQ746" s="2">
        <v>68</v>
      </c>
      <c r="AR746" s="2">
        <v>1.5</v>
      </c>
      <c r="AS746" s="2">
        <v>135</v>
      </c>
      <c r="AT746" s="2">
        <v>0.8</v>
      </c>
      <c r="AU746" s="2">
        <v>162</v>
      </c>
      <c r="AV746" s="2">
        <v>9.1</v>
      </c>
      <c r="AW746" s="2">
        <v>9.1999999999999993</v>
      </c>
      <c r="AX746" s="2">
        <v>18.3</v>
      </c>
      <c r="AY746" s="2">
        <v>0.34</v>
      </c>
      <c r="AZ746" s="2">
        <v>7.3</v>
      </c>
      <c r="BA746" s="2">
        <v>0.9</v>
      </c>
      <c r="BB746" s="2">
        <v>7.5</v>
      </c>
      <c r="BC746" s="2">
        <v>2.9</v>
      </c>
      <c r="BD746" s="2">
        <f>+AN746*EXP(-0.0495*Y746)</f>
        <v>5.6389624538099632</v>
      </c>
      <c r="BE746" s="2">
        <f>+AO746*EXP(-0.024*Y746)</f>
        <v>18.173148977833261</v>
      </c>
    </row>
    <row r="747" spans="1:57" x14ac:dyDescent="0.2">
      <c r="A747" s="2" t="s">
        <v>2871</v>
      </c>
      <c r="B747" s="2" t="s">
        <v>19</v>
      </c>
      <c r="C747" s="2" t="s">
        <v>1907</v>
      </c>
      <c r="D747" s="2" t="s">
        <v>21</v>
      </c>
      <c r="E747" s="2" t="s">
        <v>22</v>
      </c>
      <c r="F747" s="2">
        <v>4</v>
      </c>
      <c r="G747" s="2">
        <v>320</v>
      </c>
      <c r="H747" s="2">
        <v>5</v>
      </c>
      <c r="I747" s="2">
        <v>5</v>
      </c>
      <c r="J747" s="2">
        <v>4</v>
      </c>
      <c r="K747" s="2" t="s">
        <v>61</v>
      </c>
      <c r="L747" s="6" t="s">
        <v>113</v>
      </c>
      <c r="M747" s="5">
        <v>1900000000</v>
      </c>
      <c r="N747" s="2">
        <v>0</v>
      </c>
      <c r="O747" s="2">
        <v>4.6449100000000003</v>
      </c>
      <c r="P747" s="2">
        <v>-74.069760000000002</v>
      </c>
      <c r="Q747" s="2" t="s">
        <v>2872</v>
      </c>
      <c r="R747" s="2">
        <v>5937500</v>
      </c>
      <c r="S747" s="2">
        <v>0</v>
      </c>
      <c r="T747" s="2" t="s">
        <v>26</v>
      </c>
      <c r="U747" s="2" t="s">
        <v>27</v>
      </c>
      <c r="V747" s="2" t="s">
        <v>28</v>
      </c>
      <c r="W747" s="2" t="s">
        <v>29</v>
      </c>
      <c r="X747" s="2" t="s">
        <v>30</v>
      </c>
      <c r="Y747" s="2">
        <v>2.1822174614440399</v>
      </c>
      <c r="Z747" s="2">
        <v>4.6584666666666701</v>
      </c>
      <c r="AA747" s="2">
        <v>-74.083966666666697</v>
      </c>
      <c r="AB747" s="2">
        <v>2552</v>
      </c>
      <c r="AC747" s="2" t="s">
        <v>31</v>
      </c>
      <c r="AD747" s="2" t="s">
        <v>32</v>
      </c>
      <c r="AE747" s="2" t="s">
        <v>33</v>
      </c>
      <c r="AF747" s="2" t="s">
        <v>34</v>
      </c>
      <c r="AG747" s="2" t="s">
        <v>35</v>
      </c>
      <c r="AH747" s="2">
        <v>0.48527644648027701</v>
      </c>
      <c r="AI747" s="2">
        <v>1.42421907737762</v>
      </c>
      <c r="AJ747" s="2">
        <v>0.269409104328523</v>
      </c>
      <c r="AK747" s="2">
        <v>0.118931922049839</v>
      </c>
      <c r="AL747" s="2">
        <v>5.93180038313149E-2</v>
      </c>
      <c r="AN747" s="2">
        <v>6.8</v>
      </c>
      <c r="AO747" s="2">
        <v>19.899999999999999</v>
      </c>
      <c r="AP747" s="2">
        <v>564</v>
      </c>
      <c r="AQ747" s="2">
        <v>68</v>
      </c>
      <c r="AR747" s="2">
        <v>1.5</v>
      </c>
      <c r="AS747" s="2">
        <v>135</v>
      </c>
      <c r="AT747" s="2">
        <v>0.8</v>
      </c>
      <c r="AU747" s="2">
        <v>162</v>
      </c>
      <c r="AV747" s="2">
        <v>9.1</v>
      </c>
      <c r="AW747" s="2">
        <v>9.1999999999999993</v>
      </c>
      <c r="AX747" s="2">
        <v>18.3</v>
      </c>
      <c r="AY747" s="2">
        <v>0.34</v>
      </c>
      <c r="AZ747" s="2">
        <v>7.3</v>
      </c>
      <c r="BA747" s="2">
        <v>0.9</v>
      </c>
      <c r="BB747" s="2">
        <v>7.5</v>
      </c>
      <c r="BC747" s="2">
        <v>2.9</v>
      </c>
      <c r="BD747" s="2">
        <f>+AN747*EXP(-0.0495*Y747)</f>
        <v>6.1037470179944275</v>
      </c>
      <c r="BE747" s="2">
        <f>+AO747*EXP(-0.024*Y747)</f>
        <v>18.884595043681372</v>
      </c>
    </row>
    <row r="748" spans="1:57" x14ac:dyDescent="0.2">
      <c r="A748" s="2" t="s">
        <v>2703</v>
      </c>
      <c r="B748" s="2" t="s">
        <v>19</v>
      </c>
      <c r="C748" s="2" t="s">
        <v>1907</v>
      </c>
      <c r="D748" s="2" t="s">
        <v>21</v>
      </c>
      <c r="E748" s="2" t="s">
        <v>2704</v>
      </c>
      <c r="F748" s="2">
        <v>3</v>
      </c>
      <c r="G748" s="2">
        <v>320</v>
      </c>
      <c r="H748" s="2">
        <v>5</v>
      </c>
      <c r="I748" s="2">
        <v>4</v>
      </c>
      <c r="J748" s="2">
        <v>0</v>
      </c>
      <c r="K748" s="2" t="s">
        <v>61</v>
      </c>
      <c r="L748" s="6" t="s">
        <v>113</v>
      </c>
      <c r="M748" s="5">
        <v>750000000</v>
      </c>
      <c r="N748" s="2">
        <v>0</v>
      </c>
      <c r="O748" s="2">
        <v>4.68222</v>
      </c>
      <c r="P748" s="2">
        <v>-74.066569999999999</v>
      </c>
      <c r="Q748" s="2" t="s">
        <v>2705</v>
      </c>
      <c r="R748" s="2">
        <v>2343750</v>
      </c>
      <c r="S748" s="2">
        <v>0</v>
      </c>
      <c r="T748" s="2" t="s">
        <v>26</v>
      </c>
      <c r="U748" s="2" t="s">
        <v>27</v>
      </c>
      <c r="V748" s="2" t="s">
        <v>28</v>
      </c>
      <c r="W748" s="2" t="s">
        <v>29</v>
      </c>
      <c r="X748" s="2" t="s">
        <v>30</v>
      </c>
      <c r="Y748" s="2">
        <v>3.2737365130729299</v>
      </c>
      <c r="Z748" s="2">
        <v>4.6584666666666701</v>
      </c>
      <c r="AA748" s="2">
        <v>-74.083966666666697</v>
      </c>
      <c r="AB748" s="2">
        <v>2552</v>
      </c>
      <c r="AC748" s="2" t="s">
        <v>31</v>
      </c>
      <c r="AD748" s="2" t="s">
        <v>32</v>
      </c>
      <c r="AE748" s="2" t="s">
        <v>33</v>
      </c>
      <c r="AF748" s="2" t="s">
        <v>34</v>
      </c>
      <c r="AG748" s="2" t="s">
        <v>293</v>
      </c>
      <c r="AH748" s="2">
        <v>0.28364921944110399</v>
      </c>
      <c r="AI748" s="2">
        <v>3.00914784100378</v>
      </c>
      <c r="AJ748" s="2">
        <v>0.64685573426512399</v>
      </c>
      <c r="AK748" s="2">
        <v>0.30664922661086602</v>
      </c>
      <c r="AL748" s="2">
        <v>0.35875980699951499</v>
      </c>
      <c r="AN748" s="2">
        <v>6.8</v>
      </c>
      <c r="AO748" s="2">
        <v>19.899999999999999</v>
      </c>
      <c r="AP748" s="2">
        <v>564</v>
      </c>
      <c r="AQ748" s="2">
        <v>68</v>
      </c>
      <c r="AR748" s="2">
        <v>1.5</v>
      </c>
      <c r="AS748" s="2">
        <v>135</v>
      </c>
      <c r="AT748" s="2">
        <v>0.8</v>
      </c>
      <c r="AU748" s="2">
        <v>162</v>
      </c>
      <c r="AV748" s="2">
        <v>9.1</v>
      </c>
      <c r="AW748" s="2">
        <v>9.1999999999999993</v>
      </c>
      <c r="AX748" s="2">
        <v>18.3</v>
      </c>
      <c r="AY748" s="2">
        <v>0.34</v>
      </c>
      <c r="AZ748" s="2">
        <v>7.3</v>
      </c>
      <c r="BA748" s="2">
        <v>0.9</v>
      </c>
      <c r="BB748" s="2">
        <v>7.5</v>
      </c>
      <c r="BC748" s="2">
        <v>2.9</v>
      </c>
      <c r="BD748" s="2">
        <f>+AN748*EXP(-0.0495*Y748)</f>
        <v>5.782711294452878</v>
      </c>
      <c r="BE748" s="2">
        <f>+AO748*EXP(-0.024*Y748)</f>
        <v>18.396309160972823</v>
      </c>
    </row>
    <row r="749" spans="1:57" x14ac:dyDescent="0.2">
      <c r="A749" s="2" t="s">
        <v>2217</v>
      </c>
      <c r="B749" s="2" t="s">
        <v>19</v>
      </c>
      <c r="C749" s="2" t="s">
        <v>1907</v>
      </c>
      <c r="D749" s="2" t="s">
        <v>21</v>
      </c>
      <c r="E749" s="2" t="s">
        <v>973</v>
      </c>
      <c r="F749" s="2">
        <v>5</v>
      </c>
      <c r="G749" s="2">
        <v>316.67</v>
      </c>
      <c r="H749" s="2">
        <v>3</v>
      </c>
      <c r="I749" s="2">
        <v>5</v>
      </c>
      <c r="J749" s="2">
        <v>2</v>
      </c>
      <c r="K749" s="2" t="s">
        <v>61</v>
      </c>
      <c r="L749" s="6" t="s">
        <v>113</v>
      </c>
      <c r="M749" s="5">
        <v>1890000000</v>
      </c>
      <c r="N749" s="2">
        <v>0</v>
      </c>
      <c r="O749" s="2">
        <v>4.6982670000000004</v>
      </c>
      <c r="P749" s="2">
        <v>-74.080046999999993</v>
      </c>
      <c r="Q749" s="2" t="s">
        <v>2218</v>
      </c>
      <c r="R749" s="2">
        <v>5968358.2280000001</v>
      </c>
      <c r="S749" s="2">
        <v>0</v>
      </c>
      <c r="T749" s="2" t="s">
        <v>26</v>
      </c>
      <c r="U749" s="2" t="s">
        <v>27</v>
      </c>
      <c r="V749" s="2" t="s">
        <v>28</v>
      </c>
      <c r="W749" s="2" t="s">
        <v>29</v>
      </c>
      <c r="X749" s="2" t="s">
        <v>30</v>
      </c>
      <c r="Y749" s="2">
        <v>4.4518446079812497</v>
      </c>
      <c r="Z749" s="2">
        <v>4.6584666666666701</v>
      </c>
      <c r="AA749" s="2">
        <v>-74.083966666666697</v>
      </c>
      <c r="AB749" s="2">
        <v>2552</v>
      </c>
      <c r="AC749" s="2" t="s">
        <v>31</v>
      </c>
      <c r="AD749" s="2" t="s">
        <v>32</v>
      </c>
      <c r="AE749" s="2" t="s">
        <v>33</v>
      </c>
      <c r="AF749" s="2" t="s">
        <v>34</v>
      </c>
      <c r="AG749" s="2" t="s">
        <v>72</v>
      </c>
      <c r="AH749" s="2">
        <v>0.92008973763763602</v>
      </c>
      <c r="AI749" s="2">
        <v>5.23600427092462</v>
      </c>
      <c r="AJ749" s="2">
        <v>1.0978196111574701</v>
      </c>
      <c r="AK749" s="2">
        <v>0.25599816424958199</v>
      </c>
      <c r="AL749" s="2">
        <v>0.31260802952731198</v>
      </c>
      <c r="AN749" s="2">
        <v>6.8</v>
      </c>
      <c r="AO749" s="2">
        <v>19.899999999999999</v>
      </c>
      <c r="AP749" s="2">
        <v>564</v>
      </c>
      <c r="AQ749" s="2">
        <v>68</v>
      </c>
      <c r="AR749" s="2">
        <v>1.5</v>
      </c>
      <c r="AS749" s="2">
        <v>135</v>
      </c>
      <c r="AT749" s="2">
        <v>0.8</v>
      </c>
      <c r="AU749" s="2">
        <v>162</v>
      </c>
      <c r="AV749" s="2">
        <v>9.1</v>
      </c>
      <c r="AW749" s="2">
        <v>9.1999999999999993</v>
      </c>
      <c r="AX749" s="2">
        <v>18.3</v>
      </c>
      <c r="AY749" s="2">
        <v>0.34</v>
      </c>
      <c r="AZ749" s="2">
        <v>7.3</v>
      </c>
      <c r="BA749" s="2">
        <v>0.9</v>
      </c>
      <c r="BB749" s="2">
        <v>7.5</v>
      </c>
      <c r="BC749" s="2">
        <v>2.9</v>
      </c>
      <c r="BD749" s="2">
        <f>+AN749*EXP(-0.0495*Y749)</f>
        <v>5.4551292021247217</v>
      </c>
      <c r="BE749" s="2">
        <f>+AO749*EXP(-0.024*Y749)</f>
        <v>17.883445654079573</v>
      </c>
    </row>
    <row r="750" spans="1:57" x14ac:dyDescent="0.2">
      <c r="A750" s="2" t="s">
        <v>2720</v>
      </c>
      <c r="B750" s="2" t="s">
        <v>19</v>
      </c>
      <c r="C750" s="2" t="s">
        <v>1907</v>
      </c>
      <c r="D750" s="2" t="s">
        <v>21</v>
      </c>
      <c r="E750" s="2" t="s">
        <v>2472</v>
      </c>
      <c r="F750" s="2">
        <v>4</v>
      </c>
      <c r="G750" s="2">
        <v>315</v>
      </c>
      <c r="H750" s="2">
        <v>4</v>
      </c>
      <c r="I750" s="2">
        <v>4</v>
      </c>
      <c r="J750" s="2">
        <v>3</v>
      </c>
      <c r="K750" s="2" t="s">
        <v>61</v>
      </c>
      <c r="L750" s="6" t="s">
        <v>113</v>
      </c>
      <c r="M750" s="5">
        <v>1750000000</v>
      </c>
      <c r="N750" s="2">
        <v>0</v>
      </c>
      <c r="O750" s="2">
        <v>4.6743969920000001</v>
      </c>
      <c r="P750" s="2">
        <v>-74.060462950000002</v>
      </c>
      <c r="Q750" s="2" t="s">
        <v>2721</v>
      </c>
      <c r="R750" s="2">
        <v>5555555.5559999999</v>
      </c>
      <c r="S750" s="2">
        <v>0</v>
      </c>
      <c r="T750" s="2" t="s">
        <v>26</v>
      </c>
      <c r="U750" s="2" t="s">
        <v>27</v>
      </c>
      <c r="V750" s="2" t="s">
        <v>28</v>
      </c>
      <c r="W750" s="2" t="s">
        <v>29</v>
      </c>
      <c r="X750" s="2" t="s">
        <v>30</v>
      </c>
      <c r="Y750" s="2">
        <v>3.1535923641074901</v>
      </c>
      <c r="Z750" s="2">
        <v>4.6584666666666701</v>
      </c>
      <c r="AA750" s="2">
        <v>-74.083966666666697</v>
      </c>
      <c r="AB750" s="2">
        <v>2552</v>
      </c>
      <c r="AC750" s="2" t="s">
        <v>31</v>
      </c>
      <c r="AD750" s="2" t="s">
        <v>32</v>
      </c>
      <c r="AE750" s="2" t="s">
        <v>33</v>
      </c>
      <c r="AF750" s="2" t="s">
        <v>34</v>
      </c>
      <c r="AG750" s="2" t="s">
        <v>293</v>
      </c>
      <c r="AH750" s="2">
        <v>0.23852886758966399</v>
      </c>
      <c r="AI750" s="2">
        <v>2.0081213794145101</v>
      </c>
      <c r="AJ750" s="2">
        <v>0.53973591591124204</v>
      </c>
      <c r="AK750" s="2">
        <v>6.4387208406942897E-2</v>
      </c>
      <c r="AL750" s="2">
        <v>0.65241009677091799</v>
      </c>
      <c r="AN750" s="2">
        <v>6.8</v>
      </c>
      <c r="AO750" s="2">
        <v>19.899999999999999</v>
      </c>
      <c r="AP750" s="2">
        <v>564</v>
      </c>
      <c r="AQ750" s="2">
        <v>68</v>
      </c>
      <c r="AR750" s="2">
        <v>1.5</v>
      </c>
      <c r="AS750" s="2">
        <v>135</v>
      </c>
      <c r="AT750" s="2">
        <v>0.8</v>
      </c>
      <c r="AU750" s="2">
        <v>162</v>
      </c>
      <c r="AV750" s="2">
        <v>9.1</v>
      </c>
      <c r="AW750" s="2">
        <v>9.1999999999999993</v>
      </c>
      <c r="AX750" s="2">
        <v>18.3</v>
      </c>
      <c r="AY750" s="2">
        <v>0.34</v>
      </c>
      <c r="AZ750" s="2">
        <v>7.3</v>
      </c>
      <c r="BA750" s="2">
        <v>0.9</v>
      </c>
      <c r="BB750" s="2">
        <v>7.5</v>
      </c>
      <c r="BC750" s="2">
        <v>2.9</v>
      </c>
      <c r="BD750" s="2">
        <f>+AN750*EXP(-0.0495*Y750)</f>
        <v>5.8172043270520799</v>
      </c>
      <c r="BE750" s="2">
        <f>+AO750*EXP(-0.024*Y750)</f>
        <v>18.44943072490603</v>
      </c>
    </row>
    <row r="751" spans="1:57" x14ac:dyDescent="0.2">
      <c r="A751" s="2" t="s">
        <v>2129</v>
      </c>
      <c r="B751" s="2" t="s">
        <v>19</v>
      </c>
      <c r="C751" s="2" t="s">
        <v>1907</v>
      </c>
      <c r="D751" s="2" t="s">
        <v>21</v>
      </c>
      <c r="E751" s="2" t="s">
        <v>2130</v>
      </c>
      <c r="F751" s="2">
        <v>4</v>
      </c>
      <c r="G751" s="2">
        <v>313</v>
      </c>
      <c r="H751" s="2">
        <v>5</v>
      </c>
      <c r="I751" s="2">
        <v>5</v>
      </c>
      <c r="J751" s="2">
        <v>4</v>
      </c>
      <c r="K751" s="2" t="s">
        <v>61</v>
      </c>
      <c r="L751" s="6" t="s">
        <v>113</v>
      </c>
      <c r="M751" s="5">
        <v>930000000</v>
      </c>
      <c r="N751" s="2">
        <v>0</v>
      </c>
      <c r="O751" s="2">
        <v>4.6769747730000004</v>
      </c>
      <c r="P751" s="2">
        <v>-74.064178470000002</v>
      </c>
      <c r="Q751" s="2" t="s">
        <v>2131</v>
      </c>
      <c r="R751" s="2">
        <v>2971246.0060000001</v>
      </c>
      <c r="S751" s="2">
        <v>0</v>
      </c>
      <c r="T751" s="2" t="s">
        <v>26</v>
      </c>
      <c r="U751" s="2" t="s">
        <v>27</v>
      </c>
      <c r="V751" s="2" t="s">
        <v>28</v>
      </c>
      <c r="W751" s="2" t="s">
        <v>29</v>
      </c>
      <c r="X751" s="2" t="s">
        <v>30</v>
      </c>
      <c r="Y751" s="2">
        <v>3.0108365257976102</v>
      </c>
      <c r="Z751" s="2">
        <v>4.6584666666666701</v>
      </c>
      <c r="AA751" s="2">
        <v>-74.083966666666697</v>
      </c>
      <c r="AB751" s="2">
        <v>2552</v>
      </c>
      <c r="AC751" s="2" t="s">
        <v>31</v>
      </c>
      <c r="AD751" s="2" t="s">
        <v>32</v>
      </c>
      <c r="AE751" s="2" t="s">
        <v>33</v>
      </c>
      <c r="AF751" s="2" t="s">
        <v>34</v>
      </c>
      <c r="AG751" s="2" t="s">
        <v>293</v>
      </c>
      <c r="AH751" s="2">
        <v>0.153528105485912</v>
      </c>
      <c r="AI751" s="2">
        <v>2.5086620846597798</v>
      </c>
      <c r="AJ751" s="2">
        <v>0.37256601446855397</v>
      </c>
      <c r="AK751" s="2">
        <v>7.47987155826869E-2</v>
      </c>
      <c r="AL751" s="2">
        <v>0.46575226517157498</v>
      </c>
      <c r="AN751" s="2">
        <v>6.8</v>
      </c>
      <c r="AO751" s="2">
        <v>19.899999999999999</v>
      </c>
      <c r="AP751" s="2">
        <v>564</v>
      </c>
      <c r="AQ751" s="2">
        <v>68</v>
      </c>
      <c r="AR751" s="2">
        <v>1.5</v>
      </c>
      <c r="AS751" s="2">
        <v>135</v>
      </c>
      <c r="AT751" s="2">
        <v>0.8</v>
      </c>
      <c r="AU751" s="2">
        <v>162</v>
      </c>
      <c r="AV751" s="2">
        <v>9.1</v>
      </c>
      <c r="AW751" s="2">
        <v>9.1999999999999993</v>
      </c>
      <c r="AX751" s="2">
        <v>18.3</v>
      </c>
      <c r="AY751" s="2">
        <v>0.34</v>
      </c>
      <c r="AZ751" s="2">
        <v>7.3</v>
      </c>
      <c r="BA751" s="2">
        <v>0.9</v>
      </c>
      <c r="BB751" s="2">
        <v>7.5</v>
      </c>
      <c r="BC751" s="2">
        <v>2.9</v>
      </c>
      <c r="BD751" s="2">
        <f>+AN751*EXP(-0.0495*Y751)</f>
        <v>5.8584566825810764</v>
      </c>
      <c r="BE751" s="2">
        <f>+AO751*EXP(-0.024*Y751)</f>
        <v>18.512749467196468</v>
      </c>
    </row>
    <row r="752" spans="1:57" x14ac:dyDescent="0.2">
      <c r="A752" s="2" t="s">
        <v>566</v>
      </c>
      <c r="B752" s="2" t="s">
        <v>19</v>
      </c>
      <c r="C752" s="2" t="s">
        <v>20</v>
      </c>
      <c r="D752" s="2" t="s">
        <v>21</v>
      </c>
      <c r="E752" s="2" t="s">
        <v>138</v>
      </c>
      <c r="F752" s="2">
        <v>6</v>
      </c>
      <c r="G752" s="2">
        <v>307</v>
      </c>
      <c r="H752" s="2">
        <v>3</v>
      </c>
      <c r="I752" s="2">
        <v>3</v>
      </c>
      <c r="J752" s="2">
        <v>2</v>
      </c>
      <c r="K752" s="2" t="s">
        <v>61</v>
      </c>
      <c r="L752" s="6" t="s">
        <v>113</v>
      </c>
      <c r="M752" s="5">
        <v>2100000000</v>
      </c>
      <c r="N752" s="2">
        <v>0</v>
      </c>
      <c r="O752" s="2">
        <v>4.6695146559999996</v>
      </c>
      <c r="P752" s="2">
        <v>-74.044593809999995</v>
      </c>
      <c r="Q752" s="2" t="s">
        <v>567</v>
      </c>
      <c r="R752" s="2">
        <v>6840390.8789999997</v>
      </c>
      <c r="S752" s="2">
        <v>0</v>
      </c>
      <c r="T752" s="2" t="s">
        <v>26</v>
      </c>
      <c r="U752" s="2" t="s">
        <v>27</v>
      </c>
      <c r="V752" s="2" t="s">
        <v>28</v>
      </c>
      <c r="W752" s="2" t="s">
        <v>29</v>
      </c>
      <c r="X752" s="2" t="s">
        <v>30</v>
      </c>
      <c r="Y752" s="2">
        <v>4.53827373651127</v>
      </c>
      <c r="Z752" s="2">
        <v>4.6584666666666701</v>
      </c>
      <c r="AA752" s="2">
        <v>-74.083966666666697</v>
      </c>
      <c r="AB752" s="2">
        <v>2552</v>
      </c>
      <c r="AC752" s="2" t="s">
        <v>31</v>
      </c>
      <c r="AD752" s="2" t="s">
        <v>32</v>
      </c>
      <c r="AE752" s="2" t="s">
        <v>33</v>
      </c>
      <c r="AF752" s="2" t="s">
        <v>34</v>
      </c>
      <c r="AG752" s="2" t="s">
        <v>81</v>
      </c>
      <c r="AH752" s="2">
        <v>1.6971655056212001</v>
      </c>
      <c r="AI752" s="2">
        <v>0.19905293332559601</v>
      </c>
      <c r="AJ752" s="2">
        <v>1.13212538659787</v>
      </c>
      <c r="AK752" s="2">
        <v>0.44245658075927402</v>
      </c>
      <c r="AL752" s="2">
        <v>0.60274747148460595</v>
      </c>
      <c r="AN752" s="2">
        <v>6.8</v>
      </c>
      <c r="AO752" s="2">
        <v>19.899999999999999</v>
      </c>
      <c r="AP752" s="2">
        <v>564</v>
      </c>
      <c r="AQ752" s="2">
        <v>68</v>
      </c>
      <c r="AR752" s="2">
        <v>1.5</v>
      </c>
      <c r="AS752" s="2">
        <v>135</v>
      </c>
      <c r="AT752" s="2">
        <v>0.8</v>
      </c>
      <c r="AU752" s="2">
        <v>162</v>
      </c>
      <c r="AV752" s="2">
        <v>9.1</v>
      </c>
      <c r="AW752" s="2">
        <v>9.1999999999999993</v>
      </c>
      <c r="AX752" s="2">
        <v>18.3</v>
      </c>
      <c r="AY752" s="2">
        <v>0.34</v>
      </c>
      <c r="AZ752" s="2">
        <v>7.3</v>
      </c>
      <c r="BA752" s="2">
        <v>0.9</v>
      </c>
      <c r="BB752" s="2">
        <v>7.5</v>
      </c>
      <c r="BC752" s="2">
        <v>2.9</v>
      </c>
      <c r="BD752" s="2">
        <f>+AN752*EXP(-0.0495*Y752)</f>
        <v>5.4318406924682208</v>
      </c>
      <c r="BE752" s="2">
        <f>+AO752*EXP(-0.024*Y752)</f>
        <v>17.84638848623954</v>
      </c>
    </row>
    <row r="753" spans="1:57" x14ac:dyDescent="0.2">
      <c r="A753" s="2" t="s">
        <v>137</v>
      </c>
      <c r="B753" s="2" t="s">
        <v>19</v>
      </c>
      <c r="C753" s="2" t="s">
        <v>20</v>
      </c>
      <c r="D753" s="2" t="s">
        <v>21</v>
      </c>
      <c r="E753" s="2" t="s">
        <v>138</v>
      </c>
      <c r="F753" s="2">
        <v>6</v>
      </c>
      <c r="G753" s="2">
        <v>305</v>
      </c>
      <c r="H753" s="2">
        <v>4</v>
      </c>
      <c r="I753" s="2">
        <v>4</v>
      </c>
      <c r="J753" s="2">
        <v>2</v>
      </c>
      <c r="K753" s="2" t="s">
        <v>61</v>
      </c>
      <c r="L753" s="6" t="s">
        <v>113</v>
      </c>
      <c r="M753" s="5">
        <v>1950000000</v>
      </c>
      <c r="N753" s="2">
        <v>0</v>
      </c>
      <c r="O753" s="2">
        <v>4.6692857740000004</v>
      </c>
      <c r="P753" s="2">
        <v>-74.044715879999998</v>
      </c>
      <c r="Q753" s="2" t="s">
        <v>139</v>
      </c>
      <c r="R753" s="2">
        <v>6393442.6229999997</v>
      </c>
      <c r="S753" s="2">
        <v>0</v>
      </c>
      <c r="T753" s="2" t="s">
        <v>26</v>
      </c>
      <c r="U753" s="2" t="s">
        <v>27</v>
      </c>
      <c r="V753" s="2" t="s">
        <v>28</v>
      </c>
      <c r="W753" s="2" t="s">
        <v>29</v>
      </c>
      <c r="X753" s="2" t="s">
        <v>30</v>
      </c>
      <c r="Y753" s="2">
        <v>4.51838085288309</v>
      </c>
      <c r="Z753" s="2">
        <v>4.6584666666666701</v>
      </c>
      <c r="AA753" s="2">
        <v>-74.083966666666697</v>
      </c>
      <c r="AB753" s="2">
        <v>2552</v>
      </c>
      <c r="AC753" s="2" t="s">
        <v>31</v>
      </c>
      <c r="AD753" s="2" t="s">
        <v>32</v>
      </c>
      <c r="AE753" s="2" t="s">
        <v>33</v>
      </c>
      <c r="AF753" s="2" t="s">
        <v>34</v>
      </c>
      <c r="AG753" s="2" t="s">
        <v>81</v>
      </c>
      <c r="AH753" s="2">
        <v>1.6886869042022199</v>
      </c>
      <c r="AI753" s="2">
        <v>0.19576312284595199</v>
      </c>
      <c r="AJ753" s="2">
        <v>1.1086145686498901</v>
      </c>
      <c r="AK753" s="2">
        <v>0.41603872289467098</v>
      </c>
      <c r="AL753" s="2">
        <v>0.57774869156417097</v>
      </c>
      <c r="AN753" s="2">
        <v>6.8</v>
      </c>
      <c r="AO753" s="2">
        <v>19.899999999999999</v>
      </c>
      <c r="AP753" s="2">
        <v>564</v>
      </c>
      <c r="AQ753" s="2">
        <v>68</v>
      </c>
      <c r="AR753" s="2">
        <v>1.5</v>
      </c>
      <c r="AS753" s="2">
        <v>135</v>
      </c>
      <c r="AT753" s="2">
        <v>0.8</v>
      </c>
      <c r="AU753" s="2">
        <v>162</v>
      </c>
      <c r="AV753" s="2">
        <v>9.1</v>
      </c>
      <c r="AW753" s="2">
        <v>9.1999999999999993</v>
      </c>
      <c r="AX753" s="2">
        <v>18.3</v>
      </c>
      <c r="AY753" s="2">
        <v>0.34</v>
      </c>
      <c r="AZ753" s="2">
        <v>7.3</v>
      </c>
      <c r="BA753" s="2">
        <v>0.9</v>
      </c>
      <c r="BB753" s="2">
        <v>7.5</v>
      </c>
      <c r="BC753" s="2">
        <v>2.9</v>
      </c>
      <c r="BD753" s="2">
        <f>+AN753*EXP(-0.0495*Y753)</f>
        <v>5.43719204802139</v>
      </c>
      <c r="BE753" s="2">
        <f>+AO753*EXP(-0.024*Y753)</f>
        <v>17.854910907608257</v>
      </c>
    </row>
    <row r="754" spans="1:57" x14ac:dyDescent="0.2">
      <c r="A754" s="2" t="s">
        <v>3138</v>
      </c>
      <c r="B754" s="2" t="s">
        <v>19</v>
      </c>
      <c r="C754" s="2" t="s">
        <v>1907</v>
      </c>
      <c r="D754" s="2" t="s">
        <v>21</v>
      </c>
      <c r="E754" s="2" t="s">
        <v>584</v>
      </c>
      <c r="F754" s="2">
        <v>4</v>
      </c>
      <c r="G754" s="2">
        <v>300.36</v>
      </c>
      <c r="H754" s="2">
        <v>5</v>
      </c>
      <c r="I754" s="2">
        <v>4</v>
      </c>
      <c r="J754" s="2">
        <v>0</v>
      </c>
      <c r="K754" s="2" t="s">
        <v>61</v>
      </c>
      <c r="L754" s="6" t="s">
        <v>113</v>
      </c>
      <c r="M754" s="5">
        <v>1800000000</v>
      </c>
      <c r="N754" s="2">
        <v>0</v>
      </c>
      <c r="O754" s="2">
        <v>4.6329580000000004</v>
      </c>
      <c r="P754" s="2">
        <v>-74.075835999999995</v>
      </c>
      <c r="Q754" s="2" t="s">
        <v>3139</v>
      </c>
      <c r="R754" s="2">
        <v>5992808.6299999999</v>
      </c>
      <c r="S754" s="2">
        <v>0</v>
      </c>
      <c r="T754" s="2" t="s">
        <v>77</v>
      </c>
      <c r="U754" s="2" t="s">
        <v>78</v>
      </c>
      <c r="V754" s="2" t="s">
        <v>28</v>
      </c>
      <c r="W754" s="2" t="s">
        <v>79</v>
      </c>
      <c r="X754" s="2" t="s">
        <v>80</v>
      </c>
      <c r="Y754" s="2">
        <v>1.2873521573209601</v>
      </c>
      <c r="Z754" s="2">
        <v>4.6254861111111101</v>
      </c>
      <c r="AA754" s="2">
        <v>-74.066980555555503</v>
      </c>
      <c r="AB754" s="2">
        <v>2621</v>
      </c>
      <c r="AC754" s="2" t="s">
        <v>31</v>
      </c>
      <c r="AD754" s="2" t="s">
        <v>32</v>
      </c>
      <c r="AE754" s="2" t="s">
        <v>33</v>
      </c>
      <c r="AF754" s="2" t="s">
        <v>34</v>
      </c>
      <c r="AG754" s="2" t="s">
        <v>35</v>
      </c>
      <c r="AH754" s="2">
        <v>0.51475793668579595</v>
      </c>
      <c r="AI754" s="2">
        <v>1.7089146813538501</v>
      </c>
      <c r="AJ754" s="2">
        <v>0.33789371881382502</v>
      </c>
      <c r="AK754" s="2">
        <v>0.108297100186801</v>
      </c>
      <c r="AL754" s="2">
        <v>5.0842291828353703E-2</v>
      </c>
      <c r="AN754" s="2">
        <v>6.8</v>
      </c>
      <c r="AO754" s="2">
        <v>19.899999999999999</v>
      </c>
      <c r="AP754" s="2">
        <v>564</v>
      </c>
      <c r="AQ754" s="2">
        <v>68</v>
      </c>
      <c r="AR754" s="2">
        <v>1.5</v>
      </c>
      <c r="AS754" s="2">
        <v>135</v>
      </c>
      <c r="AT754" s="2">
        <v>0.8</v>
      </c>
      <c r="AU754" s="2">
        <v>162</v>
      </c>
      <c r="AV754" s="2">
        <v>9.1</v>
      </c>
      <c r="AW754" s="2">
        <v>9.1999999999999993</v>
      </c>
      <c r="AX754" s="2">
        <v>18.3</v>
      </c>
      <c r="AY754" s="2">
        <v>0.34</v>
      </c>
      <c r="AZ754" s="2">
        <v>7.3</v>
      </c>
      <c r="BA754" s="2">
        <v>0.9</v>
      </c>
      <c r="BB754" s="2">
        <v>7.5</v>
      </c>
      <c r="BC754" s="2">
        <v>2.9</v>
      </c>
      <c r="BD754" s="2">
        <f>+AN754*EXP(-0.0495*Y754)</f>
        <v>6.380195122765989</v>
      </c>
      <c r="BE754" s="2">
        <f>+AO754*EXP(-0.024*Y754)</f>
        <v>19.294561718380599</v>
      </c>
    </row>
    <row r="755" spans="1:57" x14ac:dyDescent="0.2">
      <c r="A755" s="2" t="s">
        <v>1374</v>
      </c>
      <c r="B755" s="2" t="s">
        <v>19</v>
      </c>
      <c r="C755" s="2" t="s">
        <v>20</v>
      </c>
      <c r="D755" s="2" t="s">
        <v>21</v>
      </c>
      <c r="E755" s="2" t="s">
        <v>261</v>
      </c>
      <c r="F755" s="2">
        <v>6</v>
      </c>
      <c r="G755" s="2">
        <v>300</v>
      </c>
      <c r="H755" s="2">
        <v>3</v>
      </c>
      <c r="I755" s="2">
        <v>3</v>
      </c>
      <c r="J755" s="2">
        <v>4</v>
      </c>
      <c r="K755" s="2" t="s">
        <v>61</v>
      </c>
      <c r="L755" s="6" t="s">
        <v>75</v>
      </c>
      <c r="M755" s="5">
        <v>3400000000</v>
      </c>
      <c r="N755" s="2">
        <v>0</v>
      </c>
      <c r="O755" s="2">
        <v>4.6591395499999999</v>
      </c>
      <c r="P755" s="2">
        <v>-74.047812609999994</v>
      </c>
      <c r="Q755" s="2" t="s">
        <v>1375</v>
      </c>
      <c r="R755" s="2">
        <v>11333333.33</v>
      </c>
      <c r="S755" s="2">
        <v>0</v>
      </c>
      <c r="T755" s="2" t="s">
        <v>26</v>
      </c>
      <c r="U755" s="2" t="s">
        <v>27</v>
      </c>
      <c r="V755" s="2" t="s">
        <v>28</v>
      </c>
      <c r="W755" s="2" t="s">
        <v>29</v>
      </c>
      <c r="X755" s="2" t="s">
        <v>30</v>
      </c>
      <c r="Y755" s="2">
        <v>4.0120532096705404</v>
      </c>
      <c r="Z755" s="2">
        <v>4.6584666666666701</v>
      </c>
      <c r="AA755" s="2">
        <v>-74.083966666666697</v>
      </c>
      <c r="AB755" s="2">
        <v>2552</v>
      </c>
      <c r="AC755" s="2" t="s">
        <v>31</v>
      </c>
      <c r="AD755" s="2" t="s">
        <v>32</v>
      </c>
      <c r="AE755" s="2" t="s">
        <v>33</v>
      </c>
      <c r="AF755" s="2" t="s">
        <v>34</v>
      </c>
      <c r="AG755" s="2" t="s">
        <v>81</v>
      </c>
      <c r="AH755" s="2">
        <v>1.55196221579353</v>
      </c>
      <c r="AI755" s="2">
        <v>0.107648590545931</v>
      </c>
      <c r="AJ755" s="2">
        <v>0.89834443603859004</v>
      </c>
      <c r="AK755" s="2">
        <v>0.42930237831302498</v>
      </c>
      <c r="AL755" s="2">
        <v>0.36302820404508401</v>
      </c>
      <c r="AN755" s="2">
        <v>6.8</v>
      </c>
      <c r="AO755" s="2">
        <v>19.899999999999999</v>
      </c>
      <c r="AP755" s="2">
        <v>564</v>
      </c>
      <c r="AQ755" s="2">
        <v>68</v>
      </c>
      <c r="AR755" s="2">
        <v>1.5</v>
      </c>
      <c r="AS755" s="2">
        <v>135</v>
      </c>
      <c r="AT755" s="2">
        <v>0.8</v>
      </c>
      <c r="AU755" s="2">
        <v>162</v>
      </c>
      <c r="AV755" s="2">
        <v>9.1</v>
      </c>
      <c r="AW755" s="2">
        <v>9.1999999999999993</v>
      </c>
      <c r="AX755" s="2">
        <v>18.3</v>
      </c>
      <c r="AY755" s="2">
        <v>0.34</v>
      </c>
      <c r="AZ755" s="2">
        <v>7.3</v>
      </c>
      <c r="BA755" s="2">
        <v>0.9</v>
      </c>
      <c r="BB755" s="2">
        <v>7.5</v>
      </c>
      <c r="BC755" s="2">
        <v>2.9</v>
      </c>
      <c r="BD755" s="2">
        <f>+AN755*EXP(-0.0495*Y755)</f>
        <v>5.5751876629947565</v>
      </c>
      <c r="BE755" s="2">
        <f>+AO755*EXP(-0.024*Y755)</f>
        <v>18.073205000397653</v>
      </c>
    </row>
    <row r="756" spans="1:57" x14ac:dyDescent="0.2">
      <c r="A756" s="2" t="s">
        <v>1998</v>
      </c>
      <c r="B756" s="2" t="s">
        <v>19</v>
      </c>
      <c r="C756" s="2" t="s">
        <v>1907</v>
      </c>
      <c r="D756" s="2" t="s">
        <v>21</v>
      </c>
      <c r="E756" s="2" t="s">
        <v>1985</v>
      </c>
      <c r="F756" s="2">
        <v>4</v>
      </c>
      <c r="G756" s="2">
        <v>300</v>
      </c>
      <c r="H756" s="2">
        <v>5</v>
      </c>
      <c r="I756" s="2">
        <v>5</v>
      </c>
      <c r="J756" s="2">
        <v>2</v>
      </c>
      <c r="K756" s="2" t="s">
        <v>61</v>
      </c>
      <c r="L756" s="6" t="s">
        <v>113</v>
      </c>
      <c r="M756" s="5">
        <v>2800000000</v>
      </c>
      <c r="N756" s="2">
        <v>16000000</v>
      </c>
      <c r="O756" s="2">
        <v>4.6932840349999996</v>
      </c>
      <c r="P756" s="2">
        <v>-74.066871640000002</v>
      </c>
      <c r="Q756" s="2" t="s">
        <v>1999</v>
      </c>
      <c r="R756" s="2">
        <v>9333333.3330000006</v>
      </c>
      <c r="S756" s="2">
        <v>53333.333330000001</v>
      </c>
      <c r="T756" s="2" t="s">
        <v>26</v>
      </c>
      <c r="U756" s="2" t="s">
        <v>27</v>
      </c>
      <c r="V756" s="2" t="s">
        <v>28</v>
      </c>
      <c r="W756" s="2" t="s">
        <v>29</v>
      </c>
      <c r="X756" s="2" t="s">
        <v>30</v>
      </c>
      <c r="Y756" s="2">
        <v>4.3150442047257096</v>
      </c>
      <c r="Z756" s="2">
        <v>4.6584666666666701</v>
      </c>
      <c r="AA756" s="2">
        <v>-74.083966666666697</v>
      </c>
      <c r="AB756" s="2">
        <v>2552</v>
      </c>
      <c r="AC756" s="2" t="s">
        <v>31</v>
      </c>
      <c r="AD756" s="2" t="s">
        <v>32</v>
      </c>
      <c r="AE756" s="2" t="s">
        <v>33</v>
      </c>
      <c r="AF756" s="2" t="s">
        <v>34</v>
      </c>
      <c r="AG756" s="2" t="s">
        <v>72</v>
      </c>
      <c r="AH756" s="2">
        <v>3.9541089356065103E-2</v>
      </c>
      <c r="AI756" s="2">
        <v>3.7081996606118302</v>
      </c>
      <c r="AJ756" s="2">
        <v>0.58653826116894303</v>
      </c>
      <c r="AK756" s="2">
        <v>8.6268714688908996E-2</v>
      </c>
      <c r="AL756" s="2">
        <v>0.27628207154958301</v>
      </c>
      <c r="AN756" s="2">
        <v>6.8</v>
      </c>
      <c r="AO756" s="2">
        <v>19.899999999999999</v>
      </c>
      <c r="AP756" s="2">
        <v>564</v>
      </c>
      <c r="AQ756" s="2">
        <v>68</v>
      </c>
      <c r="AR756" s="2">
        <v>1.5</v>
      </c>
      <c r="AS756" s="2">
        <v>135</v>
      </c>
      <c r="AT756" s="2">
        <v>0.8</v>
      </c>
      <c r="AU756" s="2">
        <v>162</v>
      </c>
      <c r="AV756" s="2">
        <v>9.1</v>
      </c>
      <c r="AW756" s="2">
        <v>9.1999999999999993</v>
      </c>
      <c r="AX756" s="2">
        <v>18.3</v>
      </c>
      <c r="AY756" s="2">
        <v>0.34</v>
      </c>
      <c r="AZ756" s="2">
        <v>7.3</v>
      </c>
      <c r="BA756" s="2">
        <v>0.9</v>
      </c>
      <c r="BB756" s="2">
        <v>7.5</v>
      </c>
      <c r="BC756" s="2">
        <v>2.9</v>
      </c>
      <c r="BD756" s="2">
        <f>+AN756*EXP(-0.0495*Y756)</f>
        <v>5.492194618742384</v>
      </c>
      <c r="BE756" s="2">
        <f>+AO756*EXP(-0.024*Y756)</f>
        <v>17.942257248497615</v>
      </c>
    </row>
    <row r="757" spans="1:57" x14ac:dyDescent="0.2">
      <c r="A757" s="2" t="s">
        <v>204</v>
      </c>
      <c r="B757" s="2" t="s">
        <v>19</v>
      </c>
      <c r="C757" s="2" t="s">
        <v>20</v>
      </c>
      <c r="D757" s="2" t="s">
        <v>21</v>
      </c>
      <c r="E757" s="2" t="s">
        <v>205</v>
      </c>
      <c r="F757" s="2">
        <v>6</v>
      </c>
      <c r="G757" s="2">
        <v>300</v>
      </c>
      <c r="H757" s="2">
        <v>3</v>
      </c>
      <c r="I757" s="2">
        <v>5</v>
      </c>
      <c r="J757" s="2">
        <v>3</v>
      </c>
      <c r="K757" s="2" t="s">
        <v>61</v>
      </c>
      <c r="L757" s="6" t="s">
        <v>113</v>
      </c>
      <c r="M757" s="5">
        <v>1950000000</v>
      </c>
      <c r="N757" s="2">
        <v>0</v>
      </c>
      <c r="O757" s="2">
        <v>4.6496915999999997</v>
      </c>
      <c r="P757" s="2">
        <v>-74.050294699999995</v>
      </c>
      <c r="Q757" s="2" t="s">
        <v>206</v>
      </c>
      <c r="R757" s="2">
        <v>6500000</v>
      </c>
      <c r="S757" s="2">
        <v>0</v>
      </c>
      <c r="T757" s="2" t="s">
        <v>77</v>
      </c>
      <c r="U757" s="2" t="s">
        <v>78</v>
      </c>
      <c r="V757" s="2" t="s">
        <v>28</v>
      </c>
      <c r="W757" s="2" t="s">
        <v>79</v>
      </c>
      <c r="X757" s="2" t="s">
        <v>80</v>
      </c>
      <c r="Y757" s="2">
        <v>3.2692762383173899</v>
      </c>
      <c r="Z757" s="2">
        <v>4.6254861111111101</v>
      </c>
      <c r="AA757" s="2">
        <v>-74.066980555555503</v>
      </c>
      <c r="AB757" s="2">
        <v>2621</v>
      </c>
      <c r="AC757" s="2" t="s">
        <v>31</v>
      </c>
      <c r="AD757" s="2" t="s">
        <v>32</v>
      </c>
      <c r="AE757" s="2" t="s">
        <v>33</v>
      </c>
      <c r="AF757" s="2" t="s">
        <v>34</v>
      </c>
      <c r="AG757" s="2" t="s">
        <v>81</v>
      </c>
      <c r="AH757" s="2">
        <v>1.5229388140818301</v>
      </c>
      <c r="AI757" s="2">
        <v>0.110081094542976</v>
      </c>
      <c r="AJ757" s="2">
        <v>0.76958491070179902</v>
      </c>
      <c r="AK757" s="2">
        <v>0.58805037877946598</v>
      </c>
      <c r="AL757" s="2">
        <v>0.19760840538395899</v>
      </c>
      <c r="AN757" s="2">
        <v>6.8</v>
      </c>
      <c r="AO757" s="2">
        <v>19.899999999999999</v>
      </c>
      <c r="AP757" s="2">
        <v>564</v>
      </c>
      <c r="AQ757" s="2">
        <v>68</v>
      </c>
      <c r="AR757" s="2">
        <v>1.5</v>
      </c>
      <c r="AS757" s="2">
        <v>135</v>
      </c>
      <c r="AT757" s="2">
        <v>0.8</v>
      </c>
      <c r="AU757" s="2">
        <v>162</v>
      </c>
      <c r="AV757" s="2">
        <v>9.1</v>
      </c>
      <c r="AW757" s="2">
        <v>9.1999999999999993</v>
      </c>
      <c r="AX757" s="2">
        <v>18.3</v>
      </c>
      <c r="AY757" s="2">
        <v>0.34</v>
      </c>
      <c r="AZ757" s="2">
        <v>7.3</v>
      </c>
      <c r="BA757" s="2">
        <v>0.9</v>
      </c>
      <c r="BB757" s="2">
        <v>7.5</v>
      </c>
      <c r="BC757" s="2">
        <v>2.9</v>
      </c>
      <c r="BD757" s="2">
        <f>+AN757*EXP(-0.0495*Y757)</f>
        <v>5.7839881632231922</v>
      </c>
      <c r="BE757" s="2">
        <f>+AO757*EXP(-0.024*Y757)</f>
        <v>18.398278528618292</v>
      </c>
    </row>
    <row r="758" spans="1:57" x14ac:dyDescent="0.2">
      <c r="A758" s="2" t="s">
        <v>2840</v>
      </c>
      <c r="B758" s="2" t="s">
        <v>19</v>
      </c>
      <c r="C758" s="2" t="s">
        <v>1907</v>
      </c>
      <c r="D758" s="2" t="s">
        <v>21</v>
      </c>
      <c r="E758" s="2" t="s">
        <v>2841</v>
      </c>
      <c r="F758" s="2">
        <v>4</v>
      </c>
      <c r="G758" s="2">
        <v>300</v>
      </c>
      <c r="H758" s="2">
        <v>3</v>
      </c>
      <c r="I758" s="2">
        <v>4</v>
      </c>
      <c r="J758" s="2">
        <v>2</v>
      </c>
      <c r="K758" s="2" t="s">
        <v>61</v>
      </c>
      <c r="L758" s="6" t="s">
        <v>113</v>
      </c>
      <c r="M758" s="5">
        <v>1050000000</v>
      </c>
      <c r="N758" s="2">
        <v>0</v>
      </c>
      <c r="O758" s="2">
        <v>4.6538899999999996</v>
      </c>
      <c r="P758" s="2">
        <v>-74.087379999999996</v>
      </c>
      <c r="Q758" s="2" t="s">
        <v>2842</v>
      </c>
      <c r="R758" s="2">
        <v>3500000</v>
      </c>
      <c r="S758" s="2">
        <v>0</v>
      </c>
      <c r="T758" s="2" t="s">
        <v>26</v>
      </c>
      <c r="U758" s="2" t="s">
        <v>27</v>
      </c>
      <c r="V758" s="2" t="s">
        <v>28</v>
      </c>
      <c r="W758" s="2" t="s">
        <v>29</v>
      </c>
      <c r="X758" s="2" t="s">
        <v>30</v>
      </c>
      <c r="Y758" s="2">
        <v>0.63481346892202295</v>
      </c>
      <c r="Z758" s="2">
        <v>4.6584666666666701</v>
      </c>
      <c r="AA758" s="2">
        <v>-74.083966666666697</v>
      </c>
      <c r="AB758" s="2">
        <v>2552</v>
      </c>
      <c r="AC758" s="2" t="s">
        <v>31</v>
      </c>
      <c r="AD758" s="2" t="s">
        <v>32</v>
      </c>
      <c r="AE758" s="2" t="s">
        <v>33</v>
      </c>
      <c r="AF758" s="2" t="s">
        <v>34</v>
      </c>
      <c r="AG758" s="2" t="s">
        <v>35</v>
      </c>
      <c r="AH758" s="2">
        <v>1.0866857058705699</v>
      </c>
      <c r="AI758" s="2">
        <v>3.6061235088482002</v>
      </c>
      <c r="AJ758" s="2">
        <v>0.68421681410670099</v>
      </c>
      <c r="AK758" s="2">
        <v>0.45489959792701401</v>
      </c>
      <c r="AL758" s="2">
        <v>6.0396414106115098E-2</v>
      </c>
      <c r="AN758" s="2">
        <v>6.8</v>
      </c>
      <c r="AO758" s="2">
        <v>19.899999999999999</v>
      </c>
      <c r="AP758" s="2">
        <v>564</v>
      </c>
      <c r="AQ758" s="2">
        <v>68</v>
      </c>
      <c r="AR758" s="2">
        <v>1.5</v>
      </c>
      <c r="AS758" s="2">
        <v>135</v>
      </c>
      <c r="AT758" s="2">
        <v>0.8</v>
      </c>
      <c r="AU758" s="2">
        <v>162</v>
      </c>
      <c r="AV758" s="2">
        <v>9.1</v>
      </c>
      <c r="AW758" s="2">
        <v>9.1999999999999993</v>
      </c>
      <c r="AX758" s="2">
        <v>18.3</v>
      </c>
      <c r="AY758" s="2">
        <v>0.34</v>
      </c>
      <c r="AZ758" s="2">
        <v>7.3</v>
      </c>
      <c r="BA758" s="2">
        <v>0.9</v>
      </c>
      <c r="BB758" s="2">
        <v>7.5</v>
      </c>
      <c r="BC758" s="2">
        <v>2.9</v>
      </c>
      <c r="BD758" s="2">
        <f>+AN758*EXP(-0.0495*Y758)</f>
        <v>6.5896441295492032</v>
      </c>
      <c r="BE758" s="2">
        <f>+AO758*EXP(-0.024*Y758)</f>
        <v>19.599111008062486</v>
      </c>
    </row>
    <row r="759" spans="1:57" x14ac:dyDescent="0.2">
      <c r="A759" s="2" t="s">
        <v>2644</v>
      </c>
      <c r="B759" s="2" t="s">
        <v>19</v>
      </c>
      <c r="C759" s="2" t="s">
        <v>1907</v>
      </c>
      <c r="D759" s="2" t="s">
        <v>21</v>
      </c>
      <c r="E759" s="2" t="s">
        <v>894</v>
      </c>
      <c r="F759" s="2">
        <v>3</v>
      </c>
      <c r="G759" s="2">
        <v>300</v>
      </c>
      <c r="H759" s="2">
        <v>5</v>
      </c>
      <c r="I759" s="2">
        <v>3</v>
      </c>
      <c r="J759" s="2">
        <v>1</v>
      </c>
      <c r="K759" s="2" t="s">
        <v>61</v>
      </c>
      <c r="L759" s="6" t="s">
        <v>62</v>
      </c>
      <c r="M759" s="5">
        <v>950000000</v>
      </c>
      <c r="N759" s="2">
        <v>0</v>
      </c>
      <c r="O759" s="2">
        <v>4.6412804440000004</v>
      </c>
      <c r="P759" s="2">
        <v>-74.068653589999997</v>
      </c>
      <c r="Q759" s="2" t="s">
        <v>2645</v>
      </c>
      <c r="R759" s="2">
        <v>3166666.6669999999</v>
      </c>
      <c r="S759" s="2">
        <v>0</v>
      </c>
      <c r="T759" s="2" t="s">
        <v>77</v>
      </c>
      <c r="U759" s="2" t="s">
        <v>78</v>
      </c>
      <c r="V759" s="2" t="s">
        <v>28</v>
      </c>
      <c r="W759" s="2" t="s">
        <v>79</v>
      </c>
      <c r="X759" s="2" t="s">
        <v>80</v>
      </c>
      <c r="Y759" s="2">
        <v>1.7679894942323999</v>
      </c>
      <c r="Z759" s="2">
        <v>4.6254861111111101</v>
      </c>
      <c r="AA759" s="2">
        <v>-74.066980555555503</v>
      </c>
      <c r="AB759" s="2">
        <v>2621</v>
      </c>
      <c r="AC759" s="2" t="s">
        <v>31</v>
      </c>
      <c r="AD759" s="2" t="s">
        <v>32</v>
      </c>
      <c r="AE759" s="2" t="s">
        <v>33</v>
      </c>
      <c r="AF759" s="2" t="s">
        <v>34</v>
      </c>
      <c r="AG759" s="2" t="s">
        <v>35</v>
      </c>
      <c r="AH759" s="2">
        <v>0.36537254107079797</v>
      </c>
      <c r="AI759" s="2">
        <v>1.22151569878606</v>
      </c>
      <c r="AJ759" s="2">
        <v>0.41397514495058702</v>
      </c>
      <c r="AK759" s="2">
        <v>6.3292212356786906E-2</v>
      </c>
      <c r="AL759" s="2">
        <v>6.2912280007525107E-2</v>
      </c>
      <c r="AN759" s="2">
        <v>6.8</v>
      </c>
      <c r="AO759" s="2">
        <v>19.899999999999999</v>
      </c>
      <c r="AP759" s="2">
        <v>564</v>
      </c>
      <c r="AQ759" s="2">
        <v>68</v>
      </c>
      <c r="AR759" s="2">
        <v>1.5</v>
      </c>
      <c r="AS759" s="2">
        <v>135</v>
      </c>
      <c r="AT759" s="2">
        <v>0.8</v>
      </c>
      <c r="AU759" s="2">
        <v>162</v>
      </c>
      <c r="AV759" s="2">
        <v>9.1</v>
      </c>
      <c r="AW759" s="2">
        <v>9.1999999999999993</v>
      </c>
      <c r="AX759" s="2">
        <v>18.3</v>
      </c>
      <c r="AY759" s="2">
        <v>0.34</v>
      </c>
      <c r="AZ759" s="2">
        <v>7.3</v>
      </c>
      <c r="BA759" s="2">
        <v>0.9</v>
      </c>
      <c r="BB759" s="2">
        <v>7.5</v>
      </c>
      <c r="BC759" s="2">
        <v>2.9</v>
      </c>
      <c r="BD759" s="2">
        <f>+AN759*EXP(-0.0495*Y759)</f>
        <v>6.2301918833302903</v>
      </c>
      <c r="BE759" s="2">
        <f>+AO759*EXP(-0.024*Y759)</f>
        <v>19.073272011044288</v>
      </c>
    </row>
    <row r="760" spans="1:57" x14ac:dyDescent="0.2">
      <c r="A760" s="2" t="s">
        <v>2439</v>
      </c>
      <c r="B760" s="2" t="s">
        <v>19</v>
      </c>
      <c r="C760" s="2" t="s">
        <v>1907</v>
      </c>
      <c r="D760" s="2" t="s">
        <v>21</v>
      </c>
      <c r="E760" s="2" t="s">
        <v>280</v>
      </c>
      <c r="F760" s="2">
        <v>4</v>
      </c>
      <c r="G760" s="2">
        <v>300</v>
      </c>
      <c r="H760" s="2">
        <v>4</v>
      </c>
      <c r="I760" s="2">
        <v>3</v>
      </c>
      <c r="J760" s="2">
        <v>2</v>
      </c>
      <c r="K760" s="2" t="s">
        <v>61</v>
      </c>
      <c r="L760" s="6" t="s">
        <v>113</v>
      </c>
      <c r="M760" s="5">
        <v>830000000</v>
      </c>
      <c r="N760" s="2">
        <v>0</v>
      </c>
      <c r="O760" s="2">
        <v>4.6970949170000003</v>
      </c>
      <c r="P760" s="2">
        <v>-74.080871579999993</v>
      </c>
      <c r="Q760" s="2" t="s">
        <v>2440</v>
      </c>
      <c r="R760" s="2">
        <v>2766666.6669999999</v>
      </c>
      <c r="S760" s="2">
        <v>0</v>
      </c>
      <c r="T760" s="2" t="s">
        <v>26</v>
      </c>
      <c r="U760" s="2" t="s">
        <v>27</v>
      </c>
      <c r="V760" s="2" t="s">
        <v>28</v>
      </c>
      <c r="W760" s="2" t="s">
        <v>29</v>
      </c>
      <c r="X760" s="2" t="s">
        <v>30</v>
      </c>
      <c r="Y760" s="2">
        <v>4.3137668282958197</v>
      </c>
      <c r="Z760" s="2">
        <v>4.6584666666666701</v>
      </c>
      <c r="AA760" s="2">
        <v>-74.083966666666697</v>
      </c>
      <c r="AB760" s="2">
        <v>2552</v>
      </c>
      <c r="AC760" s="2" t="s">
        <v>31</v>
      </c>
      <c r="AD760" s="2" t="s">
        <v>32</v>
      </c>
      <c r="AE760" s="2" t="s">
        <v>33</v>
      </c>
      <c r="AF760" s="2" t="s">
        <v>34</v>
      </c>
      <c r="AG760" s="2" t="s">
        <v>72</v>
      </c>
      <c r="AH760" s="2">
        <v>0.77715214072585304</v>
      </c>
      <c r="AI760" s="2">
        <v>5.2458039136255099</v>
      </c>
      <c r="AJ760" s="2">
        <v>1.0599039995858399</v>
      </c>
      <c r="AK760" s="2">
        <v>0.39260064934719502</v>
      </c>
      <c r="AL760" s="2">
        <v>0.44121957851975402</v>
      </c>
      <c r="AN760" s="2">
        <v>6.8</v>
      </c>
      <c r="AO760" s="2">
        <v>19.899999999999999</v>
      </c>
      <c r="AP760" s="2">
        <v>564</v>
      </c>
      <c r="AQ760" s="2">
        <v>68</v>
      </c>
      <c r="AR760" s="2">
        <v>1.5</v>
      </c>
      <c r="AS760" s="2">
        <v>135</v>
      </c>
      <c r="AT760" s="2">
        <v>0.8</v>
      </c>
      <c r="AU760" s="2">
        <v>162</v>
      </c>
      <c r="AV760" s="2">
        <v>9.1</v>
      </c>
      <c r="AW760" s="2">
        <v>9.1999999999999993</v>
      </c>
      <c r="AX760" s="2">
        <v>18.3</v>
      </c>
      <c r="AY760" s="2">
        <v>0.34</v>
      </c>
      <c r="AZ760" s="2">
        <v>7.3</v>
      </c>
      <c r="BA760" s="2">
        <v>0.9</v>
      </c>
      <c r="BB760" s="2">
        <v>7.5</v>
      </c>
      <c r="BC760" s="2">
        <v>2.9</v>
      </c>
      <c r="BD760" s="2">
        <f>+AN760*EXP(-0.0495*Y760)</f>
        <v>5.49254190191939</v>
      </c>
      <c r="BE760" s="2">
        <f>+AO760*EXP(-0.024*Y760)</f>
        <v>17.942807313325446</v>
      </c>
    </row>
    <row r="761" spans="1:57" x14ac:dyDescent="0.2">
      <c r="A761" s="2" t="s">
        <v>2964</v>
      </c>
      <c r="B761" s="2" t="s">
        <v>19</v>
      </c>
      <c r="C761" s="2" t="s">
        <v>1907</v>
      </c>
      <c r="D761" s="2" t="s">
        <v>21</v>
      </c>
      <c r="E761" s="2" t="s">
        <v>2965</v>
      </c>
      <c r="F761" s="2">
        <v>3</v>
      </c>
      <c r="G761" s="2">
        <v>299</v>
      </c>
      <c r="H761" s="2">
        <v>5</v>
      </c>
      <c r="I761" s="2">
        <v>4</v>
      </c>
      <c r="J761" s="2">
        <v>1</v>
      </c>
      <c r="K761" s="2" t="s">
        <v>61</v>
      </c>
      <c r="L761" s="6" t="s">
        <v>113</v>
      </c>
      <c r="M761" s="5">
        <v>920000000</v>
      </c>
      <c r="N761" s="2">
        <v>0</v>
      </c>
      <c r="O761" s="2">
        <v>4.6344599999999998</v>
      </c>
      <c r="P761" s="2">
        <v>-74.072710000000001</v>
      </c>
      <c r="Q761" s="2" t="s">
        <v>2966</v>
      </c>
      <c r="R761" s="2">
        <v>3076923.077</v>
      </c>
      <c r="S761" s="2">
        <v>0</v>
      </c>
      <c r="T761" s="2" t="s">
        <v>77</v>
      </c>
      <c r="U761" s="2" t="s">
        <v>78</v>
      </c>
      <c r="V761" s="2" t="s">
        <v>28</v>
      </c>
      <c r="W761" s="2" t="s">
        <v>79</v>
      </c>
      <c r="X761" s="2" t="s">
        <v>80</v>
      </c>
      <c r="Y761" s="2">
        <v>1.1840926350175101</v>
      </c>
      <c r="Z761" s="2">
        <v>4.6254861111111101</v>
      </c>
      <c r="AA761" s="2">
        <v>-74.066980555555503</v>
      </c>
      <c r="AB761" s="2">
        <v>2621</v>
      </c>
      <c r="AC761" s="2" t="s">
        <v>31</v>
      </c>
      <c r="AD761" s="2" t="s">
        <v>32</v>
      </c>
      <c r="AE761" s="2" t="s">
        <v>33</v>
      </c>
      <c r="AF761" s="2" t="s">
        <v>34</v>
      </c>
      <c r="AG761" s="2" t="s">
        <v>35</v>
      </c>
      <c r="AH761" s="2">
        <v>0.63046390535526997</v>
      </c>
      <c r="AI761" s="2">
        <v>1.41441000338417</v>
      </c>
      <c r="AJ761" s="2">
        <v>0.36842580151392601</v>
      </c>
      <c r="AK761" s="2">
        <v>6.1898296208558697E-2</v>
      </c>
      <c r="AL761" s="2">
        <v>9.2748696088082699E-2</v>
      </c>
      <c r="AN761" s="2">
        <v>6.8</v>
      </c>
      <c r="AO761" s="2">
        <v>19.899999999999999</v>
      </c>
      <c r="AP761" s="2">
        <v>564</v>
      </c>
      <c r="AQ761" s="2">
        <v>68</v>
      </c>
      <c r="AR761" s="2">
        <v>1.5</v>
      </c>
      <c r="AS761" s="2">
        <v>135</v>
      </c>
      <c r="AT761" s="2">
        <v>0.8</v>
      </c>
      <c r="AU761" s="2">
        <v>162</v>
      </c>
      <c r="AV761" s="2">
        <v>9.1</v>
      </c>
      <c r="AW761" s="2">
        <v>9.1999999999999993</v>
      </c>
      <c r="AX761" s="2">
        <v>18.3</v>
      </c>
      <c r="AY761" s="2">
        <v>0.34</v>
      </c>
      <c r="AZ761" s="2">
        <v>7.3</v>
      </c>
      <c r="BA761" s="2">
        <v>0.9</v>
      </c>
      <c r="BB761" s="2">
        <v>7.5</v>
      </c>
      <c r="BC761" s="2">
        <v>2.9</v>
      </c>
      <c r="BD761" s="2">
        <f>+AN761*EXP(-0.0495*Y761)</f>
        <v>6.4128899960736376</v>
      </c>
      <c r="BE761" s="2">
        <f>+AO761*EXP(-0.024*Y761)</f>
        <v>19.342437350683113</v>
      </c>
    </row>
    <row r="762" spans="1:57" x14ac:dyDescent="0.2">
      <c r="A762" s="2" t="s">
        <v>963</v>
      </c>
      <c r="B762" s="2" t="s">
        <v>19</v>
      </c>
      <c r="C762" s="2" t="s">
        <v>20</v>
      </c>
      <c r="D762" s="2" t="s">
        <v>21</v>
      </c>
      <c r="E762" s="2" t="s">
        <v>693</v>
      </c>
      <c r="F762" s="2">
        <v>6</v>
      </c>
      <c r="G762" s="2">
        <v>291</v>
      </c>
      <c r="H762" s="2">
        <v>3</v>
      </c>
      <c r="I762" s="2">
        <v>4</v>
      </c>
      <c r="J762" s="2">
        <v>4</v>
      </c>
      <c r="K762" s="2" t="s">
        <v>61</v>
      </c>
      <c r="L762" s="6" t="s">
        <v>113</v>
      </c>
      <c r="M762" s="5">
        <v>2990000000</v>
      </c>
      <c r="N762" s="2">
        <v>0</v>
      </c>
      <c r="O762" s="2">
        <v>4.6630477910000003</v>
      </c>
      <c r="P762" s="2">
        <v>-74.050216669999998</v>
      </c>
      <c r="Q762" s="2" t="s">
        <v>964</v>
      </c>
      <c r="R762" s="2">
        <v>10274914.09</v>
      </c>
      <c r="S762" s="2">
        <v>0</v>
      </c>
      <c r="T762" s="2" t="s">
        <v>26</v>
      </c>
      <c r="U762" s="2" t="s">
        <v>27</v>
      </c>
      <c r="V762" s="2" t="s">
        <v>28</v>
      </c>
      <c r="W762" s="2" t="s">
        <v>29</v>
      </c>
      <c r="X762" s="2" t="s">
        <v>30</v>
      </c>
      <c r="Y762" s="2">
        <v>3.7791750552676402</v>
      </c>
      <c r="Z762" s="2">
        <v>4.6584666666666701</v>
      </c>
      <c r="AA762" s="2">
        <v>-74.083966666666697</v>
      </c>
      <c r="AB762" s="2">
        <v>2552</v>
      </c>
      <c r="AC762" s="2" t="s">
        <v>31</v>
      </c>
      <c r="AD762" s="2" t="s">
        <v>32</v>
      </c>
      <c r="AE762" s="2" t="s">
        <v>33</v>
      </c>
      <c r="AF762" s="2" t="s">
        <v>34</v>
      </c>
      <c r="AG762" s="2" t="s">
        <v>81</v>
      </c>
      <c r="AH762" s="2">
        <v>1.2246651256098</v>
      </c>
      <c r="AI762" s="2">
        <v>0.51607946696639395</v>
      </c>
      <c r="AJ762" s="2">
        <v>0.42949534810684498</v>
      </c>
      <c r="AK762" s="2">
        <v>0.16143554136125099</v>
      </c>
      <c r="AL762" s="2">
        <v>0.18940065781126</v>
      </c>
      <c r="AN762" s="2">
        <v>6.8</v>
      </c>
      <c r="AO762" s="2">
        <v>19.899999999999999</v>
      </c>
      <c r="AP762" s="2">
        <v>564</v>
      </c>
      <c r="AQ762" s="2">
        <v>68</v>
      </c>
      <c r="AR762" s="2">
        <v>1.5</v>
      </c>
      <c r="AS762" s="2">
        <v>135</v>
      </c>
      <c r="AT762" s="2">
        <v>0.8</v>
      </c>
      <c r="AU762" s="2">
        <v>162</v>
      </c>
      <c r="AV762" s="2">
        <v>9.1</v>
      </c>
      <c r="AW762" s="2">
        <v>9.1999999999999993</v>
      </c>
      <c r="AX762" s="2">
        <v>18.3</v>
      </c>
      <c r="AY762" s="2">
        <v>0.34</v>
      </c>
      <c r="AZ762" s="2">
        <v>7.3</v>
      </c>
      <c r="BA762" s="2">
        <v>0.9</v>
      </c>
      <c r="BB762" s="2">
        <v>7.5</v>
      </c>
      <c r="BC762" s="2">
        <v>2.9</v>
      </c>
      <c r="BD762" s="2">
        <f>+AN762*EXP(-0.0495*Y762)</f>
        <v>5.6398273139446999</v>
      </c>
      <c r="BE762" s="2">
        <f>+AO762*EXP(-0.024*Y762)</f>
        <v>18.174500321311069</v>
      </c>
    </row>
    <row r="763" spans="1:57" x14ac:dyDescent="0.2">
      <c r="A763" s="2" t="s">
        <v>2960</v>
      </c>
      <c r="B763" s="2" t="s">
        <v>19</v>
      </c>
      <c r="C763" s="2" t="s">
        <v>1907</v>
      </c>
      <c r="D763" s="2" t="s">
        <v>21</v>
      </c>
      <c r="E763" s="2" t="s">
        <v>531</v>
      </c>
      <c r="F763" s="2">
        <v>2</v>
      </c>
      <c r="G763" s="2">
        <v>288</v>
      </c>
      <c r="H763" s="2">
        <v>5</v>
      </c>
      <c r="I763" s="2">
        <v>5</v>
      </c>
      <c r="J763" s="2">
        <v>0</v>
      </c>
      <c r="K763" s="2" t="s">
        <v>61</v>
      </c>
      <c r="L763" s="6" t="s">
        <v>113</v>
      </c>
      <c r="M763" s="5">
        <v>600000000</v>
      </c>
      <c r="N763" s="2">
        <v>0</v>
      </c>
      <c r="O763" s="2">
        <v>4.7405600000000003</v>
      </c>
      <c r="P763" s="2">
        <v>-74.129059999999996</v>
      </c>
      <c r="Q763" s="2" t="s">
        <v>2961</v>
      </c>
      <c r="R763" s="2">
        <v>2083333.3330000001</v>
      </c>
      <c r="S763" s="2">
        <v>0</v>
      </c>
      <c r="T763" s="2" t="s">
        <v>370</v>
      </c>
      <c r="U763" s="2" t="s">
        <v>371</v>
      </c>
      <c r="V763" s="2" t="s">
        <v>28</v>
      </c>
      <c r="W763" s="2" t="s">
        <v>29</v>
      </c>
      <c r="X763" s="2" t="s">
        <v>372</v>
      </c>
      <c r="Y763" s="2">
        <v>0.63551705417873805</v>
      </c>
      <c r="Z763" s="2">
        <v>4.7358055555555598</v>
      </c>
      <c r="AA763" s="2">
        <v>-74.125888888888895</v>
      </c>
      <c r="AB763" s="2">
        <v>2574</v>
      </c>
      <c r="AC763" s="2" t="s">
        <v>105</v>
      </c>
      <c r="AD763" s="2" t="s">
        <v>58</v>
      </c>
      <c r="AE763" s="2" t="s">
        <v>33</v>
      </c>
      <c r="AF763" s="2" t="s">
        <v>34</v>
      </c>
      <c r="AG763" s="2" t="s">
        <v>72</v>
      </c>
      <c r="AH763" s="2">
        <v>3.9177474584995999</v>
      </c>
      <c r="AI763" s="2">
        <v>0.13821800196450401</v>
      </c>
      <c r="AJ763" s="2">
        <v>5.8071381510917499</v>
      </c>
      <c r="AK763" s="2">
        <v>0.96605067239050801</v>
      </c>
      <c r="AL763" s="2">
        <v>9.9857119318996795E-2</v>
      </c>
      <c r="AN763" s="2">
        <v>6.8</v>
      </c>
      <c r="AO763" s="2">
        <v>19.899999999999999</v>
      </c>
      <c r="AP763" s="2">
        <v>564</v>
      </c>
      <c r="AQ763" s="2">
        <v>68</v>
      </c>
      <c r="AR763" s="2">
        <v>1.5</v>
      </c>
      <c r="AS763" s="2">
        <v>135</v>
      </c>
      <c r="AT763" s="2">
        <v>0.8</v>
      </c>
      <c r="AU763" s="2">
        <v>162</v>
      </c>
      <c r="AV763" s="2">
        <v>9.1</v>
      </c>
      <c r="AW763" s="2">
        <v>9.1999999999999993</v>
      </c>
      <c r="AX763" s="2">
        <v>18.3</v>
      </c>
      <c r="AY763" s="2">
        <v>0.34</v>
      </c>
      <c r="AZ763" s="2">
        <v>7.3</v>
      </c>
      <c r="BA763" s="2">
        <v>0.9</v>
      </c>
      <c r="BB763" s="2">
        <v>7.5</v>
      </c>
      <c r="BC763" s="2">
        <v>2.9</v>
      </c>
      <c r="BD763" s="2">
        <f>+AN763*EXP(-0.0495*Y763)</f>
        <v>6.589414632911021</v>
      </c>
      <c r="BE763" s="2">
        <f>+AO763*EXP(-0.024*Y763)</f>
        <v>19.598780059363502</v>
      </c>
    </row>
    <row r="764" spans="1:57" x14ac:dyDescent="0.2">
      <c r="A764" s="2" t="s">
        <v>1013</v>
      </c>
      <c r="B764" s="2" t="s">
        <v>19</v>
      </c>
      <c r="C764" s="2" t="s">
        <v>20</v>
      </c>
      <c r="D764" s="2" t="s">
        <v>21</v>
      </c>
      <c r="E764" s="2" t="s">
        <v>261</v>
      </c>
      <c r="F764" s="2">
        <v>6</v>
      </c>
      <c r="G764" s="2">
        <v>284</v>
      </c>
      <c r="H764" s="2">
        <v>3</v>
      </c>
      <c r="I764" s="2">
        <v>4</v>
      </c>
      <c r="J764" s="2">
        <v>4</v>
      </c>
      <c r="K764" s="2" t="s">
        <v>61</v>
      </c>
      <c r="L764" s="6" t="s">
        <v>75</v>
      </c>
      <c r="M764" s="5">
        <v>3800000000</v>
      </c>
      <c r="N764" s="2">
        <v>0</v>
      </c>
      <c r="O764" s="2">
        <v>4.6572550369999997</v>
      </c>
      <c r="P764" s="2">
        <v>-74.048237169999993</v>
      </c>
      <c r="Q764" s="2" t="s">
        <v>1014</v>
      </c>
      <c r="R764" s="2">
        <v>13380281.689999999</v>
      </c>
      <c r="S764" s="2">
        <v>0</v>
      </c>
      <c r="T764" s="2" t="s">
        <v>26</v>
      </c>
      <c r="U764" s="2" t="s">
        <v>27</v>
      </c>
      <c r="V764" s="2" t="s">
        <v>28</v>
      </c>
      <c r="W764" s="2" t="s">
        <v>29</v>
      </c>
      <c r="X764" s="2" t="s">
        <v>30</v>
      </c>
      <c r="Y764" s="2">
        <v>3.9665474211334102</v>
      </c>
      <c r="Z764" s="2">
        <v>4.6584666666666701</v>
      </c>
      <c r="AA764" s="2">
        <v>-74.083966666666697</v>
      </c>
      <c r="AB764" s="2">
        <v>2552</v>
      </c>
      <c r="AC764" s="2" t="s">
        <v>31</v>
      </c>
      <c r="AD764" s="2" t="s">
        <v>32</v>
      </c>
      <c r="AE764" s="2" t="s">
        <v>33</v>
      </c>
      <c r="AF764" s="2" t="s">
        <v>34</v>
      </c>
      <c r="AG764" s="2" t="s">
        <v>81</v>
      </c>
      <c r="AH764" s="2">
        <v>1.53744606438373</v>
      </c>
      <c r="AI764" s="2">
        <v>0.114207120410817</v>
      </c>
      <c r="AJ764" s="2">
        <v>0.98136525840292599</v>
      </c>
      <c r="AK764" s="2">
        <v>0.53947792468072797</v>
      </c>
      <c r="AL764" s="2">
        <v>0.38274674470229803</v>
      </c>
      <c r="AN764" s="2">
        <v>6.8</v>
      </c>
      <c r="AO764" s="2">
        <v>19.899999999999999</v>
      </c>
      <c r="AP764" s="2">
        <v>564</v>
      </c>
      <c r="AQ764" s="2">
        <v>68</v>
      </c>
      <c r="AR764" s="2">
        <v>1.5</v>
      </c>
      <c r="AS764" s="2">
        <v>135</v>
      </c>
      <c r="AT764" s="2">
        <v>0.8</v>
      </c>
      <c r="AU764" s="2">
        <v>162</v>
      </c>
      <c r="AV764" s="2">
        <v>9.1</v>
      </c>
      <c r="AW764" s="2">
        <v>9.1999999999999993</v>
      </c>
      <c r="AX764" s="2">
        <v>18.3</v>
      </c>
      <c r="AY764" s="2">
        <v>0.34</v>
      </c>
      <c r="AZ764" s="2">
        <v>7.3</v>
      </c>
      <c r="BA764" s="2">
        <v>0.9</v>
      </c>
      <c r="BB764" s="2">
        <v>7.5</v>
      </c>
      <c r="BC764" s="2">
        <v>2.9</v>
      </c>
      <c r="BD764" s="2">
        <f>+AN764*EXP(-0.0495*Y764)</f>
        <v>5.5877601315380598</v>
      </c>
      <c r="BE764" s="2">
        <f>+AO764*EXP(-0.024*Y764)</f>
        <v>18.092954233566246</v>
      </c>
    </row>
    <row r="765" spans="1:57" x14ac:dyDescent="0.2">
      <c r="A765" s="2" t="s">
        <v>1984</v>
      </c>
      <c r="B765" s="2" t="s">
        <v>19</v>
      </c>
      <c r="C765" s="2" t="s">
        <v>1907</v>
      </c>
      <c r="D765" s="2" t="s">
        <v>21</v>
      </c>
      <c r="E765" s="2" t="s">
        <v>1985</v>
      </c>
      <c r="F765" s="2">
        <v>4</v>
      </c>
      <c r="G765" s="2">
        <v>280</v>
      </c>
      <c r="H765" s="2">
        <v>4</v>
      </c>
      <c r="I765" s="2">
        <v>5</v>
      </c>
      <c r="J765" s="2">
        <v>2</v>
      </c>
      <c r="K765" s="2" t="s">
        <v>61</v>
      </c>
      <c r="L765" s="6" t="s">
        <v>113</v>
      </c>
      <c r="M765" s="5">
        <v>1300000000</v>
      </c>
      <c r="N765" s="2">
        <v>0</v>
      </c>
      <c r="O765" s="2">
        <v>4.6920075419999998</v>
      </c>
      <c r="P765" s="2">
        <v>-74.069892879999998</v>
      </c>
      <c r="Q765" s="2" t="s">
        <v>1986</v>
      </c>
      <c r="R765" s="2">
        <v>4642857.1430000002</v>
      </c>
      <c r="S765" s="2">
        <v>0</v>
      </c>
      <c r="T765" s="2" t="s">
        <v>26</v>
      </c>
      <c r="U765" s="2" t="s">
        <v>27</v>
      </c>
      <c r="V765" s="2" t="s">
        <v>28</v>
      </c>
      <c r="W765" s="2" t="s">
        <v>29</v>
      </c>
      <c r="X765" s="2" t="s">
        <v>30</v>
      </c>
      <c r="Y765" s="2">
        <v>4.0471117446601799</v>
      </c>
      <c r="Z765" s="2">
        <v>4.6584666666666701</v>
      </c>
      <c r="AA765" s="2">
        <v>-74.083966666666697</v>
      </c>
      <c r="AB765" s="2">
        <v>2552</v>
      </c>
      <c r="AC765" s="2" t="s">
        <v>31</v>
      </c>
      <c r="AD765" s="2" t="s">
        <v>32</v>
      </c>
      <c r="AE765" s="2" t="s">
        <v>33</v>
      </c>
      <c r="AF765" s="2" t="s">
        <v>34</v>
      </c>
      <c r="AG765" s="2" t="s">
        <v>72</v>
      </c>
      <c r="AH765" s="2">
        <v>0.33508444896286199</v>
      </c>
      <c r="AI765" s="2">
        <v>3.9146678862295299</v>
      </c>
      <c r="AJ765" s="2">
        <v>0.64361170405618295</v>
      </c>
      <c r="AK765" s="2">
        <v>0.25804805516936602</v>
      </c>
      <c r="AL765" s="2">
        <v>0.12627641006781701</v>
      </c>
      <c r="AN765" s="2">
        <v>6.8</v>
      </c>
      <c r="AO765" s="2">
        <v>19.899999999999999</v>
      </c>
      <c r="AP765" s="2">
        <v>564</v>
      </c>
      <c r="AQ765" s="2">
        <v>68</v>
      </c>
      <c r="AR765" s="2">
        <v>1.5</v>
      </c>
      <c r="AS765" s="2">
        <v>135</v>
      </c>
      <c r="AT765" s="2">
        <v>0.8</v>
      </c>
      <c r="AU765" s="2">
        <v>162</v>
      </c>
      <c r="AV765" s="2">
        <v>9.1</v>
      </c>
      <c r="AW765" s="2">
        <v>9.1999999999999993</v>
      </c>
      <c r="AX765" s="2">
        <v>18.3</v>
      </c>
      <c r="AY765" s="2">
        <v>0.34</v>
      </c>
      <c r="AZ765" s="2">
        <v>7.3</v>
      </c>
      <c r="BA765" s="2">
        <v>0.9</v>
      </c>
      <c r="BB765" s="2">
        <v>7.5</v>
      </c>
      <c r="BC765" s="2">
        <v>2.9</v>
      </c>
      <c r="BD765" s="2">
        <f>+AN765*EXP(-0.0495*Y765)</f>
        <v>5.5655208866385051</v>
      </c>
      <c r="BE765" s="2">
        <f>+AO765*EXP(-0.024*Y765)</f>
        <v>18.058004514018684</v>
      </c>
    </row>
    <row r="766" spans="1:57" x14ac:dyDescent="0.2">
      <c r="A766" s="2" t="s">
        <v>2771</v>
      </c>
      <c r="B766" s="2" t="s">
        <v>19</v>
      </c>
      <c r="C766" s="2" t="s">
        <v>1907</v>
      </c>
      <c r="D766" s="2" t="s">
        <v>21</v>
      </c>
      <c r="E766" s="2" t="s">
        <v>83</v>
      </c>
      <c r="F766" s="2">
        <v>6</v>
      </c>
      <c r="G766" s="2">
        <v>272</v>
      </c>
      <c r="H766" s="2">
        <v>3</v>
      </c>
      <c r="I766" s="2">
        <v>4</v>
      </c>
      <c r="J766" s="2">
        <v>3</v>
      </c>
      <c r="K766" s="2" t="s">
        <v>61</v>
      </c>
      <c r="L766" s="6" t="s">
        <v>75</v>
      </c>
      <c r="M766" s="5">
        <v>1950000000</v>
      </c>
      <c r="N766" s="2">
        <v>0</v>
      </c>
      <c r="O766" s="2">
        <v>4.6741699819999996</v>
      </c>
      <c r="P766" s="2">
        <v>-74.051090029999997</v>
      </c>
      <c r="Q766" s="2" t="s">
        <v>2772</v>
      </c>
      <c r="R766" s="2">
        <v>7169117.6469999999</v>
      </c>
      <c r="S766" s="2">
        <v>0</v>
      </c>
      <c r="T766" s="2" t="s">
        <v>26</v>
      </c>
      <c r="U766" s="2" t="s">
        <v>27</v>
      </c>
      <c r="V766" s="2" t="s">
        <v>28</v>
      </c>
      <c r="W766" s="2" t="s">
        <v>29</v>
      </c>
      <c r="X766" s="2" t="s">
        <v>30</v>
      </c>
      <c r="Y766" s="2">
        <v>4.0449187436416603</v>
      </c>
      <c r="Z766" s="2">
        <v>4.6584666666666701</v>
      </c>
      <c r="AA766" s="2">
        <v>-74.083966666666697</v>
      </c>
      <c r="AB766" s="2">
        <v>2552</v>
      </c>
      <c r="AC766" s="2" t="s">
        <v>31</v>
      </c>
      <c r="AD766" s="2" t="s">
        <v>32</v>
      </c>
      <c r="AE766" s="2" t="s">
        <v>33</v>
      </c>
      <c r="AF766" s="2" t="s">
        <v>34</v>
      </c>
      <c r="AG766" s="2" t="s">
        <v>81</v>
      </c>
      <c r="AH766" s="2">
        <v>0.90212875083746202</v>
      </c>
      <c r="AI766" s="2">
        <v>1.0839507825602099</v>
      </c>
      <c r="AJ766" s="2">
        <v>1.0322511330388</v>
      </c>
      <c r="AK766" s="2">
        <v>0.109530462526748</v>
      </c>
      <c r="AL766" s="2">
        <v>0.87115021868730702</v>
      </c>
      <c r="AN766" s="2">
        <v>6.8</v>
      </c>
      <c r="AO766" s="2">
        <v>19.899999999999999</v>
      </c>
      <c r="AP766" s="2">
        <v>564</v>
      </c>
      <c r="AQ766" s="2">
        <v>68</v>
      </c>
      <c r="AR766" s="2">
        <v>1.5</v>
      </c>
      <c r="AS766" s="2">
        <v>135</v>
      </c>
      <c r="AT766" s="2">
        <v>0.8</v>
      </c>
      <c r="AU766" s="2">
        <v>162</v>
      </c>
      <c r="AV766" s="2">
        <v>9.1</v>
      </c>
      <c r="AW766" s="2">
        <v>9.1999999999999993</v>
      </c>
      <c r="AX766" s="2">
        <v>18.3</v>
      </c>
      <c r="AY766" s="2">
        <v>0.34</v>
      </c>
      <c r="AZ766" s="2">
        <v>7.3</v>
      </c>
      <c r="BA766" s="2">
        <v>0.9</v>
      </c>
      <c r="BB766" s="2">
        <v>7.5</v>
      </c>
      <c r="BC766" s="2">
        <v>2.9</v>
      </c>
      <c r="BD766" s="2">
        <f>+AN766*EXP(-0.0495*Y766)</f>
        <v>5.5661250764835515</v>
      </c>
      <c r="BE766" s="2">
        <f>+AO766*EXP(-0.024*Y766)</f>
        <v>18.058954968365633</v>
      </c>
    </row>
    <row r="767" spans="1:57" x14ac:dyDescent="0.2">
      <c r="A767" s="2" t="s">
        <v>2827</v>
      </c>
      <c r="B767" s="2" t="s">
        <v>19</v>
      </c>
      <c r="C767" s="2" t="s">
        <v>1907</v>
      </c>
      <c r="D767" s="2" t="s">
        <v>21</v>
      </c>
      <c r="E767" s="2" t="s">
        <v>2011</v>
      </c>
      <c r="F767" s="2">
        <v>1</v>
      </c>
      <c r="G767" s="2">
        <v>272</v>
      </c>
      <c r="H767" s="2">
        <v>3</v>
      </c>
      <c r="I767" s="2">
        <v>3</v>
      </c>
      <c r="J767" s="2">
        <v>2</v>
      </c>
      <c r="K767" s="2" t="s">
        <v>61</v>
      </c>
      <c r="L767" s="6" t="s">
        <v>113</v>
      </c>
      <c r="M767" s="5">
        <v>1350000000</v>
      </c>
      <c r="N767" s="2">
        <v>0</v>
      </c>
      <c r="O767" s="2">
        <v>4.6309648000000001</v>
      </c>
      <c r="P767" s="2">
        <v>-74.071185700000001</v>
      </c>
      <c r="Q767" s="2" t="s">
        <v>2828</v>
      </c>
      <c r="R767" s="2">
        <v>4963235.2939999998</v>
      </c>
      <c r="S767" s="2">
        <v>0</v>
      </c>
      <c r="T767" s="2" t="s">
        <v>77</v>
      </c>
      <c r="U767" s="2" t="s">
        <v>78</v>
      </c>
      <c r="V767" s="2" t="s">
        <v>28</v>
      </c>
      <c r="W767" s="2" t="s">
        <v>79</v>
      </c>
      <c r="X767" s="2" t="s">
        <v>80</v>
      </c>
      <c r="Y767" s="2">
        <v>0.76789584276135003</v>
      </c>
      <c r="Z767" s="2">
        <v>4.6254861111111101</v>
      </c>
      <c r="AA767" s="2">
        <v>-74.066980555555503</v>
      </c>
      <c r="AB767" s="2">
        <v>2621</v>
      </c>
      <c r="AC767" s="2" t="s">
        <v>31</v>
      </c>
      <c r="AD767" s="2" t="s">
        <v>32</v>
      </c>
      <c r="AE767" s="2" t="s">
        <v>33</v>
      </c>
      <c r="AF767" s="2" t="s">
        <v>34</v>
      </c>
      <c r="AG767" s="2" t="s">
        <v>35</v>
      </c>
      <c r="AH767" s="2">
        <v>0.37064557378310398</v>
      </c>
      <c r="AI767" s="2">
        <v>1.1565873894166501</v>
      </c>
      <c r="AJ767" s="2">
        <v>0.24682333612585899</v>
      </c>
      <c r="AK767" s="2">
        <v>0.18941328806676999</v>
      </c>
      <c r="AL767" s="2">
        <v>4.1561209041425601E-2</v>
      </c>
      <c r="AN767" s="2">
        <v>6.8</v>
      </c>
      <c r="AO767" s="2">
        <v>19.899999999999999</v>
      </c>
      <c r="AP767" s="2">
        <v>564</v>
      </c>
      <c r="AQ767" s="2">
        <v>68</v>
      </c>
      <c r="AR767" s="2">
        <v>1.5</v>
      </c>
      <c r="AS767" s="2">
        <v>135</v>
      </c>
      <c r="AT767" s="2">
        <v>0.8</v>
      </c>
      <c r="AU767" s="2">
        <v>162</v>
      </c>
      <c r="AV767" s="2">
        <v>9.1</v>
      </c>
      <c r="AW767" s="2">
        <v>9.1999999999999993</v>
      </c>
      <c r="AX767" s="2">
        <v>18.3</v>
      </c>
      <c r="AY767" s="2">
        <v>0.34</v>
      </c>
      <c r="AZ767" s="2">
        <v>7.3</v>
      </c>
      <c r="BA767" s="2">
        <v>0.9</v>
      </c>
      <c r="BB767" s="2">
        <v>7.5</v>
      </c>
      <c r="BC767" s="2">
        <v>2.9</v>
      </c>
      <c r="BD767" s="2">
        <f>+AN767*EXP(-0.0495*Y767)</f>
        <v>6.5463770073444563</v>
      </c>
      <c r="BE767" s="2">
        <f>+AO767*EXP(-0.024*Y767)</f>
        <v>19.536611762535841</v>
      </c>
    </row>
    <row r="768" spans="1:57" x14ac:dyDescent="0.2">
      <c r="A768" s="2" t="s">
        <v>2189</v>
      </c>
      <c r="B768" s="2" t="s">
        <v>19</v>
      </c>
      <c r="C768" s="2" t="s">
        <v>1907</v>
      </c>
      <c r="D768" s="2" t="s">
        <v>21</v>
      </c>
      <c r="E768" s="2" t="s">
        <v>483</v>
      </c>
      <c r="F768" s="2">
        <v>6</v>
      </c>
      <c r="G768" s="2">
        <v>268</v>
      </c>
      <c r="H768" s="2">
        <v>4</v>
      </c>
      <c r="I768" s="2">
        <v>5</v>
      </c>
      <c r="J768" s="2">
        <v>3</v>
      </c>
      <c r="K768" s="2" t="s">
        <v>61</v>
      </c>
      <c r="L768" s="6" t="s">
        <v>113</v>
      </c>
      <c r="M768" s="5">
        <v>1950000000</v>
      </c>
      <c r="N768" s="2">
        <v>0</v>
      </c>
      <c r="O768" s="2">
        <v>4.6094900000000001</v>
      </c>
      <c r="P768" s="2">
        <v>-74.208799999999997</v>
      </c>
      <c r="Q768" s="2" t="s">
        <v>2190</v>
      </c>
      <c r="R768" s="2">
        <v>7276119.4029999999</v>
      </c>
      <c r="S768" s="2">
        <v>0</v>
      </c>
      <c r="T768" s="2" t="s">
        <v>316</v>
      </c>
      <c r="U768" s="2" t="s">
        <v>317</v>
      </c>
      <c r="V768" s="2" t="s">
        <v>28</v>
      </c>
      <c r="W768" s="2" t="s">
        <v>316</v>
      </c>
      <c r="X768" s="2" t="s">
        <v>318</v>
      </c>
      <c r="Y768" s="2">
        <v>0.68087388489751399</v>
      </c>
      <c r="Z768" s="2">
        <v>4.6056111111111102</v>
      </c>
      <c r="AA768" s="2">
        <v>-74.204055555555598</v>
      </c>
      <c r="AB768" s="2">
        <v>2546</v>
      </c>
      <c r="AC768" s="2" t="s">
        <v>31</v>
      </c>
      <c r="AD768" s="2" t="s">
        <v>58</v>
      </c>
      <c r="AE768" s="2" t="s">
        <v>33</v>
      </c>
      <c r="AF768" s="2" t="s">
        <v>34</v>
      </c>
      <c r="AG768" s="2" t="s">
        <v>319</v>
      </c>
      <c r="AH768" s="2">
        <v>2.4910218444818302</v>
      </c>
      <c r="AI768" s="2">
        <v>2.0687894235864301</v>
      </c>
      <c r="AJ768" s="2">
        <v>7.9772763041865602</v>
      </c>
      <c r="AK768" s="2">
        <v>0.84181901887227595</v>
      </c>
      <c r="AL768" s="2">
        <v>8.5922700937997504E-2</v>
      </c>
      <c r="AN768" s="2">
        <v>6.8</v>
      </c>
      <c r="AO768" s="2">
        <v>19.899999999999999</v>
      </c>
      <c r="AP768" s="2">
        <v>564</v>
      </c>
      <c r="AQ768" s="2">
        <v>68</v>
      </c>
      <c r="AR768" s="2">
        <v>1.5</v>
      </c>
      <c r="AS768" s="2">
        <v>135</v>
      </c>
      <c r="AT768" s="2">
        <v>0.8</v>
      </c>
      <c r="AU768" s="2">
        <v>162</v>
      </c>
      <c r="AV768" s="2">
        <v>9.1</v>
      </c>
      <c r="AW768" s="2">
        <v>9.1999999999999993</v>
      </c>
      <c r="AX768" s="2">
        <v>18.3</v>
      </c>
      <c r="AY768" s="2">
        <v>0.34</v>
      </c>
      <c r="AZ768" s="2">
        <v>7.3</v>
      </c>
      <c r="BA768" s="2">
        <v>0.9</v>
      </c>
      <c r="BB768" s="2">
        <v>7.5</v>
      </c>
      <c r="BC768" s="2">
        <v>2.9</v>
      </c>
      <c r="BD768" s="2">
        <f>+AN768*EXP(-0.0495*Y768)</f>
        <v>6.5746369175892987</v>
      </c>
      <c r="BE768" s="2">
        <f>+AO768*EXP(-0.024*Y768)</f>
        <v>19.577457141961819</v>
      </c>
    </row>
    <row r="769" spans="1:57" x14ac:dyDescent="0.2">
      <c r="A769" s="2" t="s">
        <v>832</v>
      </c>
      <c r="B769" s="2" t="s">
        <v>19</v>
      </c>
      <c r="C769" s="2" t="s">
        <v>20</v>
      </c>
      <c r="D769" s="2" t="s">
        <v>21</v>
      </c>
      <c r="E769" s="2" t="s">
        <v>261</v>
      </c>
      <c r="F769" s="2">
        <v>6</v>
      </c>
      <c r="G769" s="2">
        <v>265</v>
      </c>
      <c r="H769" s="2">
        <v>3</v>
      </c>
      <c r="I769" s="2">
        <v>4</v>
      </c>
      <c r="J769" s="2">
        <v>2</v>
      </c>
      <c r="K769" s="2" t="s">
        <v>61</v>
      </c>
      <c r="L769" s="6" t="s">
        <v>113</v>
      </c>
      <c r="M769" s="5">
        <v>1650000000</v>
      </c>
      <c r="N769" s="2">
        <v>0</v>
      </c>
      <c r="O769" s="2">
        <v>4.6542681359999998</v>
      </c>
      <c r="P769" s="2">
        <v>-74.050933409999999</v>
      </c>
      <c r="Q769" s="2" t="s">
        <v>833</v>
      </c>
      <c r="R769" s="2">
        <v>6226415.0939999996</v>
      </c>
      <c r="S769" s="2">
        <v>0</v>
      </c>
      <c r="T769" s="2" t="s">
        <v>77</v>
      </c>
      <c r="U769" s="2" t="s">
        <v>78</v>
      </c>
      <c r="V769" s="2" t="s">
        <v>28</v>
      </c>
      <c r="W769" s="2" t="s">
        <v>79</v>
      </c>
      <c r="X769" s="2" t="s">
        <v>80</v>
      </c>
      <c r="Y769" s="2">
        <v>3.6654903189414698</v>
      </c>
      <c r="Z769" s="2">
        <v>4.6254861111111101</v>
      </c>
      <c r="AA769" s="2">
        <v>-74.066980555555503</v>
      </c>
      <c r="AB769" s="2">
        <v>2621</v>
      </c>
      <c r="AC769" s="2" t="s">
        <v>31</v>
      </c>
      <c r="AD769" s="2" t="s">
        <v>32</v>
      </c>
      <c r="AE769" s="2" t="s">
        <v>33</v>
      </c>
      <c r="AF769" s="2" t="s">
        <v>34</v>
      </c>
      <c r="AG769" s="2" t="s">
        <v>81</v>
      </c>
      <c r="AH769" s="2">
        <v>1.31025322615858</v>
      </c>
      <c r="AI769" s="2">
        <v>0.27130790315109998</v>
      </c>
      <c r="AJ769" s="2">
        <v>0.82954772617240302</v>
      </c>
      <c r="AK769" s="2">
        <v>0.37836106507894002</v>
      </c>
      <c r="AL769" s="2">
        <v>0.210276566885197</v>
      </c>
      <c r="AN769" s="2">
        <v>6.8</v>
      </c>
      <c r="AO769" s="2">
        <v>19.899999999999999</v>
      </c>
      <c r="AP769" s="2">
        <v>564</v>
      </c>
      <c r="AQ769" s="2">
        <v>68</v>
      </c>
      <c r="AR769" s="2">
        <v>1.5</v>
      </c>
      <c r="AS769" s="2">
        <v>135</v>
      </c>
      <c r="AT769" s="2">
        <v>0.8</v>
      </c>
      <c r="AU769" s="2">
        <v>162</v>
      </c>
      <c r="AV769" s="2">
        <v>9.1</v>
      </c>
      <c r="AW769" s="2">
        <v>9.1999999999999993</v>
      </c>
      <c r="AX769" s="2">
        <v>18.3</v>
      </c>
      <c r="AY769" s="2">
        <v>0.34</v>
      </c>
      <c r="AZ769" s="2">
        <v>7.3</v>
      </c>
      <c r="BA769" s="2">
        <v>0.9</v>
      </c>
      <c r="BB769" s="2">
        <v>7.5</v>
      </c>
      <c r="BC769" s="2">
        <v>2.9</v>
      </c>
      <c r="BD769" s="2">
        <f>+AN769*EXP(-0.0495*Y769)</f>
        <v>5.6716543144122928</v>
      </c>
      <c r="BE769" s="2">
        <f>+AO769*EXP(-0.024*Y769)</f>
        <v>18.22415595019682</v>
      </c>
    </row>
    <row r="770" spans="1:57" x14ac:dyDescent="0.2">
      <c r="A770" s="2" t="s">
        <v>713</v>
      </c>
      <c r="B770" s="2" t="s">
        <v>19</v>
      </c>
      <c r="C770" s="2" t="s">
        <v>20</v>
      </c>
      <c r="D770" s="2" t="s">
        <v>21</v>
      </c>
      <c r="E770" s="2" t="s">
        <v>714</v>
      </c>
      <c r="F770" s="2">
        <v>5</v>
      </c>
      <c r="G770" s="2">
        <v>263</v>
      </c>
      <c r="H770" s="2">
        <v>3</v>
      </c>
      <c r="I770" s="2">
        <v>4</v>
      </c>
      <c r="J770" s="2">
        <v>3</v>
      </c>
      <c r="K770" s="2" t="s">
        <v>61</v>
      </c>
      <c r="L770" s="6" t="s">
        <v>113</v>
      </c>
      <c r="M770" s="5">
        <v>1700000000</v>
      </c>
      <c r="N770" s="2">
        <v>0</v>
      </c>
      <c r="O770" s="2">
        <v>4.6497926710000002</v>
      </c>
      <c r="P770" s="2">
        <v>-74.052772520000005</v>
      </c>
      <c r="Q770" s="2" t="s">
        <v>715</v>
      </c>
      <c r="R770" s="2">
        <v>6463878.3269999996</v>
      </c>
      <c r="S770" s="2">
        <v>0</v>
      </c>
      <c r="T770" s="2" t="s">
        <v>77</v>
      </c>
      <c r="U770" s="2" t="s">
        <v>78</v>
      </c>
      <c r="V770" s="2" t="s">
        <v>28</v>
      </c>
      <c r="W770" s="2" t="s">
        <v>79</v>
      </c>
      <c r="X770" s="2" t="s">
        <v>80</v>
      </c>
      <c r="Y770" s="2">
        <v>3.1315370747671398</v>
      </c>
      <c r="Z770" s="2">
        <v>4.6254861111111101</v>
      </c>
      <c r="AA770" s="2">
        <v>-74.066980555555503</v>
      </c>
      <c r="AB770" s="2">
        <v>2621</v>
      </c>
      <c r="AC770" s="2" t="s">
        <v>31</v>
      </c>
      <c r="AD770" s="2" t="s">
        <v>32</v>
      </c>
      <c r="AE770" s="2" t="s">
        <v>33</v>
      </c>
      <c r="AF770" s="2" t="s">
        <v>34</v>
      </c>
      <c r="AG770" s="2" t="s">
        <v>81</v>
      </c>
      <c r="AH770" s="2">
        <v>1.2678222533185599</v>
      </c>
      <c r="AI770" s="2">
        <v>0.2214996466135</v>
      </c>
      <c r="AJ770" s="2">
        <v>0.49463506242262001</v>
      </c>
      <c r="AK770" s="2">
        <v>0.417614105541386</v>
      </c>
      <c r="AL770" s="2">
        <v>0.29281832027937399</v>
      </c>
      <c r="AN770" s="2">
        <v>6.8</v>
      </c>
      <c r="AO770" s="2">
        <v>19.899999999999999</v>
      </c>
      <c r="AP770" s="2">
        <v>564</v>
      </c>
      <c r="AQ770" s="2">
        <v>68</v>
      </c>
      <c r="AR770" s="2">
        <v>1.5</v>
      </c>
      <c r="AS770" s="2">
        <v>135</v>
      </c>
      <c r="AT770" s="2">
        <v>0.8</v>
      </c>
      <c r="AU770" s="2">
        <v>162</v>
      </c>
      <c r="AV770" s="2">
        <v>9.1</v>
      </c>
      <c r="AW770" s="2">
        <v>9.1999999999999993</v>
      </c>
      <c r="AX770" s="2">
        <v>18.3</v>
      </c>
      <c r="AY770" s="2">
        <v>0.34</v>
      </c>
      <c r="AZ770" s="2">
        <v>7.3</v>
      </c>
      <c r="BA770" s="2">
        <v>0.9</v>
      </c>
      <c r="BB770" s="2">
        <v>7.5</v>
      </c>
      <c r="BC770" s="2">
        <v>2.9</v>
      </c>
      <c r="BD770" s="2">
        <f>+AN770*EXP(-0.0495*Y770)</f>
        <v>5.8235586512127373</v>
      </c>
      <c r="BE770" s="2">
        <f>+AO770*EXP(-0.024*Y770)</f>
        <v>18.45919909079484</v>
      </c>
    </row>
    <row r="771" spans="1:57" x14ac:dyDescent="0.2">
      <c r="A771" s="2" t="s">
        <v>2462</v>
      </c>
      <c r="B771" s="2" t="s">
        <v>19</v>
      </c>
      <c r="C771" s="2" t="s">
        <v>1907</v>
      </c>
      <c r="D771" s="2" t="s">
        <v>21</v>
      </c>
      <c r="E771" s="2" t="s">
        <v>2463</v>
      </c>
      <c r="F771" s="2">
        <v>3</v>
      </c>
      <c r="G771" s="2">
        <v>261</v>
      </c>
      <c r="H771" s="2">
        <v>5</v>
      </c>
      <c r="I771" s="2">
        <v>4</v>
      </c>
      <c r="J771" s="2">
        <v>2</v>
      </c>
      <c r="K771" s="2" t="s">
        <v>61</v>
      </c>
      <c r="L771" s="6" t="s">
        <v>75</v>
      </c>
      <c r="M771" s="5">
        <v>749000000</v>
      </c>
      <c r="N771" s="2">
        <v>0</v>
      </c>
      <c r="O771" s="2">
        <v>4.7071228029999999</v>
      </c>
      <c r="P771" s="2">
        <v>-74.125366209999996</v>
      </c>
      <c r="Q771" s="2" t="s">
        <v>2464</v>
      </c>
      <c r="R771" s="2">
        <v>2869731.801</v>
      </c>
      <c r="S771" s="2">
        <v>0</v>
      </c>
      <c r="T771" s="2" t="s">
        <v>370</v>
      </c>
      <c r="U771" s="2" t="s">
        <v>371</v>
      </c>
      <c r="V771" s="2" t="s">
        <v>28</v>
      </c>
      <c r="W771" s="2" t="s">
        <v>29</v>
      </c>
      <c r="X771" s="2" t="s">
        <v>372</v>
      </c>
      <c r="Y771" s="2">
        <v>3.1934759134634798</v>
      </c>
      <c r="Z771" s="2">
        <v>4.7358055555555598</v>
      </c>
      <c r="AA771" s="2">
        <v>-74.125888888888895</v>
      </c>
      <c r="AB771" s="2">
        <v>2574</v>
      </c>
      <c r="AC771" s="2" t="s">
        <v>105</v>
      </c>
      <c r="AD771" s="2" t="s">
        <v>58</v>
      </c>
      <c r="AE771" s="2" t="s">
        <v>33</v>
      </c>
      <c r="AF771" s="2" t="s">
        <v>34</v>
      </c>
      <c r="AG771" s="2" t="s">
        <v>363</v>
      </c>
      <c r="AH771" s="2">
        <v>1.6745832928066899</v>
      </c>
      <c r="AI771" s="2">
        <v>1.86808772316414</v>
      </c>
      <c r="AJ771" s="2">
        <v>2.5216653843549302</v>
      </c>
      <c r="AK771" s="2">
        <v>0.17310860634471401</v>
      </c>
      <c r="AL771" s="2">
        <v>0.196248719622275</v>
      </c>
      <c r="AN771" s="2">
        <v>6.8</v>
      </c>
      <c r="AO771" s="2">
        <v>19.899999999999999</v>
      </c>
      <c r="AP771" s="2">
        <v>564</v>
      </c>
      <c r="AQ771" s="2">
        <v>68</v>
      </c>
      <c r="AR771" s="2">
        <v>1.5</v>
      </c>
      <c r="AS771" s="2">
        <v>135</v>
      </c>
      <c r="AT771" s="2">
        <v>0.8</v>
      </c>
      <c r="AU771" s="2">
        <v>162</v>
      </c>
      <c r="AV771" s="2">
        <v>9.1</v>
      </c>
      <c r="AW771" s="2">
        <v>9.1999999999999993</v>
      </c>
      <c r="AX771" s="2">
        <v>18.3</v>
      </c>
      <c r="AY771" s="2">
        <v>0.34</v>
      </c>
      <c r="AZ771" s="2">
        <v>7.3</v>
      </c>
      <c r="BA771" s="2">
        <v>0.9</v>
      </c>
      <c r="BB771" s="2">
        <v>7.5</v>
      </c>
      <c r="BC771" s="2">
        <v>2.9</v>
      </c>
      <c r="BD771" s="2">
        <f>+AN771*EXP(-0.0495*Y771)</f>
        <v>5.8057311237656561</v>
      </c>
      <c r="BE771" s="2">
        <f>+AO771*EXP(-0.024*Y771)</f>
        <v>18.431779283537615</v>
      </c>
    </row>
    <row r="772" spans="1:57" x14ac:dyDescent="0.2">
      <c r="A772" s="2" t="s">
        <v>399</v>
      </c>
      <c r="B772" s="2" t="s">
        <v>19</v>
      </c>
      <c r="C772" s="2" t="s">
        <v>20</v>
      </c>
      <c r="D772" s="2" t="s">
        <v>21</v>
      </c>
      <c r="E772" s="2" t="s">
        <v>261</v>
      </c>
      <c r="F772" s="2">
        <v>6</v>
      </c>
      <c r="G772" s="2">
        <v>260</v>
      </c>
      <c r="H772" s="2">
        <v>3</v>
      </c>
      <c r="I772" s="2">
        <v>4</v>
      </c>
      <c r="J772" s="2">
        <v>4</v>
      </c>
      <c r="K772" s="2" t="s">
        <v>61</v>
      </c>
      <c r="L772" s="6" t="s">
        <v>75</v>
      </c>
      <c r="M772" s="5">
        <v>3400000000</v>
      </c>
      <c r="N772" s="2">
        <v>0</v>
      </c>
      <c r="O772" s="2">
        <v>4.6592283249999999</v>
      </c>
      <c r="P772" s="2">
        <v>-74.047988889999999</v>
      </c>
      <c r="Q772" s="2" t="s">
        <v>400</v>
      </c>
      <c r="R772" s="2">
        <v>13076923.08</v>
      </c>
      <c r="S772" s="2">
        <v>0</v>
      </c>
      <c r="T772" s="2" t="s">
        <v>26</v>
      </c>
      <c r="U772" s="2" t="s">
        <v>27</v>
      </c>
      <c r="V772" s="2" t="s">
        <v>28</v>
      </c>
      <c r="W772" s="2" t="s">
        <v>29</v>
      </c>
      <c r="X772" s="2" t="s">
        <v>30</v>
      </c>
      <c r="Y772" s="2">
        <v>3.9926954520762301</v>
      </c>
      <c r="Z772" s="2">
        <v>4.6584666666666701</v>
      </c>
      <c r="AA772" s="2">
        <v>-74.083966666666697</v>
      </c>
      <c r="AB772" s="2">
        <v>2552</v>
      </c>
      <c r="AC772" s="2" t="s">
        <v>31</v>
      </c>
      <c r="AD772" s="2" t="s">
        <v>32</v>
      </c>
      <c r="AE772" s="2" t="s">
        <v>33</v>
      </c>
      <c r="AF772" s="2" t="s">
        <v>34</v>
      </c>
      <c r="AG772" s="2" t="s">
        <v>81</v>
      </c>
      <c r="AH772" s="2">
        <v>1.5304681678713901</v>
      </c>
      <c r="AI772" s="2">
        <v>0.12054709165694</v>
      </c>
      <c r="AJ772" s="2">
        <v>0.87650108513560798</v>
      </c>
      <c r="AK772" s="2">
        <v>0.41883419844837899</v>
      </c>
      <c r="AL772" s="2">
        <v>0.34298976039416801</v>
      </c>
      <c r="AN772" s="2">
        <v>6.8</v>
      </c>
      <c r="AO772" s="2">
        <v>19.899999999999999</v>
      </c>
      <c r="AP772" s="2">
        <v>564</v>
      </c>
      <c r="AQ772" s="2">
        <v>68</v>
      </c>
      <c r="AR772" s="2">
        <v>1.5</v>
      </c>
      <c r="AS772" s="2">
        <v>135</v>
      </c>
      <c r="AT772" s="2">
        <v>0.8</v>
      </c>
      <c r="AU772" s="2">
        <v>162</v>
      </c>
      <c r="AV772" s="2">
        <v>9.1</v>
      </c>
      <c r="AW772" s="2">
        <v>9.1999999999999993</v>
      </c>
      <c r="AX772" s="2">
        <v>18.3</v>
      </c>
      <c r="AY772" s="2">
        <v>0.34</v>
      </c>
      <c r="AZ772" s="2">
        <v>7.3</v>
      </c>
      <c r="BA772" s="2">
        <v>0.9</v>
      </c>
      <c r="BB772" s="2">
        <v>7.5</v>
      </c>
      <c r="BC772" s="2">
        <v>2.9</v>
      </c>
      <c r="BD772" s="2">
        <f>+AN772*EXP(-0.0495*Y772)</f>
        <v>5.5805324182826128</v>
      </c>
      <c r="BE772" s="2">
        <f>+AO772*EXP(-0.024*Y772)</f>
        <v>18.081603512475322</v>
      </c>
    </row>
    <row r="773" spans="1:57" x14ac:dyDescent="0.2">
      <c r="A773" s="2" t="s">
        <v>3204</v>
      </c>
      <c r="B773" s="2" t="s">
        <v>19</v>
      </c>
      <c r="C773" s="2" t="s">
        <v>1907</v>
      </c>
      <c r="D773" s="2" t="s">
        <v>21</v>
      </c>
      <c r="E773" s="2" t="s">
        <v>2472</v>
      </c>
      <c r="F773" s="2">
        <v>4</v>
      </c>
      <c r="G773" s="2">
        <v>258</v>
      </c>
      <c r="H773" s="2">
        <v>4</v>
      </c>
      <c r="I773" s="2">
        <v>4</v>
      </c>
      <c r="J773" s="2">
        <v>2</v>
      </c>
      <c r="K773" s="2" t="s">
        <v>61</v>
      </c>
      <c r="L773" s="6" t="s">
        <v>113</v>
      </c>
      <c r="M773" s="5">
        <v>890000000</v>
      </c>
      <c r="N773" s="2">
        <v>0</v>
      </c>
      <c r="O773" s="2">
        <v>4.6758365629999998</v>
      </c>
      <c r="P773" s="2">
        <v>-74.061775209999993</v>
      </c>
      <c r="Q773" s="2" t="s">
        <v>3205</v>
      </c>
      <c r="R773" s="2">
        <v>3449612.4029999999</v>
      </c>
      <c r="S773" s="2">
        <v>0</v>
      </c>
      <c r="T773" s="2" t="s">
        <v>26</v>
      </c>
      <c r="U773" s="2" t="s">
        <v>27</v>
      </c>
      <c r="V773" s="2" t="s">
        <v>28</v>
      </c>
      <c r="W773" s="2" t="s">
        <v>29</v>
      </c>
      <c r="X773" s="2" t="s">
        <v>30</v>
      </c>
      <c r="Y773" s="2">
        <v>3.1306588717544299</v>
      </c>
      <c r="Z773" s="2">
        <v>4.6584666666666701</v>
      </c>
      <c r="AA773" s="2">
        <v>-74.083966666666697</v>
      </c>
      <c r="AB773" s="2">
        <v>2552</v>
      </c>
      <c r="AC773" s="2" t="s">
        <v>31</v>
      </c>
      <c r="AD773" s="2" t="s">
        <v>32</v>
      </c>
      <c r="AE773" s="2" t="s">
        <v>33</v>
      </c>
      <c r="AF773" s="2" t="s">
        <v>34</v>
      </c>
      <c r="AG773" s="2" t="s">
        <v>293</v>
      </c>
      <c r="AH773" s="2">
        <v>0.29687512530392202</v>
      </c>
      <c r="AI773" s="2">
        <v>2.2168401283977102</v>
      </c>
      <c r="AJ773" s="2">
        <v>0.366015917324859</v>
      </c>
      <c r="AK773" s="2">
        <v>4.84860540985219E-2</v>
      </c>
      <c r="AL773" s="2">
        <v>0.54544594023160797</v>
      </c>
      <c r="AN773" s="2">
        <v>6.8</v>
      </c>
      <c r="AO773" s="2">
        <v>19.899999999999999</v>
      </c>
      <c r="AP773" s="2">
        <v>564</v>
      </c>
      <c r="AQ773" s="2">
        <v>68</v>
      </c>
      <c r="AR773" s="2">
        <v>1.5</v>
      </c>
      <c r="AS773" s="2">
        <v>135</v>
      </c>
      <c r="AT773" s="2">
        <v>0.8</v>
      </c>
      <c r="AU773" s="2">
        <v>162</v>
      </c>
      <c r="AV773" s="2">
        <v>9.1</v>
      </c>
      <c r="AW773" s="2">
        <v>9.1999999999999993</v>
      </c>
      <c r="AX773" s="2">
        <v>18.3</v>
      </c>
      <c r="AY773" s="2">
        <v>0.34</v>
      </c>
      <c r="AZ773" s="2">
        <v>7.3</v>
      </c>
      <c r="BA773" s="2">
        <v>0.9</v>
      </c>
      <c r="BB773" s="2">
        <v>7.5</v>
      </c>
      <c r="BC773" s="2">
        <v>2.9</v>
      </c>
      <c r="BD773" s="2">
        <f>+AN773*EXP(-0.0495*Y773)</f>
        <v>5.8238118129195326</v>
      </c>
      <c r="BE773" s="2">
        <f>+AO773*EXP(-0.024*Y773)</f>
        <v>18.459588157077068</v>
      </c>
    </row>
    <row r="774" spans="1:57" x14ac:dyDescent="0.2">
      <c r="A774" s="2" t="s">
        <v>1825</v>
      </c>
      <c r="B774" s="2" t="s">
        <v>19</v>
      </c>
      <c r="C774" s="2" t="s">
        <v>20</v>
      </c>
      <c r="D774" s="2" t="s">
        <v>21</v>
      </c>
      <c r="E774" s="2" t="s">
        <v>571</v>
      </c>
      <c r="F774" s="2">
        <v>6</v>
      </c>
      <c r="G774" s="2">
        <v>257.60000000000002</v>
      </c>
      <c r="H774" s="2">
        <v>3</v>
      </c>
      <c r="I774" s="2">
        <v>5</v>
      </c>
      <c r="J774" s="2">
        <v>4</v>
      </c>
      <c r="K774" s="2" t="s">
        <v>61</v>
      </c>
      <c r="L774" s="6" t="s">
        <v>75</v>
      </c>
      <c r="M774" s="5">
        <v>3600000000</v>
      </c>
      <c r="N774" s="2">
        <v>0</v>
      </c>
      <c r="O774" s="2">
        <v>4.6694100000000001</v>
      </c>
      <c r="P774" s="2">
        <v>-74.052459999999996</v>
      </c>
      <c r="Q774" s="2" t="s">
        <v>1826</v>
      </c>
      <c r="R774" s="2">
        <v>13975155.279999999</v>
      </c>
      <c r="S774" s="2">
        <v>0</v>
      </c>
      <c r="T774" s="2" t="s">
        <v>26</v>
      </c>
      <c r="U774" s="2" t="s">
        <v>27</v>
      </c>
      <c r="V774" s="2" t="s">
        <v>28</v>
      </c>
      <c r="W774" s="2" t="s">
        <v>29</v>
      </c>
      <c r="X774" s="2" t="s">
        <v>30</v>
      </c>
      <c r="Y774" s="2">
        <v>3.7018769590631502</v>
      </c>
      <c r="Z774" s="2">
        <v>4.6584666666666701</v>
      </c>
      <c r="AA774" s="2">
        <v>-74.083966666666697</v>
      </c>
      <c r="AB774" s="2">
        <v>2552</v>
      </c>
      <c r="AC774" s="2" t="s">
        <v>31</v>
      </c>
      <c r="AD774" s="2" t="s">
        <v>32</v>
      </c>
      <c r="AE774" s="2" t="s">
        <v>33</v>
      </c>
      <c r="AF774" s="2" t="s">
        <v>34</v>
      </c>
      <c r="AG774" s="2" t="s">
        <v>81</v>
      </c>
      <c r="AH774" s="2">
        <v>0.85870847552797602</v>
      </c>
      <c r="AI774" s="2">
        <v>0.96358922748178299</v>
      </c>
      <c r="AJ774" s="2">
        <v>0.52508988664315703</v>
      </c>
      <c r="AK774" s="2">
        <v>0.15696810859201299</v>
      </c>
      <c r="AL774" s="2">
        <v>0.48602775236005902</v>
      </c>
      <c r="AN774" s="2">
        <v>6.8</v>
      </c>
      <c r="AO774" s="2">
        <v>19.899999999999999</v>
      </c>
      <c r="AP774" s="2">
        <v>564</v>
      </c>
      <c r="AQ774" s="2">
        <v>68</v>
      </c>
      <c r="AR774" s="2">
        <v>1.5</v>
      </c>
      <c r="AS774" s="2">
        <v>135</v>
      </c>
      <c r="AT774" s="2">
        <v>0.8</v>
      </c>
      <c r="AU774" s="2">
        <v>162</v>
      </c>
      <c r="AV774" s="2">
        <v>9.1</v>
      </c>
      <c r="AW774" s="2">
        <v>9.1999999999999993</v>
      </c>
      <c r="AX774" s="2">
        <v>18.3</v>
      </c>
      <c r="AY774" s="2">
        <v>0.34</v>
      </c>
      <c r="AZ774" s="2">
        <v>7.3</v>
      </c>
      <c r="BA774" s="2">
        <v>0.9</v>
      </c>
      <c r="BB774" s="2">
        <v>7.5</v>
      </c>
      <c r="BC774" s="2">
        <v>2.9</v>
      </c>
      <c r="BD774" s="2">
        <f>+AN774*EXP(-0.0495*Y774)</f>
        <v>5.6614480726005105</v>
      </c>
      <c r="BE774" s="2">
        <f>+AO774*EXP(-0.024*Y774)</f>
        <v>18.208248117900666</v>
      </c>
    </row>
    <row r="775" spans="1:57" x14ac:dyDescent="0.2">
      <c r="A775" s="2" t="s">
        <v>1439</v>
      </c>
      <c r="B775" s="2" t="s">
        <v>19</v>
      </c>
      <c r="C775" s="2" t="s">
        <v>20</v>
      </c>
      <c r="D775" s="2" t="s">
        <v>21</v>
      </c>
      <c r="E775" s="2" t="s">
        <v>183</v>
      </c>
      <c r="F775" s="2">
        <v>6</v>
      </c>
      <c r="G775" s="2">
        <v>256</v>
      </c>
      <c r="H775" s="2">
        <v>3</v>
      </c>
      <c r="I775" s="2">
        <v>5</v>
      </c>
      <c r="J775" s="2">
        <v>3</v>
      </c>
      <c r="K775" s="2" t="s">
        <v>61</v>
      </c>
      <c r="L775" s="6" t="s">
        <v>62</v>
      </c>
      <c r="M775" s="5">
        <v>3950000000</v>
      </c>
      <c r="N775" s="2">
        <v>0</v>
      </c>
      <c r="O775" s="2">
        <v>4.6649646760000003</v>
      </c>
      <c r="P775" s="2">
        <v>-74.048210139999995</v>
      </c>
      <c r="Q775" s="2" t="s">
        <v>1440</v>
      </c>
      <c r="R775" s="2">
        <v>15429687.5</v>
      </c>
      <c r="S775" s="2">
        <v>0</v>
      </c>
      <c r="T775" s="2" t="s">
        <v>26</v>
      </c>
      <c r="U775" s="2" t="s">
        <v>27</v>
      </c>
      <c r="V775" s="2" t="s">
        <v>28</v>
      </c>
      <c r="W775" s="2" t="s">
        <v>29</v>
      </c>
      <c r="X775" s="2" t="s">
        <v>30</v>
      </c>
      <c r="Y775" s="2">
        <v>4.0326372427528101</v>
      </c>
      <c r="Z775" s="2">
        <v>4.6584666666666701</v>
      </c>
      <c r="AA775" s="2">
        <v>-74.083966666666697</v>
      </c>
      <c r="AB775" s="2">
        <v>2552</v>
      </c>
      <c r="AC775" s="2" t="s">
        <v>31</v>
      </c>
      <c r="AD775" s="2" t="s">
        <v>32</v>
      </c>
      <c r="AE775" s="2" t="s">
        <v>33</v>
      </c>
      <c r="AF775" s="2" t="s">
        <v>34</v>
      </c>
      <c r="AG775" s="2" t="s">
        <v>81</v>
      </c>
      <c r="AH775" s="2">
        <v>1.38668289293206</v>
      </c>
      <c r="AI775" s="2">
        <v>0.33410349961545399</v>
      </c>
      <c r="AJ775" s="2">
        <v>0.60522198339228295</v>
      </c>
      <c r="AK775" s="2">
        <v>0.21604041132239199</v>
      </c>
      <c r="AL775" s="2">
        <v>0.18374740053524399</v>
      </c>
      <c r="AN775" s="2">
        <v>6.8</v>
      </c>
      <c r="AO775" s="2">
        <v>19.899999999999999</v>
      </c>
      <c r="AP775" s="2">
        <v>564</v>
      </c>
      <c r="AQ775" s="2">
        <v>68</v>
      </c>
      <c r="AR775" s="2">
        <v>1.5</v>
      </c>
      <c r="AS775" s="2">
        <v>135</v>
      </c>
      <c r="AT775" s="2">
        <v>0.8</v>
      </c>
      <c r="AU775" s="2">
        <v>162</v>
      </c>
      <c r="AV775" s="2">
        <v>9.1</v>
      </c>
      <c r="AW775" s="2">
        <v>9.1999999999999993</v>
      </c>
      <c r="AX775" s="2">
        <v>18.3</v>
      </c>
      <c r="AY775" s="2">
        <v>0.34</v>
      </c>
      <c r="AZ775" s="2">
        <v>7.3</v>
      </c>
      <c r="BA775" s="2">
        <v>0.9</v>
      </c>
      <c r="BB775" s="2">
        <v>7.5</v>
      </c>
      <c r="BC775" s="2">
        <v>2.9</v>
      </c>
      <c r="BD775" s="2">
        <f>+AN775*EXP(-0.0495*Y775)</f>
        <v>5.5695099435863753</v>
      </c>
      <c r="BE775" s="2">
        <f>+AO775*EXP(-0.024*Y775)</f>
        <v>18.064278738649659</v>
      </c>
    </row>
    <row r="776" spans="1:57" x14ac:dyDescent="0.2">
      <c r="A776" s="2" t="s">
        <v>2161</v>
      </c>
      <c r="B776" s="2" t="s">
        <v>19</v>
      </c>
      <c r="C776" s="2" t="s">
        <v>1907</v>
      </c>
      <c r="D776" s="2" t="s">
        <v>21</v>
      </c>
      <c r="E776" s="2" t="s">
        <v>2162</v>
      </c>
      <c r="F776" s="2">
        <v>3</v>
      </c>
      <c r="G776" s="2">
        <v>254</v>
      </c>
      <c r="H776" s="2">
        <v>4</v>
      </c>
      <c r="I776" s="2">
        <v>4</v>
      </c>
      <c r="J776" s="2">
        <v>2</v>
      </c>
      <c r="K776" s="2" t="s">
        <v>61</v>
      </c>
      <c r="L776" s="6" t="s">
        <v>113</v>
      </c>
      <c r="M776" s="5">
        <v>699000000</v>
      </c>
      <c r="N776" s="2">
        <v>0</v>
      </c>
      <c r="O776" s="2">
        <v>4.58866</v>
      </c>
      <c r="P776" s="2">
        <v>-74.128235000000004</v>
      </c>
      <c r="Q776" s="2" t="s">
        <v>2163</v>
      </c>
      <c r="R776" s="2">
        <v>2751968.5040000002</v>
      </c>
      <c r="S776" s="2">
        <v>0</v>
      </c>
      <c r="T776" s="2" t="s">
        <v>1794</v>
      </c>
      <c r="U776" s="2" t="s">
        <v>1795</v>
      </c>
      <c r="V776" s="2" t="s">
        <v>28</v>
      </c>
      <c r="W776" s="2" t="s">
        <v>1796</v>
      </c>
      <c r="X776" s="2" t="s">
        <v>1797</v>
      </c>
      <c r="Y776" s="2">
        <v>1.41679322789637</v>
      </c>
      <c r="Z776" s="2">
        <v>4.576225</v>
      </c>
      <c r="AA776" s="2">
        <v>-74.130955555555502</v>
      </c>
      <c r="AB776" s="2">
        <v>2589</v>
      </c>
      <c r="AC776" s="2" t="s">
        <v>31</v>
      </c>
      <c r="AD776" s="2" t="s">
        <v>58</v>
      </c>
      <c r="AE776" s="2" t="s">
        <v>33</v>
      </c>
      <c r="AF776" s="2" t="s">
        <v>34</v>
      </c>
      <c r="AG776" s="2" t="s">
        <v>1798</v>
      </c>
      <c r="AH776" s="2">
        <v>0.55972191034837404</v>
      </c>
      <c r="AI776" s="2">
        <v>5.3445427669679004</v>
      </c>
      <c r="AJ776" s="2">
        <v>0.435834093046292</v>
      </c>
      <c r="AK776" s="2">
        <v>0.30218821930971701</v>
      </c>
      <c r="AL776" s="2">
        <v>0.43714976131812</v>
      </c>
      <c r="AN776" s="2">
        <v>6.8</v>
      </c>
      <c r="AO776" s="2">
        <v>19.899999999999999</v>
      </c>
      <c r="AP776" s="2">
        <v>564</v>
      </c>
      <c r="AQ776" s="2">
        <v>68</v>
      </c>
      <c r="AR776" s="2">
        <v>1.5</v>
      </c>
      <c r="AS776" s="2">
        <v>135</v>
      </c>
      <c r="AT776" s="2">
        <v>0.8</v>
      </c>
      <c r="AU776" s="2">
        <v>162</v>
      </c>
      <c r="AV776" s="2">
        <v>9.1</v>
      </c>
      <c r="AW776" s="2">
        <v>9.1999999999999993</v>
      </c>
      <c r="AX776" s="2">
        <v>18.3</v>
      </c>
      <c r="AY776" s="2">
        <v>0.34</v>
      </c>
      <c r="AZ776" s="2">
        <v>7.3</v>
      </c>
      <c r="BA776" s="2">
        <v>0.9</v>
      </c>
      <c r="BB776" s="2">
        <v>7.5</v>
      </c>
      <c r="BC776" s="2">
        <v>2.9</v>
      </c>
      <c r="BD776" s="2">
        <f>+AN776*EXP(-0.0495*Y776)</f>
        <v>6.3394457747818631</v>
      </c>
      <c r="BE776" s="2">
        <f>+AO776*EXP(-0.024*Y776)</f>
        <v>19.234714517338716</v>
      </c>
    </row>
    <row r="777" spans="1:57" x14ac:dyDescent="0.2">
      <c r="A777" s="2" t="s">
        <v>182</v>
      </c>
      <c r="B777" s="2" t="s">
        <v>19</v>
      </c>
      <c r="C777" s="2" t="s">
        <v>20</v>
      </c>
      <c r="D777" s="2" t="s">
        <v>21</v>
      </c>
      <c r="E777" s="2" t="s">
        <v>183</v>
      </c>
      <c r="F777" s="2">
        <v>6</v>
      </c>
      <c r="G777" s="2">
        <v>253</v>
      </c>
      <c r="H777" s="2">
        <v>3</v>
      </c>
      <c r="I777" s="2">
        <v>5</v>
      </c>
      <c r="J777" s="2">
        <v>4</v>
      </c>
      <c r="K777" s="2" t="s">
        <v>61</v>
      </c>
      <c r="L777" s="6" t="s">
        <v>62</v>
      </c>
      <c r="M777" s="5">
        <v>3050000000</v>
      </c>
      <c r="N777" s="2">
        <v>0</v>
      </c>
      <c r="O777" s="2">
        <v>4.664369583</v>
      </c>
      <c r="P777" s="2">
        <v>-74.046936040000006</v>
      </c>
      <c r="Q777" s="2" t="s">
        <v>184</v>
      </c>
      <c r="R777" s="2">
        <v>12055335.970000001</v>
      </c>
      <c r="S777" s="2">
        <v>0</v>
      </c>
      <c r="T777" s="2" t="s">
        <v>26</v>
      </c>
      <c r="U777" s="2" t="s">
        <v>27</v>
      </c>
      <c r="V777" s="2" t="s">
        <v>28</v>
      </c>
      <c r="W777" s="2" t="s">
        <v>29</v>
      </c>
      <c r="X777" s="2" t="s">
        <v>30</v>
      </c>
      <c r="Y777" s="2">
        <v>4.1608112770928898</v>
      </c>
      <c r="Z777" s="2">
        <v>4.6584666666666701</v>
      </c>
      <c r="AA777" s="2">
        <v>-74.083966666666697</v>
      </c>
      <c r="AB777" s="2">
        <v>2552</v>
      </c>
      <c r="AC777" s="2" t="s">
        <v>31</v>
      </c>
      <c r="AD777" s="2" t="s">
        <v>32</v>
      </c>
      <c r="AE777" s="2" t="s">
        <v>33</v>
      </c>
      <c r="AF777" s="2" t="s">
        <v>34</v>
      </c>
      <c r="AG777" s="2" t="s">
        <v>81</v>
      </c>
      <c r="AH777" s="2">
        <v>1.54024708207446</v>
      </c>
      <c r="AI777" s="2">
        <v>0.18905164437387401</v>
      </c>
      <c r="AJ777" s="2">
        <v>0.74789701939490705</v>
      </c>
      <c r="AK777" s="2">
        <v>0.19248317560397801</v>
      </c>
      <c r="AL777" s="2">
        <v>0.33667479080063101</v>
      </c>
      <c r="AN777" s="2">
        <v>6.8</v>
      </c>
      <c r="AO777" s="2">
        <v>19.899999999999999</v>
      </c>
      <c r="AP777" s="2">
        <v>564</v>
      </c>
      <c r="AQ777" s="2">
        <v>68</v>
      </c>
      <c r="AR777" s="2">
        <v>1.5</v>
      </c>
      <c r="AS777" s="2">
        <v>135</v>
      </c>
      <c r="AT777" s="2">
        <v>0.8</v>
      </c>
      <c r="AU777" s="2">
        <v>162</v>
      </c>
      <c r="AV777" s="2">
        <v>9.1</v>
      </c>
      <c r="AW777" s="2">
        <v>9.1999999999999993</v>
      </c>
      <c r="AX777" s="2">
        <v>18.3</v>
      </c>
      <c r="AY777" s="2">
        <v>0.34</v>
      </c>
      <c r="AZ777" s="2">
        <v>7.3</v>
      </c>
      <c r="BA777" s="2">
        <v>0.9</v>
      </c>
      <c r="BB777" s="2">
        <v>7.5</v>
      </c>
      <c r="BC777" s="2">
        <v>2.9</v>
      </c>
      <c r="BD777" s="2">
        <f>+AN777*EXP(-0.0495*Y777)</f>
        <v>5.5342854101348085</v>
      </c>
      <c r="BE777" s="2">
        <f>+AO777*EXP(-0.024*Y777)</f>
        <v>18.008795205380959</v>
      </c>
    </row>
    <row r="778" spans="1:57" x14ac:dyDescent="0.2">
      <c r="A778" s="2" t="s">
        <v>1606</v>
      </c>
      <c r="B778" s="2" t="s">
        <v>19</v>
      </c>
      <c r="C778" s="2" t="s">
        <v>20</v>
      </c>
      <c r="D778" s="2" t="s">
        <v>21</v>
      </c>
      <c r="E778" s="2" t="s">
        <v>261</v>
      </c>
      <c r="F778" s="2">
        <v>6</v>
      </c>
      <c r="G778" s="2">
        <v>251</v>
      </c>
      <c r="H778" s="2">
        <v>4</v>
      </c>
      <c r="I778" s="2">
        <v>5</v>
      </c>
      <c r="J778" s="2">
        <v>2</v>
      </c>
      <c r="K778" s="2" t="s">
        <v>61</v>
      </c>
      <c r="L778" s="6" t="s">
        <v>113</v>
      </c>
      <c r="M778" s="5">
        <v>1800000000</v>
      </c>
      <c r="N778" s="2">
        <v>0</v>
      </c>
      <c r="O778" s="2">
        <v>4.6616960589999996</v>
      </c>
      <c r="P778" s="2">
        <v>-74.048561969999994</v>
      </c>
      <c r="Q778" s="2" t="s">
        <v>1607</v>
      </c>
      <c r="R778" s="2">
        <v>7171314.7410000004</v>
      </c>
      <c r="S778" s="2">
        <v>0</v>
      </c>
      <c r="T778" s="2" t="s">
        <v>26</v>
      </c>
      <c r="U778" s="2" t="s">
        <v>27</v>
      </c>
      <c r="V778" s="2" t="s">
        <v>28</v>
      </c>
      <c r="W778" s="2" t="s">
        <v>29</v>
      </c>
      <c r="X778" s="2" t="s">
        <v>30</v>
      </c>
      <c r="Y778" s="2">
        <v>3.94461948190972</v>
      </c>
      <c r="Z778" s="2">
        <v>4.6584666666666701</v>
      </c>
      <c r="AA778" s="2">
        <v>-74.083966666666697</v>
      </c>
      <c r="AB778" s="2">
        <v>2552</v>
      </c>
      <c r="AC778" s="2" t="s">
        <v>31</v>
      </c>
      <c r="AD778" s="2" t="s">
        <v>32</v>
      </c>
      <c r="AE778" s="2" t="s">
        <v>33</v>
      </c>
      <c r="AF778" s="2" t="s">
        <v>34</v>
      </c>
      <c r="AG778" s="2" t="s">
        <v>81</v>
      </c>
      <c r="AH778" s="2">
        <v>1.4158324563701601</v>
      </c>
      <c r="AI778" s="2">
        <v>0.282319157436424</v>
      </c>
      <c r="AJ778" s="2">
        <v>0.662697527268299</v>
      </c>
      <c r="AK778" s="2">
        <v>0.15751187724253901</v>
      </c>
      <c r="AL778" s="2">
        <v>0.38072058416916599</v>
      </c>
      <c r="AN778" s="2">
        <v>6.8</v>
      </c>
      <c r="AO778" s="2">
        <v>19.899999999999999</v>
      </c>
      <c r="AP778" s="2">
        <v>564</v>
      </c>
      <c r="AQ778" s="2">
        <v>68</v>
      </c>
      <c r="AR778" s="2">
        <v>1.5</v>
      </c>
      <c r="AS778" s="2">
        <v>135</v>
      </c>
      <c r="AT778" s="2">
        <v>0.8</v>
      </c>
      <c r="AU778" s="2">
        <v>162</v>
      </c>
      <c r="AV778" s="2">
        <v>9.1</v>
      </c>
      <c r="AW778" s="2">
        <v>9.1999999999999993</v>
      </c>
      <c r="AX778" s="2">
        <v>18.3</v>
      </c>
      <c r="AY778" s="2">
        <v>0.34</v>
      </c>
      <c r="AZ778" s="2">
        <v>7.3</v>
      </c>
      <c r="BA778" s="2">
        <v>0.9</v>
      </c>
      <c r="BB778" s="2">
        <v>7.5</v>
      </c>
      <c r="BC778" s="2">
        <v>2.9</v>
      </c>
      <c r="BD778" s="2">
        <f>+AN778*EXP(-0.0495*Y778)</f>
        <v>5.5938285635761948</v>
      </c>
      <c r="BE778" s="2">
        <f>+AO778*EXP(-0.024*Y778)</f>
        <v>18.102478528343763</v>
      </c>
    </row>
    <row r="779" spans="1:57" x14ac:dyDescent="0.2">
      <c r="A779" s="2" t="s">
        <v>2529</v>
      </c>
      <c r="B779" s="2" t="s">
        <v>19</v>
      </c>
      <c r="C779" s="2" t="s">
        <v>1907</v>
      </c>
      <c r="D779" s="2" t="s">
        <v>21</v>
      </c>
      <c r="E779" s="2" t="s">
        <v>2530</v>
      </c>
      <c r="F779" s="2">
        <v>5</v>
      </c>
      <c r="G779" s="2">
        <v>251</v>
      </c>
      <c r="H779" s="2">
        <v>3</v>
      </c>
      <c r="I779" s="2">
        <v>3</v>
      </c>
      <c r="J779" s="2">
        <v>2</v>
      </c>
      <c r="K779" s="2" t="s">
        <v>61</v>
      </c>
      <c r="L779" s="6" t="s">
        <v>113</v>
      </c>
      <c r="M779" s="5">
        <v>1600000000</v>
      </c>
      <c r="N779" s="2">
        <v>0</v>
      </c>
      <c r="O779" s="2">
        <v>4.6476780450000001</v>
      </c>
      <c r="P779" s="2">
        <v>-74.087706370000006</v>
      </c>
      <c r="Q779" s="2" t="s">
        <v>2531</v>
      </c>
      <c r="R779" s="2">
        <v>6374501.9919999996</v>
      </c>
      <c r="S779" s="2">
        <v>0</v>
      </c>
      <c r="T779" s="2" t="s">
        <v>26</v>
      </c>
      <c r="U779" s="2" t="s">
        <v>27</v>
      </c>
      <c r="V779" s="2" t="s">
        <v>28</v>
      </c>
      <c r="W779" s="2" t="s">
        <v>29</v>
      </c>
      <c r="X779" s="2" t="s">
        <v>30</v>
      </c>
      <c r="Y779" s="2">
        <v>1.27064117739524</v>
      </c>
      <c r="Z779" s="2">
        <v>4.6584666666666701</v>
      </c>
      <c r="AA779" s="2">
        <v>-74.083966666666697</v>
      </c>
      <c r="AB779" s="2">
        <v>2552</v>
      </c>
      <c r="AC779" s="2" t="s">
        <v>31</v>
      </c>
      <c r="AD779" s="2" t="s">
        <v>32</v>
      </c>
      <c r="AE779" s="2" t="s">
        <v>33</v>
      </c>
      <c r="AF779" s="2" t="s">
        <v>34</v>
      </c>
      <c r="AG779" s="2" t="s">
        <v>35</v>
      </c>
      <c r="AH779" s="2">
        <v>1.02891401373714</v>
      </c>
      <c r="AI779" s="2">
        <v>3.4251458288584198</v>
      </c>
      <c r="AJ779" s="2">
        <v>0.61112790141734297</v>
      </c>
      <c r="AK779" s="2">
        <v>0.163431829273985</v>
      </c>
      <c r="AL779" s="2">
        <v>0.49120036603329698</v>
      </c>
      <c r="AN779" s="2">
        <v>6.8</v>
      </c>
      <c r="AO779" s="2">
        <v>19.899999999999999</v>
      </c>
      <c r="AP779" s="2">
        <v>564</v>
      </c>
      <c r="AQ779" s="2">
        <v>68</v>
      </c>
      <c r="AR779" s="2">
        <v>1.5</v>
      </c>
      <c r="AS779" s="2">
        <v>135</v>
      </c>
      <c r="AT779" s="2">
        <v>0.8</v>
      </c>
      <c r="AU779" s="2">
        <v>162</v>
      </c>
      <c r="AV779" s="2">
        <v>9.1</v>
      </c>
      <c r="AW779" s="2">
        <v>9.1999999999999993</v>
      </c>
      <c r="AX779" s="2">
        <v>18.3</v>
      </c>
      <c r="AY779" s="2">
        <v>0.34</v>
      </c>
      <c r="AZ779" s="2">
        <v>7.3</v>
      </c>
      <c r="BA779" s="2">
        <v>0.9</v>
      </c>
      <c r="BB779" s="2">
        <v>7.5</v>
      </c>
      <c r="BC779" s="2">
        <v>2.9</v>
      </c>
      <c r="BD779" s="2">
        <f>+AN779*EXP(-0.0495*Y779)</f>
        <v>6.385474962163987</v>
      </c>
      <c r="BE779" s="2">
        <f>+AO779*EXP(-0.024*Y779)</f>
        <v>19.302301615177207</v>
      </c>
    </row>
    <row r="780" spans="1:57" x14ac:dyDescent="0.2">
      <c r="A780" s="2" t="s">
        <v>1395</v>
      </c>
      <c r="B780" s="2" t="s">
        <v>19</v>
      </c>
      <c r="C780" s="2" t="s">
        <v>20</v>
      </c>
      <c r="D780" s="2" t="s">
        <v>21</v>
      </c>
      <c r="E780" s="2" t="s">
        <v>138</v>
      </c>
      <c r="F780" s="2">
        <v>6</v>
      </c>
      <c r="G780" s="2">
        <v>250</v>
      </c>
      <c r="H780" s="2">
        <v>4</v>
      </c>
      <c r="I780" s="2">
        <v>3.5</v>
      </c>
      <c r="J780" s="2">
        <v>2</v>
      </c>
      <c r="K780" s="2" t="s">
        <v>61</v>
      </c>
      <c r="L780" s="6" t="s">
        <v>84</v>
      </c>
      <c r="M780" s="5">
        <v>2400000000</v>
      </c>
      <c r="N780" s="2">
        <v>0</v>
      </c>
      <c r="O780" s="2">
        <v>4.6668715399999998</v>
      </c>
      <c r="P780" s="2">
        <v>-74.044084119999994</v>
      </c>
      <c r="Q780" s="2" t="s">
        <v>1396</v>
      </c>
      <c r="R780" s="2">
        <v>9600000</v>
      </c>
      <c r="S780" s="2">
        <v>0</v>
      </c>
      <c r="T780" s="2" t="s">
        <v>26</v>
      </c>
      <c r="U780" s="2" t="s">
        <v>27</v>
      </c>
      <c r="V780" s="2" t="s">
        <v>28</v>
      </c>
      <c r="W780" s="2" t="s">
        <v>29</v>
      </c>
      <c r="X780" s="2" t="s">
        <v>30</v>
      </c>
      <c r="Y780" s="2">
        <v>4.5228449381404801</v>
      </c>
      <c r="Z780" s="2">
        <v>4.6584666666666701</v>
      </c>
      <c r="AA780" s="2">
        <v>-74.083966666666697</v>
      </c>
      <c r="AB780" s="2">
        <v>2552</v>
      </c>
      <c r="AC780" s="2" t="s">
        <v>31</v>
      </c>
      <c r="AD780" s="2" t="s">
        <v>32</v>
      </c>
      <c r="AE780" s="2" t="s">
        <v>33</v>
      </c>
      <c r="AF780" s="2" t="s">
        <v>34</v>
      </c>
      <c r="AG780" s="2" t="s">
        <v>81</v>
      </c>
      <c r="AH780" s="2">
        <v>1.8045829413424801</v>
      </c>
      <c r="AI780" s="2">
        <v>0.14690390316820401</v>
      </c>
      <c r="AJ780" s="2">
        <v>1.0865285120578501</v>
      </c>
      <c r="AK780" s="2">
        <v>0.39737546784626798</v>
      </c>
      <c r="AL780" s="2">
        <v>0.56243385066127105</v>
      </c>
      <c r="AN780" s="2">
        <v>6.8</v>
      </c>
      <c r="AO780" s="2">
        <v>19.899999999999999</v>
      </c>
      <c r="AP780" s="2">
        <v>564</v>
      </c>
      <c r="AQ780" s="2">
        <v>68</v>
      </c>
      <c r="AR780" s="2">
        <v>1.5</v>
      </c>
      <c r="AS780" s="2">
        <v>135</v>
      </c>
      <c r="AT780" s="2">
        <v>0.8</v>
      </c>
      <c r="AU780" s="2">
        <v>162</v>
      </c>
      <c r="AV780" s="2">
        <v>9.1</v>
      </c>
      <c r="AW780" s="2">
        <v>9.1999999999999993</v>
      </c>
      <c r="AX780" s="2">
        <v>18.3</v>
      </c>
      <c r="AY780" s="2">
        <v>0.34</v>
      </c>
      <c r="AZ780" s="2">
        <v>7.3</v>
      </c>
      <c r="BA780" s="2">
        <v>0.9</v>
      </c>
      <c r="BB780" s="2">
        <v>7.5</v>
      </c>
      <c r="BC780" s="2">
        <v>2.9</v>
      </c>
      <c r="BD780" s="2">
        <f>+AN780*EXP(-0.0495*Y780)</f>
        <v>5.4359907123584552</v>
      </c>
      <c r="BE780" s="2">
        <f>+AO780*EXP(-0.024*Y780)</f>
        <v>17.852998069809626</v>
      </c>
    </row>
    <row r="781" spans="1:57" x14ac:dyDescent="0.2">
      <c r="A781" s="2" t="s">
        <v>2780</v>
      </c>
      <c r="B781" s="2" t="s">
        <v>19</v>
      </c>
      <c r="C781" s="2" t="s">
        <v>1907</v>
      </c>
      <c r="D781" s="2" t="s">
        <v>21</v>
      </c>
      <c r="E781" s="2" t="s">
        <v>22</v>
      </c>
      <c r="F781" s="2">
        <v>4</v>
      </c>
      <c r="G781" s="2">
        <v>250</v>
      </c>
      <c r="H781" s="2">
        <v>5</v>
      </c>
      <c r="I781" s="2">
        <v>5</v>
      </c>
      <c r="J781" s="2">
        <v>4</v>
      </c>
      <c r="K781" s="2" t="s">
        <v>61</v>
      </c>
      <c r="L781" s="6" t="s">
        <v>113</v>
      </c>
      <c r="M781" s="5">
        <v>1900000000</v>
      </c>
      <c r="N781" s="2">
        <v>0</v>
      </c>
      <c r="O781" s="2">
        <v>4.6444999999999999</v>
      </c>
      <c r="P781" s="2">
        <v>-74.06653</v>
      </c>
      <c r="Q781" s="2" t="s">
        <v>2781</v>
      </c>
      <c r="R781" s="2">
        <v>7600000</v>
      </c>
      <c r="S781" s="2">
        <v>0</v>
      </c>
      <c r="T781" s="2" t="s">
        <v>77</v>
      </c>
      <c r="U781" s="2" t="s">
        <v>78</v>
      </c>
      <c r="V781" s="2" t="s">
        <v>28</v>
      </c>
      <c r="W781" s="2" t="s">
        <v>79</v>
      </c>
      <c r="X781" s="2" t="s">
        <v>80</v>
      </c>
      <c r="Y781" s="2">
        <v>2.1172067133839998</v>
      </c>
      <c r="Z781" s="2">
        <v>4.6254861111111101</v>
      </c>
      <c r="AA781" s="2">
        <v>-74.066980555555503</v>
      </c>
      <c r="AB781" s="2">
        <v>2621</v>
      </c>
      <c r="AC781" s="2" t="s">
        <v>31</v>
      </c>
      <c r="AD781" s="2" t="s">
        <v>32</v>
      </c>
      <c r="AE781" s="2" t="s">
        <v>33</v>
      </c>
      <c r="AF781" s="2" t="s">
        <v>34</v>
      </c>
      <c r="AG781" s="2" t="s">
        <v>35</v>
      </c>
      <c r="AH781" s="2">
        <v>0.184963767010285</v>
      </c>
      <c r="AI781" s="2">
        <v>1.0724317758720601</v>
      </c>
      <c r="AJ781" s="2">
        <v>2.7396331628732801E-2</v>
      </c>
      <c r="AK781" s="2">
        <v>2.11544356964154E-2</v>
      </c>
      <c r="AL781" s="2">
        <v>0.23212952034210699</v>
      </c>
      <c r="AN781" s="2">
        <v>6.8</v>
      </c>
      <c r="AO781" s="2">
        <v>19.899999999999999</v>
      </c>
      <c r="AP781" s="2">
        <v>564</v>
      </c>
      <c r="AQ781" s="2">
        <v>68</v>
      </c>
      <c r="AR781" s="2">
        <v>1.5</v>
      </c>
      <c r="AS781" s="2">
        <v>135</v>
      </c>
      <c r="AT781" s="2">
        <v>0.8</v>
      </c>
      <c r="AU781" s="2">
        <v>162</v>
      </c>
      <c r="AV781" s="2">
        <v>9.1</v>
      </c>
      <c r="AW781" s="2">
        <v>9.1999999999999993</v>
      </c>
      <c r="AX781" s="2">
        <v>18.3</v>
      </c>
      <c r="AY781" s="2">
        <v>0.34</v>
      </c>
      <c r="AZ781" s="2">
        <v>7.3</v>
      </c>
      <c r="BA781" s="2">
        <v>0.9</v>
      </c>
      <c r="BB781" s="2">
        <v>7.5</v>
      </c>
      <c r="BC781" s="2">
        <v>2.9</v>
      </c>
      <c r="BD781" s="2">
        <f>+AN781*EXP(-0.0495*Y781)</f>
        <v>6.1234207097021471</v>
      </c>
      <c r="BE781" s="2">
        <f>+AO781*EXP(-0.024*Y781)</f>
        <v>18.91408288163052</v>
      </c>
    </row>
    <row r="782" spans="1:57" x14ac:dyDescent="0.2">
      <c r="A782" s="2" t="s">
        <v>2932</v>
      </c>
      <c r="B782" s="2" t="s">
        <v>19</v>
      </c>
      <c r="C782" s="2" t="s">
        <v>1907</v>
      </c>
      <c r="D782" s="2" t="s">
        <v>21</v>
      </c>
      <c r="E782" s="2" t="s">
        <v>899</v>
      </c>
      <c r="F782" s="2">
        <v>4</v>
      </c>
      <c r="G782" s="2">
        <v>250</v>
      </c>
      <c r="H782" s="2">
        <v>4</v>
      </c>
      <c r="I782" s="2">
        <v>3</v>
      </c>
      <c r="J782" s="2">
        <v>2</v>
      </c>
      <c r="K782" s="2" t="s">
        <v>61</v>
      </c>
      <c r="L782" s="6" t="s">
        <v>113</v>
      </c>
      <c r="M782" s="5">
        <v>1350000000</v>
      </c>
      <c r="N782" s="2">
        <v>0</v>
      </c>
      <c r="O782" s="2">
        <v>4.63856</v>
      </c>
      <c r="P782" s="2">
        <v>-74.063559999999995</v>
      </c>
      <c r="Q782" s="2" t="s">
        <v>2933</v>
      </c>
      <c r="R782" s="2">
        <v>5400000</v>
      </c>
      <c r="S782" s="2">
        <v>0</v>
      </c>
      <c r="T782" s="2" t="s">
        <v>77</v>
      </c>
      <c r="U782" s="2" t="s">
        <v>78</v>
      </c>
      <c r="V782" s="2" t="s">
        <v>28</v>
      </c>
      <c r="W782" s="2" t="s">
        <v>79</v>
      </c>
      <c r="X782" s="2" t="s">
        <v>80</v>
      </c>
      <c r="Y782" s="2">
        <v>1.5040514269630101</v>
      </c>
      <c r="Z782" s="2">
        <v>4.6254861111111101</v>
      </c>
      <c r="AA782" s="2">
        <v>-74.066980555555503</v>
      </c>
      <c r="AB782" s="2">
        <v>2621</v>
      </c>
      <c r="AC782" s="2" t="s">
        <v>31</v>
      </c>
      <c r="AD782" s="2" t="s">
        <v>32</v>
      </c>
      <c r="AE782" s="2" t="s">
        <v>33</v>
      </c>
      <c r="AF782" s="2" t="s">
        <v>34</v>
      </c>
      <c r="AG782" s="2" t="s">
        <v>81</v>
      </c>
      <c r="AH782" s="2">
        <v>0.37464339670228203</v>
      </c>
      <c r="AI782" s="2">
        <v>0.58604130408923205</v>
      </c>
      <c r="AJ782" s="2">
        <v>9.8770425566182096E-2</v>
      </c>
      <c r="AK782" s="2">
        <v>4.7234270613619199E-2</v>
      </c>
      <c r="AL782" s="2">
        <v>0.142402971860282</v>
      </c>
      <c r="AN782" s="2">
        <v>6.8</v>
      </c>
      <c r="AO782" s="2">
        <v>19.899999999999999</v>
      </c>
      <c r="AP782" s="2">
        <v>564</v>
      </c>
      <c r="AQ782" s="2">
        <v>68</v>
      </c>
      <c r="AR782" s="2">
        <v>1.5</v>
      </c>
      <c r="AS782" s="2">
        <v>135</v>
      </c>
      <c r="AT782" s="2">
        <v>0.8</v>
      </c>
      <c r="AU782" s="2">
        <v>162</v>
      </c>
      <c r="AV782" s="2">
        <v>9.1</v>
      </c>
      <c r="AW782" s="2">
        <v>9.1999999999999993</v>
      </c>
      <c r="AX782" s="2">
        <v>18.3</v>
      </c>
      <c r="AY782" s="2">
        <v>0.34</v>
      </c>
      <c r="AZ782" s="2">
        <v>7.3</v>
      </c>
      <c r="BA782" s="2">
        <v>0.9</v>
      </c>
      <c r="BB782" s="2">
        <v>7.5</v>
      </c>
      <c r="BC782" s="2">
        <v>2.9</v>
      </c>
      <c r="BD782" s="2">
        <f>+AN782*EXP(-0.0495*Y782)</f>
        <v>6.312122977918091</v>
      </c>
      <c r="BE782" s="2">
        <f>+AO782*EXP(-0.024*Y782)</f>
        <v>19.194475389210947</v>
      </c>
    </row>
    <row r="783" spans="1:57" x14ac:dyDescent="0.2">
      <c r="A783" s="2" t="s">
        <v>2471</v>
      </c>
      <c r="B783" s="2" t="s">
        <v>19</v>
      </c>
      <c r="C783" s="2" t="s">
        <v>1907</v>
      </c>
      <c r="D783" s="2" t="s">
        <v>21</v>
      </c>
      <c r="E783" s="2" t="s">
        <v>2472</v>
      </c>
      <c r="F783" s="2">
        <v>4</v>
      </c>
      <c r="G783" s="2">
        <v>250</v>
      </c>
      <c r="H783" s="2">
        <v>5</v>
      </c>
      <c r="I783" s="2">
        <v>4</v>
      </c>
      <c r="J783" s="2">
        <v>2</v>
      </c>
      <c r="K783" s="2" t="s">
        <v>61</v>
      </c>
      <c r="L783" s="6" t="s">
        <v>113</v>
      </c>
      <c r="M783" s="5">
        <v>1300000000</v>
      </c>
      <c r="N783" s="2">
        <v>0</v>
      </c>
      <c r="O783" s="2">
        <v>4.6734548</v>
      </c>
      <c r="P783" s="2">
        <v>-74.063339999999997</v>
      </c>
      <c r="Q783" s="2" t="s">
        <v>2473</v>
      </c>
      <c r="R783" s="2">
        <v>5200000</v>
      </c>
      <c r="S783" s="2">
        <v>0</v>
      </c>
      <c r="T783" s="2" t="s">
        <v>26</v>
      </c>
      <c r="U783" s="2" t="s">
        <v>27</v>
      </c>
      <c r="V783" s="2" t="s">
        <v>28</v>
      </c>
      <c r="W783" s="2" t="s">
        <v>29</v>
      </c>
      <c r="X783" s="2" t="s">
        <v>30</v>
      </c>
      <c r="Y783" s="2">
        <v>2.8321747048224601</v>
      </c>
      <c r="Z783" s="2">
        <v>4.6584666666666701</v>
      </c>
      <c r="AA783" s="2">
        <v>-74.083966666666697</v>
      </c>
      <c r="AB783" s="2">
        <v>2552</v>
      </c>
      <c r="AC783" s="2" t="s">
        <v>31</v>
      </c>
      <c r="AD783" s="2" t="s">
        <v>32</v>
      </c>
      <c r="AE783" s="2" t="s">
        <v>33</v>
      </c>
      <c r="AF783" s="2" t="s">
        <v>34</v>
      </c>
      <c r="AG783" s="2" t="s">
        <v>293</v>
      </c>
      <c r="AH783" s="2">
        <v>0.26786414798151198</v>
      </c>
      <c r="AI783" s="2">
        <v>2.2365328059766099</v>
      </c>
      <c r="AJ783" s="2">
        <v>0.65747350466006804</v>
      </c>
      <c r="AK783" s="2">
        <v>3.5250201698874897E-2</v>
      </c>
      <c r="AL783" s="2">
        <v>0.34794253299524702</v>
      </c>
      <c r="AN783" s="2">
        <v>6.8</v>
      </c>
      <c r="AO783" s="2">
        <v>19.899999999999999</v>
      </c>
      <c r="AP783" s="2">
        <v>564</v>
      </c>
      <c r="AQ783" s="2">
        <v>68</v>
      </c>
      <c r="AR783" s="2">
        <v>1.5</v>
      </c>
      <c r="AS783" s="2">
        <v>135</v>
      </c>
      <c r="AT783" s="2">
        <v>0.8</v>
      </c>
      <c r="AU783" s="2">
        <v>162</v>
      </c>
      <c r="AV783" s="2">
        <v>9.1</v>
      </c>
      <c r="AW783" s="2">
        <v>9.1999999999999993</v>
      </c>
      <c r="AX783" s="2">
        <v>18.3</v>
      </c>
      <c r="AY783" s="2">
        <v>0.34</v>
      </c>
      <c r="AZ783" s="2">
        <v>7.3</v>
      </c>
      <c r="BA783" s="2">
        <v>0.9</v>
      </c>
      <c r="BB783" s="2">
        <v>7.5</v>
      </c>
      <c r="BC783" s="2">
        <v>2.9</v>
      </c>
      <c r="BD783" s="2">
        <f>+AN783*EXP(-0.0495*Y783)</f>
        <v>5.9104972462103573</v>
      </c>
      <c r="BE783" s="2">
        <f>+AO783*EXP(-0.024*Y783)</f>
        <v>18.592300414662752</v>
      </c>
    </row>
    <row r="784" spans="1:57" x14ac:dyDescent="0.2">
      <c r="A784" s="2" t="s">
        <v>3211</v>
      </c>
      <c r="B784" s="2" t="s">
        <v>19</v>
      </c>
      <c r="C784" s="2" t="s">
        <v>1907</v>
      </c>
      <c r="D784" s="2" t="s">
        <v>21</v>
      </c>
      <c r="E784" s="2" t="s">
        <v>3212</v>
      </c>
      <c r="F784" s="2">
        <v>3</v>
      </c>
      <c r="G784" s="2">
        <v>250</v>
      </c>
      <c r="H784" s="2">
        <v>4</v>
      </c>
      <c r="I784" s="2">
        <v>4</v>
      </c>
      <c r="J784" s="2">
        <v>0</v>
      </c>
      <c r="K784" s="2" t="s">
        <v>61</v>
      </c>
      <c r="L784" s="6" t="s">
        <v>113</v>
      </c>
      <c r="M784" s="5">
        <v>1000000000</v>
      </c>
      <c r="N784" s="2">
        <v>0</v>
      </c>
      <c r="O784" s="2">
        <v>4.6227939999999998</v>
      </c>
      <c r="P784" s="2">
        <v>-74.090960199999998</v>
      </c>
      <c r="Q784" s="2" t="s">
        <v>3213</v>
      </c>
      <c r="R784" s="2">
        <v>4000000</v>
      </c>
      <c r="S784" s="2">
        <v>0</v>
      </c>
      <c r="T784" s="2" t="s">
        <v>77</v>
      </c>
      <c r="U784" s="2" t="s">
        <v>78</v>
      </c>
      <c r="V784" s="2" t="s">
        <v>28</v>
      </c>
      <c r="W784" s="2" t="s">
        <v>79</v>
      </c>
      <c r="X784" s="2" t="s">
        <v>80</v>
      </c>
      <c r="Y784" s="2">
        <v>2.6775369153745001</v>
      </c>
      <c r="Z784" s="2">
        <v>4.6254861111111101</v>
      </c>
      <c r="AA784" s="2">
        <v>-74.066980555555503</v>
      </c>
      <c r="AB784" s="2">
        <v>2621</v>
      </c>
      <c r="AC784" s="2" t="s">
        <v>31</v>
      </c>
      <c r="AD784" s="2" t="s">
        <v>32</v>
      </c>
      <c r="AE784" s="2" t="s">
        <v>33</v>
      </c>
      <c r="AF784" s="2" t="s">
        <v>34</v>
      </c>
      <c r="AG784" s="2" t="s">
        <v>239</v>
      </c>
      <c r="AH784" s="2">
        <v>0.66743251898662503</v>
      </c>
      <c r="AI784" s="2">
        <v>3.1337604789985098</v>
      </c>
      <c r="AJ784" s="2">
        <v>1.5332800914459901</v>
      </c>
      <c r="AK784" s="2">
        <v>6.5377647119212901E-2</v>
      </c>
      <c r="AL784" s="2">
        <v>0.54905754830896403</v>
      </c>
      <c r="AN784" s="2">
        <v>6.8</v>
      </c>
      <c r="AO784" s="2">
        <v>19.899999999999999</v>
      </c>
      <c r="AP784" s="2">
        <v>564</v>
      </c>
      <c r="AQ784" s="2">
        <v>68</v>
      </c>
      <c r="AR784" s="2">
        <v>1.5</v>
      </c>
      <c r="AS784" s="2">
        <v>135</v>
      </c>
      <c r="AT784" s="2">
        <v>0.8</v>
      </c>
      <c r="AU784" s="2">
        <v>162</v>
      </c>
      <c r="AV784" s="2">
        <v>9.1</v>
      </c>
      <c r="AW784" s="2">
        <v>9.1999999999999993</v>
      </c>
      <c r="AX784" s="2">
        <v>18.3</v>
      </c>
      <c r="AY784" s="2">
        <v>0.34</v>
      </c>
      <c r="AZ784" s="2">
        <v>7.3</v>
      </c>
      <c r="BA784" s="2">
        <v>0.9</v>
      </c>
      <c r="BB784" s="2">
        <v>7.5</v>
      </c>
      <c r="BC784" s="2">
        <v>2.9</v>
      </c>
      <c r="BD784" s="2">
        <f>+AN784*EXP(-0.0495*Y784)</f>
        <v>5.9559131624464419</v>
      </c>
      <c r="BE784" s="2">
        <f>+AO784*EXP(-0.024*Y784)</f>
        <v>18.661430350204302</v>
      </c>
    </row>
    <row r="785" spans="1:57" x14ac:dyDescent="0.2">
      <c r="A785" s="2" t="s">
        <v>2177</v>
      </c>
      <c r="B785" s="2" t="s">
        <v>19</v>
      </c>
      <c r="C785" s="2" t="s">
        <v>1907</v>
      </c>
      <c r="D785" s="2" t="s">
        <v>21</v>
      </c>
      <c r="E785" s="2" t="s">
        <v>1356</v>
      </c>
      <c r="F785" s="2">
        <v>3</v>
      </c>
      <c r="G785" s="2">
        <v>250</v>
      </c>
      <c r="H785" s="2">
        <v>5</v>
      </c>
      <c r="I785" s="2">
        <v>4</v>
      </c>
      <c r="J785" s="2">
        <v>4</v>
      </c>
      <c r="K785" s="2" t="s">
        <v>61</v>
      </c>
      <c r="L785" s="6" t="s">
        <v>113</v>
      </c>
      <c r="M785" s="5">
        <v>940000000</v>
      </c>
      <c r="N785" s="2">
        <v>0</v>
      </c>
      <c r="O785" s="2">
        <v>4.6725249289999997</v>
      </c>
      <c r="P785" s="2">
        <v>-74.084480290000002</v>
      </c>
      <c r="Q785" s="2" t="s">
        <v>2178</v>
      </c>
      <c r="R785" s="2">
        <v>3760000</v>
      </c>
      <c r="S785" s="2">
        <v>0</v>
      </c>
      <c r="T785" s="2" t="s">
        <v>26</v>
      </c>
      <c r="U785" s="2" t="s">
        <v>27</v>
      </c>
      <c r="V785" s="2" t="s">
        <v>28</v>
      </c>
      <c r="W785" s="2" t="s">
        <v>29</v>
      </c>
      <c r="X785" s="2" t="s">
        <v>30</v>
      </c>
      <c r="Y785" s="2">
        <v>1.5659958279105199</v>
      </c>
      <c r="Z785" s="2">
        <v>4.6584666666666701</v>
      </c>
      <c r="AA785" s="2">
        <v>-74.083966666666697</v>
      </c>
      <c r="AB785" s="2">
        <v>2552</v>
      </c>
      <c r="AC785" s="2" t="s">
        <v>31</v>
      </c>
      <c r="AD785" s="2" t="s">
        <v>32</v>
      </c>
      <c r="AE785" s="2" t="s">
        <v>33</v>
      </c>
      <c r="AF785" s="2" t="s">
        <v>34</v>
      </c>
      <c r="AG785" s="2" t="s">
        <v>293</v>
      </c>
      <c r="AH785" s="2">
        <v>1.29009939780247</v>
      </c>
      <c r="AI785" s="2">
        <v>4.3939970503686103</v>
      </c>
      <c r="AJ785" s="2">
        <v>1.88977578599768</v>
      </c>
      <c r="AK785" s="2">
        <v>0.34010203274082601</v>
      </c>
      <c r="AL785" s="2">
        <v>7.3596159123004296E-2</v>
      </c>
      <c r="AN785" s="2">
        <v>6.8</v>
      </c>
      <c r="AO785" s="2">
        <v>19.899999999999999</v>
      </c>
      <c r="AP785" s="2">
        <v>564</v>
      </c>
      <c r="AQ785" s="2">
        <v>68</v>
      </c>
      <c r="AR785" s="2">
        <v>1.5</v>
      </c>
      <c r="AS785" s="2">
        <v>135</v>
      </c>
      <c r="AT785" s="2">
        <v>0.8</v>
      </c>
      <c r="AU785" s="2">
        <v>162</v>
      </c>
      <c r="AV785" s="2">
        <v>9.1</v>
      </c>
      <c r="AW785" s="2">
        <v>9.1999999999999993</v>
      </c>
      <c r="AX785" s="2">
        <v>18.3</v>
      </c>
      <c r="AY785" s="2">
        <v>0.34</v>
      </c>
      <c r="AZ785" s="2">
        <v>7.3</v>
      </c>
      <c r="BA785" s="2">
        <v>0.9</v>
      </c>
      <c r="BB785" s="2">
        <v>7.5</v>
      </c>
      <c r="BC785" s="2">
        <v>2.9</v>
      </c>
      <c r="BD785" s="2">
        <f>+AN785*EXP(-0.0495*Y785)</f>
        <v>6.2927980870210716</v>
      </c>
      <c r="BE785" s="2">
        <f>+AO785*EXP(-0.024*Y785)</f>
        <v>19.165960823567367</v>
      </c>
    </row>
    <row r="786" spans="1:57" x14ac:dyDescent="0.2">
      <c r="A786" s="2" t="s">
        <v>2254</v>
      </c>
      <c r="B786" s="2" t="s">
        <v>19</v>
      </c>
      <c r="C786" s="2" t="s">
        <v>1907</v>
      </c>
      <c r="D786" s="2" t="s">
        <v>21</v>
      </c>
      <c r="E786" s="2" t="s">
        <v>2255</v>
      </c>
      <c r="F786" s="2">
        <v>3</v>
      </c>
      <c r="G786" s="2">
        <v>250</v>
      </c>
      <c r="H786" s="2">
        <v>5</v>
      </c>
      <c r="I786" s="2">
        <v>4</v>
      </c>
      <c r="J786" s="2">
        <v>2</v>
      </c>
      <c r="K786" s="2" t="s">
        <v>61</v>
      </c>
      <c r="L786" s="6" t="s">
        <v>75</v>
      </c>
      <c r="M786" s="5">
        <v>730000000</v>
      </c>
      <c r="N786" s="2">
        <v>0</v>
      </c>
      <c r="O786" s="2">
        <v>4.6952986719999998</v>
      </c>
      <c r="P786" s="2">
        <v>-74.098861690000007</v>
      </c>
      <c r="Q786" s="2" t="s">
        <v>2256</v>
      </c>
      <c r="R786" s="2">
        <v>2920000</v>
      </c>
      <c r="S786" s="2">
        <v>0</v>
      </c>
      <c r="T786" s="2" t="s">
        <v>26</v>
      </c>
      <c r="U786" s="2" t="s">
        <v>27</v>
      </c>
      <c r="V786" s="2" t="s">
        <v>28</v>
      </c>
      <c r="W786" s="2" t="s">
        <v>29</v>
      </c>
      <c r="X786" s="2" t="s">
        <v>30</v>
      </c>
      <c r="Y786" s="2">
        <v>4.4206360944885503</v>
      </c>
      <c r="Z786" s="2">
        <v>4.6584666666666701</v>
      </c>
      <c r="AA786" s="2">
        <v>-74.083966666666697</v>
      </c>
      <c r="AB786" s="2">
        <v>2552</v>
      </c>
      <c r="AC786" s="2" t="s">
        <v>31</v>
      </c>
      <c r="AD786" s="2" t="s">
        <v>32</v>
      </c>
      <c r="AE786" s="2" t="s">
        <v>33</v>
      </c>
      <c r="AF786" s="2" t="s">
        <v>34</v>
      </c>
      <c r="AG786" s="2" t="s">
        <v>363</v>
      </c>
      <c r="AH786" s="2">
        <v>0.52968358091661305</v>
      </c>
      <c r="AI786" s="2">
        <v>4.4651026518643304</v>
      </c>
      <c r="AJ786" s="2">
        <v>1.0516555844147899</v>
      </c>
      <c r="AK786" s="2">
        <v>0.26685050081070899</v>
      </c>
      <c r="AL786" s="2">
        <v>0.16986548089787101</v>
      </c>
      <c r="AN786" s="2">
        <v>6.8</v>
      </c>
      <c r="AO786" s="2">
        <v>19.899999999999999</v>
      </c>
      <c r="AP786" s="2">
        <v>564</v>
      </c>
      <c r="AQ786" s="2">
        <v>68</v>
      </c>
      <c r="AR786" s="2">
        <v>1.5</v>
      </c>
      <c r="AS786" s="2">
        <v>135</v>
      </c>
      <c r="AT786" s="2">
        <v>0.8</v>
      </c>
      <c r="AU786" s="2">
        <v>162</v>
      </c>
      <c r="AV786" s="2">
        <v>9.1</v>
      </c>
      <c r="AW786" s="2">
        <v>9.1999999999999993</v>
      </c>
      <c r="AX786" s="2">
        <v>18.3</v>
      </c>
      <c r="AY786" s="2">
        <v>0.34</v>
      </c>
      <c r="AZ786" s="2">
        <v>7.3</v>
      </c>
      <c r="BA786" s="2">
        <v>0.9</v>
      </c>
      <c r="BB786" s="2">
        <v>7.5</v>
      </c>
      <c r="BC786" s="2">
        <v>2.9</v>
      </c>
      <c r="BD786" s="2">
        <f>+AN786*EXP(-0.0495*Y786)</f>
        <v>5.4635629151665475</v>
      </c>
      <c r="BE786" s="2">
        <f>+AO786*EXP(-0.024*Y786)</f>
        <v>17.896845449825392</v>
      </c>
    </row>
    <row r="787" spans="1:57" x14ac:dyDescent="0.2">
      <c r="A787" s="2" t="s">
        <v>1670</v>
      </c>
      <c r="B787" s="2" t="s">
        <v>19</v>
      </c>
      <c r="C787" s="2" t="s">
        <v>20</v>
      </c>
      <c r="D787" s="2" t="s">
        <v>21</v>
      </c>
      <c r="E787" s="2" t="s">
        <v>302</v>
      </c>
      <c r="F787" s="2">
        <v>6</v>
      </c>
      <c r="G787" s="2">
        <v>248</v>
      </c>
      <c r="H787" s="2">
        <v>4</v>
      </c>
      <c r="I787" s="2">
        <v>4</v>
      </c>
      <c r="J787" s="2">
        <v>3</v>
      </c>
      <c r="K787" s="2" t="s">
        <v>61</v>
      </c>
      <c r="L787" s="6" t="s">
        <v>113</v>
      </c>
      <c r="M787" s="5">
        <v>1570000000</v>
      </c>
      <c r="N787" s="2">
        <v>0</v>
      </c>
      <c r="O787" s="2">
        <v>4.6533160210000002</v>
      </c>
      <c r="P787" s="2">
        <v>-74.049949650000002</v>
      </c>
      <c r="Q787" s="2" t="s">
        <v>1671</v>
      </c>
      <c r="R787" s="2">
        <v>6330645.1610000003</v>
      </c>
      <c r="S787" s="2">
        <v>0</v>
      </c>
      <c r="T787" s="2" t="s">
        <v>77</v>
      </c>
      <c r="U787" s="2" t="s">
        <v>78</v>
      </c>
      <c r="V787" s="2" t="s">
        <v>28</v>
      </c>
      <c r="W787" s="2" t="s">
        <v>79</v>
      </c>
      <c r="X787" s="2" t="s">
        <v>80</v>
      </c>
      <c r="Y787" s="2">
        <v>3.6288412842119699</v>
      </c>
      <c r="Z787" s="2">
        <v>4.6254861111111101</v>
      </c>
      <c r="AA787" s="2">
        <v>-74.066980555555503</v>
      </c>
      <c r="AB787" s="2">
        <v>2621</v>
      </c>
      <c r="AC787" s="2" t="s">
        <v>31</v>
      </c>
      <c r="AD787" s="2" t="s">
        <v>32</v>
      </c>
      <c r="AE787" s="2" t="s">
        <v>33</v>
      </c>
      <c r="AF787" s="2" t="s">
        <v>34</v>
      </c>
      <c r="AG787" s="2" t="s">
        <v>81</v>
      </c>
      <c r="AH787" s="2">
        <v>1.44962321769596</v>
      </c>
      <c r="AI787" s="2">
        <v>0.14487910541259</v>
      </c>
      <c r="AJ787" s="2">
        <v>0.88344150885897099</v>
      </c>
      <c r="AK787" s="2">
        <v>0.47163342625827598</v>
      </c>
      <c r="AL787" s="2">
        <v>0.11001562431200999</v>
      </c>
      <c r="AN787" s="2">
        <v>6.8</v>
      </c>
      <c r="AO787" s="2">
        <v>19.899999999999999</v>
      </c>
      <c r="AP787" s="2">
        <v>564</v>
      </c>
      <c r="AQ787" s="2">
        <v>68</v>
      </c>
      <c r="AR787" s="2">
        <v>1.5</v>
      </c>
      <c r="AS787" s="2">
        <v>135</v>
      </c>
      <c r="AT787" s="2">
        <v>0.8</v>
      </c>
      <c r="AU787" s="2">
        <v>162</v>
      </c>
      <c r="AV787" s="2">
        <v>9.1</v>
      </c>
      <c r="AW787" s="2">
        <v>9.1999999999999993</v>
      </c>
      <c r="AX787" s="2">
        <v>18.3</v>
      </c>
      <c r="AY787" s="2">
        <v>0.34</v>
      </c>
      <c r="AZ787" s="2">
        <v>7.3</v>
      </c>
      <c r="BA787" s="2">
        <v>0.9</v>
      </c>
      <c r="BB787" s="2">
        <v>7.5</v>
      </c>
      <c r="BC787" s="2">
        <v>2.9</v>
      </c>
      <c r="BD787" s="2">
        <f>+AN787*EXP(-0.0495*Y787)</f>
        <v>5.6819527553981084</v>
      </c>
      <c r="BE787" s="2">
        <f>+AO787*EXP(-0.024*Y787)</f>
        <v>18.240192547256584</v>
      </c>
    </row>
    <row r="788" spans="1:57" x14ac:dyDescent="0.2">
      <c r="A788" s="2" t="s">
        <v>1543</v>
      </c>
      <c r="B788" s="2" t="s">
        <v>19</v>
      </c>
      <c r="C788" s="2" t="s">
        <v>20</v>
      </c>
      <c r="D788" s="2" t="s">
        <v>21</v>
      </c>
      <c r="E788" s="2" t="s">
        <v>261</v>
      </c>
      <c r="F788" s="2">
        <v>6</v>
      </c>
      <c r="G788" s="2">
        <v>246</v>
      </c>
      <c r="H788" s="2">
        <v>4</v>
      </c>
      <c r="I788" s="2">
        <v>5</v>
      </c>
      <c r="J788" s="2">
        <v>2</v>
      </c>
      <c r="K788" s="2" t="s">
        <v>61</v>
      </c>
      <c r="L788" s="6" t="s">
        <v>113</v>
      </c>
      <c r="M788" s="5">
        <v>3800000000</v>
      </c>
      <c r="N788" s="2">
        <v>0</v>
      </c>
      <c r="O788" s="2">
        <v>4.6599202159999997</v>
      </c>
      <c r="P788" s="2">
        <v>-74.048553470000002</v>
      </c>
      <c r="Q788" s="2" t="s">
        <v>1544</v>
      </c>
      <c r="R788" s="2">
        <v>15447154.470000001</v>
      </c>
      <c r="S788" s="2">
        <v>0</v>
      </c>
      <c r="T788" s="2" t="s">
        <v>26</v>
      </c>
      <c r="U788" s="2" t="s">
        <v>27</v>
      </c>
      <c r="V788" s="2" t="s">
        <v>28</v>
      </c>
      <c r="W788" s="2" t="s">
        <v>29</v>
      </c>
      <c r="X788" s="2" t="s">
        <v>30</v>
      </c>
      <c r="Y788" s="2">
        <v>3.9324823994449001</v>
      </c>
      <c r="Z788" s="2">
        <v>4.6584666666666701</v>
      </c>
      <c r="AA788" s="2">
        <v>-74.083966666666697</v>
      </c>
      <c r="AB788" s="2">
        <v>2552</v>
      </c>
      <c r="AC788" s="2" t="s">
        <v>31</v>
      </c>
      <c r="AD788" s="2" t="s">
        <v>32</v>
      </c>
      <c r="AE788" s="2" t="s">
        <v>33</v>
      </c>
      <c r="AF788" s="2" t="s">
        <v>34</v>
      </c>
      <c r="AG788" s="2" t="s">
        <v>81</v>
      </c>
      <c r="AH788" s="2">
        <v>1.45037722639813</v>
      </c>
      <c r="AI788" s="2">
        <v>0.176161214569061</v>
      </c>
      <c r="AJ788" s="2">
        <v>0.783615004760848</v>
      </c>
      <c r="AK788" s="2">
        <v>0.34721335300547301</v>
      </c>
      <c r="AL788" s="2">
        <v>0.28702217922323098</v>
      </c>
      <c r="AN788" s="2">
        <v>6.8</v>
      </c>
      <c r="AO788" s="2">
        <v>19.899999999999999</v>
      </c>
      <c r="AP788" s="2">
        <v>564</v>
      </c>
      <c r="AQ788" s="2">
        <v>68</v>
      </c>
      <c r="AR788" s="2">
        <v>1.5</v>
      </c>
      <c r="AS788" s="2">
        <v>135</v>
      </c>
      <c r="AT788" s="2">
        <v>0.8</v>
      </c>
      <c r="AU788" s="2">
        <v>162</v>
      </c>
      <c r="AV788" s="2">
        <v>9.1</v>
      </c>
      <c r="AW788" s="2">
        <v>9.1999999999999993</v>
      </c>
      <c r="AX788" s="2">
        <v>18.3</v>
      </c>
      <c r="AY788" s="2">
        <v>0.34</v>
      </c>
      <c r="AZ788" s="2">
        <v>7.3</v>
      </c>
      <c r="BA788" s="2">
        <v>0.9</v>
      </c>
      <c r="BB788" s="2">
        <v>7.5</v>
      </c>
      <c r="BC788" s="2">
        <v>2.9</v>
      </c>
      <c r="BD788" s="2">
        <f>+AN788*EXP(-0.0495*Y788)</f>
        <v>5.5971902648551337</v>
      </c>
      <c r="BE788" s="2">
        <f>+AO788*EXP(-0.024*Y788)</f>
        <v>18.107752367007837</v>
      </c>
    </row>
    <row r="789" spans="1:57" x14ac:dyDescent="0.2">
      <c r="A789" s="2" t="s">
        <v>3075</v>
      </c>
      <c r="B789" s="2" t="s">
        <v>19</v>
      </c>
      <c r="C789" s="2" t="s">
        <v>1907</v>
      </c>
      <c r="D789" s="2" t="s">
        <v>21</v>
      </c>
      <c r="E789" s="2" t="s">
        <v>973</v>
      </c>
      <c r="F789" s="2">
        <v>5</v>
      </c>
      <c r="G789" s="2">
        <v>243</v>
      </c>
      <c r="H789" s="2">
        <v>5</v>
      </c>
      <c r="I789" s="2">
        <v>5</v>
      </c>
      <c r="J789" s="2">
        <v>2</v>
      </c>
      <c r="K789" s="2" t="s">
        <v>61</v>
      </c>
      <c r="L789" s="6" t="s">
        <v>113</v>
      </c>
      <c r="M789" s="5">
        <v>1100000000</v>
      </c>
      <c r="N789" s="2">
        <v>0</v>
      </c>
      <c r="O789" s="2">
        <v>4.6980700000000004</v>
      </c>
      <c r="P789" s="2">
        <v>-74.080309999999997</v>
      </c>
      <c r="Q789" s="2" t="s">
        <v>3076</v>
      </c>
      <c r="R789" s="2">
        <v>4526748.9709999999</v>
      </c>
      <c r="S789" s="2">
        <v>0</v>
      </c>
      <c r="T789" s="2" t="s">
        <v>26</v>
      </c>
      <c r="U789" s="2" t="s">
        <v>27</v>
      </c>
      <c r="V789" s="2" t="s">
        <v>28</v>
      </c>
      <c r="W789" s="2" t="s">
        <v>29</v>
      </c>
      <c r="X789" s="2" t="s">
        <v>30</v>
      </c>
      <c r="Y789" s="2">
        <v>4.4272508485377804</v>
      </c>
      <c r="Z789" s="2">
        <v>4.6584666666666701</v>
      </c>
      <c r="AA789" s="2">
        <v>-74.083966666666697</v>
      </c>
      <c r="AB789" s="2">
        <v>2552</v>
      </c>
      <c r="AC789" s="2" t="s">
        <v>31</v>
      </c>
      <c r="AD789" s="2" t="s">
        <v>32</v>
      </c>
      <c r="AE789" s="2" t="s">
        <v>33</v>
      </c>
      <c r="AF789" s="2" t="s">
        <v>34</v>
      </c>
      <c r="AG789" s="2" t="s">
        <v>72</v>
      </c>
      <c r="AH789" s="2">
        <v>0.88386450453833199</v>
      </c>
      <c r="AI789" s="2">
        <v>5.2498699634592798</v>
      </c>
      <c r="AJ789" s="2">
        <v>1.07686754924493</v>
      </c>
      <c r="AK789" s="2">
        <v>0.27769107566905998</v>
      </c>
      <c r="AL789" s="2">
        <v>0.345800749636341</v>
      </c>
      <c r="AN789" s="2">
        <v>6.8</v>
      </c>
      <c r="AO789" s="2">
        <v>19.899999999999999</v>
      </c>
      <c r="AP789" s="2">
        <v>564</v>
      </c>
      <c r="AQ789" s="2">
        <v>68</v>
      </c>
      <c r="AR789" s="2">
        <v>1.5</v>
      </c>
      <c r="AS789" s="2">
        <v>135</v>
      </c>
      <c r="AT789" s="2">
        <v>0.8</v>
      </c>
      <c r="AU789" s="2">
        <v>162</v>
      </c>
      <c r="AV789" s="2">
        <v>9.1</v>
      </c>
      <c r="AW789" s="2">
        <v>9.1999999999999993</v>
      </c>
      <c r="AX789" s="2">
        <v>18.3</v>
      </c>
      <c r="AY789" s="2">
        <v>0.34</v>
      </c>
      <c r="AZ789" s="2">
        <v>7.3</v>
      </c>
      <c r="BA789" s="2">
        <v>0.9</v>
      </c>
      <c r="BB789" s="2">
        <v>7.5</v>
      </c>
      <c r="BC789" s="2">
        <v>2.9</v>
      </c>
      <c r="BD789" s="2">
        <f>+AN789*EXP(-0.0495*Y789)</f>
        <v>5.4617742718272053</v>
      </c>
      <c r="BE789" s="2">
        <f>+AO789*EXP(-0.024*Y789)</f>
        <v>17.894004477797548</v>
      </c>
    </row>
    <row r="790" spans="1:57" x14ac:dyDescent="0.2">
      <c r="A790" s="2" t="s">
        <v>2573</v>
      </c>
      <c r="B790" s="2" t="s">
        <v>19</v>
      </c>
      <c r="C790" s="2" t="s">
        <v>1907</v>
      </c>
      <c r="D790" s="2" t="s">
        <v>21</v>
      </c>
      <c r="E790" s="2" t="s">
        <v>2574</v>
      </c>
      <c r="F790" s="2">
        <v>4</v>
      </c>
      <c r="G790" s="2">
        <v>241</v>
      </c>
      <c r="H790" s="2">
        <v>5</v>
      </c>
      <c r="I790" s="2">
        <v>4</v>
      </c>
      <c r="J790" s="2">
        <v>1</v>
      </c>
      <c r="K790" s="2" t="s">
        <v>61</v>
      </c>
      <c r="L790" s="6" t="s">
        <v>113</v>
      </c>
      <c r="M790" s="5">
        <v>800000000</v>
      </c>
      <c r="N790" s="2">
        <v>0</v>
      </c>
      <c r="O790" s="2">
        <v>4.6222747000000002</v>
      </c>
      <c r="P790" s="2">
        <v>-74.073384200000007</v>
      </c>
      <c r="Q790" s="2" t="s">
        <v>2575</v>
      </c>
      <c r="R790" s="2">
        <v>3319502.0750000002</v>
      </c>
      <c r="S790" s="2">
        <v>0</v>
      </c>
      <c r="T790" s="2" t="s">
        <v>77</v>
      </c>
      <c r="U790" s="2" t="s">
        <v>78</v>
      </c>
      <c r="V790" s="2" t="s">
        <v>28</v>
      </c>
      <c r="W790" s="2" t="s">
        <v>79</v>
      </c>
      <c r="X790" s="2" t="s">
        <v>80</v>
      </c>
      <c r="Y790" s="2">
        <v>0.79539575234540405</v>
      </c>
      <c r="Z790" s="2">
        <v>4.6254861111111101</v>
      </c>
      <c r="AA790" s="2">
        <v>-74.066980555555503</v>
      </c>
      <c r="AB790" s="2">
        <v>2621</v>
      </c>
      <c r="AC790" s="2" t="s">
        <v>31</v>
      </c>
      <c r="AD790" s="2" t="s">
        <v>32</v>
      </c>
      <c r="AE790" s="2" t="s">
        <v>33</v>
      </c>
      <c r="AF790" s="2" t="s">
        <v>34</v>
      </c>
      <c r="AG790" s="2" t="s">
        <v>35</v>
      </c>
      <c r="AH790" s="2">
        <v>0.38213294160134398</v>
      </c>
      <c r="AI790" s="2">
        <v>1.3263637121494001</v>
      </c>
      <c r="AJ790" s="2">
        <v>0.17105025230639001</v>
      </c>
      <c r="AK790" s="2">
        <v>0.11021794403974</v>
      </c>
      <c r="AL790" s="2">
        <v>0.177181666139405</v>
      </c>
      <c r="AN790" s="2">
        <v>6.8</v>
      </c>
      <c r="AO790" s="2">
        <v>19.899999999999999</v>
      </c>
      <c r="AP790" s="2">
        <v>564</v>
      </c>
      <c r="AQ790" s="2">
        <v>68</v>
      </c>
      <c r="AR790" s="2">
        <v>1.5</v>
      </c>
      <c r="AS790" s="2">
        <v>135</v>
      </c>
      <c r="AT790" s="2">
        <v>0.8</v>
      </c>
      <c r="AU790" s="2">
        <v>162</v>
      </c>
      <c r="AV790" s="2">
        <v>9.1</v>
      </c>
      <c r="AW790" s="2">
        <v>9.1999999999999993</v>
      </c>
      <c r="AX790" s="2">
        <v>18.3</v>
      </c>
      <c r="AY790" s="2">
        <v>0.34</v>
      </c>
      <c r="AZ790" s="2">
        <v>7.3</v>
      </c>
      <c r="BA790" s="2">
        <v>0.9</v>
      </c>
      <c r="BB790" s="2">
        <v>7.5</v>
      </c>
      <c r="BC790" s="2">
        <v>2.9</v>
      </c>
      <c r="BD790" s="2">
        <f>+AN790*EXP(-0.0495*Y790)</f>
        <v>6.5374718433745009</v>
      </c>
      <c r="BE790" s="2">
        <f>+AO790*EXP(-0.024*Y790)</f>
        <v>19.52372189527679</v>
      </c>
    </row>
    <row r="791" spans="1:57" x14ac:dyDescent="0.2">
      <c r="A791" s="2" t="s">
        <v>173</v>
      </c>
      <c r="B791" s="2" t="s">
        <v>19</v>
      </c>
      <c r="C791" s="2" t="s">
        <v>20</v>
      </c>
      <c r="D791" s="2" t="s">
        <v>21</v>
      </c>
      <c r="E791" s="2" t="s">
        <v>174</v>
      </c>
      <c r="F791" s="2">
        <v>5</v>
      </c>
      <c r="G791" s="2">
        <v>240</v>
      </c>
      <c r="H791" s="2">
        <v>3</v>
      </c>
      <c r="I791" s="2">
        <v>5</v>
      </c>
      <c r="J791" s="2">
        <v>3</v>
      </c>
      <c r="K791" s="2" t="s">
        <v>61</v>
      </c>
      <c r="L791" s="6" t="s">
        <v>84</v>
      </c>
      <c r="M791" s="5">
        <v>3500000000</v>
      </c>
      <c r="N791" s="2">
        <v>0</v>
      </c>
      <c r="O791" s="2">
        <v>4.6577310560000003</v>
      </c>
      <c r="P791" s="2">
        <v>-74.055236820000005</v>
      </c>
      <c r="Q791" s="2" t="s">
        <v>175</v>
      </c>
      <c r="R791" s="2">
        <v>14583333.33</v>
      </c>
      <c r="S791" s="2">
        <v>0</v>
      </c>
      <c r="T791" s="2" t="s">
        <v>26</v>
      </c>
      <c r="U791" s="2" t="s">
        <v>27</v>
      </c>
      <c r="V791" s="2" t="s">
        <v>28</v>
      </c>
      <c r="W791" s="2" t="s">
        <v>29</v>
      </c>
      <c r="X791" s="2" t="s">
        <v>30</v>
      </c>
      <c r="Y791" s="2">
        <v>3.1886800558316901</v>
      </c>
      <c r="Z791" s="2">
        <v>4.6584666666666701</v>
      </c>
      <c r="AA791" s="2">
        <v>-74.083966666666697</v>
      </c>
      <c r="AB791" s="2">
        <v>2552</v>
      </c>
      <c r="AC791" s="2" t="s">
        <v>31</v>
      </c>
      <c r="AD791" s="2" t="s">
        <v>32</v>
      </c>
      <c r="AE791" s="2" t="s">
        <v>33</v>
      </c>
      <c r="AF791" s="2" t="s">
        <v>34</v>
      </c>
      <c r="AG791" s="2" t="s">
        <v>81</v>
      </c>
      <c r="AH791" s="2">
        <v>0.75952142642881204</v>
      </c>
      <c r="AI791" s="2">
        <v>0.86215653773974898</v>
      </c>
      <c r="AJ791" s="2">
        <v>0.25166756562819498</v>
      </c>
      <c r="AK791" s="2">
        <v>0.129800640975929</v>
      </c>
      <c r="AL791" s="2">
        <v>5.0467422639399198E-2</v>
      </c>
      <c r="AN791" s="2">
        <v>6.8</v>
      </c>
      <c r="AO791" s="2">
        <v>19.899999999999999</v>
      </c>
      <c r="AP791" s="2">
        <v>564</v>
      </c>
      <c r="AQ791" s="2">
        <v>68</v>
      </c>
      <c r="AR791" s="2">
        <v>1.5</v>
      </c>
      <c r="AS791" s="2">
        <v>135</v>
      </c>
      <c r="AT791" s="2">
        <v>0.8</v>
      </c>
      <c r="AU791" s="2">
        <v>162</v>
      </c>
      <c r="AV791" s="2">
        <v>9.1</v>
      </c>
      <c r="AW791" s="2">
        <v>9.1999999999999993</v>
      </c>
      <c r="AX791" s="2">
        <v>18.3</v>
      </c>
      <c r="AY791" s="2">
        <v>0.34</v>
      </c>
      <c r="AZ791" s="2">
        <v>7.3</v>
      </c>
      <c r="BA791" s="2">
        <v>0.9</v>
      </c>
      <c r="BB791" s="2">
        <v>7.5</v>
      </c>
      <c r="BC791" s="2">
        <v>2.9</v>
      </c>
      <c r="BD791" s="2">
        <f>+AN791*EXP(-0.0495*Y791)</f>
        <v>5.8071095386394926</v>
      </c>
      <c r="BE791" s="2">
        <f>+AO791*EXP(-0.024*Y791)</f>
        <v>18.433900914179997</v>
      </c>
    </row>
    <row r="792" spans="1:57" x14ac:dyDescent="0.2">
      <c r="A792" s="2" t="s">
        <v>2415</v>
      </c>
      <c r="B792" s="2" t="s">
        <v>19</v>
      </c>
      <c r="C792" s="2" t="s">
        <v>1907</v>
      </c>
      <c r="D792" s="2" t="s">
        <v>21</v>
      </c>
      <c r="E792" s="2" t="s">
        <v>319</v>
      </c>
      <c r="F792" s="2">
        <v>2</v>
      </c>
      <c r="G792" s="2">
        <v>240</v>
      </c>
      <c r="H792" s="2">
        <v>5</v>
      </c>
      <c r="I792" s="2">
        <v>4</v>
      </c>
      <c r="J792" s="2">
        <v>1</v>
      </c>
      <c r="K792" s="2" t="s">
        <v>61</v>
      </c>
      <c r="L792" s="6" t="s">
        <v>113</v>
      </c>
      <c r="M792" s="5">
        <v>520000000</v>
      </c>
      <c r="N792" s="2">
        <v>0</v>
      </c>
      <c r="O792" s="2">
        <v>4.6113662719999997</v>
      </c>
      <c r="P792" s="2">
        <v>-74.181587219999997</v>
      </c>
      <c r="Q792" s="2" t="s">
        <v>2416</v>
      </c>
      <c r="R792" s="2">
        <v>2166666.6669999999</v>
      </c>
      <c r="S792" s="2">
        <v>0</v>
      </c>
      <c r="T792" s="2" t="s">
        <v>316</v>
      </c>
      <c r="U792" s="2" t="s">
        <v>317</v>
      </c>
      <c r="V792" s="2" t="s">
        <v>28</v>
      </c>
      <c r="W792" s="2" t="s">
        <v>316</v>
      </c>
      <c r="X792" s="2" t="s">
        <v>318</v>
      </c>
      <c r="Y792" s="2">
        <v>2.57407887420365</v>
      </c>
      <c r="Z792" s="2">
        <v>4.6056111111111102</v>
      </c>
      <c r="AA792" s="2">
        <v>-74.204055555555598</v>
      </c>
      <c r="AB792" s="2">
        <v>2546</v>
      </c>
      <c r="AC792" s="2" t="s">
        <v>31</v>
      </c>
      <c r="AD792" s="2" t="s">
        <v>58</v>
      </c>
      <c r="AE792" s="2" t="s">
        <v>33</v>
      </c>
      <c r="AF792" s="2" t="s">
        <v>34</v>
      </c>
      <c r="AG792" s="2" t="s">
        <v>319</v>
      </c>
      <c r="AH792" s="2">
        <v>1.6005974390865501</v>
      </c>
      <c r="AI792" s="2">
        <v>3.8071576633997299</v>
      </c>
      <c r="AJ792" s="2">
        <v>5.1714318857575297</v>
      </c>
      <c r="AK792" s="2">
        <v>0.46999329683212698</v>
      </c>
      <c r="AL792" s="2">
        <v>0.25743747118340399</v>
      </c>
      <c r="AN792" s="2">
        <v>6.8</v>
      </c>
      <c r="AO792" s="2">
        <v>19.899999999999999</v>
      </c>
      <c r="AP792" s="2">
        <v>564</v>
      </c>
      <c r="AQ792" s="2">
        <v>68</v>
      </c>
      <c r="AR792" s="2">
        <v>1.5</v>
      </c>
      <c r="AS792" s="2">
        <v>135</v>
      </c>
      <c r="AT792" s="2">
        <v>0.8</v>
      </c>
      <c r="AU792" s="2">
        <v>162</v>
      </c>
      <c r="AV792" s="2">
        <v>9.1</v>
      </c>
      <c r="AW792" s="2">
        <v>9.1999999999999993</v>
      </c>
      <c r="AX792" s="2">
        <v>18.3</v>
      </c>
      <c r="AY792" s="2">
        <v>0.34</v>
      </c>
      <c r="AZ792" s="2">
        <v>7.3</v>
      </c>
      <c r="BA792" s="2">
        <v>0.9</v>
      </c>
      <c r="BB792" s="2">
        <v>7.5</v>
      </c>
      <c r="BC792" s="2">
        <v>2.9</v>
      </c>
      <c r="BD792" s="2">
        <f>+AN792*EXP(-0.0495*Y792)</f>
        <v>5.9864926589644041</v>
      </c>
      <c r="BE792" s="2">
        <f>+AO792*EXP(-0.024*Y792)</f>
        <v>18.707824124784491</v>
      </c>
    </row>
    <row r="793" spans="1:57" x14ac:dyDescent="0.2">
      <c r="A793" s="2" t="s">
        <v>2787</v>
      </c>
      <c r="B793" s="2" t="s">
        <v>19</v>
      </c>
      <c r="C793" s="2" t="s">
        <v>1907</v>
      </c>
      <c r="D793" s="2" t="s">
        <v>21</v>
      </c>
      <c r="E793" s="2" t="s">
        <v>2788</v>
      </c>
      <c r="F793" s="2">
        <v>3</v>
      </c>
      <c r="G793" s="2">
        <v>239.99</v>
      </c>
      <c r="H793" s="2">
        <v>5</v>
      </c>
      <c r="I793" s="2">
        <v>3</v>
      </c>
      <c r="J793" s="2">
        <v>1</v>
      </c>
      <c r="K793" s="2" t="s">
        <v>61</v>
      </c>
      <c r="L793" s="6" t="s">
        <v>113</v>
      </c>
      <c r="M793" s="5">
        <v>700000000</v>
      </c>
      <c r="N793" s="2">
        <v>0</v>
      </c>
      <c r="O793" s="2">
        <v>4.6677600000000004</v>
      </c>
      <c r="P793" s="2">
        <v>-74.074870000000004</v>
      </c>
      <c r="Q793" s="2" t="s">
        <v>2789</v>
      </c>
      <c r="R793" s="2">
        <v>2916788.2</v>
      </c>
      <c r="S793" s="2">
        <v>0</v>
      </c>
      <c r="T793" s="2" t="s">
        <v>26</v>
      </c>
      <c r="U793" s="2" t="s">
        <v>27</v>
      </c>
      <c r="V793" s="2" t="s">
        <v>28</v>
      </c>
      <c r="W793" s="2" t="s">
        <v>29</v>
      </c>
      <c r="X793" s="2" t="s">
        <v>30</v>
      </c>
      <c r="Y793" s="2">
        <v>1.4453046529790099</v>
      </c>
      <c r="Z793" s="2">
        <v>4.6584666666666701</v>
      </c>
      <c r="AA793" s="2">
        <v>-74.083966666666697</v>
      </c>
      <c r="AB793" s="2">
        <v>2552</v>
      </c>
      <c r="AC793" s="2" t="s">
        <v>31</v>
      </c>
      <c r="AD793" s="2" t="s">
        <v>32</v>
      </c>
      <c r="AE793" s="2" t="s">
        <v>33</v>
      </c>
      <c r="AF793" s="2" t="s">
        <v>34</v>
      </c>
      <c r="AG793" s="2" t="s">
        <v>293</v>
      </c>
      <c r="AH793" s="2">
        <v>0.15894364160895499</v>
      </c>
      <c r="AI793" s="2">
        <v>3.2189394736442098</v>
      </c>
      <c r="AJ793" s="2">
        <v>1.4205470059062699</v>
      </c>
      <c r="AK793" s="2">
        <v>6.3672211868236905E-2</v>
      </c>
      <c r="AL793" s="2">
        <v>0.14246645212683801</v>
      </c>
      <c r="AN793" s="2">
        <v>6.8</v>
      </c>
      <c r="AO793" s="2">
        <v>19.899999999999999</v>
      </c>
      <c r="AP793" s="2">
        <v>564</v>
      </c>
      <c r="AQ793" s="2">
        <v>68</v>
      </c>
      <c r="AR793" s="2">
        <v>1.5</v>
      </c>
      <c r="AS793" s="2">
        <v>135</v>
      </c>
      <c r="AT793" s="2">
        <v>0.8</v>
      </c>
      <c r="AU793" s="2">
        <v>162</v>
      </c>
      <c r="AV793" s="2">
        <v>9.1</v>
      </c>
      <c r="AW793" s="2">
        <v>9.1999999999999993</v>
      </c>
      <c r="AX793" s="2">
        <v>18.3</v>
      </c>
      <c r="AY793" s="2">
        <v>0.34</v>
      </c>
      <c r="AZ793" s="2">
        <v>7.3</v>
      </c>
      <c r="BA793" s="2">
        <v>0.9</v>
      </c>
      <c r="BB793" s="2">
        <v>7.5</v>
      </c>
      <c r="BC793" s="2">
        <v>2.9</v>
      </c>
      <c r="BD793" s="2">
        <f>+AN793*EXP(-0.0495*Y793)</f>
        <v>6.3305051269564636</v>
      </c>
      <c r="BE793" s="2">
        <f>+AO793*EXP(-0.024*Y793)</f>
        <v>19.221557200531603</v>
      </c>
    </row>
    <row r="794" spans="1:57" x14ac:dyDescent="0.2">
      <c r="A794" s="2" t="s">
        <v>2051</v>
      </c>
      <c r="B794" s="2" t="s">
        <v>19</v>
      </c>
      <c r="C794" s="2" t="s">
        <v>1907</v>
      </c>
      <c r="D794" s="2" t="s">
        <v>21</v>
      </c>
      <c r="E794" s="2" t="s">
        <v>590</v>
      </c>
      <c r="F794" s="2">
        <v>4</v>
      </c>
      <c r="G794" s="2">
        <v>239</v>
      </c>
      <c r="H794" s="2">
        <v>4</v>
      </c>
      <c r="I794" s="2">
        <v>5</v>
      </c>
      <c r="J794" s="2">
        <v>1</v>
      </c>
      <c r="K794" s="2" t="s">
        <v>61</v>
      </c>
      <c r="L794" s="6" t="s">
        <v>84</v>
      </c>
      <c r="M794" s="5">
        <v>3500000000</v>
      </c>
      <c r="N794" s="2">
        <v>0</v>
      </c>
      <c r="O794" s="2">
        <v>4.6629230000000002</v>
      </c>
      <c r="P794" s="2">
        <v>-74.078119999999998</v>
      </c>
      <c r="Q794" s="2" t="s">
        <v>2052</v>
      </c>
      <c r="R794" s="2">
        <v>14644351.460000001</v>
      </c>
      <c r="S794" s="2">
        <v>0</v>
      </c>
      <c r="T794" s="2" t="s">
        <v>26</v>
      </c>
      <c r="U794" s="2" t="s">
        <v>27</v>
      </c>
      <c r="V794" s="2" t="s">
        <v>28</v>
      </c>
      <c r="W794" s="2" t="s">
        <v>29</v>
      </c>
      <c r="X794" s="2" t="s">
        <v>30</v>
      </c>
      <c r="Y794" s="2">
        <v>0.81663849970931401</v>
      </c>
      <c r="Z794" s="2">
        <v>4.6584666666666701</v>
      </c>
      <c r="AA794" s="2">
        <v>-74.083966666666697</v>
      </c>
      <c r="AB794" s="2">
        <v>2552</v>
      </c>
      <c r="AC794" s="2" t="s">
        <v>31</v>
      </c>
      <c r="AD794" s="2" t="s">
        <v>32</v>
      </c>
      <c r="AE794" s="2" t="s">
        <v>33</v>
      </c>
      <c r="AF794" s="2" t="s">
        <v>34</v>
      </c>
      <c r="AG794" s="2" t="s">
        <v>293</v>
      </c>
      <c r="AH794" s="2">
        <v>0.54608531243695202</v>
      </c>
      <c r="AI794" s="2">
        <v>3.3315021260245499</v>
      </c>
      <c r="AJ794" s="2">
        <v>1.46316369576257</v>
      </c>
      <c r="AK794" s="2">
        <v>0.148156336407199</v>
      </c>
      <c r="AL794" s="2">
        <v>2.6754581207642701E-2</v>
      </c>
      <c r="AN794" s="2">
        <v>6.8</v>
      </c>
      <c r="AO794" s="2">
        <v>19.899999999999999</v>
      </c>
      <c r="AP794" s="2">
        <v>564</v>
      </c>
      <c r="AQ794" s="2">
        <v>68</v>
      </c>
      <c r="AR794" s="2">
        <v>1.5</v>
      </c>
      <c r="AS794" s="2">
        <v>135</v>
      </c>
      <c r="AT794" s="2">
        <v>0.8</v>
      </c>
      <c r="AU794" s="2">
        <v>162</v>
      </c>
      <c r="AV794" s="2">
        <v>9.1</v>
      </c>
      <c r="AW794" s="2">
        <v>9.1999999999999993</v>
      </c>
      <c r="AX794" s="2">
        <v>18.3</v>
      </c>
      <c r="AY794" s="2">
        <v>0.34</v>
      </c>
      <c r="AZ794" s="2">
        <v>7.3</v>
      </c>
      <c r="BA794" s="2">
        <v>0.9</v>
      </c>
      <c r="BB794" s="2">
        <v>7.5</v>
      </c>
      <c r="BC794" s="2">
        <v>2.9</v>
      </c>
      <c r="BD794" s="2">
        <f>+AN794*EXP(-0.0495*Y794)</f>
        <v>6.5306012000962257</v>
      </c>
      <c r="BE794" s="2">
        <f>+AO794*EXP(-0.024*Y794)</f>
        <v>19.513770732369014</v>
      </c>
    </row>
    <row r="795" spans="1:57" x14ac:dyDescent="0.2">
      <c r="A795" s="2" t="s">
        <v>2554</v>
      </c>
      <c r="B795" s="2" t="s">
        <v>19</v>
      </c>
      <c r="C795" s="2" t="s">
        <v>1907</v>
      </c>
      <c r="D795" s="2" t="s">
        <v>21</v>
      </c>
      <c r="E795" s="2" t="s">
        <v>2456</v>
      </c>
      <c r="F795" s="2">
        <v>3</v>
      </c>
      <c r="G795" s="2">
        <v>239</v>
      </c>
      <c r="H795" s="2">
        <v>5</v>
      </c>
      <c r="I795" s="2">
        <v>3</v>
      </c>
      <c r="J795" s="2">
        <v>2</v>
      </c>
      <c r="K795" s="2" t="s">
        <v>61</v>
      </c>
      <c r="L795" s="6" t="s">
        <v>113</v>
      </c>
      <c r="M795" s="5">
        <v>550000000</v>
      </c>
      <c r="N795" s="2">
        <v>0</v>
      </c>
      <c r="O795" s="2">
        <v>4.7090325359999996</v>
      </c>
      <c r="P795" s="2">
        <v>-74.098304749999997</v>
      </c>
      <c r="Q795" s="2" t="s">
        <v>2555</v>
      </c>
      <c r="R795" s="2">
        <v>2301255.23</v>
      </c>
      <c r="S795" s="2">
        <v>0</v>
      </c>
      <c r="T795" s="2" t="s">
        <v>370</v>
      </c>
      <c r="U795" s="2" t="s">
        <v>371</v>
      </c>
      <c r="V795" s="2" t="s">
        <v>28</v>
      </c>
      <c r="W795" s="2" t="s">
        <v>29</v>
      </c>
      <c r="X795" s="2" t="s">
        <v>372</v>
      </c>
      <c r="Y795" s="2">
        <v>4.2717134301815598</v>
      </c>
      <c r="Z795" s="2">
        <v>4.7358055555555598</v>
      </c>
      <c r="AA795" s="2">
        <v>-74.125888888888895</v>
      </c>
      <c r="AB795" s="2">
        <v>2574</v>
      </c>
      <c r="AC795" s="2" t="s">
        <v>105</v>
      </c>
      <c r="AD795" s="2" t="s">
        <v>58</v>
      </c>
      <c r="AE795" s="2" t="s">
        <v>33</v>
      </c>
      <c r="AF795" s="2" t="s">
        <v>34</v>
      </c>
      <c r="AG795" s="2" t="s">
        <v>363</v>
      </c>
      <c r="AH795" s="2">
        <v>0.75654820967161895</v>
      </c>
      <c r="AI795" s="2">
        <v>3.54330478264791</v>
      </c>
      <c r="AJ795" s="2">
        <v>1.2595653638275099</v>
      </c>
      <c r="AK795" s="2">
        <v>0.27729266951776799</v>
      </c>
      <c r="AL795" s="2">
        <v>6.8587212716617899E-2</v>
      </c>
      <c r="AN795" s="2">
        <v>6.8</v>
      </c>
      <c r="AO795" s="2">
        <v>19.899999999999999</v>
      </c>
      <c r="AP795" s="2">
        <v>564</v>
      </c>
      <c r="AQ795" s="2">
        <v>68</v>
      </c>
      <c r="AR795" s="2">
        <v>1.5</v>
      </c>
      <c r="AS795" s="2">
        <v>135</v>
      </c>
      <c r="AT795" s="2">
        <v>0.8</v>
      </c>
      <c r="AU795" s="2">
        <v>162</v>
      </c>
      <c r="AV795" s="2">
        <v>9.1</v>
      </c>
      <c r="AW795" s="2">
        <v>9.1999999999999993</v>
      </c>
      <c r="AX795" s="2">
        <v>18.3</v>
      </c>
      <c r="AY795" s="2">
        <v>0.34</v>
      </c>
      <c r="AZ795" s="2">
        <v>7.3</v>
      </c>
      <c r="BA795" s="2">
        <v>0.9</v>
      </c>
      <c r="BB795" s="2">
        <v>7.5</v>
      </c>
      <c r="BC795" s="2">
        <v>2.9</v>
      </c>
      <c r="BD795" s="2">
        <f>+AN795*EXP(-0.0495*Y795)</f>
        <v>5.5039873229652994</v>
      </c>
      <c r="BE795" s="2">
        <f>+AO795*EXP(-0.024*Y795)</f>
        <v>17.960925799576035</v>
      </c>
    </row>
    <row r="796" spans="1:57" x14ac:dyDescent="0.2">
      <c r="A796" s="2" t="s">
        <v>2223</v>
      </c>
      <c r="B796" s="2" t="s">
        <v>19</v>
      </c>
      <c r="C796" s="2" t="s">
        <v>1907</v>
      </c>
      <c r="D796" s="2" t="s">
        <v>21</v>
      </c>
      <c r="E796" s="2" t="s">
        <v>973</v>
      </c>
      <c r="F796" s="2">
        <v>4</v>
      </c>
      <c r="G796" s="2">
        <v>235</v>
      </c>
      <c r="H796" s="2">
        <v>4</v>
      </c>
      <c r="I796" s="2">
        <v>3</v>
      </c>
      <c r="J796" s="2">
        <v>3</v>
      </c>
      <c r="K796" s="2" t="s">
        <v>61</v>
      </c>
      <c r="L796" s="6" t="s">
        <v>113</v>
      </c>
      <c r="M796" s="5">
        <v>930000000</v>
      </c>
      <c r="N796" s="2">
        <v>0</v>
      </c>
      <c r="O796" s="2">
        <v>4.6965366</v>
      </c>
      <c r="P796" s="2">
        <v>-74.079441700000004</v>
      </c>
      <c r="Q796" s="2" t="s">
        <v>2224</v>
      </c>
      <c r="R796" s="2">
        <v>3957446.8089999999</v>
      </c>
      <c r="S796" s="2">
        <v>0</v>
      </c>
      <c r="T796" s="2" t="s">
        <v>26</v>
      </c>
      <c r="U796" s="2" t="s">
        <v>27</v>
      </c>
      <c r="V796" s="2" t="s">
        <v>28</v>
      </c>
      <c r="W796" s="2" t="s">
        <v>29</v>
      </c>
      <c r="X796" s="2" t="s">
        <v>30</v>
      </c>
      <c r="Y796" s="2">
        <v>4.2675586499904696</v>
      </c>
      <c r="Z796" s="2">
        <v>4.6584666666666701</v>
      </c>
      <c r="AA796" s="2">
        <v>-74.083966666666697</v>
      </c>
      <c r="AB796" s="2">
        <v>2552</v>
      </c>
      <c r="AC796" s="2" t="s">
        <v>31</v>
      </c>
      <c r="AD796" s="2" t="s">
        <v>32</v>
      </c>
      <c r="AE796" s="2" t="s">
        <v>33</v>
      </c>
      <c r="AF796" s="2" t="s">
        <v>34</v>
      </c>
      <c r="AG796" s="2" t="s">
        <v>72</v>
      </c>
      <c r="AH796" s="2">
        <v>0.84690885188026299</v>
      </c>
      <c r="AI796" s="2">
        <v>5.0814538884801603</v>
      </c>
      <c r="AJ796" s="2">
        <v>1.0992944916282099</v>
      </c>
      <c r="AK796" s="2">
        <v>0.39744727058915802</v>
      </c>
      <c r="AL796" s="2">
        <v>0.34476490704325202</v>
      </c>
      <c r="AN796" s="2">
        <v>6.8</v>
      </c>
      <c r="AO796" s="2">
        <v>19.899999999999999</v>
      </c>
      <c r="AP796" s="2">
        <v>564</v>
      </c>
      <c r="AQ796" s="2">
        <v>68</v>
      </c>
      <c r="AR796" s="2">
        <v>1.5</v>
      </c>
      <c r="AS796" s="2">
        <v>135</v>
      </c>
      <c r="AT796" s="2">
        <v>0.8</v>
      </c>
      <c r="AU796" s="2">
        <v>162</v>
      </c>
      <c r="AV796" s="2">
        <v>9.1</v>
      </c>
      <c r="AW796" s="2">
        <v>9.1999999999999993</v>
      </c>
      <c r="AX796" s="2">
        <v>18.3</v>
      </c>
      <c r="AY796" s="2">
        <v>0.34</v>
      </c>
      <c r="AZ796" s="2">
        <v>7.3</v>
      </c>
      <c r="BA796" s="2">
        <v>0.9</v>
      </c>
      <c r="BB796" s="2">
        <v>7.5</v>
      </c>
      <c r="BC796" s="2">
        <v>2.9</v>
      </c>
      <c r="BD796" s="2">
        <f>+AN796*EXP(-0.0495*Y796)</f>
        <v>5.5051193983198567</v>
      </c>
      <c r="BE796" s="2">
        <f>+AO796*EXP(-0.024*Y796)</f>
        <v>17.962716857641396</v>
      </c>
    </row>
    <row r="797" spans="1:57" x14ac:dyDescent="0.2">
      <c r="A797" s="2" t="s">
        <v>2000</v>
      </c>
      <c r="B797" s="2" t="s">
        <v>19</v>
      </c>
      <c r="C797" s="2" t="s">
        <v>1907</v>
      </c>
      <c r="D797" s="2" t="s">
        <v>21</v>
      </c>
      <c r="E797" s="2" t="s">
        <v>280</v>
      </c>
      <c r="F797" s="2">
        <v>5</v>
      </c>
      <c r="G797" s="2">
        <v>234.76</v>
      </c>
      <c r="H797" s="2">
        <v>5</v>
      </c>
      <c r="I797" s="2">
        <v>5</v>
      </c>
      <c r="J797" s="2">
        <v>2</v>
      </c>
      <c r="K797" s="2" t="s">
        <v>61</v>
      </c>
      <c r="L797" s="6" t="s">
        <v>113</v>
      </c>
      <c r="M797" s="5">
        <v>850000000</v>
      </c>
      <c r="N797" s="2">
        <v>0</v>
      </c>
      <c r="O797" s="2">
        <v>4.6983885770000002</v>
      </c>
      <c r="P797" s="2">
        <v>-74.080482480000001</v>
      </c>
      <c r="Q797" s="2" t="s">
        <v>2001</v>
      </c>
      <c r="R797" s="2">
        <v>3620719.0320000001</v>
      </c>
      <c r="S797" s="2">
        <v>0</v>
      </c>
      <c r="T797" s="2" t="s">
        <v>26</v>
      </c>
      <c r="U797" s="2" t="s">
        <v>27</v>
      </c>
      <c r="V797" s="2" t="s">
        <v>28</v>
      </c>
      <c r="W797" s="2" t="s">
        <v>29</v>
      </c>
      <c r="X797" s="2" t="s">
        <v>30</v>
      </c>
      <c r="Y797" s="2">
        <v>4.4608676089901396</v>
      </c>
      <c r="Z797" s="2">
        <v>4.6584666666666701</v>
      </c>
      <c r="AA797" s="2">
        <v>-74.083966666666697</v>
      </c>
      <c r="AB797" s="2">
        <v>2552</v>
      </c>
      <c r="AC797" s="2" t="s">
        <v>31</v>
      </c>
      <c r="AD797" s="2" t="s">
        <v>32</v>
      </c>
      <c r="AE797" s="2" t="s">
        <v>33</v>
      </c>
      <c r="AF797" s="2" t="s">
        <v>34</v>
      </c>
      <c r="AG797" s="2" t="s">
        <v>72</v>
      </c>
      <c r="AH797" s="2">
        <v>0.88661418864355401</v>
      </c>
      <c r="AI797" s="2">
        <v>5.2843198607902702</v>
      </c>
      <c r="AJ797" s="2">
        <v>1.0477248030183199</v>
      </c>
      <c r="AK797" s="2">
        <v>0.24440041925466699</v>
      </c>
      <c r="AL797" s="2">
        <v>0.358072769802326</v>
      </c>
      <c r="AN797" s="2">
        <v>6.8</v>
      </c>
      <c r="AO797" s="2">
        <v>19.899999999999999</v>
      </c>
      <c r="AP797" s="2">
        <v>564</v>
      </c>
      <c r="AQ797" s="2">
        <v>68</v>
      </c>
      <c r="AR797" s="2">
        <v>1.5</v>
      </c>
      <c r="AS797" s="2">
        <v>135</v>
      </c>
      <c r="AT797" s="2">
        <v>0.8</v>
      </c>
      <c r="AU797" s="2">
        <v>162</v>
      </c>
      <c r="AV797" s="2">
        <v>9.1</v>
      </c>
      <c r="AW797" s="2">
        <v>9.1999999999999993</v>
      </c>
      <c r="AX797" s="2">
        <v>18.3</v>
      </c>
      <c r="AY797" s="2">
        <v>0.34</v>
      </c>
      <c r="AZ797" s="2">
        <v>7.3</v>
      </c>
      <c r="BA797" s="2">
        <v>0.9</v>
      </c>
      <c r="BB797" s="2">
        <v>7.5</v>
      </c>
      <c r="BC797" s="2">
        <v>2.9</v>
      </c>
      <c r="BD797" s="2">
        <f>+AN797*EXP(-0.0495*Y797)</f>
        <v>5.4526932751580874</v>
      </c>
      <c r="BE797" s="2">
        <f>+AO797*EXP(-0.024*Y797)</f>
        <v>17.879573377013124</v>
      </c>
    </row>
    <row r="798" spans="1:57" x14ac:dyDescent="0.2">
      <c r="A798" s="2" t="s">
        <v>2368</v>
      </c>
      <c r="B798" s="2" t="s">
        <v>19</v>
      </c>
      <c r="C798" s="2" t="s">
        <v>1907</v>
      </c>
      <c r="D798" s="2" t="s">
        <v>21</v>
      </c>
      <c r="E798" s="2" t="s">
        <v>2369</v>
      </c>
      <c r="F798" s="2">
        <v>4</v>
      </c>
      <c r="G798" s="2">
        <v>232.2</v>
      </c>
      <c r="H798" s="2">
        <v>5</v>
      </c>
      <c r="I798" s="2">
        <v>5</v>
      </c>
      <c r="J798" s="2">
        <v>3</v>
      </c>
      <c r="K798" s="2" t="s">
        <v>61</v>
      </c>
      <c r="L798" s="6" t="s">
        <v>75</v>
      </c>
      <c r="M798" s="5">
        <v>1480000000</v>
      </c>
      <c r="N798" s="2">
        <v>0</v>
      </c>
      <c r="O798" s="2">
        <v>4.6502776150000003</v>
      </c>
      <c r="P798" s="2">
        <v>-74.079803470000002</v>
      </c>
      <c r="Q798" s="2" t="s">
        <v>2370</v>
      </c>
      <c r="R798" s="2">
        <v>6373815.676</v>
      </c>
      <c r="S798" s="2">
        <v>0</v>
      </c>
      <c r="T798" s="2" t="s">
        <v>26</v>
      </c>
      <c r="U798" s="2" t="s">
        <v>27</v>
      </c>
      <c r="V798" s="2" t="s">
        <v>28</v>
      </c>
      <c r="W798" s="2" t="s">
        <v>29</v>
      </c>
      <c r="X798" s="2" t="s">
        <v>30</v>
      </c>
      <c r="Y798" s="2">
        <v>1.0219508200979599</v>
      </c>
      <c r="Z798" s="2">
        <v>4.6584666666666701</v>
      </c>
      <c r="AA798" s="2">
        <v>-74.083966666666697</v>
      </c>
      <c r="AB798" s="2">
        <v>2552</v>
      </c>
      <c r="AC798" s="2" t="s">
        <v>31</v>
      </c>
      <c r="AD798" s="2" t="s">
        <v>32</v>
      </c>
      <c r="AE798" s="2" t="s">
        <v>33</v>
      </c>
      <c r="AF798" s="2" t="s">
        <v>34</v>
      </c>
      <c r="AG798" s="2" t="s">
        <v>35</v>
      </c>
      <c r="AH798" s="2">
        <v>0.16193463840464301</v>
      </c>
      <c r="AI798" s="2">
        <v>2.6766436458234799</v>
      </c>
      <c r="AJ798" s="2">
        <v>0.30668136871746399</v>
      </c>
      <c r="AK798" s="2">
        <v>0.106529197598841</v>
      </c>
      <c r="AL798" s="2">
        <v>5.6361176807670998E-2</v>
      </c>
      <c r="AN798" s="2">
        <v>6.8</v>
      </c>
      <c r="AO798" s="2">
        <v>19.899999999999999</v>
      </c>
      <c r="AP798" s="2">
        <v>564</v>
      </c>
      <c r="AQ798" s="2">
        <v>68</v>
      </c>
      <c r="AR798" s="2">
        <v>1.5</v>
      </c>
      <c r="AS798" s="2">
        <v>135</v>
      </c>
      <c r="AT798" s="2">
        <v>0.8</v>
      </c>
      <c r="AU798" s="2">
        <v>162</v>
      </c>
      <c r="AV798" s="2">
        <v>9.1</v>
      </c>
      <c r="AW798" s="2">
        <v>9.1999999999999993</v>
      </c>
      <c r="AX798" s="2">
        <v>18.3</v>
      </c>
      <c r="AY798" s="2">
        <v>0.34</v>
      </c>
      <c r="AZ798" s="2">
        <v>7.3</v>
      </c>
      <c r="BA798" s="2">
        <v>0.9</v>
      </c>
      <c r="BB798" s="2">
        <v>7.5</v>
      </c>
      <c r="BC798" s="2">
        <v>2.9</v>
      </c>
      <c r="BD798" s="2">
        <f>+AN798*EXP(-0.0495*Y798)</f>
        <v>6.4645670816548115</v>
      </c>
      <c r="BE798" s="2">
        <f>+AO798*EXP(-0.024*Y798)</f>
        <v>19.417853221837309</v>
      </c>
    </row>
    <row r="799" spans="1:57" x14ac:dyDescent="0.2">
      <c r="A799" s="2" t="s">
        <v>2008</v>
      </c>
      <c r="B799" s="2" t="s">
        <v>19</v>
      </c>
      <c r="C799" s="2" t="s">
        <v>1907</v>
      </c>
      <c r="D799" s="2" t="s">
        <v>21</v>
      </c>
      <c r="E799" s="2" t="s">
        <v>1078</v>
      </c>
      <c r="F799" s="2">
        <v>4</v>
      </c>
      <c r="G799" s="2">
        <v>232</v>
      </c>
      <c r="H799" s="2">
        <v>5</v>
      </c>
      <c r="I799" s="2">
        <v>5</v>
      </c>
      <c r="J799" s="2">
        <v>1</v>
      </c>
      <c r="K799" s="2" t="s">
        <v>61</v>
      </c>
      <c r="L799" s="6" t="s">
        <v>113</v>
      </c>
      <c r="M799" s="5">
        <v>799000000</v>
      </c>
      <c r="N799" s="2">
        <v>0</v>
      </c>
      <c r="O799" s="2">
        <v>4.6431560520000001</v>
      </c>
      <c r="P799" s="2">
        <v>-74.069587709999993</v>
      </c>
      <c r="Q799" s="2" t="s">
        <v>2009</v>
      </c>
      <c r="R799" s="2">
        <v>3443965.517</v>
      </c>
      <c r="S799" s="2">
        <v>0</v>
      </c>
      <c r="T799" s="2" t="s">
        <v>77</v>
      </c>
      <c r="U799" s="2" t="s">
        <v>78</v>
      </c>
      <c r="V799" s="2" t="s">
        <v>28</v>
      </c>
      <c r="W799" s="2" t="s">
        <v>79</v>
      </c>
      <c r="X799" s="2" t="s">
        <v>80</v>
      </c>
      <c r="Y799" s="2">
        <v>1.98816639487039</v>
      </c>
      <c r="Z799" s="2">
        <v>4.6254861111111101</v>
      </c>
      <c r="AA799" s="2">
        <v>-74.066980555555503</v>
      </c>
      <c r="AB799" s="2">
        <v>2621</v>
      </c>
      <c r="AC799" s="2" t="s">
        <v>31</v>
      </c>
      <c r="AD799" s="2" t="s">
        <v>32</v>
      </c>
      <c r="AE799" s="2" t="s">
        <v>33</v>
      </c>
      <c r="AF799" s="2" t="s">
        <v>34</v>
      </c>
      <c r="AG799" s="2" t="s">
        <v>35</v>
      </c>
      <c r="AH799" s="2">
        <v>0.41732018090406697</v>
      </c>
      <c r="AI799" s="2">
        <v>1.35526417036437</v>
      </c>
      <c r="AJ799" s="2">
        <v>0.23651115028459099</v>
      </c>
      <c r="AK799" s="2">
        <v>0.12126394585825601</v>
      </c>
      <c r="AL799" s="2">
        <v>4.9962748181764704E-3</v>
      </c>
      <c r="AN799" s="2">
        <v>6.8</v>
      </c>
      <c r="AO799" s="2">
        <v>19.899999999999999</v>
      </c>
      <c r="AP799" s="2">
        <v>564</v>
      </c>
      <c r="AQ799" s="2">
        <v>68</v>
      </c>
      <c r="AR799" s="2">
        <v>1.5</v>
      </c>
      <c r="AS799" s="2">
        <v>135</v>
      </c>
      <c r="AT799" s="2">
        <v>0.8</v>
      </c>
      <c r="AU799" s="2">
        <v>162</v>
      </c>
      <c r="AV799" s="2">
        <v>9.1</v>
      </c>
      <c r="AW799" s="2">
        <v>9.1999999999999993</v>
      </c>
      <c r="AX799" s="2">
        <v>18.3</v>
      </c>
      <c r="AY799" s="2">
        <v>0.34</v>
      </c>
      <c r="AZ799" s="2">
        <v>7.3</v>
      </c>
      <c r="BA799" s="2">
        <v>0.9</v>
      </c>
      <c r="BB799" s="2">
        <v>7.5</v>
      </c>
      <c r="BC799" s="2">
        <v>2.9</v>
      </c>
      <c r="BD799" s="2">
        <f>+AN799*EXP(-0.0495*Y799)</f>
        <v>6.1626592180532151</v>
      </c>
      <c r="BE799" s="2">
        <f>+AO799*EXP(-0.024*Y799)</f>
        <v>18.972749982502943</v>
      </c>
    </row>
    <row r="800" spans="1:57" x14ac:dyDescent="0.2">
      <c r="A800" s="2" t="s">
        <v>1024</v>
      </c>
      <c r="B800" s="2" t="s">
        <v>19</v>
      </c>
      <c r="C800" s="2" t="s">
        <v>20</v>
      </c>
      <c r="D800" s="2" t="s">
        <v>21</v>
      </c>
      <c r="E800" s="2" t="s">
        <v>1025</v>
      </c>
      <c r="F800" s="2">
        <v>6</v>
      </c>
      <c r="G800" s="2">
        <v>230</v>
      </c>
      <c r="H800" s="2">
        <v>3</v>
      </c>
      <c r="I800" s="2">
        <v>4</v>
      </c>
      <c r="J800" s="2">
        <v>2</v>
      </c>
      <c r="K800" s="2" t="s">
        <v>61</v>
      </c>
      <c r="L800" s="6" t="s">
        <v>113</v>
      </c>
      <c r="M800" s="5">
        <v>1390000000</v>
      </c>
      <c r="N800" s="2">
        <v>0</v>
      </c>
      <c r="O800" s="2">
        <v>4.6824493409999999</v>
      </c>
      <c r="P800" s="2">
        <v>-74.056884769999996</v>
      </c>
      <c r="Q800" s="2" t="s">
        <v>1026</v>
      </c>
      <c r="R800" s="2">
        <v>6043478.2609999999</v>
      </c>
      <c r="S800" s="2">
        <v>0</v>
      </c>
      <c r="T800" s="2" t="s">
        <v>26</v>
      </c>
      <c r="U800" s="2" t="s">
        <v>27</v>
      </c>
      <c r="V800" s="2" t="s">
        <v>28</v>
      </c>
      <c r="W800" s="2" t="s">
        <v>29</v>
      </c>
      <c r="X800" s="2" t="s">
        <v>30</v>
      </c>
      <c r="Y800" s="2">
        <v>4.0194432563947302</v>
      </c>
      <c r="Z800" s="2">
        <v>4.6584666666666701</v>
      </c>
      <c r="AA800" s="2">
        <v>-74.083966666666697</v>
      </c>
      <c r="AB800" s="2">
        <v>2552</v>
      </c>
      <c r="AC800" s="2" t="s">
        <v>31</v>
      </c>
      <c r="AD800" s="2" t="s">
        <v>32</v>
      </c>
      <c r="AE800" s="2" t="s">
        <v>33</v>
      </c>
      <c r="AF800" s="2" t="s">
        <v>34</v>
      </c>
      <c r="AG800" s="2" t="s">
        <v>81</v>
      </c>
      <c r="AH800" s="2">
        <v>0.189477863369857</v>
      </c>
      <c r="AI800" s="2">
        <v>2.14085782312777</v>
      </c>
      <c r="AJ800" s="2">
        <v>0.58147229379216303</v>
      </c>
      <c r="AK800" s="2">
        <v>6.1806867673580797E-2</v>
      </c>
      <c r="AL800" s="2">
        <v>0.19591434410210501</v>
      </c>
      <c r="AN800" s="2">
        <v>6.8</v>
      </c>
      <c r="AO800" s="2">
        <v>19.899999999999999</v>
      </c>
      <c r="AP800" s="2">
        <v>564</v>
      </c>
      <c r="AQ800" s="2">
        <v>68</v>
      </c>
      <c r="AR800" s="2">
        <v>1.5</v>
      </c>
      <c r="AS800" s="2">
        <v>135</v>
      </c>
      <c r="AT800" s="2">
        <v>0.8</v>
      </c>
      <c r="AU800" s="2">
        <v>162</v>
      </c>
      <c r="AV800" s="2">
        <v>9.1</v>
      </c>
      <c r="AW800" s="2">
        <v>9.1999999999999993</v>
      </c>
      <c r="AX800" s="2">
        <v>18.3</v>
      </c>
      <c r="AY800" s="2">
        <v>0.34</v>
      </c>
      <c r="AZ800" s="2">
        <v>7.3</v>
      </c>
      <c r="BA800" s="2">
        <v>0.9</v>
      </c>
      <c r="BB800" s="2">
        <v>7.5</v>
      </c>
      <c r="BC800" s="2">
        <v>2.9</v>
      </c>
      <c r="BD800" s="2">
        <f>+AN800*EXP(-0.0495*Y800)</f>
        <v>5.5731485915534966</v>
      </c>
      <c r="BE800" s="2">
        <f>+AO800*EXP(-0.024*Y800)</f>
        <v>18.069999800739147</v>
      </c>
    </row>
    <row r="801" spans="1:57" x14ac:dyDescent="0.2">
      <c r="A801" s="2" t="s">
        <v>2857</v>
      </c>
      <c r="B801" s="2" t="s">
        <v>19</v>
      </c>
      <c r="C801" s="2" t="s">
        <v>1907</v>
      </c>
      <c r="D801" s="2" t="s">
        <v>21</v>
      </c>
      <c r="E801" s="2" t="s">
        <v>2472</v>
      </c>
      <c r="F801" s="2">
        <v>4</v>
      </c>
      <c r="G801" s="2">
        <v>229</v>
      </c>
      <c r="H801" s="2">
        <v>4</v>
      </c>
      <c r="I801" s="2">
        <v>4</v>
      </c>
      <c r="J801" s="2">
        <v>1</v>
      </c>
      <c r="K801" s="2" t="s">
        <v>61</v>
      </c>
      <c r="L801" s="6" t="s">
        <v>113</v>
      </c>
      <c r="M801" s="5">
        <v>900000000</v>
      </c>
      <c r="N801" s="2">
        <v>0</v>
      </c>
      <c r="O801" s="2">
        <v>4.6718900000000003</v>
      </c>
      <c r="P801" s="2">
        <v>-74.06129</v>
      </c>
      <c r="Q801" s="2" t="s">
        <v>2858</v>
      </c>
      <c r="R801" s="2">
        <v>3930131.0040000002</v>
      </c>
      <c r="S801" s="2">
        <v>0</v>
      </c>
      <c r="T801" s="2" t="s">
        <v>26</v>
      </c>
      <c r="U801" s="2" t="s">
        <v>27</v>
      </c>
      <c r="V801" s="2" t="s">
        <v>28</v>
      </c>
      <c r="W801" s="2" t="s">
        <v>29</v>
      </c>
      <c r="X801" s="2" t="s">
        <v>30</v>
      </c>
      <c r="Y801" s="2">
        <v>2.9262746522943801</v>
      </c>
      <c r="Z801" s="2">
        <v>4.6584666666666701</v>
      </c>
      <c r="AA801" s="2">
        <v>-74.083966666666697</v>
      </c>
      <c r="AB801" s="2">
        <v>2552</v>
      </c>
      <c r="AC801" s="2" t="s">
        <v>31</v>
      </c>
      <c r="AD801" s="2" t="s">
        <v>32</v>
      </c>
      <c r="AE801" s="2" t="s">
        <v>33</v>
      </c>
      <c r="AF801" s="2" t="s">
        <v>34</v>
      </c>
      <c r="AG801" s="2" t="s">
        <v>293</v>
      </c>
      <c r="AH801" s="2">
        <v>0.188437517561581</v>
      </c>
      <c r="AI801" s="2">
        <v>1.9572991384048199</v>
      </c>
      <c r="AJ801" s="2">
        <v>0.54458841374904998</v>
      </c>
      <c r="AK801" s="2">
        <v>4.9021117388124397E-2</v>
      </c>
      <c r="AL801" s="2">
        <v>0.44996065441525901</v>
      </c>
      <c r="AN801" s="2">
        <v>6.8</v>
      </c>
      <c r="AO801" s="2">
        <v>19.899999999999999</v>
      </c>
      <c r="AP801" s="2">
        <v>564</v>
      </c>
      <c r="AQ801" s="2">
        <v>68</v>
      </c>
      <c r="AR801" s="2">
        <v>1.5</v>
      </c>
      <c r="AS801" s="2">
        <v>135</v>
      </c>
      <c r="AT801" s="2">
        <v>0.8</v>
      </c>
      <c r="AU801" s="2">
        <v>162</v>
      </c>
      <c r="AV801" s="2">
        <v>9.1</v>
      </c>
      <c r="AW801" s="2">
        <v>9.1999999999999993</v>
      </c>
      <c r="AX801" s="2">
        <v>18.3</v>
      </c>
      <c r="AY801" s="2">
        <v>0.34</v>
      </c>
      <c r="AZ801" s="2">
        <v>7.3</v>
      </c>
      <c r="BA801" s="2">
        <v>0.9</v>
      </c>
      <c r="BB801" s="2">
        <v>7.5</v>
      </c>
      <c r="BC801" s="2">
        <v>2.9</v>
      </c>
      <c r="BD801" s="2">
        <f>+AN801*EXP(-0.0495*Y801)</f>
        <v>5.8830304799676734</v>
      </c>
      <c r="BE801" s="2">
        <f>+AO801*EXP(-0.024*Y801)</f>
        <v>18.550358964930098</v>
      </c>
    </row>
    <row r="802" spans="1:57" x14ac:dyDescent="0.2">
      <c r="A802" s="2" t="s">
        <v>1175</v>
      </c>
      <c r="B802" s="2" t="s">
        <v>19</v>
      </c>
      <c r="C802" s="2" t="s">
        <v>20</v>
      </c>
      <c r="D802" s="2" t="s">
        <v>21</v>
      </c>
      <c r="E802" s="2" t="s">
        <v>83</v>
      </c>
      <c r="F802" s="2">
        <v>6</v>
      </c>
      <c r="G802" s="2">
        <v>227</v>
      </c>
      <c r="H802" s="2">
        <v>3</v>
      </c>
      <c r="I802" s="2">
        <v>4</v>
      </c>
      <c r="J802" s="2">
        <v>2</v>
      </c>
      <c r="K802" s="2" t="s">
        <v>61</v>
      </c>
      <c r="L802" s="6" t="s">
        <v>113</v>
      </c>
      <c r="M802" s="5">
        <v>2850000000</v>
      </c>
      <c r="N802" s="2">
        <v>0</v>
      </c>
      <c r="O802" s="2">
        <v>4.6742029189999998</v>
      </c>
      <c r="P802" s="2">
        <v>-74.055229190000006</v>
      </c>
      <c r="Q802" s="2" t="s">
        <v>1176</v>
      </c>
      <c r="R802" s="2">
        <v>12555066.08</v>
      </c>
      <c r="S802" s="2">
        <v>0</v>
      </c>
      <c r="T802" s="2" t="s">
        <v>26</v>
      </c>
      <c r="U802" s="2" t="s">
        <v>27</v>
      </c>
      <c r="V802" s="2" t="s">
        <v>28</v>
      </c>
      <c r="W802" s="2" t="s">
        <v>29</v>
      </c>
      <c r="X802" s="2" t="s">
        <v>30</v>
      </c>
      <c r="Y802" s="2">
        <v>3.63796205292895</v>
      </c>
      <c r="Z802" s="2">
        <v>4.6584666666666701</v>
      </c>
      <c r="AA802" s="2">
        <v>-74.083966666666697</v>
      </c>
      <c r="AB802" s="2">
        <v>2552</v>
      </c>
      <c r="AC802" s="2" t="s">
        <v>31</v>
      </c>
      <c r="AD802" s="2" t="s">
        <v>32</v>
      </c>
      <c r="AE802" s="2" t="s">
        <v>33</v>
      </c>
      <c r="AF802" s="2" t="s">
        <v>34</v>
      </c>
      <c r="AG802" s="2" t="s">
        <v>81</v>
      </c>
      <c r="AH802" s="2">
        <v>0.46471471056503399</v>
      </c>
      <c r="AI802" s="2">
        <v>1.4811234492290399</v>
      </c>
      <c r="AJ802" s="2">
        <v>0.78759240591788104</v>
      </c>
      <c r="AK802" s="2">
        <v>0.102863159577316</v>
      </c>
      <c r="AL802" s="2">
        <v>0.78442002192833105</v>
      </c>
      <c r="AN802" s="2">
        <v>6.8</v>
      </c>
      <c r="AO802" s="2">
        <v>19.899999999999999</v>
      </c>
      <c r="AP802" s="2">
        <v>564</v>
      </c>
      <c r="AQ802" s="2">
        <v>68</v>
      </c>
      <c r="AR802" s="2">
        <v>1.5</v>
      </c>
      <c r="AS802" s="2">
        <v>135</v>
      </c>
      <c r="AT802" s="2">
        <v>0.8</v>
      </c>
      <c r="AU802" s="2">
        <v>162</v>
      </c>
      <c r="AV802" s="2">
        <v>9.1</v>
      </c>
      <c r="AW802" s="2">
        <v>9.1999999999999993</v>
      </c>
      <c r="AX802" s="2">
        <v>18.3</v>
      </c>
      <c r="AY802" s="2">
        <v>0.34</v>
      </c>
      <c r="AZ802" s="2">
        <v>7.3</v>
      </c>
      <c r="BA802" s="2">
        <v>0.9</v>
      </c>
      <c r="BB802" s="2">
        <v>7.5</v>
      </c>
      <c r="BC802" s="2">
        <v>2.9</v>
      </c>
      <c r="BD802" s="2">
        <f>+AN802*EXP(-0.0495*Y802)</f>
        <v>5.6793880574354239</v>
      </c>
      <c r="BE802" s="2">
        <f>+AO802*EXP(-0.024*Y802)</f>
        <v>18.236200234366233</v>
      </c>
    </row>
    <row r="803" spans="1:57" x14ac:dyDescent="0.2">
      <c r="A803" s="2" t="s">
        <v>3230</v>
      </c>
      <c r="B803" s="2" t="s">
        <v>19</v>
      </c>
      <c r="C803" s="2" t="s">
        <v>1907</v>
      </c>
      <c r="D803" s="2" t="s">
        <v>21</v>
      </c>
      <c r="E803" s="2" t="s">
        <v>973</v>
      </c>
      <c r="F803" s="2">
        <v>5</v>
      </c>
      <c r="G803" s="2">
        <v>227</v>
      </c>
      <c r="H803" s="2">
        <v>4</v>
      </c>
      <c r="I803" s="2">
        <v>3</v>
      </c>
      <c r="J803" s="2">
        <v>3</v>
      </c>
      <c r="K803" s="2" t="s">
        <v>61</v>
      </c>
      <c r="L803" s="6" t="s">
        <v>113</v>
      </c>
      <c r="M803" s="5">
        <v>850000000</v>
      </c>
      <c r="N803" s="2">
        <v>0</v>
      </c>
      <c r="O803" s="2">
        <v>4.696752</v>
      </c>
      <c r="P803" s="2">
        <v>-74.079023000000007</v>
      </c>
      <c r="Q803" s="2" t="s">
        <v>3231</v>
      </c>
      <c r="R803" s="2">
        <v>3744493.392</v>
      </c>
      <c r="S803" s="2">
        <v>0</v>
      </c>
      <c r="T803" s="2" t="s">
        <v>26</v>
      </c>
      <c r="U803" s="2" t="s">
        <v>27</v>
      </c>
      <c r="V803" s="2" t="s">
        <v>28</v>
      </c>
      <c r="W803" s="2" t="s">
        <v>29</v>
      </c>
      <c r="X803" s="2" t="s">
        <v>30</v>
      </c>
      <c r="Y803" s="2">
        <v>4.2970535495684699</v>
      </c>
      <c r="Z803" s="2">
        <v>4.6584666666666701</v>
      </c>
      <c r="AA803" s="2">
        <v>-74.083966666666697</v>
      </c>
      <c r="AB803" s="2">
        <v>2552</v>
      </c>
      <c r="AC803" s="2" t="s">
        <v>31</v>
      </c>
      <c r="AD803" s="2" t="s">
        <v>32</v>
      </c>
      <c r="AE803" s="2" t="s">
        <v>33</v>
      </c>
      <c r="AF803" s="2" t="s">
        <v>34</v>
      </c>
      <c r="AG803" s="2" t="s">
        <v>72</v>
      </c>
      <c r="AH803" s="2">
        <v>0.89600552106564701</v>
      </c>
      <c r="AI803" s="2">
        <v>5.0530623031799502</v>
      </c>
      <c r="AJ803" s="2">
        <v>1.0503252926073401</v>
      </c>
      <c r="AK803" s="2">
        <v>0.34529323551056301</v>
      </c>
      <c r="AL803" s="2">
        <v>0.29377140810700803</v>
      </c>
      <c r="AN803" s="2">
        <v>6.8</v>
      </c>
      <c r="AO803" s="2">
        <v>19.899999999999999</v>
      </c>
      <c r="AP803" s="2">
        <v>564</v>
      </c>
      <c r="AQ803" s="2">
        <v>68</v>
      </c>
      <c r="AR803" s="2">
        <v>1.5</v>
      </c>
      <c r="AS803" s="2">
        <v>135</v>
      </c>
      <c r="AT803" s="2">
        <v>0.8</v>
      </c>
      <c r="AU803" s="2">
        <v>162</v>
      </c>
      <c r="AV803" s="2">
        <v>9.1</v>
      </c>
      <c r="AW803" s="2">
        <v>9.1999999999999993</v>
      </c>
      <c r="AX803" s="2">
        <v>18.3</v>
      </c>
      <c r="AY803" s="2">
        <v>0.34</v>
      </c>
      <c r="AZ803" s="2">
        <v>7.3</v>
      </c>
      <c r="BA803" s="2">
        <v>0.9</v>
      </c>
      <c r="BB803" s="2">
        <v>7.5</v>
      </c>
      <c r="BC803" s="2">
        <v>2.9</v>
      </c>
      <c r="BD803" s="2">
        <f>+AN803*EXP(-0.0495*Y803)</f>
        <v>5.497087802082854</v>
      </c>
      <c r="BE803" s="2">
        <f>+AO803*EXP(-0.024*Y803)</f>
        <v>17.950005952337939</v>
      </c>
    </row>
    <row r="804" spans="1:57" x14ac:dyDescent="0.2">
      <c r="A804" s="2" t="s">
        <v>3088</v>
      </c>
      <c r="B804" s="2" t="s">
        <v>19</v>
      </c>
      <c r="C804" s="2" t="s">
        <v>1907</v>
      </c>
      <c r="D804" s="2" t="s">
        <v>21</v>
      </c>
      <c r="E804" s="2" t="s">
        <v>635</v>
      </c>
      <c r="F804" s="2">
        <v>5</v>
      </c>
      <c r="G804" s="2">
        <v>226</v>
      </c>
      <c r="H804" s="2">
        <v>5</v>
      </c>
      <c r="I804" s="2">
        <v>3</v>
      </c>
      <c r="J804" s="2">
        <v>3</v>
      </c>
      <c r="K804" s="2" t="s">
        <v>61</v>
      </c>
      <c r="L804" s="6" t="s">
        <v>113</v>
      </c>
      <c r="M804" s="5">
        <v>1310000000</v>
      </c>
      <c r="N804" s="2">
        <v>0</v>
      </c>
      <c r="O804" s="2">
        <v>4.6866500000000002</v>
      </c>
      <c r="P804" s="2">
        <v>-74.061400000000006</v>
      </c>
      <c r="Q804" s="2" t="s">
        <v>3089</v>
      </c>
      <c r="R804" s="2">
        <v>5796460.1770000001</v>
      </c>
      <c r="S804" s="2">
        <v>0</v>
      </c>
      <c r="T804" s="2" t="s">
        <v>26</v>
      </c>
      <c r="U804" s="2" t="s">
        <v>27</v>
      </c>
      <c r="V804" s="2" t="s">
        <v>28</v>
      </c>
      <c r="W804" s="2" t="s">
        <v>29</v>
      </c>
      <c r="X804" s="2" t="s">
        <v>30</v>
      </c>
      <c r="Y804" s="2">
        <v>4.0139519867751599</v>
      </c>
      <c r="Z804" s="2">
        <v>4.6584666666666701</v>
      </c>
      <c r="AA804" s="2">
        <v>-74.083966666666697</v>
      </c>
      <c r="AB804" s="2">
        <v>2552</v>
      </c>
      <c r="AC804" s="2" t="s">
        <v>31</v>
      </c>
      <c r="AD804" s="2" t="s">
        <v>32</v>
      </c>
      <c r="AE804" s="2" t="s">
        <v>33</v>
      </c>
      <c r="AF804" s="2" t="s">
        <v>34</v>
      </c>
      <c r="AG804" s="2" t="s">
        <v>293</v>
      </c>
      <c r="AH804" s="2">
        <v>0.29553718272574597</v>
      </c>
      <c r="AI804" s="2">
        <v>2.8026956374666501</v>
      </c>
      <c r="AJ804" s="2">
        <v>0.829794608491639</v>
      </c>
      <c r="AK804" s="2">
        <v>4.1452199998534403E-2</v>
      </c>
      <c r="AL804" s="2">
        <v>0.196295898124037</v>
      </c>
      <c r="AN804" s="2">
        <v>6.8</v>
      </c>
      <c r="AO804" s="2">
        <v>19.899999999999999</v>
      </c>
      <c r="AP804" s="2">
        <v>564</v>
      </c>
      <c r="AQ804" s="2">
        <v>68</v>
      </c>
      <c r="AR804" s="2">
        <v>1.5</v>
      </c>
      <c r="AS804" s="2">
        <v>135</v>
      </c>
      <c r="AT804" s="2">
        <v>0.8</v>
      </c>
      <c r="AU804" s="2">
        <v>162</v>
      </c>
      <c r="AV804" s="2">
        <v>9.1</v>
      </c>
      <c r="AW804" s="2">
        <v>9.1999999999999993</v>
      </c>
      <c r="AX804" s="2">
        <v>18.3</v>
      </c>
      <c r="AY804" s="2">
        <v>0.34</v>
      </c>
      <c r="AZ804" s="2">
        <v>7.3</v>
      </c>
      <c r="BA804" s="2">
        <v>0.9</v>
      </c>
      <c r="BB804" s="2">
        <v>7.5</v>
      </c>
      <c r="BC804" s="2">
        <v>2.9</v>
      </c>
      <c r="BD804" s="2">
        <f>+AN804*EXP(-0.0495*Y804)</f>
        <v>5.5746636787045656</v>
      </c>
      <c r="BE804" s="2">
        <f>+AO804*EXP(-0.024*Y804)</f>
        <v>18.072381411454852</v>
      </c>
    </row>
    <row r="805" spans="1:57" x14ac:dyDescent="0.2">
      <c r="A805" s="2" t="s">
        <v>3192</v>
      </c>
      <c r="B805" s="2" t="s">
        <v>19</v>
      </c>
      <c r="C805" s="2" t="s">
        <v>1907</v>
      </c>
      <c r="D805" s="2" t="s">
        <v>21</v>
      </c>
      <c r="E805" s="2" t="s">
        <v>3193</v>
      </c>
      <c r="F805" s="2">
        <v>2</v>
      </c>
      <c r="G805" s="2">
        <v>226</v>
      </c>
      <c r="H805" s="2">
        <v>5</v>
      </c>
      <c r="I805" s="2">
        <v>4</v>
      </c>
      <c r="J805" s="2">
        <v>0</v>
      </c>
      <c r="K805" s="2" t="s">
        <v>61</v>
      </c>
      <c r="L805" s="6" t="s">
        <v>113</v>
      </c>
      <c r="M805" s="5">
        <v>380000000</v>
      </c>
      <c r="N805" s="2">
        <v>0</v>
      </c>
      <c r="O805" s="2">
        <v>4.6163800000000004</v>
      </c>
      <c r="P805" s="2">
        <v>-74.187449999999998</v>
      </c>
      <c r="Q805" s="2" t="s">
        <v>3194</v>
      </c>
      <c r="R805" s="2">
        <v>1681415.929</v>
      </c>
      <c r="S805" s="2">
        <v>0</v>
      </c>
      <c r="T805" s="2" t="s">
        <v>316</v>
      </c>
      <c r="U805" s="2" t="s">
        <v>317</v>
      </c>
      <c r="V805" s="2" t="s">
        <v>28</v>
      </c>
      <c r="W805" s="2" t="s">
        <v>316</v>
      </c>
      <c r="X805" s="2" t="s">
        <v>318</v>
      </c>
      <c r="Y805" s="2">
        <v>2.19819050017017</v>
      </c>
      <c r="Z805" s="2">
        <v>4.6056111111111102</v>
      </c>
      <c r="AA805" s="2">
        <v>-74.204055555555598</v>
      </c>
      <c r="AB805" s="2">
        <v>2546</v>
      </c>
      <c r="AC805" s="2" t="s">
        <v>31</v>
      </c>
      <c r="AD805" s="2" t="s">
        <v>58</v>
      </c>
      <c r="AE805" s="2" t="s">
        <v>33</v>
      </c>
      <c r="AF805" s="2" t="s">
        <v>34</v>
      </c>
      <c r="AG805" s="2" t="s">
        <v>319</v>
      </c>
      <c r="AH805" s="2">
        <v>2.1474626876076699</v>
      </c>
      <c r="AI805" s="2">
        <v>3.1989711723774898</v>
      </c>
      <c r="AJ805" s="2">
        <v>5.9941705261246803</v>
      </c>
      <c r="AK805" s="2">
        <v>0.75235631149003201</v>
      </c>
      <c r="AL805" s="2">
        <v>3.5335138842950503E-2</v>
      </c>
      <c r="AN805" s="2">
        <v>6.8</v>
      </c>
      <c r="AO805" s="2">
        <v>19.899999999999999</v>
      </c>
      <c r="AP805" s="2">
        <v>564</v>
      </c>
      <c r="AQ805" s="2">
        <v>68</v>
      </c>
      <c r="AR805" s="2">
        <v>1.5</v>
      </c>
      <c r="AS805" s="2">
        <v>135</v>
      </c>
      <c r="AT805" s="2">
        <v>0.8</v>
      </c>
      <c r="AU805" s="2">
        <v>162</v>
      </c>
      <c r="AV805" s="2">
        <v>9.1</v>
      </c>
      <c r="AW805" s="2">
        <v>9.1999999999999993</v>
      </c>
      <c r="AX805" s="2">
        <v>18.3</v>
      </c>
      <c r="AY805" s="2">
        <v>0.34</v>
      </c>
      <c r="AZ805" s="2">
        <v>7.3</v>
      </c>
      <c r="BA805" s="2">
        <v>0.9</v>
      </c>
      <c r="BB805" s="2">
        <v>7.5</v>
      </c>
      <c r="BC805" s="2">
        <v>2.9</v>
      </c>
      <c r="BD805" s="2">
        <f>+AN805*EXP(-0.0495*Y805)</f>
        <v>6.0989229036950166</v>
      </c>
      <c r="BE805" s="2">
        <f>+AO805*EXP(-0.024*Y805)</f>
        <v>18.877356966308053</v>
      </c>
    </row>
    <row r="806" spans="1:57" x14ac:dyDescent="0.2">
      <c r="A806" s="2" t="s">
        <v>1244</v>
      </c>
      <c r="B806" s="2" t="s">
        <v>19</v>
      </c>
      <c r="C806" s="2" t="s">
        <v>20</v>
      </c>
      <c r="D806" s="2" t="s">
        <v>21</v>
      </c>
      <c r="E806" s="2" t="s">
        <v>1245</v>
      </c>
      <c r="F806" s="2">
        <v>5</v>
      </c>
      <c r="G806" s="2">
        <v>223</v>
      </c>
      <c r="H806" s="2">
        <v>3</v>
      </c>
      <c r="I806" s="2">
        <v>4</v>
      </c>
      <c r="J806" s="2">
        <v>3</v>
      </c>
      <c r="K806" s="2" t="s">
        <v>61</v>
      </c>
      <c r="L806" s="6" t="s">
        <v>75</v>
      </c>
      <c r="M806" s="5">
        <v>2200000000</v>
      </c>
      <c r="N806" s="2">
        <v>0</v>
      </c>
      <c r="O806" s="2">
        <v>4.662745878</v>
      </c>
      <c r="P806" s="2">
        <v>-74.113893050000001</v>
      </c>
      <c r="Q806" s="2" t="s">
        <v>1246</v>
      </c>
      <c r="R806" s="2">
        <v>9865470.852</v>
      </c>
      <c r="S806" s="2">
        <v>0</v>
      </c>
      <c r="T806" s="2" t="s">
        <v>26</v>
      </c>
      <c r="U806" s="2" t="s">
        <v>27</v>
      </c>
      <c r="V806" s="2" t="s">
        <v>28</v>
      </c>
      <c r="W806" s="2" t="s">
        <v>29</v>
      </c>
      <c r="X806" s="2" t="s">
        <v>30</v>
      </c>
      <c r="Y806" s="2">
        <v>3.35437104907817</v>
      </c>
      <c r="Z806" s="2">
        <v>4.6584666666666701</v>
      </c>
      <c r="AA806" s="2">
        <v>-74.083966666666697</v>
      </c>
      <c r="AB806" s="2">
        <v>2552</v>
      </c>
      <c r="AC806" s="2" t="s">
        <v>31</v>
      </c>
      <c r="AD806" s="2" t="s">
        <v>32</v>
      </c>
      <c r="AE806" s="2" t="s">
        <v>33</v>
      </c>
      <c r="AF806" s="2" t="s">
        <v>34</v>
      </c>
      <c r="AG806" s="2" t="s">
        <v>43</v>
      </c>
      <c r="AH806" s="2">
        <v>0.57471711544830995</v>
      </c>
      <c r="AI806" s="2">
        <v>4.8441901940043399</v>
      </c>
      <c r="AJ806" s="2">
        <v>0.95641984939862501</v>
      </c>
      <c r="AK806" s="2">
        <v>0.364061863307584</v>
      </c>
      <c r="AL806" s="2">
        <v>0.50657894207424103</v>
      </c>
      <c r="AN806" s="2">
        <v>6.8</v>
      </c>
      <c r="AO806" s="2">
        <v>19.899999999999999</v>
      </c>
      <c r="AP806" s="2">
        <v>564</v>
      </c>
      <c r="AQ806" s="2">
        <v>68</v>
      </c>
      <c r="AR806" s="2">
        <v>1.5</v>
      </c>
      <c r="AS806" s="2">
        <v>135</v>
      </c>
      <c r="AT806" s="2">
        <v>0.8</v>
      </c>
      <c r="AU806" s="2">
        <v>162</v>
      </c>
      <c r="AV806" s="2">
        <v>9.1</v>
      </c>
      <c r="AW806" s="2">
        <v>9.1999999999999993</v>
      </c>
      <c r="AX806" s="2">
        <v>18.3</v>
      </c>
      <c r="AY806" s="2">
        <v>0.34</v>
      </c>
      <c r="AZ806" s="2">
        <v>7.3</v>
      </c>
      <c r="BA806" s="2">
        <v>0.9</v>
      </c>
      <c r="BB806" s="2">
        <v>7.5</v>
      </c>
      <c r="BC806" s="2">
        <v>2.9</v>
      </c>
      <c r="BD806" s="2">
        <f>+AN806*EXP(-0.0495*Y806)</f>
        <v>5.7596761274442505</v>
      </c>
      <c r="BE806" s="2">
        <f>+AO806*EXP(-0.024*Y806)</f>
        <v>18.36074251838788</v>
      </c>
    </row>
    <row r="807" spans="1:57" x14ac:dyDescent="0.2">
      <c r="A807" s="2" t="s">
        <v>2443</v>
      </c>
      <c r="B807" s="2" t="s">
        <v>19</v>
      </c>
      <c r="C807" s="2" t="s">
        <v>1907</v>
      </c>
      <c r="D807" s="2" t="s">
        <v>21</v>
      </c>
      <c r="E807" s="2" t="s">
        <v>2444</v>
      </c>
      <c r="F807" s="2">
        <v>5</v>
      </c>
      <c r="G807" s="2">
        <v>220</v>
      </c>
      <c r="H807" s="2">
        <v>5</v>
      </c>
      <c r="I807" s="2">
        <v>4</v>
      </c>
      <c r="J807" s="2">
        <v>2</v>
      </c>
      <c r="K807" s="2" t="s">
        <v>61</v>
      </c>
      <c r="L807" s="6" t="s">
        <v>113</v>
      </c>
      <c r="M807" s="5">
        <v>1950000000</v>
      </c>
      <c r="N807" s="2">
        <v>0</v>
      </c>
      <c r="O807" s="2">
        <v>4.6630458829999997</v>
      </c>
      <c r="P807" s="2">
        <v>-74.057815550000001</v>
      </c>
      <c r="Q807" s="2" t="s">
        <v>2445</v>
      </c>
      <c r="R807" s="2">
        <v>8863636.3640000001</v>
      </c>
      <c r="S807" s="2">
        <v>0</v>
      </c>
      <c r="T807" s="2" t="s">
        <v>26</v>
      </c>
      <c r="U807" s="2" t="s">
        <v>27</v>
      </c>
      <c r="V807" s="2" t="s">
        <v>28</v>
      </c>
      <c r="W807" s="2" t="s">
        <v>29</v>
      </c>
      <c r="X807" s="2" t="s">
        <v>30</v>
      </c>
      <c r="Y807" s="2">
        <v>2.94594111611142</v>
      </c>
      <c r="Z807" s="2">
        <v>4.6584666666666701</v>
      </c>
      <c r="AA807" s="2">
        <v>-74.083966666666697</v>
      </c>
      <c r="AB807" s="2">
        <v>2552</v>
      </c>
      <c r="AC807" s="2" t="s">
        <v>31</v>
      </c>
      <c r="AD807" s="2" t="s">
        <v>32</v>
      </c>
      <c r="AE807" s="2" t="s">
        <v>33</v>
      </c>
      <c r="AF807" s="2" t="s">
        <v>34</v>
      </c>
      <c r="AG807" s="2" t="s">
        <v>81</v>
      </c>
      <c r="AH807" s="2">
        <v>0.382077492454518</v>
      </c>
      <c r="AI807" s="2">
        <v>1.2578728986240899</v>
      </c>
      <c r="AJ807" s="2">
        <v>7.7840349300697206E-2</v>
      </c>
      <c r="AK807" s="2">
        <v>3.9627619497292703E-2</v>
      </c>
      <c r="AL807" s="2">
        <v>9.5987406333570197E-2</v>
      </c>
      <c r="AN807" s="2">
        <v>6.8</v>
      </c>
      <c r="AO807" s="2">
        <v>19.899999999999999</v>
      </c>
      <c r="AP807" s="2">
        <v>564</v>
      </c>
      <c r="AQ807" s="2">
        <v>68</v>
      </c>
      <c r="AR807" s="2">
        <v>1.5</v>
      </c>
      <c r="AS807" s="2">
        <v>135</v>
      </c>
      <c r="AT807" s="2">
        <v>0.8</v>
      </c>
      <c r="AU807" s="2">
        <v>162</v>
      </c>
      <c r="AV807" s="2">
        <v>9.1</v>
      </c>
      <c r="AW807" s="2">
        <v>9.1999999999999993</v>
      </c>
      <c r="AX807" s="2">
        <v>18.3</v>
      </c>
      <c r="AY807" s="2">
        <v>0.34</v>
      </c>
      <c r="AZ807" s="2">
        <v>7.3</v>
      </c>
      <c r="BA807" s="2">
        <v>0.9</v>
      </c>
      <c r="BB807" s="2">
        <v>7.5</v>
      </c>
      <c r="BC807" s="2">
        <v>2.9</v>
      </c>
      <c r="BD807" s="2">
        <f>+AN807*EXP(-0.0495*Y807)</f>
        <v>5.8773061955860166</v>
      </c>
      <c r="BE807" s="2">
        <f>+AO807*EXP(-0.024*Y807)</f>
        <v>18.54160535180295</v>
      </c>
    </row>
    <row r="808" spans="1:57" x14ac:dyDescent="0.2">
      <c r="A808" s="2" t="s">
        <v>1462</v>
      </c>
      <c r="B808" s="2" t="s">
        <v>19</v>
      </c>
      <c r="C808" s="2" t="s">
        <v>20</v>
      </c>
      <c r="D808" s="2" t="s">
        <v>21</v>
      </c>
      <c r="E808" s="2" t="s">
        <v>261</v>
      </c>
      <c r="F808" s="2">
        <v>6</v>
      </c>
      <c r="G808" s="2">
        <v>220</v>
      </c>
      <c r="H808" s="2">
        <v>3</v>
      </c>
      <c r="I808" s="2">
        <v>5</v>
      </c>
      <c r="J808" s="2">
        <v>3</v>
      </c>
      <c r="K808" s="2" t="s">
        <v>61</v>
      </c>
      <c r="L808" s="6" t="s">
        <v>113</v>
      </c>
      <c r="M808" s="5">
        <v>1650000000</v>
      </c>
      <c r="N808" s="2">
        <v>0</v>
      </c>
      <c r="O808" s="2">
        <v>4.6562886240000001</v>
      </c>
      <c r="P808" s="2">
        <v>-74.047523499999997</v>
      </c>
      <c r="Q808" s="2" t="s">
        <v>1463</v>
      </c>
      <c r="R808" s="2">
        <v>7500000</v>
      </c>
      <c r="S808" s="2">
        <v>0</v>
      </c>
      <c r="T808" s="2" t="s">
        <v>26</v>
      </c>
      <c r="U808" s="2" t="s">
        <v>27</v>
      </c>
      <c r="V808" s="2" t="s">
        <v>28</v>
      </c>
      <c r="W808" s="2" t="s">
        <v>29</v>
      </c>
      <c r="X808" s="2" t="s">
        <v>30</v>
      </c>
      <c r="Y808" s="2">
        <v>4.0507021566233004</v>
      </c>
      <c r="Z808" s="2">
        <v>4.6584666666666701</v>
      </c>
      <c r="AA808" s="2">
        <v>-74.083966666666697</v>
      </c>
      <c r="AB808" s="2">
        <v>2552</v>
      </c>
      <c r="AC808" s="2" t="s">
        <v>31</v>
      </c>
      <c r="AD808" s="2" t="s">
        <v>32</v>
      </c>
      <c r="AE808" s="2" t="s">
        <v>33</v>
      </c>
      <c r="AF808" s="2" t="s">
        <v>34</v>
      </c>
      <c r="AG808" s="2" t="s">
        <v>81</v>
      </c>
      <c r="AH808" s="2">
        <v>1.62706112658376</v>
      </c>
      <c r="AI808" s="2">
        <v>6.4921182246533995E-2</v>
      </c>
      <c r="AJ808" s="2">
        <v>1.11174253474287</v>
      </c>
      <c r="AK808" s="2">
        <v>0.664919023839179</v>
      </c>
      <c r="AL808" s="2">
        <v>0.50865578050319504</v>
      </c>
      <c r="AN808" s="2">
        <v>6.8</v>
      </c>
      <c r="AO808" s="2">
        <v>19.899999999999999</v>
      </c>
      <c r="AP808" s="2">
        <v>564</v>
      </c>
      <c r="AQ808" s="2">
        <v>68</v>
      </c>
      <c r="AR808" s="2">
        <v>1.5</v>
      </c>
      <c r="AS808" s="2">
        <v>135</v>
      </c>
      <c r="AT808" s="2">
        <v>0.8</v>
      </c>
      <c r="AU808" s="2">
        <v>162</v>
      </c>
      <c r="AV808" s="2">
        <v>9.1</v>
      </c>
      <c r="AW808" s="2">
        <v>9.1999999999999993</v>
      </c>
      <c r="AX808" s="2">
        <v>18.3</v>
      </c>
      <c r="AY808" s="2">
        <v>0.34</v>
      </c>
      <c r="AZ808" s="2">
        <v>7.3</v>
      </c>
      <c r="BA808" s="2">
        <v>0.9</v>
      </c>
      <c r="BB808" s="2">
        <v>7.5</v>
      </c>
      <c r="BC808" s="2">
        <v>2.9</v>
      </c>
      <c r="BD808" s="2">
        <f>+AN808*EXP(-0.0495*Y808)</f>
        <v>5.5645318401482138</v>
      </c>
      <c r="BE808" s="2">
        <f>+AO808*EXP(-0.024*Y808)</f>
        <v>18.056448524848857</v>
      </c>
    </row>
    <row r="809" spans="1:57" x14ac:dyDescent="0.2">
      <c r="A809" s="2" t="s">
        <v>1890</v>
      </c>
      <c r="B809" s="2" t="s">
        <v>19</v>
      </c>
      <c r="C809" s="2" t="s">
        <v>20</v>
      </c>
      <c r="D809" s="2" t="s">
        <v>21</v>
      </c>
      <c r="E809" s="2" t="s">
        <v>302</v>
      </c>
      <c r="F809" s="2">
        <v>6</v>
      </c>
      <c r="G809" s="2">
        <v>220</v>
      </c>
      <c r="H809" s="2">
        <v>3</v>
      </c>
      <c r="I809" s="2">
        <v>3</v>
      </c>
      <c r="J809" s="2">
        <v>3</v>
      </c>
      <c r="K809" s="2" t="s">
        <v>61</v>
      </c>
      <c r="L809" s="6" t="s">
        <v>113</v>
      </c>
      <c r="M809" s="5">
        <v>1650000000</v>
      </c>
      <c r="N809" s="2">
        <v>0</v>
      </c>
      <c r="O809" s="2">
        <v>4.6532902719999996</v>
      </c>
      <c r="P809" s="2">
        <v>-74.049552919999996</v>
      </c>
      <c r="Q809" s="2" t="s">
        <v>1891</v>
      </c>
      <c r="R809" s="2">
        <v>7500000</v>
      </c>
      <c r="S809" s="2">
        <v>0</v>
      </c>
      <c r="T809" s="2" t="s">
        <v>77</v>
      </c>
      <c r="U809" s="2" t="s">
        <v>78</v>
      </c>
      <c r="V809" s="2" t="s">
        <v>28</v>
      </c>
      <c r="W809" s="2" t="s">
        <v>79</v>
      </c>
      <c r="X809" s="2" t="s">
        <v>80</v>
      </c>
      <c r="Y809" s="2">
        <v>3.64952561339943</v>
      </c>
      <c r="Z809" s="2">
        <v>4.6254861111111101</v>
      </c>
      <c r="AA809" s="2">
        <v>-74.066980555555503</v>
      </c>
      <c r="AB809" s="2">
        <v>2621</v>
      </c>
      <c r="AC809" s="2" t="s">
        <v>31</v>
      </c>
      <c r="AD809" s="2" t="s">
        <v>32</v>
      </c>
      <c r="AE809" s="2" t="s">
        <v>33</v>
      </c>
      <c r="AF809" s="2" t="s">
        <v>34</v>
      </c>
      <c r="AG809" s="2" t="s">
        <v>81</v>
      </c>
      <c r="AH809" s="2">
        <v>1.4915328427299701</v>
      </c>
      <c r="AI809" s="2">
        <v>0.100984058480532</v>
      </c>
      <c r="AJ809" s="2">
        <v>0.92268407071644698</v>
      </c>
      <c r="AK809" s="2">
        <v>0.51561496168696597</v>
      </c>
      <c r="AL809" s="2">
        <v>0.124329048942754</v>
      </c>
      <c r="AN809" s="2">
        <v>6.8</v>
      </c>
      <c r="AO809" s="2">
        <v>19.899999999999999</v>
      </c>
      <c r="AP809" s="2">
        <v>564</v>
      </c>
      <c r="AQ809" s="2">
        <v>68</v>
      </c>
      <c r="AR809" s="2">
        <v>1.5</v>
      </c>
      <c r="AS809" s="2">
        <v>135</v>
      </c>
      <c r="AT809" s="2">
        <v>0.8</v>
      </c>
      <c r="AU809" s="2">
        <v>162</v>
      </c>
      <c r="AV809" s="2">
        <v>9.1</v>
      </c>
      <c r="AW809" s="2">
        <v>9.1999999999999993</v>
      </c>
      <c r="AX809" s="2">
        <v>18.3</v>
      </c>
      <c r="AY809" s="2">
        <v>0.34</v>
      </c>
      <c r="AZ809" s="2">
        <v>7.3</v>
      </c>
      <c r="BA809" s="2">
        <v>0.9</v>
      </c>
      <c r="BB809" s="2">
        <v>7.5</v>
      </c>
      <c r="BC809" s="2">
        <v>2.9</v>
      </c>
      <c r="BD809" s="2">
        <f>+AN809*EXP(-0.0495*Y809)</f>
        <v>5.6761381272598141</v>
      </c>
      <c r="BE809" s="2">
        <f>+AO809*EXP(-0.024*Y809)</f>
        <v>18.231139926880886</v>
      </c>
    </row>
    <row r="810" spans="1:57" x14ac:dyDescent="0.2">
      <c r="A810" s="2" t="s">
        <v>1313</v>
      </c>
      <c r="B810" s="2" t="s">
        <v>19</v>
      </c>
      <c r="C810" s="2" t="s">
        <v>20</v>
      </c>
      <c r="D810" s="2" t="s">
        <v>21</v>
      </c>
      <c r="E810" s="2" t="s">
        <v>205</v>
      </c>
      <c r="F810" s="2">
        <v>6</v>
      </c>
      <c r="G810" s="2">
        <v>220</v>
      </c>
      <c r="H810" s="2">
        <v>3</v>
      </c>
      <c r="I810" s="2">
        <v>5</v>
      </c>
      <c r="J810" s="2">
        <v>2</v>
      </c>
      <c r="K810" s="2" t="s">
        <v>61</v>
      </c>
      <c r="L810" s="6" t="s">
        <v>113</v>
      </c>
      <c r="M810" s="5">
        <v>1560000000</v>
      </c>
      <c r="N810" s="2">
        <v>0</v>
      </c>
      <c r="O810" s="2">
        <v>4.6510801319999997</v>
      </c>
      <c r="P810" s="2">
        <v>-74.048789979999995</v>
      </c>
      <c r="Q810" s="2" t="s">
        <v>1314</v>
      </c>
      <c r="R810" s="2">
        <v>7090909.091</v>
      </c>
      <c r="S810" s="2">
        <v>0</v>
      </c>
      <c r="T810" s="2" t="s">
        <v>77</v>
      </c>
      <c r="U810" s="2" t="s">
        <v>78</v>
      </c>
      <c r="V810" s="2" t="s">
        <v>28</v>
      </c>
      <c r="W810" s="2" t="s">
        <v>79</v>
      </c>
      <c r="X810" s="2" t="s">
        <v>80</v>
      </c>
      <c r="Y810" s="2">
        <v>3.4915782998335199</v>
      </c>
      <c r="Z810" s="2">
        <v>4.6254861111111101</v>
      </c>
      <c r="AA810" s="2">
        <v>-74.066980555555503</v>
      </c>
      <c r="AB810" s="2">
        <v>2621</v>
      </c>
      <c r="AC810" s="2" t="s">
        <v>31</v>
      </c>
      <c r="AD810" s="2" t="s">
        <v>32</v>
      </c>
      <c r="AE810" s="2" t="s">
        <v>33</v>
      </c>
      <c r="AF810" s="2" t="s">
        <v>34</v>
      </c>
      <c r="AG810" s="2" t="s">
        <v>81</v>
      </c>
      <c r="AH810" s="2">
        <v>1.63231166695859</v>
      </c>
      <c r="AI810" s="2">
        <v>5.5877461538670702E-2</v>
      </c>
      <c r="AJ810" s="2">
        <v>0.94215302682768098</v>
      </c>
      <c r="AK810" s="2">
        <v>0.64793026307117996</v>
      </c>
      <c r="AL810" s="2">
        <v>0.155920402453084</v>
      </c>
      <c r="AN810" s="2">
        <v>6.8</v>
      </c>
      <c r="AO810" s="2">
        <v>19.899999999999999</v>
      </c>
      <c r="AP810" s="2">
        <v>564</v>
      </c>
      <c r="AQ810" s="2">
        <v>68</v>
      </c>
      <c r="AR810" s="2">
        <v>1.5</v>
      </c>
      <c r="AS810" s="2">
        <v>135</v>
      </c>
      <c r="AT810" s="2">
        <v>0.8</v>
      </c>
      <c r="AU810" s="2">
        <v>162</v>
      </c>
      <c r="AV810" s="2">
        <v>9.1</v>
      </c>
      <c r="AW810" s="2">
        <v>9.1999999999999993</v>
      </c>
      <c r="AX810" s="2">
        <v>18.3</v>
      </c>
      <c r="AY810" s="2">
        <v>0.34</v>
      </c>
      <c r="AZ810" s="2">
        <v>7.3</v>
      </c>
      <c r="BA810" s="2">
        <v>0.9</v>
      </c>
      <c r="BB810" s="2">
        <v>7.5</v>
      </c>
      <c r="BC810" s="2">
        <v>2.9</v>
      </c>
      <c r="BD810" s="2">
        <f>+AN810*EXP(-0.0495*Y810)</f>
        <v>5.7206903366803701</v>
      </c>
      <c r="BE810" s="2">
        <f>+AO810*EXP(-0.024*Y810)</f>
        <v>18.300380510129223</v>
      </c>
    </row>
    <row r="811" spans="1:57" x14ac:dyDescent="0.2">
      <c r="A811" s="2" t="s">
        <v>670</v>
      </c>
      <c r="B811" s="2" t="s">
        <v>19</v>
      </c>
      <c r="C811" s="2" t="s">
        <v>20</v>
      </c>
      <c r="D811" s="2" t="s">
        <v>21</v>
      </c>
      <c r="E811" s="2" t="s">
        <v>671</v>
      </c>
      <c r="F811" s="2">
        <v>4</v>
      </c>
      <c r="G811" s="2">
        <v>220</v>
      </c>
      <c r="H811" s="2">
        <v>5</v>
      </c>
      <c r="I811" s="2">
        <v>5</v>
      </c>
      <c r="J811" s="2">
        <v>1</v>
      </c>
      <c r="K811" s="2" t="s">
        <v>61</v>
      </c>
      <c r="L811" s="6" t="s">
        <v>113</v>
      </c>
      <c r="M811" s="5">
        <v>1300000000</v>
      </c>
      <c r="N811" s="2">
        <v>0</v>
      </c>
      <c r="O811" s="2">
        <v>4.632358</v>
      </c>
      <c r="P811" s="2">
        <v>-74.082628999999997</v>
      </c>
      <c r="Q811" s="2" t="s">
        <v>672</v>
      </c>
      <c r="R811" s="2">
        <v>5909090.909</v>
      </c>
      <c r="S811" s="2">
        <v>0</v>
      </c>
      <c r="T811" s="2" t="s">
        <v>77</v>
      </c>
      <c r="U811" s="2" t="s">
        <v>78</v>
      </c>
      <c r="V811" s="2" t="s">
        <v>28</v>
      </c>
      <c r="W811" s="2" t="s">
        <v>79</v>
      </c>
      <c r="X811" s="2" t="s">
        <v>80</v>
      </c>
      <c r="Y811" s="2">
        <v>1.89734218254341</v>
      </c>
      <c r="Z811" s="2">
        <v>4.6254861111111101</v>
      </c>
      <c r="AA811" s="2">
        <v>-74.066980555555503</v>
      </c>
      <c r="AB811" s="2">
        <v>2621</v>
      </c>
      <c r="AC811" s="2" t="s">
        <v>31</v>
      </c>
      <c r="AD811" s="2" t="s">
        <v>32</v>
      </c>
      <c r="AE811" s="2" t="s">
        <v>33</v>
      </c>
      <c r="AF811" s="2" t="s">
        <v>34</v>
      </c>
      <c r="AG811" s="2" t="s">
        <v>35</v>
      </c>
      <c r="AH811" s="2">
        <v>0.19174368509630199</v>
      </c>
      <c r="AI811" s="2">
        <v>2.4332719400406799</v>
      </c>
      <c r="AJ811" s="2">
        <v>0.186552854962308</v>
      </c>
      <c r="AK811" s="2">
        <v>0.100403539878107</v>
      </c>
      <c r="AL811" s="2">
        <v>0.26812849513319698</v>
      </c>
      <c r="AN811" s="2">
        <v>6.8</v>
      </c>
      <c r="AO811" s="2">
        <v>19.899999999999999</v>
      </c>
      <c r="AP811" s="2">
        <v>564</v>
      </c>
      <c r="AQ811" s="2">
        <v>68</v>
      </c>
      <c r="AR811" s="2">
        <v>1.5</v>
      </c>
      <c r="AS811" s="2">
        <v>135</v>
      </c>
      <c r="AT811" s="2">
        <v>0.8</v>
      </c>
      <c r="AU811" s="2">
        <v>162</v>
      </c>
      <c r="AV811" s="2">
        <v>9.1</v>
      </c>
      <c r="AW811" s="2">
        <v>9.1999999999999993</v>
      </c>
      <c r="AX811" s="2">
        <v>18.3</v>
      </c>
      <c r="AY811" s="2">
        <v>0.34</v>
      </c>
      <c r="AZ811" s="2">
        <v>7.3</v>
      </c>
      <c r="BA811" s="2">
        <v>0.9</v>
      </c>
      <c r="BB811" s="2">
        <v>7.5</v>
      </c>
      <c r="BC811" s="2">
        <v>2.9</v>
      </c>
      <c r="BD811" s="2">
        <f>+AN811*EXP(-0.0495*Y811)</f>
        <v>6.1904276660863893</v>
      </c>
      <c r="BE811" s="2">
        <f>+AO811*EXP(-0.024*Y811)</f>
        <v>19.014151531014338</v>
      </c>
    </row>
    <row r="812" spans="1:57" x14ac:dyDescent="0.2">
      <c r="A812" s="2" t="s">
        <v>2386</v>
      </c>
      <c r="B812" s="2" t="s">
        <v>19</v>
      </c>
      <c r="C812" s="2" t="s">
        <v>1907</v>
      </c>
      <c r="D812" s="2" t="s">
        <v>21</v>
      </c>
      <c r="E812" s="2" t="s">
        <v>1468</v>
      </c>
      <c r="F812" s="2">
        <v>4</v>
      </c>
      <c r="G812" s="2">
        <v>220</v>
      </c>
      <c r="H812" s="2">
        <v>4</v>
      </c>
      <c r="I812" s="2">
        <v>5</v>
      </c>
      <c r="J812" s="2">
        <v>2</v>
      </c>
      <c r="K812" s="2" t="s">
        <v>61</v>
      </c>
      <c r="L812" s="6" t="s">
        <v>113</v>
      </c>
      <c r="M812" s="5">
        <v>1250000000</v>
      </c>
      <c r="N812" s="2">
        <v>0</v>
      </c>
      <c r="O812" s="2">
        <v>4.6162330000000003</v>
      </c>
      <c r="P812" s="2">
        <v>-74.071270999999996</v>
      </c>
      <c r="Q812" s="2" t="s">
        <v>2387</v>
      </c>
      <c r="R812" s="2">
        <v>5681818.182</v>
      </c>
      <c r="S812" s="2">
        <v>0</v>
      </c>
      <c r="T812" s="2" t="s">
        <v>77</v>
      </c>
      <c r="U812" s="2" t="s">
        <v>78</v>
      </c>
      <c r="V812" s="2" t="s">
        <v>28</v>
      </c>
      <c r="W812" s="2" t="s">
        <v>79</v>
      </c>
      <c r="X812" s="2" t="s">
        <v>80</v>
      </c>
      <c r="Y812" s="2">
        <v>1.1347410464030601</v>
      </c>
      <c r="Z812" s="2">
        <v>4.6254861111111101</v>
      </c>
      <c r="AA812" s="2">
        <v>-74.066980555555503</v>
      </c>
      <c r="AB812" s="2">
        <v>2621</v>
      </c>
      <c r="AC812" s="2" t="s">
        <v>31</v>
      </c>
      <c r="AD812" s="2" t="s">
        <v>32</v>
      </c>
      <c r="AE812" s="2" t="s">
        <v>33</v>
      </c>
      <c r="AF812" s="2" t="s">
        <v>34</v>
      </c>
      <c r="AG812" s="2" t="s">
        <v>89</v>
      </c>
      <c r="AH812" s="2">
        <v>0.108739682751182</v>
      </c>
      <c r="AI812" s="2">
        <v>0.835079064217916</v>
      </c>
      <c r="AJ812" s="2">
        <v>0.23527906804114401</v>
      </c>
      <c r="AK812" s="2">
        <v>4.4426932523155403E-2</v>
      </c>
      <c r="AL812" s="2">
        <v>0.27822463704149802</v>
      </c>
      <c r="AN812" s="2">
        <v>6.8</v>
      </c>
      <c r="AO812" s="2">
        <v>19.899999999999999</v>
      </c>
      <c r="AP812" s="2">
        <v>564</v>
      </c>
      <c r="AQ812" s="2">
        <v>68</v>
      </c>
      <c r="AR812" s="2">
        <v>1.5</v>
      </c>
      <c r="AS812" s="2">
        <v>135</v>
      </c>
      <c r="AT812" s="2">
        <v>0.8</v>
      </c>
      <c r="AU812" s="2">
        <v>162</v>
      </c>
      <c r="AV812" s="2">
        <v>9.1</v>
      </c>
      <c r="AW812" s="2">
        <v>9.1999999999999993</v>
      </c>
      <c r="AX812" s="2">
        <v>18.3</v>
      </c>
      <c r="AY812" s="2">
        <v>0.34</v>
      </c>
      <c r="AZ812" s="2">
        <v>7.3</v>
      </c>
      <c r="BA812" s="2">
        <v>0.9</v>
      </c>
      <c r="BB812" s="2">
        <v>7.5</v>
      </c>
      <c r="BC812" s="2">
        <v>2.9</v>
      </c>
      <c r="BD812" s="2">
        <f>+AN812*EXP(-0.0495*Y812)</f>
        <v>6.4285752193089225</v>
      </c>
      <c r="BE812" s="2">
        <f>+AO812*EXP(-0.024*Y812)</f>
        <v>19.365360843995276</v>
      </c>
    </row>
    <row r="813" spans="1:57" x14ac:dyDescent="0.2">
      <c r="A813" s="2" t="s">
        <v>3043</v>
      </c>
      <c r="B813" s="2" t="s">
        <v>19</v>
      </c>
      <c r="C813" s="2" t="s">
        <v>1907</v>
      </c>
      <c r="D813" s="2" t="s">
        <v>21</v>
      </c>
      <c r="E813" s="2" t="s">
        <v>1792</v>
      </c>
      <c r="F813" s="2">
        <v>3</v>
      </c>
      <c r="G813" s="2">
        <v>220</v>
      </c>
      <c r="H813" s="2">
        <v>5</v>
      </c>
      <c r="I813" s="2">
        <v>3</v>
      </c>
      <c r="J813" s="2">
        <v>1</v>
      </c>
      <c r="K813" s="2" t="s">
        <v>61</v>
      </c>
      <c r="L813" s="6" t="s">
        <v>75</v>
      </c>
      <c r="M813" s="5">
        <v>650000000</v>
      </c>
      <c r="N813" s="2">
        <v>0</v>
      </c>
      <c r="O813" s="2">
        <v>4.5814300000000001</v>
      </c>
      <c r="P813" s="2">
        <v>-74.112499999999997</v>
      </c>
      <c r="Q813" s="2" t="s">
        <v>3044</v>
      </c>
      <c r="R813" s="2">
        <v>2954545.4550000001</v>
      </c>
      <c r="S813" s="2">
        <v>0</v>
      </c>
      <c r="T813" s="2" t="s">
        <v>1794</v>
      </c>
      <c r="U813" s="2" t="s">
        <v>1795</v>
      </c>
      <c r="V813" s="2" t="s">
        <v>28</v>
      </c>
      <c r="W813" s="2" t="s">
        <v>1796</v>
      </c>
      <c r="X813" s="2" t="s">
        <v>1797</v>
      </c>
      <c r="Y813" s="2">
        <v>2.1282961785504999</v>
      </c>
      <c r="Z813" s="2">
        <v>4.576225</v>
      </c>
      <c r="AA813" s="2">
        <v>-74.130955555555502</v>
      </c>
      <c r="AB813" s="2">
        <v>2589</v>
      </c>
      <c r="AC813" s="2" t="s">
        <v>31</v>
      </c>
      <c r="AD813" s="2" t="s">
        <v>58</v>
      </c>
      <c r="AE813" s="2" t="s">
        <v>33</v>
      </c>
      <c r="AF813" s="2" t="s">
        <v>34</v>
      </c>
      <c r="AG813" s="2" t="s">
        <v>1798</v>
      </c>
      <c r="AH813" s="2">
        <v>0.55155027917155297</v>
      </c>
      <c r="AI813" s="2">
        <v>4.2624705559494398</v>
      </c>
      <c r="AJ813" s="2">
        <v>1.7609735034410099</v>
      </c>
      <c r="AK813" s="2">
        <v>0.261311379408109</v>
      </c>
      <c r="AL813" s="2">
        <v>7.4232560539476402E-3</v>
      </c>
      <c r="AN813" s="2">
        <v>6.8</v>
      </c>
      <c r="AO813" s="2">
        <v>19.899999999999999</v>
      </c>
      <c r="AP813" s="2">
        <v>564</v>
      </c>
      <c r="AQ813" s="2">
        <v>68</v>
      </c>
      <c r="AR813" s="2">
        <v>1.5</v>
      </c>
      <c r="AS813" s="2">
        <v>135</v>
      </c>
      <c r="AT813" s="2">
        <v>0.8</v>
      </c>
      <c r="AU813" s="2">
        <v>162</v>
      </c>
      <c r="AV813" s="2">
        <v>9.1</v>
      </c>
      <c r="AW813" s="2">
        <v>9.1999999999999993</v>
      </c>
      <c r="AX813" s="2">
        <v>18.3</v>
      </c>
      <c r="AY813" s="2">
        <v>0.34</v>
      </c>
      <c r="AZ813" s="2">
        <v>7.3</v>
      </c>
      <c r="BA813" s="2">
        <v>0.9</v>
      </c>
      <c r="BB813" s="2">
        <v>7.5</v>
      </c>
      <c r="BC813" s="2">
        <v>2.9</v>
      </c>
      <c r="BD813" s="2">
        <f>+AN813*EXP(-0.0495*Y813)</f>
        <v>6.1200603117929884</v>
      </c>
      <c r="BE813" s="2">
        <f>+AO813*EXP(-0.024*Y813)</f>
        <v>18.909049621935598</v>
      </c>
    </row>
    <row r="814" spans="1:57" x14ac:dyDescent="0.2">
      <c r="A814" s="2" t="s">
        <v>1668</v>
      </c>
      <c r="B814" s="2" t="s">
        <v>19</v>
      </c>
      <c r="C814" s="2" t="s">
        <v>20</v>
      </c>
      <c r="D814" s="2" t="s">
        <v>21</v>
      </c>
      <c r="E814" s="2" t="s">
        <v>693</v>
      </c>
      <c r="F814" s="2">
        <v>5</v>
      </c>
      <c r="G814" s="2">
        <v>219</v>
      </c>
      <c r="H814" s="2">
        <v>3</v>
      </c>
      <c r="I814" s="2">
        <v>4</v>
      </c>
      <c r="J814" s="2">
        <v>2</v>
      </c>
      <c r="K814" s="2" t="s">
        <v>61</v>
      </c>
      <c r="L814" s="6" t="s">
        <v>75</v>
      </c>
      <c r="M814" s="5">
        <v>1860000000</v>
      </c>
      <c r="N814" s="2">
        <v>0</v>
      </c>
      <c r="O814" s="2">
        <v>4.6651396749999998</v>
      </c>
      <c r="P814" s="2">
        <v>-74.05217743</v>
      </c>
      <c r="Q814" s="2" t="s">
        <v>1669</v>
      </c>
      <c r="R814" s="2">
        <v>8493150.6850000005</v>
      </c>
      <c r="S814" s="2">
        <v>0</v>
      </c>
      <c r="T814" s="2" t="s">
        <v>26</v>
      </c>
      <c r="U814" s="2" t="s">
        <v>27</v>
      </c>
      <c r="V814" s="2" t="s">
        <v>28</v>
      </c>
      <c r="W814" s="2" t="s">
        <v>29</v>
      </c>
      <c r="X814" s="2" t="s">
        <v>30</v>
      </c>
      <c r="Y814" s="2">
        <v>3.6044305809767501</v>
      </c>
      <c r="Z814" s="2">
        <v>4.6584666666666701</v>
      </c>
      <c r="AA814" s="2">
        <v>-74.083966666666697</v>
      </c>
      <c r="AB814" s="2">
        <v>2552</v>
      </c>
      <c r="AC814" s="2" t="s">
        <v>31</v>
      </c>
      <c r="AD814" s="2" t="s">
        <v>32</v>
      </c>
      <c r="AE814" s="2" t="s">
        <v>33</v>
      </c>
      <c r="AF814" s="2" t="s">
        <v>34</v>
      </c>
      <c r="AG814" s="2" t="s">
        <v>81</v>
      </c>
      <c r="AH814" s="2">
        <v>0.96063371613745796</v>
      </c>
      <c r="AI814" s="2">
        <v>0.77339238275817401</v>
      </c>
      <c r="AJ814" s="2">
        <v>0.168938389197891</v>
      </c>
      <c r="AK814" s="2">
        <v>4.5797603428076303E-2</v>
      </c>
      <c r="AL814" s="2">
        <v>0.12188315820147499</v>
      </c>
      <c r="AN814" s="2">
        <v>6.8</v>
      </c>
      <c r="AO814" s="2">
        <v>19.899999999999999</v>
      </c>
      <c r="AP814" s="2">
        <v>564</v>
      </c>
      <c r="AQ814" s="2">
        <v>68</v>
      </c>
      <c r="AR814" s="2">
        <v>1.5</v>
      </c>
      <c r="AS814" s="2">
        <v>135</v>
      </c>
      <c r="AT814" s="2">
        <v>0.8</v>
      </c>
      <c r="AU814" s="2">
        <v>162</v>
      </c>
      <c r="AV814" s="2">
        <v>9.1</v>
      </c>
      <c r="AW814" s="2">
        <v>9.1999999999999993</v>
      </c>
      <c r="AX814" s="2">
        <v>18.3</v>
      </c>
      <c r="AY814" s="2">
        <v>0.34</v>
      </c>
      <c r="AZ814" s="2">
        <v>7.3</v>
      </c>
      <c r="BA814" s="2">
        <v>0.9</v>
      </c>
      <c r="BB814" s="2">
        <v>7.5</v>
      </c>
      <c r="BC814" s="2">
        <v>2.9</v>
      </c>
      <c r="BD814" s="2">
        <f>+AN814*EXP(-0.0495*Y814)</f>
        <v>5.6888225779621173</v>
      </c>
      <c r="BE814" s="2">
        <f>+AO814*EXP(-0.024*Y814)</f>
        <v>18.250881820396319</v>
      </c>
    </row>
    <row r="815" spans="1:57" x14ac:dyDescent="0.2">
      <c r="A815" s="2" t="s">
        <v>4113</v>
      </c>
      <c r="B815" s="2" t="s">
        <v>19</v>
      </c>
      <c r="C815" s="2" t="s">
        <v>3245</v>
      </c>
      <c r="D815" s="2" t="s">
        <v>21</v>
      </c>
      <c r="E815" s="2" t="s">
        <v>714</v>
      </c>
      <c r="F815" s="2">
        <v>6</v>
      </c>
      <c r="G815" s="2">
        <v>219</v>
      </c>
      <c r="H815" s="2">
        <v>3</v>
      </c>
      <c r="I815" s="2">
        <v>3</v>
      </c>
      <c r="J815" s="2">
        <v>2</v>
      </c>
      <c r="K815" s="2" t="s">
        <v>61</v>
      </c>
      <c r="L815" s="6" t="s">
        <v>113</v>
      </c>
      <c r="M815" s="5">
        <v>1860000000</v>
      </c>
      <c r="N815" s="2">
        <v>0</v>
      </c>
      <c r="O815" s="2">
        <v>4.6548153000000001</v>
      </c>
      <c r="P815" s="2">
        <v>-74.055268400000003</v>
      </c>
      <c r="Q815" s="2" t="s">
        <v>4114</v>
      </c>
      <c r="R815" s="2">
        <v>8493150.6850000005</v>
      </c>
      <c r="S815" s="2">
        <v>0</v>
      </c>
      <c r="T815" s="2" t="s">
        <v>26</v>
      </c>
      <c r="U815" s="2" t="s">
        <v>27</v>
      </c>
      <c r="V815" s="2" t="s">
        <v>28</v>
      </c>
      <c r="W815" s="2" t="s">
        <v>29</v>
      </c>
      <c r="X815" s="2" t="s">
        <v>30</v>
      </c>
      <c r="Y815" s="2">
        <v>3.2099700400533102</v>
      </c>
      <c r="Z815" s="2">
        <v>4.6584666666666701</v>
      </c>
      <c r="AA815" s="2">
        <v>-74.083966666666697</v>
      </c>
      <c r="AB815" s="2">
        <v>2552</v>
      </c>
      <c r="AC815" s="2" t="s">
        <v>31</v>
      </c>
      <c r="AD815" s="2" t="s">
        <v>32</v>
      </c>
      <c r="AE815" s="2" t="s">
        <v>33</v>
      </c>
      <c r="AF815" s="2" t="s">
        <v>34</v>
      </c>
      <c r="AG815" s="2" t="s">
        <v>81</v>
      </c>
      <c r="AH815" s="2">
        <v>0.84349524430350298</v>
      </c>
      <c r="AI815" s="2">
        <v>0.75166430860326705</v>
      </c>
      <c r="AJ815" s="2">
        <v>0.41780173544213101</v>
      </c>
      <c r="AK815" s="2">
        <v>0.121828964454407</v>
      </c>
      <c r="AL815" s="2">
        <v>0.18969498480170799</v>
      </c>
      <c r="AN815" s="2">
        <v>6.8</v>
      </c>
      <c r="AO815" s="2">
        <v>19.899999999999999</v>
      </c>
      <c r="AP815" s="2">
        <v>564</v>
      </c>
      <c r="AQ815" s="2">
        <v>68</v>
      </c>
      <c r="AR815" s="2">
        <v>1.5</v>
      </c>
      <c r="AS815" s="2">
        <v>135</v>
      </c>
      <c r="AT815" s="2">
        <v>0.8</v>
      </c>
      <c r="AU815" s="2">
        <v>162</v>
      </c>
      <c r="AV815" s="2">
        <v>9.1</v>
      </c>
      <c r="AW815" s="2">
        <v>9.1999999999999993</v>
      </c>
      <c r="AX815" s="2">
        <v>18.3</v>
      </c>
      <c r="AY815" s="2">
        <v>0.34</v>
      </c>
      <c r="AZ815" s="2">
        <v>7.3</v>
      </c>
      <c r="BA815" s="2">
        <v>0.9</v>
      </c>
      <c r="BB815" s="2">
        <v>7.5</v>
      </c>
      <c r="BC815" s="2">
        <v>2.9</v>
      </c>
      <c r="BD815" s="2">
        <f>+AN815*EXP(-0.0495*Y815)</f>
        <v>5.8009929153329116</v>
      </c>
      <c r="BE815" s="2">
        <f>+AO815*EXP(-0.024*Y815)</f>
        <v>18.424484341098641</v>
      </c>
    </row>
    <row r="816" spans="1:57" x14ac:dyDescent="0.2">
      <c r="A816" s="2" t="s">
        <v>1572</v>
      </c>
      <c r="B816" s="2" t="s">
        <v>19</v>
      </c>
      <c r="C816" s="2" t="s">
        <v>20</v>
      </c>
      <c r="D816" s="2" t="s">
        <v>21</v>
      </c>
      <c r="E816" s="2" t="s">
        <v>660</v>
      </c>
      <c r="F816" s="2">
        <v>5</v>
      </c>
      <c r="G816" s="2">
        <v>215</v>
      </c>
      <c r="H816" s="2">
        <v>4</v>
      </c>
      <c r="I816" s="2">
        <v>5</v>
      </c>
      <c r="J816" s="2">
        <v>3</v>
      </c>
      <c r="K816" s="2" t="s">
        <v>61</v>
      </c>
      <c r="L816" s="6" t="s">
        <v>84</v>
      </c>
      <c r="M816" s="5">
        <v>1460000000</v>
      </c>
      <c r="N816" s="2">
        <v>0</v>
      </c>
      <c r="O816" s="2">
        <v>4.7444733389999998</v>
      </c>
      <c r="P816" s="2">
        <v>-74.111836109999999</v>
      </c>
      <c r="Q816" s="2" t="s">
        <v>1573</v>
      </c>
      <c r="R816" s="2">
        <v>6790697.6739999996</v>
      </c>
      <c r="S816" s="2">
        <v>0</v>
      </c>
      <c r="T816" s="2" t="s">
        <v>370</v>
      </c>
      <c r="U816" s="2" t="s">
        <v>371</v>
      </c>
      <c r="V816" s="2" t="s">
        <v>28</v>
      </c>
      <c r="W816" s="2" t="s">
        <v>29</v>
      </c>
      <c r="X816" s="2" t="s">
        <v>372</v>
      </c>
      <c r="Y816" s="2">
        <v>1.8334374331641601</v>
      </c>
      <c r="Z816" s="2">
        <v>4.7358055555555598</v>
      </c>
      <c r="AA816" s="2">
        <v>-74.125888888888895</v>
      </c>
      <c r="AB816" s="2">
        <v>2574</v>
      </c>
      <c r="AC816" s="2" t="s">
        <v>105</v>
      </c>
      <c r="AD816" s="2" t="s">
        <v>58</v>
      </c>
      <c r="AE816" s="2" t="s">
        <v>33</v>
      </c>
      <c r="AF816" s="2" t="s">
        <v>34</v>
      </c>
      <c r="AG816" s="2" t="s">
        <v>72</v>
      </c>
      <c r="AH816" s="2">
        <v>1.96373352588635</v>
      </c>
      <c r="AI816" s="2">
        <v>1.17166727797741</v>
      </c>
      <c r="AJ816" s="2">
        <v>5.3479807990490702</v>
      </c>
      <c r="AK816" s="2">
        <v>0.43062983766864998</v>
      </c>
      <c r="AL816" s="2">
        <v>0.14602439820251201</v>
      </c>
      <c r="AN816" s="2">
        <v>6.8</v>
      </c>
      <c r="AO816" s="2">
        <v>19.899999999999999</v>
      </c>
      <c r="AP816" s="2">
        <v>564</v>
      </c>
      <c r="AQ816" s="2">
        <v>68</v>
      </c>
      <c r="AR816" s="2">
        <v>1.5</v>
      </c>
      <c r="AS816" s="2">
        <v>135</v>
      </c>
      <c r="AT816" s="2">
        <v>0.8</v>
      </c>
      <c r="AU816" s="2">
        <v>162</v>
      </c>
      <c r="AV816" s="2">
        <v>9.1</v>
      </c>
      <c r="AW816" s="2">
        <v>9.1999999999999993</v>
      </c>
      <c r="AX816" s="2">
        <v>18.3</v>
      </c>
      <c r="AY816" s="2">
        <v>0.34</v>
      </c>
      <c r="AZ816" s="2">
        <v>7.3</v>
      </c>
      <c r="BA816" s="2">
        <v>0.9</v>
      </c>
      <c r="BB816" s="2">
        <v>7.5</v>
      </c>
      <c r="BC816" s="2">
        <v>2.9</v>
      </c>
      <c r="BD816" s="2">
        <f>+AN816*EXP(-0.0495*Y816)</f>
        <v>6.2100407581960004</v>
      </c>
      <c r="BE816" s="2">
        <f>+AO816*EXP(-0.024*Y816)</f>
        <v>19.043336175860411</v>
      </c>
    </row>
    <row r="817" spans="1:57" x14ac:dyDescent="0.2">
      <c r="A817" s="2" t="s">
        <v>692</v>
      </c>
      <c r="B817" s="2" t="s">
        <v>19</v>
      </c>
      <c r="C817" s="2" t="s">
        <v>20</v>
      </c>
      <c r="D817" s="2" t="s">
        <v>21</v>
      </c>
      <c r="E817" s="2" t="s">
        <v>693</v>
      </c>
      <c r="F817" s="2">
        <v>6</v>
      </c>
      <c r="G817" s="2">
        <v>213</v>
      </c>
      <c r="H817" s="2">
        <v>3</v>
      </c>
      <c r="I817" s="2">
        <v>4</v>
      </c>
      <c r="J817" s="2">
        <v>2</v>
      </c>
      <c r="K817" s="2" t="s">
        <v>61</v>
      </c>
      <c r="L817" s="6" t="s">
        <v>62</v>
      </c>
      <c r="M817" s="5">
        <v>4000000000</v>
      </c>
      <c r="N817" s="2">
        <v>0</v>
      </c>
      <c r="O817" s="2">
        <v>4.663372517</v>
      </c>
      <c r="P817" s="2">
        <v>-74.049186710000001</v>
      </c>
      <c r="Q817" s="2" t="s">
        <v>694</v>
      </c>
      <c r="R817" s="2">
        <v>18779342.719999999</v>
      </c>
      <c r="S817" s="2">
        <v>0</v>
      </c>
      <c r="T817" s="2" t="s">
        <v>26</v>
      </c>
      <c r="U817" s="2" t="s">
        <v>27</v>
      </c>
      <c r="V817" s="2" t="s">
        <v>28</v>
      </c>
      <c r="W817" s="2" t="s">
        <v>29</v>
      </c>
      <c r="X817" s="2" t="s">
        <v>30</v>
      </c>
      <c r="Y817" s="2">
        <v>3.8973357414628702</v>
      </c>
      <c r="Z817" s="2">
        <v>4.6584666666666701</v>
      </c>
      <c r="AA817" s="2">
        <v>-74.083966666666697</v>
      </c>
      <c r="AB817" s="2">
        <v>2552</v>
      </c>
      <c r="AC817" s="2" t="s">
        <v>31</v>
      </c>
      <c r="AD817" s="2" t="s">
        <v>32</v>
      </c>
      <c r="AE817" s="2" t="s">
        <v>33</v>
      </c>
      <c r="AF817" s="2" t="s">
        <v>34</v>
      </c>
      <c r="AG817" s="2" t="s">
        <v>81</v>
      </c>
      <c r="AH817" s="2">
        <v>1.3394052207727001</v>
      </c>
      <c r="AI817" s="2">
        <v>0.44596880320795301</v>
      </c>
      <c r="AJ817" s="2">
        <v>0.52167623033994304</v>
      </c>
      <c r="AK817" s="2">
        <v>0.134001946990705</v>
      </c>
      <c r="AL817" s="2">
        <v>0.22922673074589101</v>
      </c>
      <c r="AN817" s="2">
        <v>6.8</v>
      </c>
      <c r="AO817" s="2">
        <v>19.899999999999999</v>
      </c>
      <c r="AP817" s="2">
        <v>564</v>
      </c>
      <c r="AQ817" s="2">
        <v>68</v>
      </c>
      <c r="AR817" s="2">
        <v>1.5</v>
      </c>
      <c r="AS817" s="2">
        <v>135</v>
      </c>
      <c r="AT817" s="2">
        <v>0.8</v>
      </c>
      <c r="AU817" s="2">
        <v>162</v>
      </c>
      <c r="AV817" s="2">
        <v>9.1</v>
      </c>
      <c r="AW817" s="2">
        <v>9.1999999999999993</v>
      </c>
      <c r="AX817" s="2">
        <v>18.3</v>
      </c>
      <c r="AY817" s="2">
        <v>0.34</v>
      </c>
      <c r="AZ817" s="2">
        <v>7.3</v>
      </c>
      <c r="BA817" s="2">
        <v>0.9</v>
      </c>
      <c r="BB817" s="2">
        <v>7.5</v>
      </c>
      <c r="BC817" s="2">
        <v>2.9</v>
      </c>
      <c r="BD817" s="2">
        <f>+AN817*EXP(-0.0495*Y817)</f>
        <v>5.6069365057838123</v>
      </c>
      <c r="BE817" s="2">
        <f>+AO817*EXP(-0.024*Y817)</f>
        <v>18.123033058386987</v>
      </c>
    </row>
    <row r="818" spans="1:57" x14ac:dyDescent="0.2">
      <c r="A818" s="2" t="s">
        <v>1431</v>
      </c>
      <c r="B818" s="2" t="s">
        <v>19</v>
      </c>
      <c r="C818" s="2" t="s">
        <v>20</v>
      </c>
      <c r="D818" s="2" t="s">
        <v>21</v>
      </c>
      <c r="E818" s="2" t="s">
        <v>635</v>
      </c>
      <c r="F818" s="2">
        <v>5</v>
      </c>
      <c r="G818" s="2">
        <v>213</v>
      </c>
      <c r="H818" s="2">
        <v>3</v>
      </c>
      <c r="I818" s="2">
        <v>3</v>
      </c>
      <c r="J818" s="2">
        <v>1</v>
      </c>
      <c r="K818" s="2" t="s">
        <v>61</v>
      </c>
      <c r="L818" s="6" t="s">
        <v>62</v>
      </c>
      <c r="M818" s="5">
        <v>1395000000</v>
      </c>
      <c r="N818" s="2">
        <v>0</v>
      </c>
      <c r="O818" s="2">
        <v>4.6826891899999996</v>
      </c>
      <c r="P818" s="2">
        <v>-74.061546329999999</v>
      </c>
      <c r="Q818" s="2" t="s">
        <v>1432</v>
      </c>
      <c r="R818" s="2">
        <v>6549295.7750000004</v>
      </c>
      <c r="S818" s="2">
        <v>0</v>
      </c>
      <c r="T818" s="2" t="s">
        <v>26</v>
      </c>
      <c r="U818" s="2" t="s">
        <v>27</v>
      </c>
      <c r="V818" s="2" t="s">
        <v>28</v>
      </c>
      <c r="W818" s="2" t="s">
        <v>29</v>
      </c>
      <c r="X818" s="2" t="s">
        <v>30</v>
      </c>
      <c r="Y818" s="2">
        <v>3.6685967030801798</v>
      </c>
      <c r="Z818" s="2">
        <v>4.6584666666666701</v>
      </c>
      <c r="AA818" s="2">
        <v>-74.083966666666697</v>
      </c>
      <c r="AB818" s="2">
        <v>2552</v>
      </c>
      <c r="AC818" s="2" t="s">
        <v>31</v>
      </c>
      <c r="AD818" s="2" t="s">
        <v>32</v>
      </c>
      <c r="AE818" s="2" t="s">
        <v>33</v>
      </c>
      <c r="AF818" s="2" t="s">
        <v>34</v>
      </c>
      <c r="AG818" s="2" t="s">
        <v>293</v>
      </c>
      <c r="AH818" s="2">
        <v>0.28893965609545802</v>
      </c>
      <c r="AI818" s="2">
        <v>2.5766464532327999</v>
      </c>
      <c r="AJ818" s="2">
        <v>0.39181760561109602</v>
      </c>
      <c r="AK818" s="2">
        <v>3.6721083900990201E-2</v>
      </c>
      <c r="AL818" s="2">
        <v>0.16214586147398799</v>
      </c>
      <c r="AN818" s="2">
        <v>6.8</v>
      </c>
      <c r="AO818" s="2">
        <v>19.899999999999999</v>
      </c>
      <c r="AP818" s="2">
        <v>564</v>
      </c>
      <c r="AQ818" s="2">
        <v>68</v>
      </c>
      <c r="AR818" s="2">
        <v>1.5</v>
      </c>
      <c r="AS818" s="2">
        <v>135</v>
      </c>
      <c r="AT818" s="2">
        <v>0.8</v>
      </c>
      <c r="AU818" s="2">
        <v>162</v>
      </c>
      <c r="AV818" s="2">
        <v>9.1</v>
      </c>
      <c r="AW818" s="2">
        <v>9.1999999999999993</v>
      </c>
      <c r="AX818" s="2">
        <v>18.3</v>
      </c>
      <c r="AY818" s="2">
        <v>0.34</v>
      </c>
      <c r="AZ818" s="2">
        <v>7.3</v>
      </c>
      <c r="BA818" s="2">
        <v>0.9</v>
      </c>
      <c r="BB818" s="2">
        <v>7.5</v>
      </c>
      <c r="BC818" s="2">
        <v>2.9</v>
      </c>
      <c r="BD818" s="2">
        <f>+AN818*EXP(-0.0495*Y818)</f>
        <v>5.6707822737774931</v>
      </c>
      <c r="BE818" s="2">
        <f>+AO818*EXP(-0.024*Y818)</f>
        <v>18.222797331346513</v>
      </c>
    </row>
    <row r="819" spans="1:57" x14ac:dyDescent="0.2">
      <c r="A819" s="2" t="s">
        <v>4458</v>
      </c>
      <c r="B819" s="2" t="s">
        <v>19</v>
      </c>
      <c r="C819" s="2" t="s">
        <v>3245</v>
      </c>
      <c r="D819" s="2" t="s">
        <v>21</v>
      </c>
      <c r="E819" s="2" t="s">
        <v>138</v>
      </c>
      <c r="F819" s="2">
        <v>6</v>
      </c>
      <c r="G819" s="2">
        <v>210</v>
      </c>
      <c r="H819" s="2">
        <v>1</v>
      </c>
      <c r="I819" s="2">
        <v>3</v>
      </c>
      <c r="J819" s="2">
        <v>2</v>
      </c>
      <c r="K819" s="2" t="s">
        <v>61</v>
      </c>
      <c r="L819" s="6" t="s">
        <v>75</v>
      </c>
      <c r="M819" s="5">
        <v>3800000000</v>
      </c>
      <c r="N819" s="2">
        <v>0</v>
      </c>
      <c r="O819" s="2">
        <v>4.6523554000000003</v>
      </c>
      <c r="P819" s="2">
        <v>-74.049432400000001</v>
      </c>
      <c r="Q819" s="2" t="s">
        <v>4459</v>
      </c>
      <c r="R819" s="2">
        <v>18095238.100000001</v>
      </c>
      <c r="S819" s="2">
        <v>0</v>
      </c>
      <c r="T819" s="2" t="s">
        <v>77</v>
      </c>
      <c r="U819" s="2" t="s">
        <v>78</v>
      </c>
      <c r="V819" s="2" t="s">
        <v>28</v>
      </c>
      <c r="W819" s="2" t="s">
        <v>79</v>
      </c>
      <c r="X819" s="2" t="s">
        <v>80</v>
      </c>
      <c r="Y819" s="2">
        <v>3.5689699642788599</v>
      </c>
      <c r="Z819" s="2">
        <v>4.6254861111111101</v>
      </c>
      <c r="AA819" s="2">
        <v>-74.066980555555503</v>
      </c>
      <c r="AB819" s="2">
        <v>2621</v>
      </c>
      <c r="AC819" s="2" t="s">
        <v>31</v>
      </c>
      <c r="AD819" s="2" t="s">
        <v>32</v>
      </c>
      <c r="AE819" s="2" t="s">
        <v>33</v>
      </c>
      <c r="AF819" s="2" t="s">
        <v>34</v>
      </c>
      <c r="AG819" s="2" t="s">
        <v>81</v>
      </c>
      <c r="AH819" s="2">
        <v>1.53155591667072</v>
      </c>
      <c r="AI819" s="2">
        <v>0.111847971975918</v>
      </c>
      <c r="AJ819" s="2">
        <v>0.90063559639428403</v>
      </c>
      <c r="AK819" s="2">
        <v>0.53893460736315202</v>
      </c>
      <c r="AL819" s="2">
        <v>8.0363577986200502E-2</v>
      </c>
      <c r="AN819" s="2">
        <v>6.8</v>
      </c>
      <c r="AO819" s="2">
        <v>19.899999999999999</v>
      </c>
      <c r="AP819" s="2">
        <v>564</v>
      </c>
      <c r="AQ819" s="2">
        <v>68</v>
      </c>
      <c r="AR819" s="2">
        <v>1.5</v>
      </c>
      <c r="AS819" s="2">
        <v>135</v>
      </c>
      <c r="AT819" s="2">
        <v>0.8</v>
      </c>
      <c r="AU819" s="2">
        <v>162</v>
      </c>
      <c r="AV819" s="2">
        <v>9.1</v>
      </c>
      <c r="AW819" s="2">
        <v>9.1999999999999993</v>
      </c>
      <c r="AX819" s="2">
        <v>18.3</v>
      </c>
      <c r="AY819" s="2">
        <v>0.34</v>
      </c>
      <c r="AZ819" s="2">
        <v>7.3</v>
      </c>
      <c r="BA819" s="2">
        <v>0.9</v>
      </c>
      <c r="BB819" s="2">
        <v>7.5</v>
      </c>
      <c r="BC819" s="2">
        <v>2.9</v>
      </c>
      <c r="BD819" s="2">
        <f>+AN819*EXP(-0.0495*Y819)</f>
        <v>5.6988169402171831</v>
      </c>
      <c r="BE819" s="2">
        <f>+AO819*EXP(-0.024*Y819)</f>
        <v>18.266420932367492</v>
      </c>
    </row>
    <row r="820" spans="1:57" x14ac:dyDescent="0.2">
      <c r="A820" s="2" t="s">
        <v>2692</v>
      </c>
      <c r="B820" s="2" t="s">
        <v>19</v>
      </c>
      <c r="C820" s="2" t="s">
        <v>1907</v>
      </c>
      <c r="D820" s="2" t="s">
        <v>21</v>
      </c>
      <c r="E820" s="2" t="s">
        <v>2693</v>
      </c>
      <c r="F820" s="2">
        <v>3</v>
      </c>
      <c r="G820" s="2">
        <v>210</v>
      </c>
      <c r="H820" s="2">
        <v>4</v>
      </c>
      <c r="I820" s="2">
        <v>4</v>
      </c>
      <c r="J820" s="2">
        <v>3</v>
      </c>
      <c r="K820" s="2" t="s">
        <v>61</v>
      </c>
      <c r="L820" s="6" t="s">
        <v>113</v>
      </c>
      <c r="M820" s="5">
        <v>750000000</v>
      </c>
      <c r="N820" s="2">
        <v>0</v>
      </c>
      <c r="O820" s="2">
        <v>4.678861618</v>
      </c>
      <c r="P820" s="2">
        <v>-74.106315609999996</v>
      </c>
      <c r="Q820" s="2" t="s">
        <v>2694</v>
      </c>
      <c r="R820" s="2">
        <v>3571428.571</v>
      </c>
      <c r="S820" s="2">
        <v>0</v>
      </c>
      <c r="T820" s="2" t="s">
        <v>26</v>
      </c>
      <c r="U820" s="2" t="s">
        <v>27</v>
      </c>
      <c r="V820" s="2" t="s">
        <v>28</v>
      </c>
      <c r="W820" s="2" t="s">
        <v>29</v>
      </c>
      <c r="X820" s="2" t="s">
        <v>30</v>
      </c>
      <c r="Y820" s="2">
        <v>3.3619966779925301</v>
      </c>
      <c r="Z820" s="2">
        <v>4.6584666666666701</v>
      </c>
      <c r="AA820" s="2">
        <v>-74.083966666666697</v>
      </c>
      <c r="AB820" s="2">
        <v>2552</v>
      </c>
      <c r="AC820" s="2" t="s">
        <v>31</v>
      </c>
      <c r="AD820" s="2" t="s">
        <v>32</v>
      </c>
      <c r="AE820" s="2" t="s">
        <v>33</v>
      </c>
      <c r="AF820" s="2" t="s">
        <v>34</v>
      </c>
      <c r="AG820" s="2" t="s">
        <v>363</v>
      </c>
      <c r="AH820" s="2">
        <v>1.2736904311100701</v>
      </c>
      <c r="AI820" s="2">
        <v>5.5181267272178802</v>
      </c>
      <c r="AJ820" s="2">
        <v>1.51589016186089</v>
      </c>
      <c r="AK820" s="2">
        <v>0.24906123048210799</v>
      </c>
      <c r="AL820" s="2">
        <v>0.26351359365083499</v>
      </c>
      <c r="AN820" s="2">
        <v>6.8</v>
      </c>
      <c r="AO820" s="2">
        <v>19.899999999999999</v>
      </c>
      <c r="AP820" s="2">
        <v>564</v>
      </c>
      <c r="AQ820" s="2">
        <v>68</v>
      </c>
      <c r="AR820" s="2">
        <v>1.5</v>
      </c>
      <c r="AS820" s="2">
        <v>135</v>
      </c>
      <c r="AT820" s="2">
        <v>0.8</v>
      </c>
      <c r="AU820" s="2">
        <v>162</v>
      </c>
      <c r="AV820" s="2">
        <v>9.1</v>
      </c>
      <c r="AW820" s="2">
        <v>9.1999999999999993</v>
      </c>
      <c r="AX820" s="2">
        <v>18.3</v>
      </c>
      <c r="AY820" s="2">
        <v>0.34</v>
      </c>
      <c r="AZ820" s="2">
        <v>7.3</v>
      </c>
      <c r="BA820" s="2">
        <v>0.9</v>
      </c>
      <c r="BB820" s="2">
        <v>7.5</v>
      </c>
      <c r="BC820" s="2">
        <v>2.9</v>
      </c>
      <c r="BD820" s="2">
        <f>+AN820*EXP(-0.0495*Y820)</f>
        <v>5.7575024406550153</v>
      </c>
      <c r="BE820" s="2">
        <f>+AO820*EXP(-0.024*Y820)</f>
        <v>18.357382532844394</v>
      </c>
    </row>
    <row r="821" spans="1:57" x14ac:dyDescent="0.2">
      <c r="A821" s="2" t="s">
        <v>2483</v>
      </c>
      <c r="B821" s="2" t="s">
        <v>19</v>
      </c>
      <c r="C821" s="2" t="s">
        <v>1907</v>
      </c>
      <c r="D821" s="2" t="s">
        <v>21</v>
      </c>
      <c r="E821" s="2" t="s">
        <v>2484</v>
      </c>
      <c r="F821" s="2">
        <v>4</v>
      </c>
      <c r="G821" s="2">
        <v>208</v>
      </c>
      <c r="H821" s="2">
        <v>4</v>
      </c>
      <c r="I821" s="2">
        <v>3</v>
      </c>
      <c r="J821" s="2">
        <v>2</v>
      </c>
      <c r="K821" s="2" t="s">
        <v>61</v>
      </c>
      <c r="L821" s="6" t="s">
        <v>113</v>
      </c>
      <c r="M821" s="5">
        <v>930000000</v>
      </c>
      <c r="N821" s="2">
        <v>0</v>
      </c>
      <c r="O821" s="2">
        <v>4.6914910000000001</v>
      </c>
      <c r="P821" s="2">
        <v>-74.072389000000001</v>
      </c>
      <c r="Q821" s="2" t="s">
        <v>2485</v>
      </c>
      <c r="R821" s="2">
        <v>4471153.8459999999</v>
      </c>
      <c r="S821" s="2">
        <v>0</v>
      </c>
      <c r="T821" s="2" t="s">
        <v>26</v>
      </c>
      <c r="U821" s="2" t="s">
        <v>27</v>
      </c>
      <c r="V821" s="2" t="s">
        <v>28</v>
      </c>
      <c r="W821" s="2" t="s">
        <v>29</v>
      </c>
      <c r="X821" s="2" t="s">
        <v>30</v>
      </c>
      <c r="Y821" s="2">
        <v>3.8942074094392698</v>
      </c>
      <c r="Z821" s="2">
        <v>4.6584666666666701</v>
      </c>
      <c r="AA821" s="2">
        <v>-74.083966666666697</v>
      </c>
      <c r="AB821" s="2">
        <v>2552</v>
      </c>
      <c r="AC821" s="2" t="s">
        <v>31</v>
      </c>
      <c r="AD821" s="2" t="s">
        <v>32</v>
      </c>
      <c r="AE821" s="2" t="s">
        <v>33</v>
      </c>
      <c r="AF821" s="2" t="s">
        <v>34</v>
      </c>
      <c r="AG821" s="2" t="s">
        <v>72</v>
      </c>
      <c r="AH821" s="2">
        <v>0.61193207200294497</v>
      </c>
      <c r="AI821" s="2">
        <v>4.1229170781815601</v>
      </c>
      <c r="AJ821" s="2">
        <v>0.60030805671212395</v>
      </c>
      <c r="AK821" s="2">
        <v>0.29136786181205898</v>
      </c>
      <c r="AL821" s="2">
        <v>0.122362601869814</v>
      </c>
      <c r="AN821" s="2">
        <v>6.8</v>
      </c>
      <c r="AO821" s="2">
        <v>19.899999999999999</v>
      </c>
      <c r="AP821" s="2">
        <v>564</v>
      </c>
      <c r="AQ821" s="2">
        <v>68</v>
      </c>
      <c r="AR821" s="2">
        <v>1.5</v>
      </c>
      <c r="AS821" s="2">
        <v>135</v>
      </c>
      <c r="AT821" s="2">
        <v>0.8</v>
      </c>
      <c r="AU821" s="2">
        <v>162</v>
      </c>
      <c r="AV821" s="2">
        <v>9.1</v>
      </c>
      <c r="AW821" s="2">
        <v>9.1999999999999993</v>
      </c>
      <c r="AX821" s="2">
        <v>18.3</v>
      </c>
      <c r="AY821" s="2">
        <v>0.34</v>
      </c>
      <c r="AZ821" s="2">
        <v>7.3</v>
      </c>
      <c r="BA821" s="2">
        <v>0.9</v>
      </c>
      <c r="BB821" s="2">
        <v>7.5</v>
      </c>
      <c r="BC821" s="2">
        <v>2.9</v>
      </c>
      <c r="BD821" s="2">
        <f>+AN821*EXP(-0.0495*Y821)</f>
        <v>5.6078048207841773</v>
      </c>
      <c r="BE821" s="2">
        <f>+AO821*EXP(-0.024*Y821)</f>
        <v>18.124393786220402</v>
      </c>
    </row>
    <row r="822" spans="1:57" x14ac:dyDescent="0.2">
      <c r="A822" s="2" t="s">
        <v>1167</v>
      </c>
      <c r="B822" s="2" t="s">
        <v>19</v>
      </c>
      <c r="C822" s="2" t="s">
        <v>20</v>
      </c>
      <c r="D822" s="2" t="s">
        <v>21</v>
      </c>
      <c r="E822" s="2" t="s">
        <v>355</v>
      </c>
      <c r="F822" s="2">
        <v>5</v>
      </c>
      <c r="G822" s="2">
        <v>207</v>
      </c>
      <c r="H822" s="2">
        <v>3</v>
      </c>
      <c r="I822" s="2">
        <v>4</v>
      </c>
      <c r="J822" s="2">
        <v>2</v>
      </c>
      <c r="K822" s="2" t="s">
        <v>61</v>
      </c>
      <c r="L822" s="6" t="s">
        <v>113</v>
      </c>
      <c r="M822" s="5">
        <v>1595000000</v>
      </c>
      <c r="N822" s="2">
        <v>0</v>
      </c>
      <c r="O822" s="2">
        <v>4.6736059189999999</v>
      </c>
      <c r="P822" s="2">
        <v>-74.057647709999998</v>
      </c>
      <c r="Q822" s="2" t="s">
        <v>1168</v>
      </c>
      <c r="R822" s="2">
        <v>7705314.0099999998</v>
      </c>
      <c r="S822" s="2">
        <v>0</v>
      </c>
      <c r="T822" s="2" t="s">
        <v>26</v>
      </c>
      <c r="U822" s="2" t="s">
        <v>27</v>
      </c>
      <c r="V822" s="2" t="s">
        <v>28</v>
      </c>
      <c r="W822" s="2" t="s">
        <v>29</v>
      </c>
      <c r="X822" s="2" t="s">
        <v>30</v>
      </c>
      <c r="Y822" s="2">
        <v>3.3715301895995702</v>
      </c>
      <c r="Z822" s="2">
        <v>4.6584666666666701</v>
      </c>
      <c r="AA822" s="2">
        <v>-74.083966666666697</v>
      </c>
      <c r="AB822" s="2">
        <v>2552</v>
      </c>
      <c r="AC822" s="2" t="s">
        <v>31</v>
      </c>
      <c r="AD822" s="2" t="s">
        <v>32</v>
      </c>
      <c r="AE822" s="2" t="s">
        <v>33</v>
      </c>
      <c r="AF822" s="2" t="s">
        <v>34</v>
      </c>
      <c r="AG822" s="2" t="s">
        <v>81</v>
      </c>
      <c r="AH822" s="2">
        <v>0.26344122401798797</v>
      </c>
      <c r="AI822" s="2">
        <v>1.7000748305681199</v>
      </c>
      <c r="AJ822" s="2">
        <v>0.64156710436675302</v>
      </c>
      <c r="AK822" s="2">
        <v>9.0079752351256495E-2</v>
      </c>
      <c r="AL822" s="2">
        <v>0.75432882381601696</v>
      </c>
      <c r="AN822" s="2">
        <v>6.8</v>
      </c>
      <c r="AO822" s="2">
        <v>19.899999999999999</v>
      </c>
      <c r="AP822" s="2">
        <v>564</v>
      </c>
      <c r="AQ822" s="2">
        <v>68</v>
      </c>
      <c r="AR822" s="2">
        <v>1.5</v>
      </c>
      <c r="AS822" s="2">
        <v>135</v>
      </c>
      <c r="AT822" s="2">
        <v>0.8</v>
      </c>
      <c r="AU822" s="2">
        <v>162</v>
      </c>
      <c r="AV822" s="2">
        <v>9.1</v>
      </c>
      <c r="AW822" s="2">
        <v>9.1999999999999993</v>
      </c>
      <c r="AX822" s="2">
        <v>18.3</v>
      </c>
      <c r="AY822" s="2">
        <v>0.34</v>
      </c>
      <c r="AZ822" s="2">
        <v>7.3</v>
      </c>
      <c r="BA822" s="2">
        <v>0.9</v>
      </c>
      <c r="BB822" s="2">
        <v>7.5</v>
      </c>
      <c r="BC822" s="2">
        <v>2.9</v>
      </c>
      <c r="BD822" s="2">
        <f>+AN822*EXP(-0.0495*Y822)</f>
        <v>5.7547860654370409</v>
      </c>
      <c r="BE822" s="2">
        <f>+AO822*EXP(-0.024*Y822)</f>
        <v>18.353182765658225</v>
      </c>
    </row>
    <row r="823" spans="1:57" x14ac:dyDescent="0.2">
      <c r="A823" s="2" t="s">
        <v>2002</v>
      </c>
      <c r="B823" s="2" t="s">
        <v>19</v>
      </c>
      <c r="C823" s="2" t="s">
        <v>1907</v>
      </c>
      <c r="D823" s="2" t="s">
        <v>21</v>
      </c>
      <c r="E823" s="2" t="s">
        <v>1142</v>
      </c>
      <c r="F823" s="2">
        <v>4</v>
      </c>
      <c r="G823" s="2">
        <v>205</v>
      </c>
      <c r="H823" s="2">
        <v>5</v>
      </c>
      <c r="I823" s="2">
        <v>5</v>
      </c>
      <c r="J823" s="2">
        <v>3</v>
      </c>
      <c r="K823" s="2" t="s">
        <v>61</v>
      </c>
      <c r="L823" s="6" t="s">
        <v>113</v>
      </c>
      <c r="M823" s="5">
        <v>1300000000</v>
      </c>
      <c r="N823" s="2">
        <v>0</v>
      </c>
      <c r="O823" s="2">
        <v>4.6548881529999999</v>
      </c>
      <c r="P823" s="2">
        <v>-74.061645510000005</v>
      </c>
      <c r="Q823" s="2" t="s">
        <v>2003</v>
      </c>
      <c r="R823" s="2">
        <v>6341463.415</v>
      </c>
      <c r="S823" s="2">
        <v>0</v>
      </c>
      <c r="T823" s="2" t="s">
        <v>26</v>
      </c>
      <c r="U823" s="2" t="s">
        <v>27</v>
      </c>
      <c r="V823" s="2" t="s">
        <v>28</v>
      </c>
      <c r="W823" s="2" t="s">
        <v>29</v>
      </c>
      <c r="X823" s="2" t="s">
        <v>30</v>
      </c>
      <c r="Y823" s="2">
        <v>2.5084111198202601</v>
      </c>
      <c r="Z823" s="2">
        <v>4.6584666666666701</v>
      </c>
      <c r="AA823" s="2">
        <v>-74.083966666666697</v>
      </c>
      <c r="AB823" s="2">
        <v>2552</v>
      </c>
      <c r="AC823" s="2" t="s">
        <v>31</v>
      </c>
      <c r="AD823" s="2" t="s">
        <v>32</v>
      </c>
      <c r="AE823" s="2" t="s">
        <v>33</v>
      </c>
      <c r="AF823" s="2" t="s">
        <v>34</v>
      </c>
      <c r="AG823" s="2" t="s">
        <v>81</v>
      </c>
      <c r="AH823" s="2">
        <v>0.15121424546342799</v>
      </c>
      <c r="AI823" s="2">
        <v>1.35056421073115</v>
      </c>
      <c r="AJ823" s="2">
        <v>0.15469387363863801</v>
      </c>
      <c r="AK823" s="2">
        <v>3.91463986270651E-2</v>
      </c>
      <c r="AL823" s="2">
        <v>0.100527688469692</v>
      </c>
      <c r="AN823" s="2">
        <v>6.8</v>
      </c>
      <c r="AO823" s="2">
        <v>19.899999999999999</v>
      </c>
      <c r="AP823" s="2">
        <v>564</v>
      </c>
      <c r="AQ823" s="2">
        <v>68</v>
      </c>
      <c r="AR823" s="2">
        <v>1.5</v>
      </c>
      <c r="AS823" s="2">
        <v>135</v>
      </c>
      <c r="AT823" s="2">
        <v>0.8</v>
      </c>
      <c r="AU823" s="2">
        <v>162</v>
      </c>
      <c r="AV823" s="2">
        <v>9.1</v>
      </c>
      <c r="AW823" s="2">
        <v>9.1999999999999993</v>
      </c>
      <c r="AX823" s="2">
        <v>18.3</v>
      </c>
      <c r="AY823" s="2">
        <v>0.34</v>
      </c>
      <c r="AZ823" s="2">
        <v>7.3</v>
      </c>
      <c r="BA823" s="2">
        <v>0.9</v>
      </c>
      <c r="BB823" s="2">
        <v>7.5</v>
      </c>
      <c r="BC823" s="2">
        <v>2.9</v>
      </c>
      <c r="BD823" s="2">
        <f>+AN823*EXP(-0.0495*Y823)</f>
        <v>6.0059837369140752</v>
      </c>
      <c r="BE823" s="2">
        <f>+AO823*EXP(-0.024*Y823)</f>
        <v>18.737331389979129</v>
      </c>
    </row>
    <row r="824" spans="1:57" x14ac:dyDescent="0.2">
      <c r="A824" s="2" t="s">
        <v>2602</v>
      </c>
      <c r="B824" s="2" t="s">
        <v>19</v>
      </c>
      <c r="C824" s="2" t="s">
        <v>1907</v>
      </c>
      <c r="D824" s="2" t="s">
        <v>21</v>
      </c>
      <c r="E824" s="2" t="s">
        <v>22</v>
      </c>
      <c r="F824" s="2">
        <v>4</v>
      </c>
      <c r="G824" s="2">
        <v>205</v>
      </c>
      <c r="H824" s="2">
        <v>5</v>
      </c>
      <c r="I824" s="2">
        <v>2</v>
      </c>
      <c r="J824" s="2">
        <v>0</v>
      </c>
      <c r="K824" s="2" t="s">
        <v>61</v>
      </c>
      <c r="L824" s="6" t="s">
        <v>113</v>
      </c>
      <c r="M824" s="5">
        <v>1150000000</v>
      </c>
      <c r="N824" s="2">
        <v>0</v>
      </c>
      <c r="O824" s="2">
        <v>4.6452714000000004</v>
      </c>
      <c r="P824" s="2">
        <v>-74.068922400000005</v>
      </c>
      <c r="Q824" s="2" t="s">
        <v>2603</v>
      </c>
      <c r="R824" s="2">
        <v>5609756.0980000002</v>
      </c>
      <c r="S824" s="2">
        <v>0</v>
      </c>
      <c r="T824" s="2" t="s">
        <v>77</v>
      </c>
      <c r="U824" s="2" t="s">
        <v>78</v>
      </c>
      <c r="V824" s="2" t="s">
        <v>28</v>
      </c>
      <c r="W824" s="2" t="s">
        <v>79</v>
      </c>
      <c r="X824" s="2" t="s">
        <v>80</v>
      </c>
      <c r="Y824" s="2">
        <v>2.2130017696942601</v>
      </c>
      <c r="Z824" s="2">
        <v>4.6254861111111101</v>
      </c>
      <c r="AA824" s="2">
        <v>-74.066980555555503</v>
      </c>
      <c r="AB824" s="2">
        <v>2621</v>
      </c>
      <c r="AC824" s="2" t="s">
        <v>31</v>
      </c>
      <c r="AD824" s="2" t="s">
        <v>32</v>
      </c>
      <c r="AE824" s="2" t="s">
        <v>33</v>
      </c>
      <c r="AF824" s="2" t="s">
        <v>34</v>
      </c>
      <c r="AG824" s="2" t="s">
        <v>35</v>
      </c>
      <c r="AH824" s="2">
        <v>0.42632270114703802</v>
      </c>
      <c r="AI824" s="2">
        <v>1.35043493917789</v>
      </c>
      <c r="AJ824" s="2">
        <v>0.275374103708662</v>
      </c>
      <c r="AK824" s="2">
        <v>2.9541308273353901E-2</v>
      </c>
      <c r="AL824" s="2">
        <v>2.5738202643431199E-2</v>
      </c>
      <c r="AN824" s="2">
        <v>6.8</v>
      </c>
      <c r="AO824" s="2">
        <v>19.899999999999999</v>
      </c>
      <c r="AP824" s="2">
        <v>564</v>
      </c>
      <c r="AQ824" s="2">
        <v>68</v>
      </c>
      <c r="AR824" s="2">
        <v>1.5</v>
      </c>
      <c r="AS824" s="2">
        <v>135</v>
      </c>
      <c r="AT824" s="2">
        <v>0.8</v>
      </c>
      <c r="AU824" s="2">
        <v>162</v>
      </c>
      <c r="AV824" s="2">
        <v>9.1</v>
      </c>
      <c r="AW824" s="2">
        <v>9.1999999999999993</v>
      </c>
      <c r="AX824" s="2">
        <v>18.3</v>
      </c>
      <c r="AY824" s="2">
        <v>0.34</v>
      </c>
      <c r="AZ824" s="2">
        <v>7.3</v>
      </c>
      <c r="BA824" s="2">
        <v>0.9</v>
      </c>
      <c r="BB824" s="2">
        <v>7.5</v>
      </c>
      <c r="BC824" s="2">
        <v>2.9</v>
      </c>
      <c r="BD824" s="2">
        <f>+AN824*EXP(-0.0495*Y824)</f>
        <v>6.0944530692911103</v>
      </c>
      <c r="BE824" s="2">
        <f>+AO824*EXP(-0.024*Y824)</f>
        <v>18.870647815904789</v>
      </c>
    </row>
    <row r="825" spans="1:57" x14ac:dyDescent="0.2">
      <c r="A825" s="2" t="s">
        <v>1029</v>
      </c>
      <c r="B825" s="2" t="s">
        <v>19</v>
      </c>
      <c r="C825" s="2" t="s">
        <v>20</v>
      </c>
      <c r="D825" s="2" t="s">
        <v>21</v>
      </c>
      <c r="E825" s="2" t="s">
        <v>571</v>
      </c>
      <c r="F825" s="2">
        <v>6</v>
      </c>
      <c r="G825" s="2">
        <v>203</v>
      </c>
      <c r="H825" s="2">
        <v>4</v>
      </c>
      <c r="I825" s="2">
        <v>4</v>
      </c>
      <c r="J825" s="2">
        <v>4</v>
      </c>
      <c r="K825" s="2" t="s">
        <v>61</v>
      </c>
      <c r="L825" s="6" t="s">
        <v>75</v>
      </c>
      <c r="M825" s="5">
        <v>1900000000</v>
      </c>
      <c r="N825" s="2">
        <v>0</v>
      </c>
      <c r="O825" s="2">
        <v>4.6670403479999996</v>
      </c>
      <c r="P825" s="2">
        <v>-74.048698430000002</v>
      </c>
      <c r="Q825" s="2" t="s">
        <v>1030</v>
      </c>
      <c r="R825" s="2">
        <v>9359605.9110000003</v>
      </c>
      <c r="S825" s="2">
        <v>0</v>
      </c>
      <c r="T825" s="2" t="s">
        <v>26</v>
      </c>
      <c r="U825" s="2" t="s">
        <v>27</v>
      </c>
      <c r="V825" s="2" t="s">
        <v>28</v>
      </c>
      <c r="W825" s="2" t="s">
        <v>29</v>
      </c>
      <c r="X825" s="2" t="s">
        <v>30</v>
      </c>
      <c r="Y825" s="2">
        <v>4.0277615848543196</v>
      </c>
      <c r="Z825" s="2">
        <v>4.6584666666666701</v>
      </c>
      <c r="AA825" s="2">
        <v>-74.083966666666697</v>
      </c>
      <c r="AB825" s="2">
        <v>2552</v>
      </c>
      <c r="AC825" s="2" t="s">
        <v>31</v>
      </c>
      <c r="AD825" s="2" t="s">
        <v>32</v>
      </c>
      <c r="AE825" s="2" t="s">
        <v>33</v>
      </c>
      <c r="AF825" s="2" t="s">
        <v>34</v>
      </c>
      <c r="AG825" s="2" t="s">
        <v>81</v>
      </c>
      <c r="AH825" s="2">
        <v>1.2931991119024999</v>
      </c>
      <c r="AI825" s="2">
        <v>0.47116741527280798</v>
      </c>
      <c r="AJ825" s="2">
        <v>0.60324315481563495</v>
      </c>
      <c r="AK825" s="2">
        <v>0.114732053416483</v>
      </c>
      <c r="AL825" s="2">
        <v>7.4862289062257295E-2</v>
      </c>
      <c r="AN825" s="2">
        <v>6.8</v>
      </c>
      <c r="AO825" s="2">
        <v>19.899999999999999</v>
      </c>
      <c r="AP825" s="2">
        <v>564</v>
      </c>
      <c r="AQ825" s="2">
        <v>68</v>
      </c>
      <c r="AR825" s="2">
        <v>1.5</v>
      </c>
      <c r="AS825" s="2">
        <v>135</v>
      </c>
      <c r="AT825" s="2">
        <v>0.8</v>
      </c>
      <c r="AU825" s="2">
        <v>162</v>
      </c>
      <c r="AV825" s="2">
        <v>9.1</v>
      </c>
      <c r="AW825" s="2">
        <v>9.1999999999999993</v>
      </c>
      <c r="AX825" s="2">
        <v>18.3</v>
      </c>
      <c r="AY825" s="2">
        <v>0.34</v>
      </c>
      <c r="AZ825" s="2">
        <v>7.3</v>
      </c>
      <c r="BA825" s="2">
        <v>0.9</v>
      </c>
      <c r="BB825" s="2">
        <v>7.5</v>
      </c>
      <c r="BC825" s="2">
        <v>2.9</v>
      </c>
      <c r="BD825" s="2">
        <f>+AN825*EXP(-0.0495*Y825)</f>
        <v>5.570854279549061</v>
      </c>
      <c r="BE825" s="2">
        <f>+AO825*EXP(-0.024*Y825)</f>
        <v>18.066392668168316</v>
      </c>
    </row>
    <row r="826" spans="1:57" x14ac:dyDescent="0.2">
      <c r="A826" s="2" t="s">
        <v>3813</v>
      </c>
      <c r="B826" s="2" t="s">
        <v>19</v>
      </c>
      <c r="C826" s="2" t="s">
        <v>3245</v>
      </c>
      <c r="D826" s="2" t="s">
        <v>21</v>
      </c>
      <c r="E826" s="2" t="s">
        <v>83</v>
      </c>
      <c r="F826" s="2">
        <v>6</v>
      </c>
      <c r="G826" s="2">
        <v>202</v>
      </c>
      <c r="H826" s="2">
        <v>3</v>
      </c>
      <c r="I826" s="2">
        <v>4</v>
      </c>
      <c r="J826" s="2">
        <v>3</v>
      </c>
      <c r="K826" s="2" t="s">
        <v>61</v>
      </c>
      <c r="L826" s="6" t="s">
        <v>62</v>
      </c>
      <c r="M826" s="5">
        <v>3300000000</v>
      </c>
      <c r="N826" s="2">
        <v>0</v>
      </c>
      <c r="O826" s="2">
        <v>4.6710260999999997</v>
      </c>
      <c r="P826" s="2">
        <v>-74.046404899999999</v>
      </c>
      <c r="Q826" s="2" t="s">
        <v>3814</v>
      </c>
      <c r="R826" s="2">
        <v>16336633.66</v>
      </c>
      <c r="S826" s="2">
        <v>0</v>
      </c>
      <c r="T826" s="2" t="s">
        <v>26</v>
      </c>
      <c r="U826" s="2" t="s">
        <v>27</v>
      </c>
      <c r="V826" s="2" t="s">
        <v>28</v>
      </c>
      <c r="W826" s="2" t="s">
        <v>29</v>
      </c>
      <c r="X826" s="2" t="s">
        <v>30</v>
      </c>
      <c r="Y826" s="2">
        <v>4.3957730740523004</v>
      </c>
      <c r="Z826" s="2">
        <v>4.6584666666666701</v>
      </c>
      <c r="AA826" s="2">
        <v>-74.083966666666697</v>
      </c>
      <c r="AB826" s="2">
        <v>2552</v>
      </c>
      <c r="AC826" s="2" t="s">
        <v>31</v>
      </c>
      <c r="AD826" s="2" t="s">
        <v>32</v>
      </c>
      <c r="AE826" s="2" t="s">
        <v>33</v>
      </c>
      <c r="AF826" s="2" t="s">
        <v>34</v>
      </c>
      <c r="AG826" s="2" t="s">
        <v>81</v>
      </c>
      <c r="AH826" s="2">
        <v>1.47480904019085</v>
      </c>
      <c r="AI826" s="2">
        <v>0.46024280336608198</v>
      </c>
      <c r="AJ826" s="2">
        <v>1.05801025564327</v>
      </c>
      <c r="AK826" s="2">
        <v>0.35086688229456903</v>
      </c>
      <c r="AL826" s="2">
        <v>0.58218250533471305</v>
      </c>
      <c r="AN826" s="2">
        <v>6.8</v>
      </c>
      <c r="AO826" s="2">
        <v>19.899999999999999</v>
      </c>
      <c r="AP826" s="2">
        <v>564</v>
      </c>
      <c r="AQ826" s="2">
        <v>68</v>
      </c>
      <c r="AR826" s="2">
        <v>1.5</v>
      </c>
      <c r="AS826" s="2">
        <v>135</v>
      </c>
      <c r="AT826" s="2">
        <v>0.8</v>
      </c>
      <c r="AU826" s="2">
        <v>162</v>
      </c>
      <c r="AV826" s="2">
        <v>9.1</v>
      </c>
      <c r="AW826" s="2">
        <v>9.1999999999999993</v>
      </c>
      <c r="AX826" s="2">
        <v>18.3</v>
      </c>
      <c r="AY826" s="2">
        <v>0.34</v>
      </c>
      <c r="AZ826" s="2">
        <v>7.3</v>
      </c>
      <c r="BA826" s="2">
        <v>0.9</v>
      </c>
      <c r="BB826" s="2">
        <v>7.5</v>
      </c>
      <c r="BC826" s="2">
        <v>2.9</v>
      </c>
      <c r="BD826" s="2">
        <f>+AN826*EXP(-0.0495*Y826)</f>
        <v>5.4702911680958888</v>
      </c>
      <c r="BE826" s="2">
        <f>+AO826*EXP(-0.024*Y826)</f>
        <v>17.907527907906424</v>
      </c>
    </row>
    <row r="827" spans="1:57" x14ac:dyDescent="0.2">
      <c r="A827" s="2" t="s">
        <v>2962</v>
      </c>
      <c r="B827" s="2" t="s">
        <v>19</v>
      </c>
      <c r="C827" s="2" t="s">
        <v>1907</v>
      </c>
      <c r="D827" s="2" t="s">
        <v>21</v>
      </c>
      <c r="E827" s="2" t="s">
        <v>65</v>
      </c>
      <c r="F827" s="2">
        <v>5</v>
      </c>
      <c r="G827" s="2">
        <v>200.4</v>
      </c>
      <c r="H827" s="2">
        <v>3</v>
      </c>
      <c r="I827" s="2">
        <v>3</v>
      </c>
      <c r="J827" s="2">
        <v>2</v>
      </c>
      <c r="K827" s="2" t="s">
        <v>61</v>
      </c>
      <c r="L827" s="6" t="s">
        <v>113</v>
      </c>
      <c r="M827" s="5">
        <v>1300000000</v>
      </c>
      <c r="N827" s="2">
        <v>0</v>
      </c>
      <c r="O827" s="2">
        <v>4.6887999999999996</v>
      </c>
      <c r="P827" s="2">
        <v>-74.091120000000004</v>
      </c>
      <c r="Q827" s="2" t="s">
        <v>2963</v>
      </c>
      <c r="R827" s="2">
        <v>6487025.9479999999</v>
      </c>
      <c r="S827" s="2">
        <v>0</v>
      </c>
      <c r="T827" s="2" t="s">
        <v>26</v>
      </c>
      <c r="U827" s="2" t="s">
        <v>27</v>
      </c>
      <c r="V827" s="2" t="s">
        <v>28</v>
      </c>
      <c r="W827" s="2" t="s">
        <v>29</v>
      </c>
      <c r="X827" s="2" t="s">
        <v>30</v>
      </c>
      <c r="Y827" s="2">
        <v>3.46870813540392</v>
      </c>
      <c r="Z827" s="2">
        <v>4.6584666666666701</v>
      </c>
      <c r="AA827" s="2">
        <v>-74.083966666666697</v>
      </c>
      <c r="AB827" s="2">
        <v>2552</v>
      </c>
      <c r="AC827" s="2" t="s">
        <v>31</v>
      </c>
      <c r="AD827" s="2" t="s">
        <v>32</v>
      </c>
      <c r="AE827" s="2" t="s">
        <v>33</v>
      </c>
      <c r="AF827" s="2" t="s">
        <v>34</v>
      </c>
      <c r="AG827" s="2" t="s">
        <v>363</v>
      </c>
      <c r="AH827" s="2">
        <v>0.71922686590181095</v>
      </c>
      <c r="AI827" s="2">
        <v>5.5772062088437</v>
      </c>
      <c r="AJ827" s="2">
        <v>1.3848437436876699</v>
      </c>
      <c r="AK827" s="2">
        <v>0.21991549789145801</v>
      </c>
      <c r="AL827" s="2">
        <v>5.3245298375181403E-2</v>
      </c>
      <c r="AN827" s="2">
        <v>6.8</v>
      </c>
      <c r="AO827" s="2">
        <v>19.899999999999999</v>
      </c>
      <c r="AP827" s="2">
        <v>564</v>
      </c>
      <c r="AQ827" s="2">
        <v>68</v>
      </c>
      <c r="AR827" s="2">
        <v>1.5</v>
      </c>
      <c r="AS827" s="2">
        <v>135</v>
      </c>
      <c r="AT827" s="2">
        <v>0.8</v>
      </c>
      <c r="AU827" s="2">
        <v>162</v>
      </c>
      <c r="AV827" s="2">
        <v>9.1</v>
      </c>
      <c r="AW827" s="2">
        <v>9.1999999999999993</v>
      </c>
      <c r="AX827" s="2">
        <v>18.3</v>
      </c>
      <c r="AY827" s="2">
        <v>0.34</v>
      </c>
      <c r="AZ827" s="2">
        <v>7.3</v>
      </c>
      <c r="BA827" s="2">
        <v>0.9</v>
      </c>
      <c r="BB827" s="2">
        <v>7.5</v>
      </c>
      <c r="BC827" s="2">
        <v>2.9</v>
      </c>
      <c r="BD827" s="2">
        <f>+AN827*EXP(-0.0495*Y827)</f>
        <v>5.7271702437208836</v>
      </c>
      <c r="BE827" s="2">
        <f>+AO827*EXP(-0.024*Y827)</f>
        <v>18.310428052417681</v>
      </c>
    </row>
    <row r="828" spans="1:57" x14ac:dyDescent="0.2">
      <c r="A828" s="2" t="s">
        <v>756</v>
      </c>
      <c r="B828" s="2" t="s">
        <v>19</v>
      </c>
      <c r="C828" s="2" t="s">
        <v>20</v>
      </c>
      <c r="D828" s="2" t="s">
        <v>21</v>
      </c>
      <c r="E828" s="2" t="s">
        <v>757</v>
      </c>
      <c r="F828" s="2">
        <v>5</v>
      </c>
      <c r="G828" s="2">
        <v>200</v>
      </c>
      <c r="H828" s="2">
        <v>3</v>
      </c>
      <c r="I828" s="2">
        <v>4</v>
      </c>
      <c r="J828" s="2">
        <v>3</v>
      </c>
      <c r="K828" s="2" t="s">
        <v>61</v>
      </c>
      <c r="L828" s="6" t="s">
        <v>84</v>
      </c>
      <c r="M828" s="5">
        <v>2100000000</v>
      </c>
      <c r="N828" s="2">
        <v>0</v>
      </c>
      <c r="O828" s="2">
        <v>4.6631793979999996</v>
      </c>
      <c r="P828" s="2">
        <v>-74.111015320000007</v>
      </c>
      <c r="Q828" s="2" t="s">
        <v>758</v>
      </c>
      <c r="R828" s="2">
        <v>10500000</v>
      </c>
      <c r="S828" s="2">
        <v>0</v>
      </c>
      <c r="T828" s="2" t="s">
        <v>26</v>
      </c>
      <c r="U828" s="2" t="s">
        <v>27</v>
      </c>
      <c r="V828" s="2" t="s">
        <v>28</v>
      </c>
      <c r="W828" s="2" t="s">
        <v>29</v>
      </c>
      <c r="X828" s="2" t="s">
        <v>30</v>
      </c>
      <c r="Y828" s="2">
        <v>3.0465945199180098</v>
      </c>
      <c r="Z828" s="2">
        <v>4.6584666666666701</v>
      </c>
      <c r="AA828" s="2">
        <v>-74.083966666666697</v>
      </c>
      <c r="AB828" s="2">
        <v>2552</v>
      </c>
      <c r="AC828" s="2" t="s">
        <v>31</v>
      </c>
      <c r="AD828" s="2" t="s">
        <v>32</v>
      </c>
      <c r="AE828" s="2" t="s">
        <v>33</v>
      </c>
      <c r="AF828" s="2" t="s">
        <v>34</v>
      </c>
      <c r="AG828" s="2" t="s">
        <v>43</v>
      </c>
      <c r="AH828" s="2">
        <v>0.28373295203795601</v>
      </c>
      <c r="AI828" s="2">
        <v>5.1628996697406002</v>
      </c>
      <c r="AJ828" s="2">
        <v>0.75370709554174398</v>
      </c>
      <c r="AK828" s="2">
        <v>0.21554950824019001</v>
      </c>
      <c r="AL828" s="2">
        <v>0.653376072165887</v>
      </c>
      <c r="AN828" s="2">
        <v>6.8</v>
      </c>
      <c r="AO828" s="2">
        <v>19.899999999999999</v>
      </c>
      <c r="AP828" s="2">
        <v>564</v>
      </c>
      <c r="AQ828" s="2">
        <v>68</v>
      </c>
      <c r="AR828" s="2">
        <v>1.5</v>
      </c>
      <c r="AS828" s="2">
        <v>135</v>
      </c>
      <c r="AT828" s="2">
        <v>0.8</v>
      </c>
      <c r="AU828" s="2">
        <v>162</v>
      </c>
      <c r="AV828" s="2">
        <v>9.1</v>
      </c>
      <c r="AW828" s="2">
        <v>9.1999999999999993</v>
      </c>
      <c r="AX828" s="2">
        <v>18.3</v>
      </c>
      <c r="AY828" s="2">
        <v>0.34</v>
      </c>
      <c r="AZ828" s="2">
        <v>7.3</v>
      </c>
      <c r="BA828" s="2">
        <v>0.9</v>
      </c>
      <c r="BB828" s="2">
        <v>7.5</v>
      </c>
      <c r="BC828" s="2">
        <v>2.9</v>
      </c>
      <c r="BD828" s="2">
        <f>+AN828*EXP(-0.0495*Y828)</f>
        <v>5.848096264712364</v>
      </c>
      <c r="BE828" s="2">
        <f>+AO828*EXP(-0.024*Y828)</f>
        <v>18.496868791625971</v>
      </c>
    </row>
    <row r="829" spans="1:57" x14ac:dyDescent="0.2">
      <c r="A829" s="2" t="s">
        <v>1873</v>
      </c>
      <c r="B829" s="2" t="s">
        <v>19</v>
      </c>
      <c r="C829" s="2" t="s">
        <v>20</v>
      </c>
      <c r="D829" s="2" t="s">
        <v>21</v>
      </c>
      <c r="E829" s="2" t="s">
        <v>83</v>
      </c>
      <c r="F829" s="2">
        <v>6</v>
      </c>
      <c r="G829" s="2">
        <v>200</v>
      </c>
      <c r="H829" s="2">
        <v>3</v>
      </c>
      <c r="I829" s="2">
        <v>3</v>
      </c>
      <c r="J829" s="2">
        <v>2</v>
      </c>
      <c r="K829" s="2" t="s">
        <v>61</v>
      </c>
      <c r="L829" s="6" t="s">
        <v>113</v>
      </c>
      <c r="M829" s="5">
        <v>1600000000</v>
      </c>
      <c r="N829" s="2">
        <v>0</v>
      </c>
      <c r="O829" s="2">
        <v>4.6741242410000003</v>
      </c>
      <c r="P829" s="2">
        <v>-74.049568179999994</v>
      </c>
      <c r="Q829" s="2" t="s">
        <v>1874</v>
      </c>
      <c r="R829" s="2">
        <v>8000000</v>
      </c>
      <c r="S829" s="2">
        <v>0</v>
      </c>
      <c r="T829" s="2" t="s">
        <v>26</v>
      </c>
      <c r="U829" s="2" t="s">
        <v>27</v>
      </c>
      <c r="V829" s="2" t="s">
        <v>28</v>
      </c>
      <c r="W829" s="2" t="s">
        <v>29</v>
      </c>
      <c r="X829" s="2" t="s">
        <v>30</v>
      </c>
      <c r="Y829" s="2">
        <v>4.1957030937377704</v>
      </c>
      <c r="Z829" s="2">
        <v>4.6584666666666701</v>
      </c>
      <c r="AA829" s="2">
        <v>-74.083966666666697</v>
      </c>
      <c r="AB829" s="2">
        <v>2552</v>
      </c>
      <c r="AC829" s="2" t="s">
        <v>31</v>
      </c>
      <c r="AD829" s="2" t="s">
        <v>32</v>
      </c>
      <c r="AE829" s="2" t="s">
        <v>33</v>
      </c>
      <c r="AF829" s="2" t="s">
        <v>34</v>
      </c>
      <c r="AG829" s="2" t="s">
        <v>81</v>
      </c>
      <c r="AH829" s="2">
        <v>1.06822804081523</v>
      </c>
      <c r="AI829" s="2">
        <v>0.94951306560183701</v>
      </c>
      <c r="AJ829" s="2">
        <v>1.1246369528401401</v>
      </c>
      <c r="AK829" s="2">
        <v>0.13767697256480699</v>
      </c>
      <c r="AL829" s="2">
        <v>0.84029178150834904</v>
      </c>
      <c r="AN829" s="2">
        <v>6.8</v>
      </c>
      <c r="AO829" s="2">
        <v>19.899999999999999</v>
      </c>
      <c r="AP829" s="2">
        <v>564</v>
      </c>
      <c r="AQ829" s="2">
        <v>68</v>
      </c>
      <c r="AR829" s="2">
        <v>1.5</v>
      </c>
      <c r="AS829" s="2">
        <v>135</v>
      </c>
      <c r="AT829" s="2">
        <v>0.8</v>
      </c>
      <c r="AU829" s="2">
        <v>162</v>
      </c>
      <c r="AV829" s="2">
        <v>9.1</v>
      </c>
      <c r="AW829" s="2">
        <v>9.1999999999999993</v>
      </c>
      <c r="AX829" s="2">
        <v>18.3</v>
      </c>
      <c r="AY829" s="2">
        <v>0.34</v>
      </c>
      <c r="AZ829" s="2">
        <v>7.3</v>
      </c>
      <c r="BA829" s="2">
        <v>0.9</v>
      </c>
      <c r="BB829" s="2">
        <v>7.5</v>
      </c>
      <c r="BC829" s="2">
        <v>2.9</v>
      </c>
      <c r="BD829" s="2">
        <f>+AN829*EXP(-0.0495*Y829)</f>
        <v>5.5247351468995545</v>
      </c>
      <c r="BE829" s="2">
        <f>+AO829*EXP(-0.024*Y829)</f>
        <v>17.993720887978451</v>
      </c>
    </row>
    <row r="830" spans="1:57" x14ac:dyDescent="0.2">
      <c r="A830" s="2" t="s">
        <v>1960</v>
      </c>
      <c r="B830" s="2" t="s">
        <v>19</v>
      </c>
      <c r="C830" s="2" t="s">
        <v>1907</v>
      </c>
      <c r="D830" s="2" t="s">
        <v>21</v>
      </c>
      <c r="E830" s="2" t="s">
        <v>24</v>
      </c>
      <c r="F830" s="2">
        <v>4</v>
      </c>
      <c r="G830" s="2">
        <v>200</v>
      </c>
      <c r="H830" s="2">
        <v>4</v>
      </c>
      <c r="I830" s="2">
        <v>4</v>
      </c>
      <c r="J830" s="2">
        <v>2</v>
      </c>
      <c r="K830" s="2" t="s">
        <v>61</v>
      </c>
      <c r="L830" s="6" t="s">
        <v>113</v>
      </c>
      <c r="M830" s="5">
        <v>1350000000</v>
      </c>
      <c r="N830" s="2">
        <v>0</v>
      </c>
      <c r="O830" s="2">
        <v>4.6899700160000002</v>
      </c>
      <c r="P830" s="2">
        <v>-74.070808409999998</v>
      </c>
      <c r="Q830" s="2" t="s">
        <v>1961</v>
      </c>
      <c r="R830" s="2">
        <v>6750000</v>
      </c>
      <c r="S830" s="2">
        <v>0</v>
      </c>
      <c r="T830" s="2" t="s">
        <v>26</v>
      </c>
      <c r="U830" s="2" t="s">
        <v>27</v>
      </c>
      <c r="V830" s="2" t="s">
        <v>28</v>
      </c>
      <c r="W830" s="2" t="s">
        <v>29</v>
      </c>
      <c r="X830" s="2" t="s">
        <v>30</v>
      </c>
      <c r="Y830" s="2">
        <v>3.7986721776127599</v>
      </c>
      <c r="Z830" s="2">
        <v>4.6584666666666701</v>
      </c>
      <c r="AA830" s="2">
        <v>-74.083966666666697</v>
      </c>
      <c r="AB830" s="2">
        <v>2552</v>
      </c>
      <c r="AC830" s="2" t="s">
        <v>31</v>
      </c>
      <c r="AD830" s="2" t="s">
        <v>32</v>
      </c>
      <c r="AE830" s="2" t="s">
        <v>33</v>
      </c>
      <c r="AF830" s="2" t="s">
        <v>34</v>
      </c>
      <c r="AG830" s="2" t="s">
        <v>72</v>
      </c>
      <c r="AH830" s="2">
        <v>0.55050209233707603</v>
      </c>
      <c r="AI830" s="2">
        <v>3.8812873814016702</v>
      </c>
      <c r="AJ830" s="2">
        <v>0.58534760371080197</v>
      </c>
      <c r="AK830" s="2">
        <v>0.25572372610484301</v>
      </c>
      <c r="AL830" s="2">
        <v>9.2207367611668797E-2</v>
      </c>
      <c r="AN830" s="2">
        <v>6.8</v>
      </c>
      <c r="AO830" s="2">
        <v>19.899999999999999</v>
      </c>
      <c r="AP830" s="2">
        <v>564</v>
      </c>
      <c r="AQ830" s="2">
        <v>68</v>
      </c>
      <c r="AR830" s="2">
        <v>1.5</v>
      </c>
      <c r="AS830" s="2">
        <v>135</v>
      </c>
      <c r="AT830" s="2">
        <v>0.8</v>
      </c>
      <c r="AU830" s="2">
        <v>162</v>
      </c>
      <c r="AV830" s="2">
        <v>9.1</v>
      </c>
      <c r="AW830" s="2">
        <v>9.1999999999999993</v>
      </c>
      <c r="AX830" s="2">
        <v>18.3</v>
      </c>
      <c r="AY830" s="2">
        <v>0.34</v>
      </c>
      <c r="AZ830" s="2">
        <v>7.3</v>
      </c>
      <c r="BA830" s="2">
        <v>0.9</v>
      </c>
      <c r="BB830" s="2">
        <v>7.5</v>
      </c>
      <c r="BC830" s="2">
        <v>2.9</v>
      </c>
      <c r="BD830" s="2">
        <f>+AN830*EXP(-0.0495*Y830)</f>
        <v>5.6343868997037347</v>
      </c>
      <c r="BE830" s="2">
        <f>+AO830*EXP(-0.024*Y830)</f>
        <v>18.165997899787417</v>
      </c>
    </row>
    <row r="831" spans="1:57" x14ac:dyDescent="0.2">
      <c r="A831" s="2" t="s">
        <v>2710</v>
      </c>
      <c r="B831" s="2" t="s">
        <v>19</v>
      </c>
      <c r="C831" s="2" t="s">
        <v>1907</v>
      </c>
      <c r="D831" s="2" t="s">
        <v>21</v>
      </c>
      <c r="E831" s="2" t="s">
        <v>1096</v>
      </c>
      <c r="F831" s="2">
        <v>4</v>
      </c>
      <c r="G831" s="2">
        <v>200</v>
      </c>
      <c r="H831" s="2">
        <v>4</v>
      </c>
      <c r="I831" s="2">
        <v>4</v>
      </c>
      <c r="J831" s="2">
        <v>2</v>
      </c>
      <c r="K831" s="2" t="s">
        <v>61</v>
      </c>
      <c r="L831" s="6" t="s">
        <v>113</v>
      </c>
      <c r="M831" s="5">
        <v>850000000</v>
      </c>
      <c r="N831" s="2">
        <v>0</v>
      </c>
      <c r="O831" s="2">
        <v>4.6698481000000003</v>
      </c>
      <c r="P831" s="2">
        <v>-74.106710300000003</v>
      </c>
      <c r="Q831" s="2" t="s">
        <v>2711</v>
      </c>
      <c r="R831" s="2">
        <v>4250000</v>
      </c>
      <c r="S831" s="2">
        <v>0</v>
      </c>
      <c r="T831" s="2" t="s">
        <v>26</v>
      </c>
      <c r="U831" s="2" t="s">
        <v>27</v>
      </c>
      <c r="V831" s="2" t="s">
        <v>28</v>
      </c>
      <c r="W831" s="2" t="s">
        <v>29</v>
      </c>
      <c r="X831" s="2" t="s">
        <v>30</v>
      </c>
      <c r="Y831" s="2">
        <v>2.8236328797683599</v>
      </c>
      <c r="Z831" s="2">
        <v>4.6584666666666701</v>
      </c>
      <c r="AA831" s="2">
        <v>-74.083966666666697</v>
      </c>
      <c r="AB831" s="2">
        <v>2552</v>
      </c>
      <c r="AC831" s="2" t="s">
        <v>31</v>
      </c>
      <c r="AD831" s="2" t="s">
        <v>32</v>
      </c>
      <c r="AE831" s="2" t="s">
        <v>33</v>
      </c>
      <c r="AF831" s="2" t="s">
        <v>34</v>
      </c>
      <c r="AG831" s="2" t="s">
        <v>363</v>
      </c>
      <c r="AH831" s="2">
        <v>0.73436434651062299</v>
      </c>
      <c r="AI831" s="2">
        <v>5.6729456209492604</v>
      </c>
      <c r="AJ831" s="2">
        <v>1.3272867630376599</v>
      </c>
      <c r="AK831" s="2">
        <v>0.12763503826787001</v>
      </c>
      <c r="AL831" s="2">
        <v>0.38658035451003903</v>
      </c>
      <c r="AN831" s="2">
        <v>6.8</v>
      </c>
      <c r="AO831" s="2">
        <v>19.899999999999999</v>
      </c>
      <c r="AP831" s="2">
        <v>564</v>
      </c>
      <c r="AQ831" s="2">
        <v>68</v>
      </c>
      <c r="AR831" s="2">
        <v>1.5</v>
      </c>
      <c r="AS831" s="2">
        <v>135</v>
      </c>
      <c r="AT831" s="2">
        <v>0.8</v>
      </c>
      <c r="AU831" s="2">
        <v>162</v>
      </c>
      <c r="AV831" s="2">
        <v>9.1</v>
      </c>
      <c r="AW831" s="2">
        <v>9.1999999999999993</v>
      </c>
      <c r="AX831" s="2">
        <v>18.3</v>
      </c>
      <c r="AY831" s="2">
        <v>0.34</v>
      </c>
      <c r="AZ831" s="2">
        <v>7.3</v>
      </c>
      <c r="BA831" s="2">
        <v>0.9</v>
      </c>
      <c r="BB831" s="2">
        <v>7.5</v>
      </c>
      <c r="BC831" s="2">
        <v>2.9</v>
      </c>
      <c r="BD831" s="2">
        <f>+AN831*EXP(-0.0495*Y831)</f>
        <v>5.912996853071693</v>
      </c>
      <c r="BE831" s="2">
        <f>+AO831*EXP(-0.024*Y831)</f>
        <v>18.596112297634541</v>
      </c>
    </row>
    <row r="832" spans="1:57" x14ac:dyDescent="0.2">
      <c r="A832" s="2" t="s">
        <v>2972</v>
      </c>
      <c r="B832" s="2" t="s">
        <v>19</v>
      </c>
      <c r="C832" s="2" t="s">
        <v>1907</v>
      </c>
      <c r="D832" s="2" t="s">
        <v>21</v>
      </c>
      <c r="E832" s="2" t="s">
        <v>2973</v>
      </c>
      <c r="F832" s="2">
        <v>3</v>
      </c>
      <c r="G832" s="2">
        <v>199.3</v>
      </c>
      <c r="H832" s="2">
        <v>5</v>
      </c>
      <c r="I832" s="2">
        <v>2</v>
      </c>
      <c r="J832" s="2">
        <v>1</v>
      </c>
      <c r="K832" s="2" t="s">
        <v>61</v>
      </c>
      <c r="L832" s="6" t="s">
        <v>113</v>
      </c>
      <c r="M832" s="5">
        <v>700000000</v>
      </c>
      <c r="N832" s="2">
        <v>0</v>
      </c>
      <c r="O832" s="2">
        <v>4.6887293999999997</v>
      </c>
      <c r="P832" s="2">
        <v>-74.088793600000002</v>
      </c>
      <c r="Q832" s="2" t="s">
        <v>2974</v>
      </c>
      <c r="R832" s="2">
        <v>3512293.0260000001</v>
      </c>
      <c r="S832" s="2">
        <v>0</v>
      </c>
      <c r="T832" s="2" t="s">
        <v>26</v>
      </c>
      <c r="U832" s="2" t="s">
        <v>27</v>
      </c>
      <c r="V832" s="2" t="s">
        <v>28</v>
      </c>
      <c r="W832" s="2" t="s">
        <v>29</v>
      </c>
      <c r="X832" s="2" t="s">
        <v>30</v>
      </c>
      <c r="Y832" s="2">
        <v>3.4111344277825402</v>
      </c>
      <c r="Z832" s="2">
        <v>4.6584666666666701</v>
      </c>
      <c r="AA832" s="2">
        <v>-74.083966666666697</v>
      </c>
      <c r="AB832" s="2">
        <v>2552</v>
      </c>
      <c r="AC832" s="2" t="s">
        <v>31</v>
      </c>
      <c r="AD832" s="2" t="s">
        <v>32</v>
      </c>
      <c r="AE832" s="2" t="s">
        <v>33</v>
      </c>
      <c r="AF832" s="2" t="s">
        <v>34</v>
      </c>
      <c r="AG832" s="2" t="s">
        <v>363</v>
      </c>
      <c r="AH832" s="2">
        <v>0.52238077338657996</v>
      </c>
      <c r="AI832" s="2">
        <v>5.5201692136996696</v>
      </c>
      <c r="AJ832" s="2">
        <v>1.3831439729809301</v>
      </c>
      <c r="AK832" s="2">
        <v>0.29992491700436602</v>
      </c>
      <c r="AL832" s="2">
        <v>5.1122212806962997E-2</v>
      </c>
      <c r="AN832" s="2">
        <v>6.8</v>
      </c>
      <c r="AO832" s="2">
        <v>19.899999999999999</v>
      </c>
      <c r="AP832" s="2">
        <v>564</v>
      </c>
      <c r="AQ832" s="2">
        <v>68</v>
      </c>
      <c r="AR832" s="2">
        <v>1.5</v>
      </c>
      <c r="AS832" s="2">
        <v>135</v>
      </c>
      <c r="AT832" s="2">
        <v>0.8</v>
      </c>
      <c r="AU832" s="2">
        <v>162</v>
      </c>
      <c r="AV832" s="2">
        <v>9.1</v>
      </c>
      <c r="AW832" s="2">
        <v>9.1999999999999993</v>
      </c>
      <c r="AX832" s="2">
        <v>18.3</v>
      </c>
      <c r="AY832" s="2">
        <v>0.34</v>
      </c>
      <c r="AZ832" s="2">
        <v>7.3</v>
      </c>
      <c r="BA832" s="2">
        <v>0.9</v>
      </c>
      <c r="BB832" s="2">
        <v>7.5</v>
      </c>
      <c r="BC832" s="2">
        <v>2.9</v>
      </c>
      <c r="BD832" s="2">
        <f>+AN832*EXP(-0.0495*Y832)</f>
        <v>5.7435153776876087</v>
      </c>
      <c r="BE832" s="2">
        <f>+AO832*EXP(-0.024*Y832)</f>
        <v>18.335746321935819</v>
      </c>
    </row>
    <row r="833" spans="1:57" x14ac:dyDescent="0.2">
      <c r="A833" s="2" t="s">
        <v>2915</v>
      </c>
      <c r="B833" s="2" t="s">
        <v>19</v>
      </c>
      <c r="C833" s="2" t="s">
        <v>1907</v>
      </c>
      <c r="D833" s="2" t="s">
        <v>21</v>
      </c>
      <c r="E833" s="2" t="s">
        <v>2704</v>
      </c>
      <c r="F833" s="2">
        <v>3</v>
      </c>
      <c r="G833" s="2">
        <v>198</v>
      </c>
      <c r="H833" s="2">
        <v>4</v>
      </c>
      <c r="I833" s="2">
        <v>2</v>
      </c>
      <c r="J833" s="2">
        <v>1</v>
      </c>
      <c r="K833" s="2" t="s">
        <v>61</v>
      </c>
      <c r="L833" s="6" t="s">
        <v>113</v>
      </c>
      <c r="M833" s="5">
        <v>600000000</v>
      </c>
      <c r="N833" s="2">
        <v>0</v>
      </c>
      <c r="O833" s="2">
        <v>4.6827839999999998</v>
      </c>
      <c r="P833" s="2">
        <v>-74.067738800000001</v>
      </c>
      <c r="Q833" s="2" t="s">
        <v>2916</v>
      </c>
      <c r="R833" s="2">
        <v>3030303.03</v>
      </c>
      <c r="S833" s="2">
        <v>0</v>
      </c>
      <c r="T833" s="2" t="s">
        <v>26</v>
      </c>
      <c r="U833" s="2" t="s">
        <v>27</v>
      </c>
      <c r="V833" s="2" t="s">
        <v>28</v>
      </c>
      <c r="W833" s="2" t="s">
        <v>29</v>
      </c>
      <c r="X833" s="2" t="s">
        <v>30</v>
      </c>
      <c r="Y833" s="2">
        <v>3.25108237942572</v>
      </c>
      <c r="Z833" s="2">
        <v>4.6584666666666701</v>
      </c>
      <c r="AA833" s="2">
        <v>-74.083966666666697</v>
      </c>
      <c r="AB833" s="2">
        <v>2552</v>
      </c>
      <c r="AC833" s="2" t="s">
        <v>31</v>
      </c>
      <c r="AD833" s="2" t="s">
        <v>32</v>
      </c>
      <c r="AE833" s="2" t="s">
        <v>33</v>
      </c>
      <c r="AF833" s="2" t="s">
        <v>34</v>
      </c>
      <c r="AG833" s="2" t="s">
        <v>293</v>
      </c>
      <c r="AH833" s="2">
        <v>0.42104168513312201</v>
      </c>
      <c r="AI833" s="2">
        <v>3.1524629060801601</v>
      </c>
      <c r="AJ833" s="2">
        <v>0.79001459693494602</v>
      </c>
      <c r="AK833" s="2">
        <v>0.44731892926104899</v>
      </c>
      <c r="AL833" s="2">
        <v>0.50196521586036003</v>
      </c>
      <c r="AN833" s="2">
        <v>6.8</v>
      </c>
      <c r="AO833" s="2">
        <v>19.899999999999999</v>
      </c>
      <c r="AP833" s="2">
        <v>564</v>
      </c>
      <c r="AQ833" s="2">
        <v>68</v>
      </c>
      <c r="AR833" s="2">
        <v>1.5</v>
      </c>
      <c r="AS833" s="2">
        <v>135</v>
      </c>
      <c r="AT833" s="2">
        <v>0.8</v>
      </c>
      <c r="AU833" s="2">
        <v>162</v>
      </c>
      <c r="AV833" s="2">
        <v>9.1</v>
      </c>
      <c r="AW833" s="2">
        <v>9.1999999999999993</v>
      </c>
      <c r="AX833" s="2">
        <v>18.3</v>
      </c>
      <c r="AY833" s="2">
        <v>0.34</v>
      </c>
      <c r="AZ833" s="2">
        <v>7.3</v>
      </c>
      <c r="BA833" s="2">
        <v>0.9</v>
      </c>
      <c r="BB833" s="2">
        <v>7.5</v>
      </c>
      <c r="BC833" s="2">
        <v>2.9</v>
      </c>
      <c r="BD833" s="2">
        <f>+AN833*EXP(-0.0495*Y833)</f>
        <v>5.7891995462377484</v>
      </c>
      <c r="BE833" s="2">
        <f>+AO833*EXP(-0.024*Y833)</f>
        <v>18.406313939233726</v>
      </c>
    </row>
    <row r="834" spans="1:57" x14ac:dyDescent="0.2">
      <c r="A834" s="2" t="s">
        <v>3217</v>
      </c>
      <c r="B834" s="2" t="s">
        <v>19</v>
      </c>
      <c r="C834" s="2" t="s">
        <v>1907</v>
      </c>
      <c r="D834" s="2" t="s">
        <v>21</v>
      </c>
      <c r="E834" s="2" t="s">
        <v>3218</v>
      </c>
      <c r="F834" s="2">
        <v>3</v>
      </c>
      <c r="G834" s="2">
        <v>196</v>
      </c>
      <c r="H834" s="2">
        <v>5</v>
      </c>
      <c r="I834" s="2">
        <v>3</v>
      </c>
      <c r="J834" s="2">
        <v>1</v>
      </c>
      <c r="K834" s="2" t="s">
        <v>61</v>
      </c>
      <c r="L834" s="6" t="s">
        <v>113</v>
      </c>
      <c r="M834" s="5">
        <v>900000000</v>
      </c>
      <c r="N834" s="2">
        <v>0</v>
      </c>
      <c r="O834" s="2">
        <v>4.6764523999999996</v>
      </c>
      <c r="P834" s="2">
        <v>-74.066006900000005</v>
      </c>
      <c r="Q834" s="2" t="s">
        <v>3219</v>
      </c>
      <c r="R834" s="2">
        <v>4591836.7350000003</v>
      </c>
      <c r="S834" s="2">
        <v>0</v>
      </c>
      <c r="T834" s="2" t="s">
        <v>26</v>
      </c>
      <c r="U834" s="2" t="s">
        <v>27</v>
      </c>
      <c r="V834" s="2" t="s">
        <v>28</v>
      </c>
      <c r="W834" s="2" t="s">
        <v>29</v>
      </c>
      <c r="X834" s="2" t="s">
        <v>30</v>
      </c>
      <c r="Y834" s="2">
        <v>2.8247615052297399</v>
      </c>
      <c r="Z834" s="2">
        <v>4.6584666666666701</v>
      </c>
      <c r="AA834" s="2">
        <v>-74.083966666666697</v>
      </c>
      <c r="AB834" s="2">
        <v>2552</v>
      </c>
      <c r="AC834" s="2" t="s">
        <v>31</v>
      </c>
      <c r="AD834" s="2" t="s">
        <v>32</v>
      </c>
      <c r="AE834" s="2" t="s">
        <v>33</v>
      </c>
      <c r="AF834" s="2" t="s">
        <v>34</v>
      </c>
      <c r="AG834" s="2" t="s">
        <v>293</v>
      </c>
      <c r="AH834" s="2">
        <v>0.129898951159303</v>
      </c>
      <c r="AI834" s="2">
        <v>2.65262969252817</v>
      </c>
      <c r="AJ834" s="2">
        <v>0.57144942787659003</v>
      </c>
      <c r="AK834" s="2">
        <v>0.103997310551316</v>
      </c>
      <c r="AL834" s="2">
        <v>0.58661463361162403</v>
      </c>
      <c r="AN834" s="2">
        <v>6.8</v>
      </c>
      <c r="AO834" s="2">
        <v>19.899999999999999</v>
      </c>
      <c r="AP834" s="2">
        <v>564</v>
      </c>
      <c r="AQ834" s="2">
        <v>68</v>
      </c>
      <c r="AR834" s="2">
        <v>1.5</v>
      </c>
      <c r="AS834" s="2">
        <v>135</v>
      </c>
      <c r="AT834" s="2">
        <v>0.8</v>
      </c>
      <c r="AU834" s="2">
        <v>162</v>
      </c>
      <c r="AV834" s="2">
        <v>9.1</v>
      </c>
      <c r="AW834" s="2">
        <v>9.1999999999999993</v>
      </c>
      <c r="AX834" s="2">
        <v>18.3</v>
      </c>
      <c r="AY834" s="2">
        <v>0.34</v>
      </c>
      <c r="AZ834" s="2">
        <v>7.3</v>
      </c>
      <c r="BA834" s="2">
        <v>0.9</v>
      </c>
      <c r="BB834" s="2">
        <v>7.5</v>
      </c>
      <c r="BC834" s="2">
        <v>2.9</v>
      </c>
      <c r="BD834" s="2">
        <f>+AN834*EXP(-0.0495*Y834)</f>
        <v>5.9126665211384282</v>
      </c>
      <c r="BE834" s="2">
        <f>+AO834*EXP(-0.024*Y834)</f>
        <v>18.595608591356793</v>
      </c>
    </row>
    <row r="835" spans="1:57" x14ac:dyDescent="0.2">
      <c r="A835" s="2" t="s">
        <v>1141</v>
      </c>
      <c r="B835" s="2" t="s">
        <v>19</v>
      </c>
      <c r="C835" s="2" t="s">
        <v>20</v>
      </c>
      <c r="D835" s="2" t="s">
        <v>21</v>
      </c>
      <c r="E835" s="2" t="s">
        <v>1142</v>
      </c>
      <c r="F835" s="2">
        <v>5</v>
      </c>
      <c r="G835" s="2">
        <v>195</v>
      </c>
      <c r="H835" s="2">
        <v>3</v>
      </c>
      <c r="I835" s="2">
        <v>3</v>
      </c>
      <c r="J835" s="2">
        <v>1</v>
      </c>
      <c r="K835" s="2" t="s">
        <v>61</v>
      </c>
      <c r="L835" s="6" t="s">
        <v>113</v>
      </c>
      <c r="M835" s="5">
        <v>960000000</v>
      </c>
      <c r="N835" s="2">
        <v>0</v>
      </c>
      <c r="O835" s="2">
        <v>4.6535799999999998</v>
      </c>
      <c r="P835" s="2">
        <v>-74.055760000000006</v>
      </c>
      <c r="Q835" s="2" t="s">
        <v>1143</v>
      </c>
      <c r="R835" s="2">
        <v>4923076.9230000004</v>
      </c>
      <c r="S835" s="2">
        <v>0</v>
      </c>
      <c r="T835" s="2" t="s">
        <v>26</v>
      </c>
      <c r="U835" s="2" t="s">
        <v>27</v>
      </c>
      <c r="V835" s="2" t="s">
        <v>28</v>
      </c>
      <c r="W835" s="2" t="s">
        <v>29</v>
      </c>
      <c r="X835" s="2" t="s">
        <v>30</v>
      </c>
      <c r="Y835" s="2">
        <v>3.1765151349175902</v>
      </c>
      <c r="Z835" s="2">
        <v>4.6584666666666701</v>
      </c>
      <c r="AA835" s="2">
        <v>-74.083966666666697</v>
      </c>
      <c r="AB835" s="2">
        <v>2552</v>
      </c>
      <c r="AC835" s="2" t="s">
        <v>31</v>
      </c>
      <c r="AD835" s="2" t="s">
        <v>32</v>
      </c>
      <c r="AE835" s="2" t="s">
        <v>33</v>
      </c>
      <c r="AF835" s="2" t="s">
        <v>34</v>
      </c>
      <c r="AG835" s="2" t="s">
        <v>81</v>
      </c>
      <c r="AH835" s="2">
        <v>0.81700896862192096</v>
      </c>
      <c r="AI835" s="2">
        <v>0.75090957160677396</v>
      </c>
      <c r="AJ835" s="2">
        <v>0.42171387903056901</v>
      </c>
      <c r="AK835" s="2">
        <v>5.0849943958240301E-2</v>
      </c>
      <c r="AL835" s="2">
        <v>0.16392721469366001</v>
      </c>
      <c r="AN835" s="2">
        <v>6.8</v>
      </c>
      <c r="AO835" s="2">
        <v>19.899999999999999</v>
      </c>
      <c r="AP835" s="2">
        <v>564</v>
      </c>
      <c r="AQ835" s="2">
        <v>68</v>
      </c>
      <c r="AR835" s="2">
        <v>1.5</v>
      </c>
      <c r="AS835" s="2">
        <v>135</v>
      </c>
      <c r="AT835" s="2">
        <v>0.8</v>
      </c>
      <c r="AU835" s="2">
        <v>162</v>
      </c>
      <c r="AV835" s="2">
        <v>9.1</v>
      </c>
      <c r="AW835" s="2">
        <v>9.1999999999999993</v>
      </c>
      <c r="AX835" s="2">
        <v>18.3</v>
      </c>
      <c r="AY835" s="2">
        <v>0.34</v>
      </c>
      <c r="AZ835" s="2">
        <v>7.3</v>
      </c>
      <c r="BA835" s="2">
        <v>0.9</v>
      </c>
      <c r="BB835" s="2">
        <v>7.5</v>
      </c>
      <c r="BC835" s="2">
        <v>2.9</v>
      </c>
      <c r="BD835" s="2">
        <f>+AN835*EXP(-0.0495*Y835)</f>
        <v>5.8106074215823789</v>
      </c>
      <c r="BE835" s="2">
        <f>+AO835*EXP(-0.024*Y835)</f>
        <v>18.439283626627244</v>
      </c>
    </row>
    <row r="836" spans="1:57" x14ac:dyDescent="0.2">
      <c r="A836" s="2" t="s">
        <v>1101</v>
      </c>
      <c r="B836" s="2" t="s">
        <v>19</v>
      </c>
      <c r="C836" s="2" t="s">
        <v>20</v>
      </c>
      <c r="D836" s="2" t="s">
        <v>21</v>
      </c>
      <c r="E836" s="2" t="s">
        <v>952</v>
      </c>
      <c r="F836" s="2">
        <v>5</v>
      </c>
      <c r="G836" s="2">
        <v>190</v>
      </c>
      <c r="H836" s="2">
        <v>3</v>
      </c>
      <c r="I836" s="2">
        <v>3</v>
      </c>
      <c r="J836" s="2">
        <v>2</v>
      </c>
      <c r="K836" s="2" t="s">
        <v>61</v>
      </c>
      <c r="L836" s="6" t="s">
        <v>113</v>
      </c>
      <c r="M836" s="5">
        <v>650000000</v>
      </c>
      <c r="N836" s="2">
        <v>0</v>
      </c>
      <c r="O836" s="2">
        <v>4.6931469999999997</v>
      </c>
      <c r="P836" s="2">
        <v>-74.066879200000002</v>
      </c>
      <c r="Q836" s="2" t="s">
        <v>1102</v>
      </c>
      <c r="R836" s="2">
        <v>3421052.6320000002</v>
      </c>
      <c r="S836" s="2">
        <v>0</v>
      </c>
      <c r="T836" s="2" t="s">
        <v>26</v>
      </c>
      <c r="U836" s="2" t="s">
        <v>27</v>
      </c>
      <c r="V836" s="2" t="s">
        <v>28</v>
      </c>
      <c r="W836" s="2" t="s">
        <v>29</v>
      </c>
      <c r="X836" s="2" t="s">
        <v>30</v>
      </c>
      <c r="Y836" s="2">
        <v>4.3009777010008499</v>
      </c>
      <c r="Z836" s="2">
        <v>4.6584666666666701</v>
      </c>
      <c r="AA836" s="2">
        <v>-74.083966666666697</v>
      </c>
      <c r="AB836" s="2">
        <v>2552</v>
      </c>
      <c r="AC836" s="2" t="s">
        <v>31</v>
      </c>
      <c r="AD836" s="2" t="s">
        <v>32</v>
      </c>
      <c r="AE836" s="2" t="s">
        <v>33</v>
      </c>
      <c r="AF836" s="2" t="s">
        <v>34</v>
      </c>
      <c r="AG836" s="2" t="s">
        <v>72</v>
      </c>
      <c r="AH836" s="2">
        <v>4.60610596612002E-2</v>
      </c>
      <c r="AI836" s="2">
        <v>3.70031119348933</v>
      </c>
      <c r="AJ836" s="2">
        <v>0.59912109601730601</v>
      </c>
      <c r="AK836" s="2">
        <v>9.0692705819292896E-2</v>
      </c>
      <c r="AL836" s="2">
        <v>0.28890156862399402</v>
      </c>
      <c r="AN836" s="2">
        <v>6.8</v>
      </c>
      <c r="AO836" s="2">
        <v>19.899999999999999</v>
      </c>
      <c r="AP836" s="2">
        <v>564</v>
      </c>
      <c r="AQ836" s="2">
        <v>68</v>
      </c>
      <c r="AR836" s="2">
        <v>1.5</v>
      </c>
      <c r="AS836" s="2">
        <v>135</v>
      </c>
      <c r="AT836" s="2">
        <v>0.8</v>
      </c>
      <c r="AU836" s="2">
        <v>162</v>
      </c>
      <c r="AV836" s="2">
        <v>9.1</v>
      </c>
      <c r="AW836" s="2">
        <v>9.1999999999999993</v>
      </c>
      <c r="AX836" s="2">
        <v>18.3</v>
      </c>
      <c r="AY836" s="2">
        <v>0.34</v>
      </c>
      <c r="AZ836" s="2">
        <v>7.3</v>
      </c>
      <c r="BA836" s="2">
        <v>0.9</v>
      </c>
      <c r="BB836" s="2">
        <v>7.5</v>
      </c>
      <c r="BC836" s="2">
        <v>2.9</v>
      </c>
      <c r="BD836" s="2">
        <f>+AN836*EXP(-0.0495*Y836)</f>
        <v>5.496020121236171</v>
      </c>
      <c r="BE836" s="2">
        <f>+AO836*EXP(-0.024*Y836)</f>
        <v>17.948315506944294</v>
      </c>
    </row>
    <row r="837" spans="1:57" x14ac:dyDescent="0.2">
      <c r="A837" s="2" t="s">
        <v>2634</v>
      </c>
      <c r="B837" s="2" t="s">
        <v>19</v>
      </c>
      <c r="C837" s="2" t="s">
        <v>1907</v>
      </c>
      <c r="D837" s="2" t="s">
        <v>21</v>
      </c>
      <c r="E837" s="2" t="s">
        <v>2472</v>
      </c>
      <c r="F837" s="2">
        <v>4</v>
      </c>
      <c r="G837" s="2">
        <v>189</v>
      </c>
      <c r="H837" s="2">
        <v>4</v>
      </c>
      <c r="I837" s="2">
        <v>2</v>
      </c>
      <c r="J837" s="2">
        <v>4</v>
      </c>
      <c r="K837" s="2" t="s">
        <v>61</v>
      </c>
      <c r="L837" s="6" t="s">
        <v>113</v>
      </c>
      <c r="M837" s="5">
        <v>1080000000</v>
      </c>
      <c r="N837" s="2">
        <v>0</v>
      </c>
      <c r="O837" s="2">
        <v>4.6681385039999999</v>
      </c>
      <c r="P837" s="2">
        <v>-74.06143951</v>
      </c>
      <c r="Q837" s="2" t="s">
        <v>2635</v>
      </c>
      <c r="R837" s="2">
        <v>5714285.7139999997</v>
      </c>
      <c r="S837" s="2">
        <v>0</v>
      </c>
      <c r="T837" s="2" t="s">
        <v>26</v>
      </c>
      <c r="U837" s="2" t="s">
        <v>27</v>
      </c>
      <c r="V837" s="2" t="s">
        <v>28</v>
      </c>
      <c r="W837" s="2" t="s">
        <v>29</v>
      </c>
      <c r="X837" s="2" t="s">
        <v>30</v>
      </c>
      <c r="Y837" s="2">
        <v>2.7214439021020298</v>
      </c>
      <c r="Z837" s="2">
        <v>4.6584666666666701</v>
      </c>
      <c r="AA837" s="2">
        <v>-74.083966666666697</v>
      </c>
      <c r="AB837" s="2">
        <v>2552</v>
      </c>
      <c r="AC837" s="2" t="s">
        <v>31</v>
      </c>
      <c r="AD837" s="2" t="s">
        <v>32</v>
      </c>
      <c r="AE837" s="2" t="s">
        <v>33</v>
      </c>
      <c r="AF837" s="2" t="s">
        <v>34</v>
      </c>
      <c r="AG837" s="2" t="s">
        <v>293</v>
      </c>
      <c r="AH837" s="2">
        <v>0.125249066510981</v>
      </c>
      <c r="AI837" s="2">
        <v>1.8413523614168901</v>
      </c>
      <c r="AJ837" s="2">
        <v>0.30523749408183798</v>
      </c>
      <c r="AK837" s="2">
        <v>7.0611252091433999E-2</v>
      </c>
      <c r="AL837" s="2">
        <v>0.31432457764106603</v>
      </c>
      <c r="AN837" s="2">
        <v>6.8</v>
      </c>
      <c r="AO837" s="2">
        <v>19.899999999999999</v>
      </c>
      <c r="AP837" s="2">
        <v>564</v>
      </c>
      <c r="AQ837" s="2">
        <v>68</v>
      </c>
      <c r="AR837" s="2">
        <v>1.5</v>
      </c>
      <c r="AS837" s="2">
        <v>135</v>
      </c>
      <c r="AT837" s="2">
        <v>0.8</v>
      </c>
      <c r="AU837" s="2">
        <v>162</v>
      </c>
      <c r="AV837" s="2">
        <v>9.1</v>
      </c>
      <c r="AW837" s="2">
        <v>9.1999999999999993</v>
      </c>
      <c r="AX837" s="2">
        <v>18.3</v>
      </c>
      <c r="AY837" s="2">
        <v>0.34</v>
      </c>
      <c r="AZ837" s="2">
        <v>7.3</v>
      </c>
      <c r="BA837" s="2">
        <v>0.9</v>
      </c>
      <c r="BB837" s="2">
        <v>7.5</v>
      </c>
      <c r="BC837" s="2">
        <v>2.9</v>
      </c>
      <c r="BD837" s="2">
        <f>+AN837*EXP(-0.0495*Y837)</f>
        <v>5.9429826621755337</v>
      </c>
      <c r="BE837" s="2">
        <f>+AO837*EXP(-0.024*Y837)</f>
        <v>18.641775895444777</v>
      </c>
    </row>
    <row r="838" spans="1:57" x14ac:dyDescent="0.2">
      <c r="A838" s="2" t="s">
        <v>1821</v>
      </c>
      <c r="B838" s="2" t="s">
        <v>19</v>
      </c>
      <c r="C838" s="2" t="s">
        <v>20</v>
      </c>
      <c r="D838" s="2" t="s">
        <v>21</v>
      </c>
      <c r="E838" s="2" t="s">
        <v>571</v>
      </c>
      <c r="F838" s="2">
        <v>6</v>
      </c>
      <c r="G838" s="2">
        <v>187</v>
      </c>
      <c r="H838" s="2">
        <v>2</v>
      </c>
      <c r="I838" s="2">
        <v>5</v>
      </c>
      <c r="J838" s="2">
        <v>2</v>
      </c>
      <c r="K838" s="2" t="s">
        <v>61</v>
      </c>
      <c r="L838" s="6" t="s">
        <v>75</v>
      </c>
      <c r="M838" s="5">
        <v>1950000000</v>
      </c>
      <c r="N838" s="2">
        <v>0</v>
      </c>
      <c r="O838" s="2">
        <v>4.6705300000000003</v>
      </c>
      <c r="P838" s="2">
        <v>-74.046130000000005</v>
      </c>
      <c r="Q838" s="2" t="s">
        <v>1822</v>
      </c>
      <c r="R838" s="2">
        <v>10427807.49</v>
      </c>
      <c r="S838" s="2">
        <v>0</v>
      </c>
      <c r="T838" s="2" t="s">
        <v>26</v>
      </c>
      <c r="U838" s="2" t="s">
        <v>27</v>
      </c>
      <c r="V838" s="2" t="s">
        <v>28</v>
      </c>
      <c r="W838" s="2" t="s">
        <v>29</v>
      </c>
      <c r="X838" s="2" t="s">
        <v>30</v>
      </c>
      <c r="Y838" s="2">
        <v>4.4075629933533698</v>
      </c>
      <c r="Z838" s="2">
        <v>4.6584666666666701</v>
      </c>
      <c r="AA838" s="2">
        <v>-74.083966666666697</v>
      </c>
      <c r="AB838" s="2">
        <v>2552</v>
      </c>
      <c r="AC838" s="2" t="s">
        <v>31</v>
      </c>
      <c r="AD838" s="2" t="s">
        <v>32</v>
      </c>
      <c r="AE838" s="2" t="s">
        <v>33</v>
      </c>
      <c r="AF838" s="2" t="s">
        <v>34</v>
      </c>
      <c r="AG838" s="2" t="s">
        <v>81</v>
      </c>
      <c r="AH838" s="2">
        <v>1.5113171132540899</v>
      </c>
      <c r="AI838" s="2">
        <v>0.40256400225425698</v>
      </c>
      <c r="AJ838" s="2">
        <v>1.0474476709077201</v>
      </c>
      <c r="AK838" s="2">
        <v>0.40599244006720497</v>
      </c>
      <c r="AL838" s="2">
        <v>0.55402428167061901</v>
      </c>
      <c r="AN838" s="2">
        <v>6.8</v>
      </c>
      <c r="AO838" s="2">
        <v>19.899999999999999</v>
      </c>
      <c r="AP838" s="2">
        <v>564</v>
      </c>
      <c r="AQ838" s="2">
        <v>68</v>
      </c>
      <c r="AR838" s="2">
        <v>1.5</v>
      </c>
      <c r="AS838" s="2">
        <v>135</v>
      </c>
      <c r="AT838" s="2">
        <v>0.8</v>
      </c>
      <c r="AU838" s="2">
        <v>162</v>
      </c>
      <c r="AV838" s="2">
        <v>9.1</v>
      </c>
      <c r="AW838" s="2">
        <v>9.1999999999999993</v>
      </c>
      <c r="AX838" s="2">
        <v>18.3</v>
      </c>
      <c r="AY838" s="2">
        <v>0.34</v>
      </c>
      <c r="AZ838" s="2">
        <v>7.3</v>
      </c>
      <c r="BA838" s="2">
        <v>0.9</v>
      </c>
      <c r="BB838" s="2">
        <v>7.5</v>
      </c>
      <c r="BC838" s="2">
        <v>2.9</v>
      </c>
      <c r="BD838" s="2">
        <f>+AN838*EXP(-0.0495*Y838)</f>
        <v>5.4670996320527472</v>
      </c>
      <c r="BE838" s="2">
        <f>+AO838*EXP(-0.024*Y838)</f>
        <v>17.90246154531032</v>
      </c>
    </row>
    <row r="839" spans="1:57" x14ac:dyDescent="0.2">
      <c r="A839" s="2" t="s">
        <v>1137</v>
      </c>
      <c r="B839" s="2" t="s">
        <v>19</v>
      </c>
      <c r="C839" s="2" t="s">
        <v>20</v>
      </c>
      <c r="D839" s="2" t="s">
        <v>21</v>
      </c>
      <c r="E839" s="2" t="s">
        <v>822</v>
      </c>
      <c r="F839" s="2">
        <v>5</v>
      </c>
      <c r="G839" s="2">
        <v>187</v>
      </c>
      <c r="H839" s="2">
        <v>3</v>
      </c>
      <c r="I839" s="2">
        <v>3</v>
      </c>
      <c r="J839" s="2">
        <v>2</v>
      </c>
      <c r="K839" s="2" t="s">
        <v>61</v>
      </c>
      <c r="L839" s="6" t="s">
        <v>75</v>
      </c>
      <c r="M839" s="5">
        <v>1550000000</v>
      </c>
      <c r="N839" s="2">
        <v>0</v>
      </c>
      <c r="O839" s="2">
        <v>4.6437371699999996</v>
      </c>
      <c r="P839" s="2">
        <v>-74.055443339999997</v>
      </c>
      <c r="Q839" s="2" t="s">
        <v>1138</v>
      </c>
      <c r="R839" s="2">
        <v>8288770.0530000003</v>
      </c>
      <c r="S839" s="2">
        <v>0</v>
      </c>
      <c r="T839" s="2" t="s">
        <v>77</v>
      </c>
      <c r="U839" s="2" t="s">
        <v>78</v>
      </c>
      <c r="V839" s="2" t="s">
        <v>28</v>
      </c>
      <c r="W839" s="2" t="s">
        <v>79</v>
      </c>
      <c r="X839" s="2" t="s">
        <v>80</v>
      </c>
      <c r="Y839" s="2">
        <v>2.4013538042646498</v>
      </c>
      <c r="Z839" s="2">
        <v>4.6254861111111101</v>
      </c>
      <c r="AA839" s="2">
        <v>-74.066980555555503</v>
      </c>
      <c r="AB839" s="2">
        <v>2621</v>
      </c>
      <c r="AC839" s="2" t="s">
        <v>31</v>
      </c>
      <c r="AD839" s="2" t="s">
        <v>32</v>
      </c>
      <c r="AE839" s="2" t="s">
        <v>33</v>
      </c>
      <c r="AF839" s="2" t="s">
        <v>34</v>
      </c>
      <c r="AG839" s="2" t="s">
        <v>81</v>
      </c>
      <c r="AH839" s="2">
        <v>1.15457344087577</v>
      </c>
      <c r="AI839" s="2">
        <v>0.22048350913641401</v>
      </c>
      <c r="AJ839" s="2">
        <v>0.52373873030157203</v>
      </c>
      <c r="AK839" s="2">
        <v>0.15956150835054</v>
      </c>
      <c r="AL839" s="2">
        <v>0.29999660504940101</v>
      </c>
      <c r="AN839" s="2">
        <v>6.8</v>
      </c>
      <c r="AO839" s="2">
        <v>19.899999999999999</v>
      </c>
      <c r="AP839" s="2">
        <v>564</v>
      </c>
      <c r="AQ839" s="2">
        <v>68</v>
      </c>
      <c r="AR839" s="2">
        <v>1.5</v>
      </c>
      <c r="AS839" s="2">
        <v>135</v>
      </c>
      <c r="AT839" s="2">
        <v>0.8</v>
      </c>
      <c r="AU839" s="2">
        <v>162</v>
      </c>
      <c r="AV839" s="2">
        <v>9.1</v>
      </c>
      <c r="AW839" s="2">
        <v>9.1999999999999993</v>
      </c>
      <c r="AX839" s="2">
        <v>18.3</v>
      </c>
      <c r="AY839" s="2">
        <v>0.34</v>
      </c>
      <c r="AZ839" s="2">
        <v>7.3</v>
      </c>
      <c r="BA839" s="2">
        <v>0.9</v>
      </c>
      <c r="BB839" s="2">
        <v>7.5</v>
      </c>
      <c r="BC839" s="2">
        <v>2.9</v>
      </c>
      <c r="BD839" s="2">
        <f>+AN839*EXP(-0.0495*Y839)</f>
        <v>6.0378959515826676</v>
      </c>
      <c r="BE839" s="2">
        <f>+AO839*EXP(-0.024*Y839)</f>
        <v>18.785536533601668</v>
      </c>
    </row>
    <row r="840" spans="1:57" x14ac:dyDescent="0.2">
      <c r="A840" s="2" t="s">
        <v>3098</v>
      </c>
      <c r="B840" s="2" t="s">
        <v>19</v>
      </c>
      <c r="C840" s="2" t="s">
        <v>1907</v>
      </c>
      <c r="D840" s="2" t="s">
        <v>21</v>
      </c>
      <c r="E840" s="2" t="s">
        <v>35</v>
      </c>
      <c r="F840" s="2">
        <v>4</v>
      </c>
      <c r="G840" s="2">
        <v>187</v>
      </c>
      <c r="H840" s="2">
        <v>5</v>
      </c>
      <c r="I840" s="2">
        <v>5</v>
      </c>
      <c r="J840" s="2">
        <v>0</v>
      </c>
      <c r="K840" s="2" t="s">
        <v>61</v>
      </c>
      <c r="L840" s="6" t="s">
        <v>113</v>
      </c>
      <c r="M840" s="5">
        <v>980000000</v>
      </c>
      <c r="N840" s="2">
        <v>0</v>
      </c>
      <c r="O840" s="2">
        <v>4.6280691999999997</v>
      </c>
      <c r="P840" s="2">
        <v>-74.077262399999995</v>
      </c>
      <c r="Q840" s="2" t="s">
        <v>3099</v>
      </c>
      <c r="R840" s="2">
        <v>5240641.7110000001</v>
      </c>
      <c r="S840" s="2">
        <v>0</v>
      </c>
      <c r="T840" s="2" t="s">
        <v>77</v>
      </c>
      <c r="U840" s="2" t="s">
        <v>78</v>
      </c>
      <c r="V840" s="2" t="s">
        <v>28</v>
      </c>
      <c r="W840" s="2" t="s">
        <v>79</v>
      </c>
      <c r="X840" s="2" t="s">
        <v>80</v>
      </c>
      <c r="Y840" s="2">
        <v>1.17652009329497</v>
      </c>
      <c r="Z840" s="2">
        <v>4.6254861111111101</v>
      </c>
      <c r="AA840" s="2">
        <v>-74.066980555555503</v>
      </c>
      <c r="AB840" s="2">
        <v>2621</v>
      </c>
      <c r="AC840" s="2" t="s">
        <v>31</v>
      </c>
      <c r="AD840" s="2" t="s">
        <v>32</v>
      </c>
      <c r="AE840" s="2" t="s">
        <v>33</v>
      </c>
      <c r="AF840" s="2" t="s">
        <v>34</v>
      </c>
      <c r="AG840" s="2" t="s">
        <v>35</v>
      </c>
      <c r="AH840" s="2">
        <v>0.406966037680218</v>
      </c>
      <c r="AI840" s="2">
        <v>1.8117727684665199</v>
      </c>
      <c r="AJ840" s="2">
        <v>0.21488671974958301</v>
      </c>
      <c r="AK840" s="2">
        <v>0.28010336466455699</v>
      </c>
      <c r="AL840" s="2">
        <v>3.6569572876702802E-2</v>
      </c>
      <c r="AN840" s="2">
        <v>6.8</v>
      </c>
      <c r="AO840" s="2">
        <v>19.899999999999999</v>
      </c>
      <c r="AP840" s="2">
        <v>564</v>
      </c>
      <c r="AQ840" s="2">
        <v>68</v>
      </c>
      <c r="AR840" s="2">
        <v>1.5</v>
      </c>
      <c r="AS840" s="2">
        <v>135</v>
      </c>
      <c r="AT840" s="2">
        <v>0.8</v>
      </c>
      <c r="AU840" s="2">
        <v>162</v>
      </c>
      <c r="AV840" s="2">
        <v>9.1</v>
      </c>
      <c r="AW840" s="2">
        <v>9.1999999999999993</v>
      </c>
      <c r="AX840" s="2">
        <v>18.3</v>
      </c>
      <c r="AY840" s="2">
        <v>0.34</v>
      </c>
      <c r="AZ840" s="2">
        <v>7.3</v>
      </c>
      <c r="BA840" s="2">
        <v>0.9</v>
      </c>
      <c r="BB840" s="2">
        <v>7.5</v>
      </c>
      <c r="BC840" s="2">
        <v>2.9</v>
      </c>
      <c r="BD840" s="2">
        <f>+AN840*EXP(-0.0495*Y840)</f>
        <v>6.4152942595678688</v>
      </c>
      <c r="BE840" s="2">
        <f>+AO840*EXP(-0.024*Y840)</f>
        <v>19.345952984073289</v>
      </c>
    </row>
    <row r="841" spans="1:57" x14ac:dyDescent="0.2">
      <c r="A841" s="2" t="s">
        <v>1165</v>
      </c>
      <c r="B841" s="2" t="s">
        <v>19</v>
      </c>
      <c r="C841" s="2" t="s">
        <v>20</v>
      </c>
      <c r="D841" s="2" t="s">
        <v>21</v>
      </c>
      <c r="E841" s="2" t="s">
        <v>693</v>
      </c>
      <c r="F841" s="2">
        <v>6</v>
      </c>
      <c r="G841" s="2">
        <v>186.83</v>
      </c>
      <c r="H841" s="2">
        <v>3</v>
      </c>
      <c r="I841" s="2">
        <v>2</v>
      </c>
      <c r="J841" s="2">
        <v>2</v>
      </c>
      <c r="K841" s="2" t="s">
        <v>61</v>
      </c>
      <c r="L841" s="6" t="s">
        <v>113</v>
      </c>
      <c r="M841" s="5">
        <v>995000000</v>
      </c>
      <c r="N841" s="2">
        <v>0</v>
      </c>
      <c r="O841" s="2">
        <v>4.6610717770000001</v>
      </c>
      <c r="P841" s="2">
        <v>-74.050811769999996</v>
      </c>
      <c r="Q841" s="2" t="s">
        <v>1166</v>
      </c>
      <c r="R841" s="2">
        <v>5325697.1579999998</v>
      </c>
      <c r="S841" s="2">
        <v>0</v>
      </c>
      <c r="T841" s="2" t="s">
        <v>26</v>
      </c>
      <c r="U841" s="2" t="s">
        <v>27</v>
      </c>
      <c r="V841" s="2" t="s">
        <v>28</v>
      </c>
      <c r="W841" s="2" t="s">
        <v>29</v>
      </c>
      <c r="X841" s="2" t="s">
        <v>30</v>
      </c>
      <c r="Y841" s="2">
        <v>3.6900002448480702</v>
      </c>
      <c r="Z841" s="2">
        <v>4.6584666666666701</v>
      </c>
      <c r="AA841" s="2">
        <v>-74.083966666666697</v>
      </c>
      <c r="AB841" s="2">
        <v>2552</v>
      </c>
      <c r="AC841" s="2" t="s">
        <v>31</v>
      </c>
      <c r="AD841" s="2" t="s">
        <v>32</v>
      </c>
      <c r="AE841" s="2" t="s">
        <v>33</v>
      </c>
      <c r="AF841" s="2" t="s">
        <v>34</v>
      </c>
      <c r="AG841" s="2" t="s">
        <v>81</v>
      </c>
      <c r="AH841" s="2">
        <v>1.17870321354024</v>
      </c>
      <c r="AI841" s="2">
        <v>0.45214304440387398</v>
      </c>
      <c r="AJ841" s="2">
        <v>0.504254217465961</v>
      </c>
      <c r="AK841" s="2">
        <v>0.17830208321859101</v>
      </c>
      <c r="AL841" s="2">
        <v>0.17973825751653899</v>
      </c>
      <c r="AN841" s="2">
        <v>6.8</v>
      </c>
      <c r="AO841" s="2">
        <v>19.899999999999999</v>
      </c>
      <c r="AP841" s="2">
        <v>564</v>
      </c>
      <c r="AQ841" s="2">
        <v>68</v>
      </c>
      <c r="AR841" s="2">
        <v>1.5</v>
      </c>
      <c r="AS841" s="2">
        <v>135</v>
      </c>
      <c r="AT841" s="2">
        <v>0.8</v>
      </c>
      <c r="AU841" s="2">
        <v>162</v>
      </c>
      <c r="AV841" s="2">
        <v>9.1</v>
      </c>
      <c r="AW841" s="2">
        <v>9.1999999999999993</v>
      </c>
      <c r="AX841" s="2">
        <v>18.3</v>
      </c>
      <c r="AY841" s="2">
        <v>0.34</v>
      </c>
      <c r="AZ841" s="2">
        <v>7.3</v>
      </c>
      <c r="BA841" s="2">
        <v>0.9</v>
      </c>
      <c r="BB841" s="2">
        <v>7.5</v>
      </c>
      <c r="BC841" s="2">
        <v>2.9</v>
      </c>
      <c r="BD841" s="2">
        <f>+AN841*EXP(-0.0495*Y841)</f>
        <v>5.6647774014961314</v>
      </c>
      <c r="BE841" s="2">
        <f>+AO841*EXP(-0.024*Y841)</f>
        <v>18.213438957489025</v>
      </c>
    </row>
    <row r="842" spans="1:57" x14ac:dyDescent="0.2">
      <c r="A842" s="2" t="s">
        <v>480</v>
      </c>
      <c r="B842" s="2" t="s">
        <v>19</v>
      </c>
      <c r="C842" s="2" t="s">
        <v>20</v>
      </c>
      <c r="D842" s="2" t="s">
        <v>21</v>
      </c>
      <c r="E842" s="2" t="s">
        <v>261</v>
      </c>
      <c r="F842" s="2">
        <v>6</v>
      </c>
      <c r="G842" s="2">
        <v>186</v>
      </c>
      <c r="H842" s="2">
        <v>3</v>
      </c>
      <c r="I842" s="2">
        <v>5</v>
      </c>
      <c r="J842" s="2">
        <v>3</v>
      </c>
      <c r="K842" s="2" t="s">
        <v>61</v>
      </c>
      <c r="L842" s="6" t="s">
        <v>75</v>
      </c>
      <c r="M842" s="5">
        <v>2350000000</v>
      </c>
      <c r="N842" s="2">
        <v>0</v>
      </c>
      <c r="O842" s="2">
        <v>4.6610202789999997</v>
      </c>
      <c r="P842" s="2">
        <v>-74.049011230000005</v>
      </c>
      <c r="Q842" s="2" t="s">
        <v>481</v>
      </c>
      <c r="R842" s="2">
        <v>12634408.6</v>
      </c>
      <c r="S842" s="2">
        <v>0</v>
      </c>
      <c r="T842" s="2" t="s">
        <v>26</v>
      </c>
      <c r="U842" s="2" t="s">
        <v>27</v>
      </c>
      <c r="V842" s="2" t="s">
        <v>28</v>
      </c>
      <c r="W842" s="2" t="s">
        <v>29</v>
      </c>
      <c r="X842" s="2" t="s">
        <v>30</v>
      </c>
      <c r="Y842" s="2">
        <v>3.8887636040007298</v>
      </c>
      <c r="Z842" s="2">
        <v>4.6584666666666701</v>
      </c>
      <c r="AA842" s="2">
        <v>-74.083966666666697</v>
      </c>
      <c r="AB842" s="2">
        <v>2552</v>
      </c>
      <c r="AC842" s="2" t="s">
        <v>31</v>
      </c>
      <c r="AD842" s="2" t="s">
        <v>32</v>
      </c>
      <c r="AE842" s="2" t="s">
        <v>33</v>
      </c>
      <c r="AF842" s="2" t="s">
        <v>34</v>
      </c>
      <c r="AG842" s="2" t="s">
        <v>81</v>
      </c>
      <c r="AH842" s="2">
        <v>1.3763564622050699</v>
      </c>
      <c r="AI842" s="2">
        <v>0.27057301843388598</v>
      </c>
      <c r="AJ842" s="2">
        <v>0.66507527620879003</v>
      </c>
      <c r="AK842" s="2">
        <v>0.24608107573038299</v>
      </c>
      <c r="AL842" s="2">
        <v>0.29415592472079399</v>
      </c>
      <c r="AN842" s="2">
        <v>6.8</v>
      </c>
      <c r="AO842" s="2">
        <v>19.899999999999999</v>
      </c>
      <c r="AP842" s="2">
        <v>564</v>
      </c>
      <c r="AQ842" s="2">
        <v>68</v>
      </c>
      <c r="AR842" s="2">
        <v>1.5</v>
      </c>
      <c r="AS842" s="2">
        <v>135</v>
      </c>
      <c r="AT842" s="2">
        <v>0.8</v>
      </c>
      <c r="AU842" s="2">
        <v>162</v>
      </c>
      <c r="AV842" s="2">
        <v>9.1</v>
      </c>
      <c r="AW842" s="2">
        <v>9.1999999999999993</v>
      </c>
      <c r="AX842" s="2">
        <v>18.3</v>
      </c>
      <c r="AY842" s="2">
        <v>0.34</v>
      </c>
      <c r="AZ842" s="2">
        <v>7.3</v>
      </c>
      <c r="BA842" s="2">
        <v>0.9</v>
      </c>
      <c r="BB842" s="2">
        <v>7.5</v>
      </c>
      <c r="BC842" s="2">
        <v>2.9</v>
      </c>
      <c r="BD842" s="2">
        <f>+AN842*EXP(-0.0495*Y842)</f>
        <v>5.6093161504226909</v>
      </c>
      <c r="BE842" s="2">
        <f>+AO842*EXP(-0.024*Y842)</f>
        <v>18.126761917079882</v>
      </c>
    </row>
    <row r="843" spans="1:57" x14ac:dyDescent="0.2">
      <c r="A843" s="2" t="s">
        <v>855</v>
      </c>
      <c r="B843" s="2" t="s">
        <v>19</v>
      </c>
      <c r="C843" s="2" t="s">
        <v>20</v>
      </c>
      <c r="D843" s="2" t="s">
        <v>21</v>
      </c>
      <c r="E843" s="2" t="s">
        <v>244</v>
      </c>
      <c r="F843" s="2">
        <v>4</v>
      </c>
      <c r="G843" s="2">
        <v>185</v>
      </c>
      <c r="H843" s="2">
        <v>3</v>
      </c>
      <c r="I843" s="2">
        <v>3</v>
      </c>
      <c r="J843" s="2">
        <v>1</v>
      </c>
      <c r="K843" s="2" t="s">
        <v>61</v>
      </c>
      <c r="L843" s="6" t="s">
        <v>113</v>
      </c>
      <c r="M843" s="5">
        <v>1900000000</v>
      </c>
      <c r="N843" s="2">
        <v>0</v>
      </c>
      <c r="O843" s="2">
        <v>4.6113395690000001</v>
      </c>
      <c r="P843" s="2">
        <v>-74.06746674</v>
      </c>
      <c r="Q843" s="2" t="s">
        <v>856</v>
      </c>
      <c r="R843" s="2">
        <v>10270270.27</v>
      </c>
      <c r="S843" s="2">
        <v>0</v>
      </c>
      <c r="T843" s="2" t="s">
        <v>77</v>
      </c>
      <c r="U843" s="2" t="s">
        <v>78</v>
      </c>
      <c r="V843" s="2" t="s">
        <v>28</v>
      </c>
      <c r="W843" s="2" t="s">
        <v>79</v>
      </c>
      <c r="X843" s="2" t="s">
        <v>80</v>
      </c>
      <c r="Y843" s="2">
        <v>1.5757095853263099</v>
      </c>
      <c r="Z843" s="2">
        <v>4.6254861111111101</v>
      </c>
      <c r="AA843" s="2">
        <v>-74.066980555555503</v>
      </c>
      <c r="AB843" s="2">
        <v>2621</v>
      </c>
      <c r="AC843" s="2" t="s">
        <v>31</v>
      </c>
      <c r="AD843" s="2" t="s">
        <v>32</v>
      </c>
      <c r="AE843" s="2" t="s">
        <v>33</v>
      </c>
      <c r="AF843" s="2" t="s">
        <v>34</v>
      </c>
      <c r="AG843" s="2" t="s">
        <v>89</v>
      </c>
      <c r="AH843" s="2">
        <v>0.44990627109905201</v>
      </c>
      <c r="AI843" s="2">
        <v>0.396974050311932</v>
      </c>
      <c r="AJ843" s="2">
        <v>0.42827934192761702</v>
      </c>
      <c r="AK843" s="2">
        <v>0.35431899544379297</v>
      </c>
      <c r="AL843" s="2">
        <v>8.4240999305562596E-3</v>
      </c>
      <c r="AN843" s="2">
        <v>6.8</v>
      </c>
      <c r="AO843" s="2">
        <v>19.899999999999999</v>
      </c>
      <c r="AP843" s="2">
        <v>564</v>
      </c>
      <c r="AQ843" s="2">
        <v>68</v>
      </c>
      <c r="AR843" s="2">
        <v>1.5</v>
      </c>
      <c r="AS843" s="2">
        <v>135</v>
      </c>
      <c r="AT843" s="2">
        <v>0.8</v>
      </c>
      <c r="AU843" s="2">
        <v>162</v>
      </c>
      <c r="AV843" s="2">
        <v>9.1</v>
      </c>
      <c r="AW843" s="2">
        <v>9.1999999999999993</v>
      </c>
      <c r="AX843" s="2">
        <v>18.3</v>
      </c>
      <c r="AY843" s="2">
        <v>0.34</v>
      </c>
      <c r="AZ843" s="2">
        <v>7.3</v>
      </c>
      <c r="BA843" s="2">
        <v>0.9</v>
      </c>
      <c r="BB843" s="2">
        <v>7.5</v>
      </c>
      <c r="BC843" s="2">
        <v>2.9</v>
      </c>
      <c r="BD843" s="2">
        <f>+AN843*EXP(-0.0495*Y843)</f>
        <v>6.2897730419999016</v>
      </c>
      <c r="BE843" s="2">
        <f>+AO843*EXP(-0.024*Y843)</f>
        <v>19.161493180500877</v>
      </c>
    </row>
    <row r="844" spans="1:57" x14ac:dyDescent="0.2">
      <c r="A844" s="2" t="s">
        <v>3220</v>
      </c>
      <c r="B844" s="2" t="s">
        <v>19</v>
      </c>
      <c r="C844" s="2" t="s">
        <v>1907</v>
      </c>
      <c r="D844" s="2" t="s">
        <v>21</v>
      </c>
      <c r="E844" s="2" t="s">
        <v>1054</v>
      </c>
      <c r="F844" s="2">
        <v>3</v>
      </c>
      <c r="G844" s="2">
        <v>185</v>
      </c>
      <c r="H844" s="2">
        <v>5</v>
      </c>
      <c r="I844" s="2">
        <v>5</v>
      </c>
      <c r="J844" s="2">
        <v>0</v>
      </c>
      <c r="K844" s="2" t="s">
        <v>61</v>
      </c>
      <c r="L844" s="6" t="s">
        <v>113</v>
      </c>
      <c r="M844" s="5">
        <v>900000000</v>
      </c>
      <c r="N844" s="2">
        <v>0</v>
      </c>
      <c r="O844" s="2">
        <v>4.7019688000000004</v>
      </c>
      <c r="P844" s="2">
        <v>-74.103636100000003</v>
      </c>
      <c r="Q844" s="2" t="s">
        <v>3221</v>
      </c>
      <c r="R844" s="2">
        <v>4864864.8650000002</v>
      </c>
      <c r="S844" s="2">
        <v>0</v>
      </c>
      <c r="T844" s="2" t="s">
        <v>370</v>
      </c>
      <c r="U844" s="2" t="s">
        <v>371</v>
      </c>
      <c r="V844" s="2" t="s">
        <v>28</v>
      </c>
      <c r="W844" s="2" t="s">
        <v>29</v>
      </c>
      <c r="X844" s="2" t="s">
        <v>372</v>
      </c>
      <c r="Y844" s="2">
        <v>4.5036422102491596</v>
      </c>
      <c r="Z844" s="2">
        <v>4.7358055555555598</v>
      </c>
      <c r="AA844" s="2">
        <v>-74.125888888888895</v>
      </c>
      <c r="AB844" s="2">
        <v>2574</v>
      </c>
      <c r="AC844" s="2" t="s">
        <v>105</v>
      </c>
      <c r="AD844" s="2" t="s">
        <v>58</v>
      </c>
      <c r="AE844" s="2" t="s">
        <v>33</v>
      </c>
      <c r="AF844" s="2" t="s">
        <v>34</v>
      </c>
      <c r="AG844" s="2" t="s">
        <v>363</v>
      </c>
      <c r="AH844" s="2">
        <v>0.31560959144739997</v>
      </c>
      <c r="AI844" s="2">
        <v>3.5664595342482399</v>
      </c>
      <c r="AJ844" s="2">
        <v>1.15094526316378</v>
      </c>
      <c r="AK844" s="2">
        <v>3.6660620457543397E-2</v>
      </c>
      <c r="AL844" s="2">
        <v>1.0951733983112499E-2</v>
      </c>
      <c r="AN844" s="2">
        <v>6.8</v>
      </c>
      <c r="AO844" s="2">
        <v>19.899999999999999</v>
      </c>
      <c r="AP844" s="2">
        <v>564</v>
      </c>
      <c r="AQ844" s="2">
        <v>68</v>
      </c>
      <c r="AR844" s="2">
        <v>1.5</v>
      </c>
      <c r="AS844" s="2">
        <v>135</v>
      </c>
      <c r="AT844" s="2">
        <v>0.8</v>
      </c>
      <c r="AU844" s="2">
        <v>162</v>
      </c>
      <c r="AV844" s="2">
        <v>9.1</v>
      </c>
      <c r="AW844" s="2">
        <v>9.1999999999999993</v>
      </c>
      <c r="AX844" s="2">
        <v>18.3</v>
      </c>
      <c r="AY844" s="2">
        <v>0.34</v>
      </c>
      <c r="AZ844" s="2">
        <v>7.3</v>
      </c>
      <c r="BA844" s="2">
        <v>0.9</v>
      </c>
      <c r="BB844" s="2">
        <v>7.5</v>
      </c>
      <c r="BC844" s="2">
        <v>2.9</v>
      </c>
      <c r="BD844" s="2">
        <f>+AN844*EXP(-0.0495*Y844)</f>
        <v>5.4411602684895453</v>
      </c>
      <c r="BE844" s="2">
        <f>+AO844*EXP(-0.024*Y844)</f>
        <v>17.861227796397859</v>
      </c>
    </row>
    <row r="845" spans="1:57" x14ac:dyDescent="0.2">
      <c r="A845" s="2" t="s">
        <v>1639</v>
      </c>
      <c r="B845" s="2" t="s">
        <v>19</v>
      </c>
      <c r="C845" s="2" t="s">
        <v>20</v>
      </c>
      <c r="D845" s="2" t="s">
        <v>21</v>
      </c>
      <c r="E845" s="2" t="s">
        <v>1437</v>
      </c>
      <c r="F845" s="2">
        <v>6</v>
      </c>
      <c r="G845" s="2">
        <v>184</v>
      </c>
      <c r="H845" s="2">
        <v>4</v>
      </c>
      <c r="I845" s="2">
        <v>4</v>
      </c>
      <c r="J845" s="2">
        <v>3</v>
      </c>
      <c r="K845" s="2" t="s">
        <v>61</v>
      </c>
      <c r="L845" s="6" t="s">
        <v>113</v>
      </c>
      <c r="M845" s="5">
        <v>1547100000</v>
      </c>
      <c r="N845" s="2">
        <v>0</v>
      </c>
      <c r="O845" s="2">
        <v>4.6822691580000004</v>
      </c>
      <c r="P845" s="2">
        <v>-74.057523070000002</v>
      </c>
      <c r="Q845" s="2" t="s">
        <v>1640</v>
      </c>
      <c r="R845" s="2">
        <v>8408152.1740000006</v>
      </c>
      <c r="S845" s="2">
        <v>0</v>
      </c>
      <c r="T845" s="2" t="s">
        <v>26</v>
      </c>
      <c r="U845" s="2" t="s">
        <v>27</v>
      </c>
      <c r="V845" s="2" t="s">
        <v>28</v>
      </c>
      <c r="W845" s="2" t="s">
        <v>29</v>
      </c>
      <c r="X845" s="2" t="s">
        <v>30</v>
      </c>
      <c r="Y845" s="2">
        <v>3.9533099210782998</v>
      </c>
      <c r="Z845" s="2">
        <v>4.6584666666666701</v>
      </c>
      <c r="AA845" s="2">
        <v>-74.083966666666697</v>
      </c>
      <c r="AB845" s="2">
        <v>2552</v>
      </c>
      <c r="AC845" s="2" t="s">
        <v>31</v>
      </c>
      <c r="AD845" s="2" t="s">
        <v>32</v>
      </c>
      <c r="AE845" s="2" t="s">
        <v>33</v>
      </c>
      <c r="AF845" s="2" t="s">
        <v>34</v>
      </c>
      <c r="AG845" s="2" t="s">
        <v>81</v>
      </c>
      <c r="AH845" s="2">
        <v>0.18687274316367</v>
      </c>
      <c r="AI845" s="2">
        <v>2.1958462760092998</v>
      </c>
      <c r="AJ845" s="2">
        <v>0.56945074863379097</v>
      </c>
      <c r="AK845" s="2">
        <v>9.1944741980236097E-2</v>
      </c>
      <c r="AL845" s="2">
        <v>0.16783728061234199</v>
      </c>
      <c r="AN845" s="2">
        <v>6.8</v>
      </c>
      <c r="AO845" s="2">
        <v>19.899999999999999</v>
      </c>
      <c r="AP845" s="2">
        <v>564</v>
      </c>
      <c r="AQ845" s="2">
        <v>68</v>
      </c>
      <c r="AR845" s="2">
        <v>1.5</v>
      </c>
      <c r="AS845" s="2">
        <v>135</v>
      </c>
      <c r="AT845" s="2">
        <v>0.8</v>
      </c>
      <c r="AU845" s="2">
        <v>162</v>
      </c>
      <c r="AV845" s="2">
        <v>9.1</v>
      </c>
      <c r="AW845" s="2">
        <v>9.1999999999999993</v>
      </c>
      <c r="AX845" s="2">
        <v>18.3</v>
      </c>
      <c r="AY845" s="2">
        <v>0.34</v>
      </c>
      <c r="AZ845" s="2">
        <v>7.3</v>
      </c>
      <c r="BA845" s="2">
        <v>0.9</v>
      </c>
      <c r="BB845" s="2">
        <v>7.5</v>
      </c>
      <c r="BC845" s="2">
        <v>2.9</v>
      </c>
      <c r="BD845" s="2">
        <f>+AN845*EXP(-0.0495*Y845)</f>
        <v>5.5914227461475079</v>
      </c>
      <c r="BE845" s="2">
        <f>+AO845*EXP(-0.024*Y845)</f>
        <v>18.098703278337588</v>
      </c>
    </row>
    <row r="846" spans="1:57" x14ac:dyDescent="0.2">
      <c r="A846" s="2" t="s">
        <v>2921</v>
      </c>
      <c r="B846" s="2" t="s">
        <v>19</v>
      </c>
      <c r="C846" s="2" t="s">
        <v>1907</v>
      </c>
      <c r="D846" s="2" t="s">
        <v>21</v>
      </c>
      <c r="E846" s="2" t="s">
        <v>1941</v>
      </c>
      <c r="F846" s="2">
        <v>4</v>
      </c>
      <c r="G846" s="2">
        <v>183</v>
      </c>
      <c r="H846" s="2">
        <v>4</v>
      </c>
      <c r="I846" s="2">
        <v>4</v>
      </c>
      <c r="J846" s="2">
        <v>2</v>
      </c>
      <c r="K846" s="2" t="s">
        <v>61</v>
      </c>
      <c r="L846" s="6" t="s">
        <v>113</v>
      </c>
      <c r="M846" s="5">
        <v>850000000</v>
      </c>
      <c r="N846" s="2">
        <v>0</v>
      </c>
      <c r="O846" s="2">
        <v>4.6930022239999998</v>
      </c>
      <c r="P846" s="2">
        <v>-74.071945189999994</v>
      </c>
      <c r="Q846" s="2" t="s">
        <v>2922</v>
      </c>
      <c r="R846" s="2">
        <v>4644808.7429999998</v>
      </c>
      <c r="S846" s="2">
        <v>0</v>
      </c>
      <c r="T846" s="2" t="s">
        <v>26</v>
      </c>
      <c r="U846" s="2" t="s">
        <v>27</v>
      </c>
      <c r="V846" s="2" t="s">
        <v>28</v>
      </c>
      <c r="W846" s="2" t="s">
        <v>29</v>
      </c>
      <c r="X846" s="2" t="s">
        <v>30</v>
      </c>
      <c r="Y846" s="2">
        <v>4.0692722536965702</v>
      </c>
      <c r="Z846" s="2">
        <v>4.6584666666666701</v>
      </c>
      <c r="AA846" s="2">
        <v>-74.083966666666697</v>
      </c>
      <c r="AB846" s="2">
        <v>2552</v>
      </c>
      <c r="AC846" s="2" t="s">
        <v>31</v>
      </c>
      <c r="AD846" s="2" t="s">
        <v>32</v>
      </c>
      <c r="AE846" s="2" t="s">
        <v>33</v>
      </c>
      <c r="AF846" s="2" t="s">
        <v>34</v>
      </c>
      <c r="AG846" s="2" t="s">
        <v>72</v>
      </c>
      <c r="AH846" s="2">
        <v>0.52701791963095801</v>
      </c>
      <c r="AI846" s="2">
        <v>4.1664519975199497</v>
      </c>
      <c r="AJ846" s="2">
        <v>0.59245871094373703</v>
      </c>
      <c r="AK846" s="2">
        <v>0.17627449821306701</v>
      </c>
      <c r="AL846" s="2">
        <v>0.122277833641759</v>
      </c>
      <c r="AN846" s="2">
        <v>6.8</v>
      </c>
      <c r="AO846" s="2">
        <v>19.899999999999999</v>
      </c>
      <c r="AP846" s="2">
        <v>564</v>
      </c>
      <c r="AQ846" s="2">
        <v>68</v>
      </c>
      <c r="AR846" s="2">
        <v>1.5</v>
      </c>
      <c r="AS846" s="2">
        <v>135</v>
      </c>
      <c r="AT846" s="2">
        <v>0.8</v>
      </c>
      <c r="AU846" s="2">
        <v>162</v>
      </c>
      <c r="AV846" s="2">
        <v>9.1</v>
      </c>
      <c r="AW846" s="2">
        <v>9.1999999999999993</v>
      </c>
      <c r="AX846" s="2">
        <v>18.3</v>
      </c>
      <c r="AY846" s="2">
        <v>0.34</v>
      </c>
      <c r="AZ846" s="2">
        <v>7.3</v>
      </c>
      <c r="BA846" s="2">
        <v>0.9</v>
      </c>
      <c r="BB846" s="2">
        <v>7.5</v>
      </c>
      <c r="BC846" s="2">
        <v>2.9</v>
      </c>
      <c r="BD846" s="2">
        <f>+AN846*EXP(-0.0495*Y846)</f>
        <v>5.5594191624717819</v>
      </c>
      <c r="BE846" s="2">
        <f>+AO846*EXP(-0.024*Y846)</f>
        <v>18.04840287783767</v>
      </c>
    </row>
    <row r="847" spans="1:57" x14ac:dyDescent="0.2">
      <c r="A847" s="2" t="s">
        <v>2649</v>
      </c>
      <c r="B847" s="2" t="s">
        <v>19</v>
      </c>
      <c r="C847" s="2" t="s">
        <v>1907</v>
      </c>
      <c r="D847" s="2" t="s">
        <v>21</v>
      </c>
      <c r="E847" s="2" t="s">
        <v>2650</v>
      </c>
      <c r="F847" s="2">
        <v>3</v>
      </c>
      <c r="G847" s="2">
        <v>181</v>
      </c>
      <c r="H847" s="2">
        <v>5</v>
      </c>
      <c r="I847" s="2">
        <v>4</v>
      </c>
      <c r="J847" s="2">
        <v>0</v>
      </c>
      <c r="K847" s="2" t="s">
        <v>61</v>
      </c>
      <c r="L847" s="6" t="s">
        <v>113</v>
      </c>
      <c r="M847" s="5">
        <v>920000000</v>
      </c>
      <c r="N847" s="2">
        <v>0</v>
      </c>
      <c r="O847" s="2">
        <v>4.6864229999999996</v>
      </c>
      <c r="P847" s="2">
        <v>-74.081406000000001</v>
      </c>
      <c r="Q847" s="2" t="s">
        <v>2651</v>
      </c>
      <c r="R847" s="2">
        <v>5082872.9280000003</v>
      </c>
      <c r="S847" s="2">
        <v>0</v>
      </c>
      <c r="T847" s="2" t="s">
        <v>26</v>
      </c>
      <c r="U847" s="2" t="s">
        <v>27</v>
      </c>
      <c r="V847" s="2" t="s">
        <v>28</v>
      </c>
      <c r="W847" s="2" t="s">
        <v>29</v>
      </c>
      <c r="X847" s="2" t="s">
        <v>30</v>
      </c>
      <c r="Y847" s="2">
        <v>3.12502596419134</v>
      </c>
      <c r="Z847" s="2">
        <v>4.6584666666666701</v>
      </c>
      <c r="AA847" s="2">
        <v>-74.083966666666697</v>
      </c>
      <c r="AB847" s="2">
        <v>2552</v>
      </c>
      <c r="AC847" s="2" t="s">
        <v>31</v>
      </c>
      <c r="AD847" s="2" t="s">
        <v>32</v>
      </c>
      <c r="AE847" s="2" t="s">
        <v>33</v>
      </c>
      <c r="AF847" s="2" t="s">
        <v>34</v>
      </c>
      <c r="AG847" s="2" t="s">
        <v>363</v>
      </c>
      <c r="AH847" s="2">
        <v>7.9253373376514599E-2</v>
      </c>
      <c r="AI847" s="2">
        <v>4.6823399902640404</v>
      </c>
      <c r="AJ847" s="2">
        <v>0.713659497228607</v>
      </c>
      <c r="AK847" s="2">
        <v>0.21988280907865199</v>
      </c>
      <c r="AL847" s="2">
        <v>3.1564944832401201E-2</v>
      </c>
      <c r="AN847" s="2">
        <v>6.8</v>
      </c>
      <c r="AO847" s="2">
        <v>19.899999999999999</v>
      </c>
      <c r="AP847" s="2">
        <v>564</v>
      </c>
      <c r="AQ847" s="2">
        <v>68</v>
      </c>
      <c r="AR847" s="2">
        <v>1.5</v>
      </c>
      <c r="AS847" s="2">
        <v>135</v>
      </c>
      <c r="AT847" s="2">
        <v>0.8</v>
      </c>
      <c r="AU847" s="2">
        <v>162</v>
      </c>
      <c r="AV847" s="2">
        <v>9.1</v>
      </c>
      <c r="AW847" s="2">
        <v>9.1999999999999993</v>
      </c>
      <c r="AX847" s="2">
        <v>18.3</v>
      </c>
      <c r="AY847" s="2">
        <v>0.34</v>
      </c>
      <c r="AZ847" s="2">
        <v>7.3</v>
      </c>
      <c r="BA847" s="2">
        <v>0.9</v>
      </c>
      <c r="BB847" s="2">
        <v>7.5</v>
      </c>
      <c r="BC847" s="2">
        <v>2.9</v>
      </c>
      <c r="BD847" s="2">
        <f>+AN847*EXP(-0.0495*Y847)</f>
        <v>5.8254358865119036</v>
      </c>
      <c r="BE847" s="2">
        <f>+AO847*EXP(-0.024*Y847)</f>
        <v>18.462083873460738</v>
      </c>
    </row>
    <row r="848" spans="1:57" x14ac:dyDescent="0.2">
      <c r="A848" s="2" t="s">
        <v>681</v>
      </c>
      <c r="B848" s="2" t="s">
        <v>19</v>
      </c>
      <c r="C848" s="2" t="s">
        <v>20</v>
      </c>
      <c r="D848" s="2" t="s">
        <v>21</v>
      </c>
      <c r="E848" s="2" t="s">
        <v>682</v>
      </c>
      <c r="F848" s="2">
        <v>4</v>
      </c>
      <c r="G848" s="2">
        <v>177</v>
      </c>
      <c r="H848" s="2">
        <v>4</v>
      </c>
      <c r="I848" s="2">
        <v>2</v>
      </c>
      <c r="J848" s="2">
        <v>0</v>
      </c>
      <c r="K848" s="2" t="s">
        <v>61</v>
      </c>
      <c r="L848" s="6" t="s">
        <v>113</v>
      </c>
      <c r="M848" s="5">
        <v>547000000</v>
      </c>
      <c r="N848" s="2">
        <v>0</v>
      </c>
      <c r="O848" s="2">
        <v>4.6508769990000003</v>
      </c>
      <c r="P848" s="2">
        <v>-74.072959900000001</v>
      </c>
      <c r="Q848" s="2" t="s">
        <v>683</v>
      </c>
      <c r="R848" s="2">
        <v>3090395.48</v>
      </c>
      <c r="S848" s="2">
        <v>0</v>
      </c>
      <c r="T848" s="2" t="s">
        <v>26</v>
      </c>
      <c r="U848" s="2" t="s">
        <v>27</v>
      </c>
      <c r="V848" s="2" t="s">
        <v>28</v>
      </c>
      <c r="W848" s="2" t="s">
        <v>29</v>
      </c>
      <c r="X848" s="2" t="s">
        <v>30</v>
      </c>
      <c r="Y848" s="2">
        <v>1.48499600959797</v>
      </c>
      <c r="Z848" s="2">
        <v>4.6584666666666701</v>
      </c>
      <c r="AA848" s="2">
        <v>-74.083966666666697</v>
      </c>
      <c r="AB848" s="2">
        <v>2552</v>
      </c>
      <c r="AC848" s="2" t="s">
        <v>31</v>
      </c>
      <c r="AD848" s="2" t="s">
        <v>32</v>
      </c>
      <c r="AE848" s="2" t="s">
        <v>33</v>
      </c>
      <c r="AF848" s="2" t="s">
        <v>34</v>
      </c>
      <c r="AG848" s="2" t="s">
        <v>35</v>
      </c>
      <c r="AH848" s="2">
        <v>0.60617108188249202</v>
      </c>
      <c r="AI848" s="2">
        <v>2.0339639924184598</v>
      </c>
      <c r="AJ848" s="2">
        <v>0.145231801707255</v>
      </c>
      <c r="AK848" s="2">
        <v>8.71696671116442E-2</v>
      </c>
      <c r="AL848" s="2">
        <v>0.33357492935231497</v>
      </c>
      <c r="AN848" s="2">
        <v>6.8</v>
      </c>
      <c r="AO848" s="2">
        <v>19.899999999999999</v>
      </c>
      <c r="AP848" s="2">
        <v>564</v>
      </c>
      <c r="AQ848" s="2">
        <v>68</v>
      </c>
      <c r="AR848" s="2">
        <v>1.5</v>
      </c>
      <c r="AS848" s="2">
        <v>135</v>
      </c>
      <c r="AT848" s="2">
        <v>0.8</v>
      </c>
      <c r="AU848" s="2">
        <v>162</v>
      </c>
      <c r="AV848" s="2">
        <v>9.1</v>
      </c>
      <c r="AW848" s="2">
        <v>9.1999999999999993</v>
      </c>
      <c r="AX848" s="2">
        <v>18.3</v>
      </c>
      <c r="AY848" s="2">
        <v>0.34</v>
      </c>
      <c r="AZ848" s="2">
        <v>7.3</v>
      </c>
      <c r="BA848" s="2">
        <v>0.9</v>
      </c>
      <c r="BB848" s="2">
        <v>7.5</v>
      </c>
      <c r="BC848" s="2">
        <v>2.9</v>
      </c>
      <c r="BD848" s="2">
        <f>+AN848*EXP(-0.0495*Y848)</f>
        <v>6.3180796535945243</v>
      </c>
      <c r="BE848" s="2">
        <f>+AO848*EXP(-0.024*Y848)</f>
        <v>19.203255606537851</v>
      </c>
    </row>
    <row r="849" spans="1:57" x14ac:dyDescent="0.2">
      <c r="A849" s="2" t="s">
        <v>2934</v>
      </c>
      <c r="B849" s="2" t="s">
        <v>19</v>
      </c>
      <c r="C849" s="2" t="s">
        <v>1907</v>
      </c>
      <c r="D849" s="2" t="s">
        <v>21</v>
      </c>
      <c r="E849" s="2" t="s">
        <v>2530</v>
      </c>
      <c r="F849" s="2">
        <v>5</v>
      </c>
      <c r="G849" s="2">
        <v>176.4</v>
      </c>
      <c r="H849" s="2">
        <v>4</v>
      </c>
      <c r="I849" s="2">
        <v>2</v>
      </c>
      <c r="J849" s="2">
        <v>1</v>
      </c>
      <c r="K849" s="2" t="s">
        <v>61</v>
      </c>
      <c r="L849" s="6" t="s">
        <v>75</v>
      </c>
      <c r="M849" s="5">
        <v>1500000000</v>
      </c>
      <c r="N849" s="2">
        <v>0</v>
      </c>
      <c r="O849" s="2">
        <v>4.6476800000000003</v>
      </c>
      <c r="P849" s="2">
        <v>-74.087710000000001</v>
      </c>
      <c r="Q849" s="2" t="s">
        <v>2935</v>
      </c>
      <c r="R849" s="2">
        <v>8503401.3609999996</v>
      </c>
      <c r="S849" s="2">
        <v>0</v>
      </c>
      <c r="T849" s="2" t="s">
        <v>26</v>
      </c>
      <c r="U849" s="2" t="s">
        <v>27</v>
      </c>
      <c r="V849" s="2" t="s">
        <v>28</v>
      </c>
      <c r="W849" s="2" t="s">
        <v>29</v>
      </c>
      <c r="X849" s="2" t="s">
        <v>30</v>
      </c>
      <c r="Y849" s="2">
        <v>1.27056707971161</v>
      </c>
      <c r="Z849" s="2">
        <v>4.6584666666666701</v>
      </c>
      <c r="AA849" s="2">
        <v>-74.083966666666697</v>
      </c>
      <c r="AB849" s="2">
        <v>2552</v>
      </c>
      <c r="AC849" s="2" t="s">
        <v>31</v>
      </c>
      <c r="AD849" s="2" t="s">
        <v>32</v>
      </c>
      <c r="AE849" s="2" t="s">
        <v>33</v>
      </c>
      <c r="AF849" s="2" t="s">
        <v>34</v>
      </c>
      <c r="AG849" s="2" t="s">
        <v>35</v>
      </c>
      <c r="AH849" s="2">
        <v>1.0293571977204401</v>
      </c>
      <c r="AI849" s="2">
        <v>3.4255867737627899</v>
      </c>
      <c r="AJ849" s="2">
        <v>0.61089257050548396</v>
      </c>
      <c r="AK849" s="2">
        <v>0.16342681797580499</v>
      </c>
      <c r="AL849" s="2">
        <v>0.49163947139415698</v>
      </c>
      <c r="AN849" s="2">
        <v>6.8</v>
      </c>
      <c r="AO849" s="2">
        <v>19.899999999999999</v>
      </c>
      <c r="AP849" s="2">
        <v>564</v>
      </c>
      <c r="AQ849" s="2">
        <v>68</v>
      </c>
      <c r="AR849" s="2">
        <v>1.5</v>
      </c>
      <c r="AS849" s="2">
        <v>135</v>
      </c>
      <c r="AT849" s="2">
        <v>0.8</v>
      </c>
      <c r="AU849" s="2">
        <v>162</v>
      </c>
      <c r="AV849" s="2">
        <v>9.1</v>
      </c>
      <c r="AW849" s="2">
        <v>9.1999999999999993</v>
      </c>
      <c r="AX849" s="2">
        <v>18.3</v>
      </c>
      <c r="AY849" s="2">
        <v>0.34</v>
      </c>
      <c r="AZ849" s="2">
        <v>7.3</v>
      </c>
      <c r="BA849" s="2">
        <v>0.9</v>
      </c>
      <c r="BB849" s="2">
        <v>7.5</v>
      </c>
      <c r="BC849" s="2">
        <v>2.9</v>
      </c>
      <c r="BD849" s="2">
        <f>+AN849*EXP(-0.0495*Y849)</f>
        <v>6.3854983830776657</v>
      </c>
      <c r="BE849" s="2">
        <f>+AO849*EXP(-0.024*Y849)</f>
        <v>19.302335941347852</v>
      </c>
    </row>
    <row r="850" spans="1:57" x14ac:dyDescent="0.2">
      <c r="A850" s="2" t="s">
        <v>3096</v>
      </c>
      <c r="B850" s="2" t="s">
        <v>19</v>
      </c>
      <c r="C850" s="2" t="s">
        <v>1907</v>
      </c>
      <c r="D850" s="2" t="s">
        <v>21</v>
      </c>
      <c r="E850" s="2" t="s">
        <v>531</v>
      </c>
      <c r="F850" s="2">
        <v>3</v>
      </c>
      <c r="G850" s="2">
        <v>176</v>
      </c>
      <c r="H850" s="2">
        <v>4</v>
      </c>
      <c r="I850" s="2">
        <v>3</v>
      </c>
      <c r="J850" s="2">
        <v>0</v>
      </c>
      <c r="K850" s="2" t="s">
        <v>61</v>
      </c>
      <c r="L850" s="6" t="s">
        <v>113</v>
      </c>
      <c r="M850" s="5">
        <v>1100000000</v>
      </c>
      <c r="N850" s="2">
        <v>0</v>
      </c>
      <c r="O850" s="2">
        <v>4.673629</v>
      </c>
      <c r="P850" s="2">
        <v>-74.108739</v>
      </c>
      <c r="Q850" s="2" t="s">
        <v>3097</v>
      </c>
      <c r="R850" s="2">
        <v>6250000</v>
      </c>
      <c r="S850" s="2">
        <v>0</v>
      </c>
      <c r="T850" s="2" t="s">
        <v>26</v>
      </c>
      <c r="U850" s="2" t="s">
        <v>27</v>
      </c>
      <c r="V850" s="2" t="s">
        <v>28</v>
      </c>
      <c r="W850" s="2" t="s">
        <v>29</v>
      </c>
      <c r="X850" s="2" t="s">
        <v>30</v>
      </c>
      <c r="Y850" s="2">
        <v>3.2253925005961199</v>
      </c>
      <c r="Z850" s="2">
        <v>4.6584666666666701</v>
      </c>
      <c r="AA850" s="2">
        <v>-74.083966666666697</v>
      </c>
      <c r="AB850" s="2">
        <v>2552</v>
      </c>
      <c r="AC850" s="2" t="s">
        <v>31</v>
      </c>
      <c r="AD850" s="2" t="s">
        <v>32</v>
      </c>
      <c r="AE850" s="2" t="s">
        <v>33</v>
      </c>
      <c r="AF850" s="2" t="s">
        <v>34</v>
      </c>
      <c r="AG850" s="2" t="s">
        <v>363</v>
      </c>
      <c r="AH850" s="2">
        <v>0.71712168184783698</v>
      </c>
      <c r="AI850" s="2">
        <v>5.4863530320378704</v>
      </c>
      <c r="AJ850" s="2">
        <v>1.7584486296815001</v>
      </c>
      <c r="AK850" s="2">
        <v>0.10386041855771</v>
      </c>
      <c r="AL850" s="2">
        <v>0.49135270957834798</v>
      </c>
      <c r="AN850" s="2">
        <v>6.8</v>
      </c>
      <c r="AO850" s="2">
        <v>19.899999999999999</v>
      </c>
      <c r="AP850" s="2">
        <v>564</v>
      </c>
      <c r="AQ850" s="2">
        <v>68</v>
      </c>
      <c r="AR850" s="2">
        <v>1.5</v>
      </c>
      <c r="AS850" s="2">
        <v>135</v>
      </c>
      <c r="AT850" s="2">
        <v>0.8</v>
      </c>
      <c r="AU850" s="2">
        <v>162</v>
      </c>
      <c r="AV850" s="2">
        <v>9.1</v>
      </c>
      <c r="AW850" s="2">
        <v>9.1999999999999993</v>
      </c>
      <c r="AX850" s="2">
        <v>18.3</v>
      </c>
      <c r="AY850" s="2">
        <v>0.34</v>
      </c>
      <c r="AZ850" s="2">
        <v>7.3</v>
      </c>
      <c r="BA850" s="2">
        <v>0.9</v>
      </c>
      <c r="BB850" s="2">
        <v>7.5</v>
      </c>
      <c r="BC850" s="2">
        <v>2.9</v>
      </c>
      <c r="BD850" s="2">
        <f>+AN850*EXP(-0.0495*Y850)</f>
        <v>5.7965660588800088</v>
      </c>
      <c r="BE850" s="2">
        <f>+AO850*EXP(-0.024*Y850)</f>
        <v>18.417665981860466</v>
      </c>
    </row>
    <row r="851" spans="1:57" x14ac:dyDescent="0.2">
      <c r="A851" s="2" t="s">
        <v>4425</v>
      </c>
      <c r="B851" s="2" t="s">
        <v>19</v>
      </c>
      <c r="C851" s="2" t="s">
        <v>3245</v>
      </c>
      <c r="D851" s="2" t="s">
        <v>21</v>
      </c>
      <c r="E851" s="2" t="s">
        <v>4426</v>
      </c>
      <c r="F851" s="2">
        <v>5</v>
      </c>
      <c r="G851" s="2">
        <v>174</v>
      </c>
      <c r="H851" s="2">
        <v>2</v>
      </c>
      <c r="I851" s="2">
        <v>4</v>
      </c>
      <c r="J851" s="2">
        <v>0</v>
      </c>
      <c r="K851" s="2" t="s">
        <v>61</v>
      </c>
      <c r="L851" s="6" t="s">
        <v>113</v>
      </c>
      <c r="M851" s="5">
        <v>1300000000</v>
      </c>
      <c r="N851" s="2">
        <v>0</v>
      </c>
      <c r="O851" s="2">
        <v>4.652412537</v>
      </c>
      <c r="P851" s="2">
        <v>-74.052737149999999</v>
      </c>
      <c r="Q851" s="2" t="s">
        <v>4427</v>
      </c>
      <c r="R851" s="2">
        <v>7471264.3679999998</v>
      </c>
      <c r="S851" s="2">
        <v>0</v>
      </c>
      <c r="T851" s="2" t="s">
        <v>77</v>
      </c>
      <c r="U851" s="2" t="s">
        <v>78</v>
      </c>
      <c r="V851" s="2" t="s">
        <v>28</v>
      </c>
      <c r="W851" s="2" t="s">
        <v>79</v>
      </c>
      <c r="X851" s="2" t="s">
        <v>80</v>
      </c>
      <c r="Y851" s="2">
        <v>3.38854044002289</v>
      </c>
      <c r="Z851" s="2">
        <v>4.6254861111111101</v>
      </c>
      <c r="AA851" s="2">
        <v>-74.066980555555503</v>
      </c>
      <c r="AB851" s="2">
        <v>2621</v>
      </c>
      <c r="AC851" s="2" t="s">
        <v>31</v>
      </c>
      <c r="AD851" s="2" t="s">
        <v>32</v>
      </c>
      <c r="AE851" s="2" t="s">
        <v>33</v>
      </c>
      <c r="AF851" s="2" t="s">
        <v>34</v>
      </c>
      <c r="AG851" s="2" t="s">
        <v>81</v>
      </c>
      <c r="AH851" s="2">
        <v>1.1717900690908001</v>
      </c>
      <c r="AI851" s="2">
        <v>0.44833081411568199</v>
      </c>
      <c r="AJ851" s="2">
        <v>0.561566114357961</v>
      </c>
      <c r="AK851" s="2">
        <v>0.18917187895507601</v>
      </c>
      <c r="AL851" s="2">
        <v>6.0474494493708397E-2</v>
      </c>
      <c r="AN851" s="2">
        <v>6.8</v>
      </c>
      <c r="AO851" s="2">
        <v>19.899999999999999</v>
      </c>
      <c r="AP851" s="2">
        <v>564</v>
      </c>
      <c r="AQ851" s="2">
        <v>68</v>
      </c>
      <c r="AR851" s="2">
        <v>1.5</v>
      </c>
      <c r="AS851" s="2">
        <v>135</v>
      </c>
      <c r="AT851" s="2">
        <v>0.8</v>
      </c>
      <c r="AU851" s="2">
        <v>162</v>
      </c>
      <c r="AV851" s="2">
        <v>9.1</v>
      </c>
      <c r="AW851" s="2">
        <v>9.1999999999999993</v>
      </c>
      <c r="AX851" s="2">
        <v>18.3</v>
      </c>
      <c r="AY851" s="2">
        <v>0.34</v>
      </c>
      <c r="AZ851" s="2">
        <v>7.3</v>
      </c>
      <c r="BA851" s="2">
        <v>0.9</v>
      </c>
      <c r="BB851" s="2">
        <v>7.5</v>
      </c>
      <c r="BC851" s="2">
        <v>2.9</v>
      </c>
      <c r="BD851" s="2">
        <f>+AN851*EXP(-0.0495*Y851)</f>
        <v>5.749942532439273</v>
      </c>
      <c r="BE851" s="2">
        <f>+AO851*EXP(-0.024*Y851)</f>
        <v>18.34569168122712</v>
      </c>
    </row>
    <row r="852" spans="1:57" x14ac:dyDescent="0.2">
      <c r="A852" s="2" t="s">
        <v>2179</v>
      </c>
      <c r="B852" s="2" t="s">
        <v>19</v>
      </c>
      <c r="C852" s="2" t="s">
        <v>1907</v>
      </c>
      <c r="D852" s="2" t="s">
        <v>21</v>
      </c>
      <c r="E852" s="2" t="s">
        <v>2180</v>
      </c>
      <c r="F852" s="2">
        <v>2</v>
      </c>
      <c r="G852" s="2">
        <v>174</v>
      </c>
      <c r="H852" s="2">
        <v>5</v>
      </c>
      <c r="I852" s="2">
        <v>3</v>
      </c>
      <c r="J852" s="2">
        <v>0</v>
      </c>
      <c r="K852" s="2" t="s">
        <v>61</v>
      </c>
      <c r="L852" s="6" t="s">
        <v>75</v>
      </c>
      <c r="M852" s="5">
        <v>390000000</v>
      </c>
      <c r="N852" s="2">
        <v>0</v>
      </c>
      <c r="O852" s="2">
        <v>4.7126297949999998</v>
      </c>
      <c r="P852" s="2">
        <v>-74.143089290000006</v>
      </c>
      <c r="Q852" s="2" t="s">
        <v>2181</v>
      </c>
      <c r="R852" s="2">
        <v>2241379.31</v>
      </c>
      <c r="S852" s="2">
        <v>0</v>
      </c>
      <c r="T852" s="2" t="s">
        <v>370</v>
      </c>
      <c r="U852" s="2" t="s">
        <v>371</v>
      </c>
      <c r="V852" s="2" t="s">
        <v>28</v>
      </c>
      <c r="W852" s="2" t="s">
        <v>29</v>
      </c>
      <c r="X852" s="2" t="s">
        <v>372</v>
      </c>
      <c r="Y852" s="2">
        <v>3.20894310419808</v>
      </c>
      <c r="Z852" s="2">
        <v>4.7358055555555598</v>
      </c>
      <c r="AA852" s="2">
        <v>-74.125888888888895</v>
      </c>
      <c r="AB852" s="2">
        <v>2574</v>
      </c>
      <c r="AC852" s="2" t="s">
        <v>105</v>
      </c>
      <c r="AD852" s="2" t="s">
        <v>58</v>
      </c>
      <c r="AE852" s="2" t="s">
        <v>33</v>
      </c>
      <c r="AF852" s="2" t="s">
        <v>34</v>
      </c>
      <c r="AG852" s="2" t="s">
        <v>363</v>
      </c>
      <c r="AH852" s="2">
        <v>3.6259895019312598</v>
      </c>
      <c r="AI852" s="2">
        <v>1.09721362530503</v>
      </c>
      <c r="AJ852" s="2">
        <v>3.4450447935577202</v>
      </c>
      <c r="AK852" s="2">
        <v>0.30366778632088698</v>
      </c>
      <c r="AL852" s="2">
        <v>4.3178991232119497E-2</v>
      </c>
      <c r="AN852" s="2">
        <v>6.8</v>
      </c>
      <c r="AO852" s="2">
        <v>19.899999999999999</v>
      </c>
      <c r="AP852" s="2">
        <v>564</v>
      </c>
      <c r="AQ852" s="2">
        <v>68</v>
      </c>
      <c r="AR852" s="2">
        <v>1.5</v>
      </c>
      <c r="AS852" s="2">
        <v>135</v>
      </c>
      <c r="AT852" s="2">
        <v>0.8</v>
      </c>
      <c r="AU852" s="2">
        <v>162</v>
      </c>
      <c r="AV852" s="2">
        <v>9.1</v>
      </c>
      <c r="AW852" s="2">
        <v>9.1999999999999993</v>
      </c>
      <c r="AX852" s="2">
        <v>18.3</v>
      </c>
      <c r="AY852" s="2">
        <v>0.34</v>
      </c>
      <c r="AZ852" s="2">
        <v>7.3</v>
      </c>
      <c r="BA852" s="2">
        <v>0.9</v>
      </c>
      <c r="BB852" s="2">
        <v>7.5</v>
      </c>
      <c r="BC852" s="2">
        <v>2.9</v>
      </c>
      <c r="BD852" s="2">
        <f>+AN852*EXP(-0.0495*Y852)</f>
        <v>5.8012878065852238</v>
      </c>
      <c r="BE852" s="2">
        <f>+AO852*EXP(-0.024*Y852)</f>
        <v>18.424938445020661</v>
      </c>
    </row>
    <row r="853" spans="1:57" x14ac:dyDescent="0.2">
      <c r="A853" s="2" t="s">
        <v>2758</v>
      </c>
      <c r="B853" s="2" t="s">
        <v>19</v>
      </c>
      <c r="C853" s="2" t="s">
        <v>1907</v>
      </c>
      <c r="D853" s="2" t="s">
        <v>21</v>
      </c>
      <c r="E853" s="2" t="s">
        <v>2759</v>
      </c>
      <c r="F853" s="2">
        <v>4</v>
      </c>
      <c r="G853" s="2">
        <v>173.18</v>
      </c>
      <c r="H853" s="2">
        <v>4</v>
      </c>
      <c r="I853" s="2">
        <v>4</v>
      </c>
      <c r="J853" s="2">
        <v>2</v>
      </c>
      <c r="K853" s="2" t="s">
        <v>61</v>
      </c>
      <c r="L853" s="6" t="s">
        <v>113</v>
      </c>
      <c r="M853" s="5">
        <v>1350000000</v>
      </c>
      <c r="N853" s="2">
        <v>0</v>
      </c>
      <c r="O853" s="2">
        <v>4.6923539999999999</v>
      </c>
      <c r="P853" s="2">
        <v>-74.073308999999995</v>
      </c>
      <c r="Q853" s="2" t="s">
        <v>2760</v>
      </c>
      <c r="R853" s="2">
        <v>7795357.432</v>
      </c>
      <c r="S853" s="2">
        <v>0</v>
      </c>
      <c r="T853" s="2" t="s">
        <v>26</v>
      </c>
      <c r="U853" s="2" t="s">
        <v>27</v>
      </c>
      <c r="V853" s="2" t="s">
        <v>28</v>
      </c>
      <c r="W853" s="2" t="s">
        <v>29</v>
      </c>
      <c r="X853" s="2" t="s">
        <v>30</v>
      </c>
      <c r="Y853" s="2">
        <v>3.95330378053277</v>
      </c>
      <c r="Z853" s="2">
        <v>4.6584666666666701</v>
      </c>
      <c r="AA853" s="2">
        <v>-74.083966666666697</v>
      </c>
      <c r="AB853" s="2">
        <v>2552</v>
      </c>
      <c r="AC853" s="2" t="s">
        <v>31</v>
      </c>
      <c r="AD853" s="2" t="s">
        <v>32</v>
      </c>
      <c r="AE853" s="2" t="s">
        <v>33</v>
      </c>
      <c r="AF853" s="2" t="s">
        <v>34</v>
      </c>
      <c r="AG853" s="2" t="s">
        <v>72</v>
      </c>
      <c r="AH853" s="2">
        <v>0.68621398701560299</v>
      </c>
      <c r="AI853" s="2">
        <v>4.2620907589739199</v>
      </c>
      <c r="AJ853" s="2">
        <v>0.64955358397028296</v>
      </c>
      <c r="AK853" s="2">
        <v>0.18296373252552001</v>
      </c>
      <c r="AL853" s="2">
        <v>0.248437792164064</v>
      </c>
      <c r="AN853" s="2">
        <v>6.8</v>
      </c>
      <c r="AO853" s="2">
        <v>19.899999999999999</v>
      </c>
      <c r="AP853" s="2">
        <v>564</v>
      </c>
      <c r="AQ853" s="2">
        <v>68</v>
      </c>
      <c r="AR853" s="2">
        <v>1.5</v>
      </c>
      <c r="AS853" s="2">
        <v>135</v>
      </c>
      <c r="AT853" s="2">
        <v>0.8</v>
      </c>
      <c r="AU853" s="2">
        <v>162</v>
      </c>
      <c r="AV853" s="2">
        <v>9.1</v>
      </c>
      <c r="AW853" s="2">
        <v>9.1999999999999993</v>
      </c>
      <c r="AX853" s="2">
        <v>18.3</v>
      </c>
      <c r="AY853" s="2">
        <v>0.34</v>
      </c>
      <c r="AZ853" s="2">
        <v>7.3</v>
      </c>
      <c r="BA853" s="2">
        <v>0.9</v>
      </c>
      <c r="BB853" s="2">
        <v>7.5</v>
      </c>
      <c r="BC853" s="2">
        <v>2.9</v>
      </c>
      <c r="BD853" s="2">
        <f>+AN853*EXP(-0.0495*Y853)</f>
        <v>5.5914244456998698</v>
      </c>
      <c r="BE853" s="2">
        <f>+AO853*EXP(-0.024*Y853)</f>
        <v>18.098705945599662</v>
      </c>
    </row>
    <row r="854" spans="1:57" x14ac:dyDescent="0.2">
      <c r="A854" s="2" t="s">
        <v>2646</v>
      </c>
      <c r="B854" s="2" t="s">
        <v>19</v>
      </c>
      <c r="C854" s="2" t="s">
        <v>1907</v>
      </c>
      <c r="D854" s="2" t="s">
        <v>21</v>
      </c>
      <c r="E854" s="2" t="s">
        <v>2647</v>
      </c>
      <c r="F854" s="2">
        <v>3</v>
      </c>
      <c r="G854" s="2">
        <v>173</v>
      </c>
      <c r="H854" s="2">
        <v>5</v>
      </c>
      <c r="I854" s="2">
        <v>5</v>
      </c>
      <c r="J854" s="2">
        <v>0</v>
      </c>
      <c r="K854" s="2" t="s">
        <v>61</v>
      </c>
      <c r="L854" s="6" t="s">
        <v>113</v>
      </c>
      <c r="M854" s="5">
        <v>1790000000</v>
      </c>
      <c r="N854" s="2">
        <v>0</v>
      </c>
      <c r="O854" s="2">
        <v>4.6902660000000003</v>
      </c>
      <c r="P854" s="2">
        <v>-74.093260000000001</v>
      </c>
      <c r="Q854" s="2" t="s">
        <v>2648</v>
      </c>
      <c r="R854" s="2">
        <v>10346820.810000001</v>
      </c>
      <c r="S854" s="2">
        <v>0</v>
      </c>
      <c r="T854" s="2" t="s">
        <v>26</v>
      </c>
      <c r="U854" s="2" t="s">
        <v>27</v>
      </c>
      <c r="V854" s="2" t="s">
        <v>28</v>
      </c>
      <c r="W854" s="2" t="s">
        <v>29</v>
      </c>
      <c r="X854" s="2" t="s">
        <v>30</v>
      </c>
      <c r="Y854" s="2">
        <v>3.6869951097654501</v>
      </c>
      <c r="Z854" s="2">
        <v>4.6584666666666701</v>
      </c>
      <c r="AA854" s="2">
        <v>-74.083966666666697</v>
      </c>
      <c r="AB854" s="2">
        <v>2552</v>
      </c>
      <c r="AC854" s="2" t="s">
        <v>31</v>
      </c>
      <c r="AD854" s="2" t="s">
        <v>32</v>
      </c>
      <c r="AE854" s="2" t="s">
        <v>33</v>
      </c>
      <c r="AF854" s="2" t="s">
        <v>34</v>
      </c>
      <c r="AG854" s="2" t="s">
        <v>363</v>
      </c>
      <c r="AH854" s="2">
        <v>0.74577445497237904</v>
      </c>
      <c r="AI854" s="2">
        <v>5.2958398895508596</v>
      </c>
      <c r="AJ854" s="2">
        <v>1.28090438867864</v>
      </c>
      <c r="AK854" s="2">
        <v>6.8470603066178304E-2</v>
      </c>
      <c r="AL854" s="2">
        <v>8.9249709498097504E-2</v>
      </c>
      <c r="AN854" s="2">
        <v>6.8</v>
      </c>
      <c r="AO854" s="2">
        <v>19.899999999999999</v>
      </c>
      <c r="AP854" s="2">
        <v>564</v>
      </c>
      <c r="AQ854" s="2">
        <v>68</v>
      </c>
      <c r="AR854" s="2">
        <v>1.5</v>
      </c>
      <c r="AS854" s="2">
        <v>135</v>
      </c>
      <c r="AT854" s="2">
        <v>0.8</v>
      </c>
      <c r="AU854" s="2">
        <v>162</v>
      </c>
      <c r="AV854" s="2">
        <v>9.1</v>
      </c>
      <c r="AW854" s="2">
        <v>9.1999999999999993</v>
      </c>
      <c r="AX854" s="2">
        <v>18.3</v>
      </c>
      <c r="AY854" s="2">
        <v>0.34</v>
      </c>
      <c r="AZ854" s="2">
        <v>7.3</v>
      </c>
      <c r="BA854" s="2">
        <v>0.9</v>
      </c>
      <c r="BB854" s="2">
        <v>7.5</v>
      </c>
      <c r="BC854" s="2">
        <v>2.9</v>
      </c>
      <c r="BD854" s="2">
        <f>+AN854*EXP(-0.0495*Y854)</f>
        <v>5.665620123528365</v>
      </c>
      <c r="BE854" s="2">
        <f>+AO854*EXP(-0.024*Y854)</f>
        <v>18.214752617126422</v>
      </c>
    </row>
    <row r="855" spans="1:57" x14ac:dyDescent="0.2">
      <c r="A855" s="2" t="s">
        <v>2455</v>
      </c>
      <c r="B855" s="2" t="s">
        <v>19</v>
      </c>
      <c r="C855" s="2" t="s">
        <v>1907</v>
      </c>
      <c r="D855" s="2" t="s">
        <v>21</v>
      </c>
      <c r="E855" s="2" t="s">
        <v>2456</v>
      </c>
      <c r="F855" s="2">
        <v>3</v>
      </c>
      <c r="G855" s="2">
        <v>170</v>
      </c>
      <c r="H855" s="2">
        <v>5</v>
      </c>
      <c r="I855" s="2">
        <v>4</v>
      </c>
      <c r="J855" s="2">
        <v>0</v>
      </c>
      <c r="K855" s="2" t="s">
        <v>61</v>
      </c>
      <c r="L855" s="6" t="s">
        <v>113</v>
      </c>
      <c r="M855" s="5">
        <v>500000000</v>
      </c>
      <c r="N855" s="2">
        <v>0</v>
      </c>
      <c r="O855" s="2">
        <v>4.7041659359999999</v>
      </c>
      <c r="P855" s="2">
        <v>-74.100746150000006</v>
      </c>
      <c r="Q855" s="2" t="s">
        <v>2457</v>
      </c>
      <c r="R855" s="2">
        <v>2941176.4709999999</v>
      </c>
      <c r="S855" s="2">
        <v>0</v>
      </c>
      <c r="T855" s="2" t="s">
        <v>370</v>
      </c>
      <c r="U855" s="2" t="s">
        <v>371</v>
      </c>
      <c r="V855" s="2" t="s">
        <v>28</v>
      </c>
      <c r="W855" s="2" t="s">
        <v>29</v>
      </c>
      <c r="X855" s="2" t="s">
        <v>372</v>
      </c>
      <c r="Y855" s="2">
        <v>4.4928724171688801</v>
      </c>
      <c r="Z855" s="2">
        <v>4.7358055555555598</v>
      </c>
      <c r="AA855" s="2">
        <v>-74.125888888888895</v>
      </c>
      <c r="AB855" s="2">
        <v>2574</v>
      </c>
      <c r="AC855" s="2" t="s">
        <v>105</v>
      </c>
      <c r="AD855" s="2" t="s">
        <v>58</v>
      </c>
      <c r="AE855" s="2" t="s">
        <v>33</v>
      </c>
      <c r="AF855" s="2" t="s">
        <v>34</v>
      </c>
      <c r="AG855" s="2" t="s">
        <v>363</v>
      </c>
      <c r="AH855" s="2">
        <v>0.19276803485212499</v>
      </c>
      <c r="AI855" s="2">
        <v>3.6376140917317401</v>
      </c>
      <c r="AJ855" s="2">
        <v>1.2431769878372101</v>
      </c>
      <c r="AK855" s="2">
        <v>0.120277837854423</v>
      </c>
      <c r="AL855" s="2">
        <v>0.234512682101816</v>
      </c>
      <c r="AN855" s="2">
        <v>6.8</v>
      </c>
      <c r="AO855" s="2">
        <v>19.899999999999999</v>
      </c>
      <c r="AP855" s="2">
        <v>564</v>
      </c>
      <c r="AQ855" s="2">
        <v>68</v>
      </c>
      <c r="AR855" s="2">
        <v>1.5</v>
      </c>
      <c r="AS855" s="2">
        <v>135</v>
      </c>
      <c r="AT855" s="2">
        <v>0.8</v>
      </c>
      <c r="AU855" s="2">
        <v>162</v>
      </c>
      <c r="AV855" s="2">
        <v>9.1</v>
      </c>
      <c r="AW855" s="2">
        <v>9.1999999999999993</v>
      </c>
      <c r="AX855" s="2">
        <v>18.3</v>
      </c>
      <c r="AY855" s="2">
        <v>0.34</v>
      </c>
      <c r="AZ855" s="2">
        <v>7.3</v>
      </c>
      <c r="BA855" s="2">
        <v>0.9</v>
      </c>
      <c r="BB855" s="2">
        <v>7.5</v>
      </c>
      <c r="BC855" s="2">
        <v>2.9</v>
      </c>
      <c r="BD855" s="2">
        <f>+AN855*EXP(-0.0495*Y855)</f>
        <v>5.4440617502430007</v>
      </c>
      <c r="BE855" s="2">
        <f>+AO855*EXP(-0.024*Y855)</f>
        <v>17.865845074558361</v>
      </c>
    </row>
    <row r="856" spans="1:57" x14ac:dyDescent="0.2">
      <c r="A856" s="2" t="s">
        <v>3242</v>
      </c>
      <c r="B856" s="2" t="s">
        <v>19</v>
      </c>
      <c r="C856" s="2" t="s">
        <v>1907</v>
      </c>
      <c r="D856" s="2" t="s">
        <v>21</v>
      </c>
      <c r="E856" s="2" t="s">
        <v>89</v>
      </c>
      <c r="F856" s="2">
        <v>3</v>
      </c>
      <c r="G856" s="2">
        <v>168</v>
      </c>
      <c r="H856" s="2">
        <v>5</v>
      </c>
      <c r="I856" s="2">
        <v>4</v>
      </c>
      <c r="J856" s="2">
        <v>0</v>
      </c>
      <c r="K856" s="2" t="s">
        <v>61</v>
      </c>
      <c r="L856" s="6" t="s">
        <v>113</v>
      </c>
      <c r="M856" s="5">
        <v>650000000</v>
      </c>
      <c r="N856" s="2">
        <v>0</v>
      </c>
      <c r="O856" s="2">
        <v>4.6137709999999998</v>
      </c>
      <c r="P856" s="2">
        <v>-74.079260000000005</v>
      </c>
      <c r="Q856" s="2" t="s">
        <v>3243</v>
      </c>
      <c r="R856" s="2">
        <v>3869047.6189999999</v>
      </c>
      <c r="S856" s="2">
        <v>0</v>
      </c>
      <c r="T856" s="2" t="s">
        <v>77</v>
      </c>
      <c r="U856" s="2" t="s">
        <v>78</v>
      </c>
      <c r="V856" s="2" t="s">
        <v>28</v>
      </c>
      <c r="W856" s="2" t="s">
        <v>79</v>
      </c>
      <c r="X856" s="2" t="s">
        <v>80</v>
      </c>
      <c r="Y856" s="2">
        <v>1.8860376132418299</v>
      </c>
      <c r="Z856" s="2">
        <v>4.6254861111111101</v>
      </c>
      <c r="AA856" s="2">
        <v>-74.066980555555503</v>
      </c>
      <c r="AB856" s="2">
        <v>2621</v>
      </c>
      <c r="AC856" s="2" t="s">
        <v>31</v>
      </c>
      <c r="AD856" s="2" t="s">
        <v>32</v>
      </c>
      <c r="AE856" s="2" t="s">
        <v>33</v>
      </c>
      <c r="AF856" s="2" t="s">
        <v>34</v>
      </c>
      <c r="AG856" s="2" t="s">
        <v>259</v>
      </c>
      <c r="AH856" s="2">
        <v>0.58256825679774105</v>
      </c>
      <c r="AI856" s="2">
        <v>1.69270217711607</v>
      </c>
      <c r="AJ856" s="2">
        <v>0.59338962712193799</v>
      </c>
      <c r="AK856" s="2">
        <v>0.362178061942448</v>
      </c>
      <c r="AL856" s="2">
        <v>1.1408023864173901E-2</v>
      </c>
      <c r="AN856" s="2">
        <v>6.8</v>
      </c>
      <c r="AO856" s="2">
        <v>19.899999999999999</v>
      </c>
      <c r="AP856" s="2">
        <v>564</v>
      </c>
      <c r="AQ856" s="2">
        <v>68</v>
      </c>
      <c r="AR856" s="2">
        <v>1.5</v>
      </c>
      <c r="AS856" s="2">
        <v>135</v>
      </c>
      <c r="AT856" s="2">
        <v>0.8</v>
      </c>
      <c r="AU856" s="2">
        <v>162</v>
      </c>
      <c r="AV856" s="2">
        <v>9.1</v>
      </c>
      <c r="AW856" s="2">
        <v>9.1999999999999993</v>
      </c>
      <c r="AX856" s="2">
        <v>18.3</v>
      </c>
      <c r="AY856" s="2">
        <v>0.34</v>
      </c>
      <c r="AZ856" s="2">
        <v>7.3</v>
      </c>
      <c r="BA856" s="2">
        <v>0.9</v>
      </c>
      <c r="BB856" s="2">
        <v>7.5</v>
      </c>
      <c r="BC856" s="2">
        <v>2.9</v>
      </c>
      <c r="BD856" s="2">
        <f>+AN856*EXP(-0.0495*Y856)</f>
        <v>6.1938926513261832</v>
      </c>
      <c r="BE856" s="2">
        <f>+AO856*EXP(-0.024*Y856)</f>
        <v>19.019310953931971</v>
      </c>
    </row>
    <row r="857" spans="1:57" x14ac:dyDescent="0.2">
      <c r="A857" s="2" t="s">
        <v>821</v>
      </c>
      <c r="B857" s="2" t="s">
        <v>19</v>
      </c>
      <c r="C857" s="2" t="s">
        <v>20</v>
      </c>
      <c r="D857" s="2" t="s">
        <v>21</v>
      </c>
      <c r="E857" s="2" t="s">
        <v>822</v>
      </c>
      <c r="F857" s="2">
        <v>5</v>
      </c>
      <c r="G857" s="2">
        <v>167</v>
      </c>
      <c r="H857" s="2">
        <v>3</v>
      </c>
      <c r="I857" s="2">
        <v>3</v>
      </c>
      <c r="J857" s="2">
        <v>2</v>
      </c>
      <c r="K857" s="2" t="s">
        <v>61</v>
      </c>
      <c r="L857" s="6" t="s">
        <v>62</v>
      </c>
      <c r="M857" s="5">
        <v>1450000000</v>
      </c>
      <c r="N857" s="2">
        <v>0</v>
      </c>
      <c r="O857" s="2">
        <v>4.6437371699999996</v>
      </c>
      <c r="P857" s="2">
        <v>-74.055443339999997</v>
      </c>
      <c r="Q857" s="2" t="s">
        <v>823</v>
      </c>
      <c r="R857" s="2">
        <v>8682634.7310000006</v>
      </c>
      <c r="S857" s="2">
        <v>0</v>
      </c>
      <c r="T857" s="2" t="s">
        <v>77</v>
      </c>
      <c r="U857" s="2" t="s">
        <v>78</v>
      </c>
      <c r="V857" s="2" t="s">
        <v>28</v>
      </c>
      <c r="W857" s="2" t="s">
        <v>79</v>
      </c>
      <c r="X857" s="2" t="s">
        <v>80</v>
      </c>
      <c r="Y857" s="2">
        <v>2.4013538042646498</v>
      </c>
      <c r="Z857" s="2">
        <v>4.6254861111111101</v>
      </c>
      <c r="AA857" s="2">
        <v>-74.066980555555503</v>
      </c>
      <c r="AB857" s="2">
        <v>2621</v>
      </c>
      <c r="AC857" s="2" t="s">
        <v>31</v>
      </c>
      <c r="AD857" s="2" t="s">
        <v>32</v>
      </c>
      <c r="AE857" s="2" t="s">
        <v>33</v>
      </c>
      <c r="AF857" s="2" t="s">
        <v>34</v>
      </c>
      <c r="AG857" s="2" t="s">
        <v>81</v>
      </c>
      <c r="AH857" s="2">
        <v>1.15457344087577</v>
      </c>
      <c r="AI857" s="2">
        <v>0.22048350913641401</v>
      </c>
      <c r="AJ857" s="2">
        <v>0.52373873030157203</v>
      </c>
      <c r="AK857" s="2">
        <v>0.15956150835054</v>
      </c>
      <c r="AL857" s="2">
        <v>0.29999660504940101</v>
      </c>
      <c r="AN857" s="2">
        <v>6.8</v>
      </c>
      <c r="AO857" s="2">
        <v>19.899999999999999</v>
      </c>
      <c r="AP857" s="2">
        <v>564</v>
      </c>
      <c r="AQ857" s="2">
        <v>68</v>
      </c>
      <c r="AR857" s="2">
        <v>1.5</v>
      </c>
      <c r="AS857" s="2">
        <v>135</v>
      </c>
      <c r="AT857" s="2">
        <v>0.8</v>
      </c>
      <c r="AU857" s="2">
        <v>162</v>
      </c>
      <c r="AV857" s="2">
        <v>9.1</v>
      </c>
      <c r="AW857" s="2">
        <v>9.1999999999999993</v>
      </c>
      <c r="AX857" s="2">
        <v>18.3</v>
      </c>
      <c r="AY857" s="2">
        <v>0.34</v>
      </c>
      <c r="AZ857" s="2">
        <v>7.3</v>
      </c>
      <c r="BA857" s="2">
        <v>0.9</v>
      </c>
      <c r="BB857" s="2">
        <v>7.5</v>
      </c>
      <c r="BC857" s="2">
        <v>2.9</v>
      </c>
      <c r="BD857" s="2">
        <f>+AN857*EXP(-0.0495*Y857)</f>
        <v>6.0378959515826676</v>
      </c>
      <c r="BE857" s="2">
        <f>+AO857*EXP(-0.024*Y857)</f>
        <v>18.785536533601668</v>
      </c>
    </row>
    <row r="858" spans="1:57" x14ac:dyDescent="0.2">
      <c r="A858" s="2" t="s">
        <v>485</v>
      </c>
      <c r="B858" s="2" t="s">
        <v>19</v>
      </c>
      <c r="C858" s="2" t="s">
        <v>20</v>
      </c>
      <c r="D858" s="2" t="s">
        <v>21</v>
      </c>
      <c r="E858" s="2" t="s">
        <v>486</v>
      </c>
      <c r="F858" s="2">
        <v>3</v>
      </c>
      <c r="G858" s="2">
        <v>167</v>
      </c>
      <c r="H858" s="2">
        <v>3</v>
      </c>
      <c r="I858" s="2">
        <v>3</v>
      </c>
      <c r="J858" s="2">
        <v>2</v>
      </c>
      <c r="K858" s="2" t="s">
        <v>61</v>
      </c>
      <c r="L858" s="6" t="s">
        <v>113</v>
      </c>
      <c r="M858" s="5">
        <v>975000000</v>
      </c>
      <c r="N858" s="2">
        <v>0</v>
      </c>
      <c r="O858" s="2">
        <v>4.6002819800000001</v>
      </c>
      <c r="P858" s="2">
        <v>-74.067775870000006</v>
      </c>
      <c r="Q858" s="2" t="s">
        <v>487</v>
      </c>
      <c r="R858" s="2">
        <v>5838323.3530000001</v>
      </c>
      <c r="S858" s="2">
        <v>0</v>
      </c>
      <c r="T858" s="2" t="s">
        <v>77</v>
      </c>
      <c r="U858" s="2" t="s">
        <v>78</v>
      </c>
      <c r="V858" s="2" t="s">
        <v>28</v>
      </c>
      <c r="W858" s="2" t="s">
        <v>79</v>
      </c>
      <c r="X858" s="2" t="s">
        <v>80</v>
      </c>
      <c r="Y858" s="2">
        <v>2.80709850531131</v>
      </c>
      <c r="Z858" s="2">
        <v>4.6254861111111101</v>
      </c>
      <c r="AA858" s="2">
        <v>-74.066980555555503</v>
      </c>
      <c r="AB858" s="2">
        <v>2621</v>
      </c>
      <c r="AC858" s="2" t="s">
        <v>31</v>
      </c>
      <c r="AD858" s="2" t="s">
        <v>32</v>
      </c>
      <c r="AE858" s="2" t="s">
        <v>33</v>
      </c>
      <c r="AF858" s="2" t="s">
        <v>34</v>
      </c>
      <c r="AG858" s="2" t="s">
        <v>488</v>
      </c>
      <c r="AH858" s="2">
        <v>0.26323753680371798</v>
      </c>
      <c r="AI858" s="2">
        <v>0.40034510329892498</v>
      </c>
      <c r="AJ858" s="2">
        <v>0.20479265949544201</v>
      </c>
      <c r="AK858" s="2">
        <v>0.172510387047351</v>
      </c>
      <c r="AL858" s="2">
        <v>0.24203447158785499</v>
      </c>
      <c r="AN858" s="2">
        <v>6.8</v>
      </c>
      <c r="AO858" s="2">
        <v>19.899999999999999</v>
      </c>
      <c r="AP858" s="2">
        <v>564</v>
      </c>
      <c r="AQ858" s="2">
        <v>68</v>
      </c>
      <c r="AR858" s="2">
        <v>1.5</v>
      </c>
      <c r="AS858" s="2">
        <v>135</v>
      </c>
      <c r="AT858" s="2">
        <v>0.8</v>
      </c>
      <c r="AU858" s="2">
        <v>162</v>
      </c>
      <c r="AV858" s="2">
        <v>9.1</v>
      </c>
      <c r="AW858" s="2">
        <v>9.1999999999999993</v>
      </c>
      <c r="AX858" s="2">
        <v>18.3</v>
      </c>
      <c r="AY858" s="2">
        <v>0.34</v>
      </c>
      <c r="AZ858" s="2">
        <v>7.3</v>
      </c>
      <c r="BA858" s="2">
        <v>0.9</v>
      </c>
      <c r="BB858" s="2">
        <v>7.5</v>
      </c>
      <c r="BC858" s="2">
        <v>2.9</v>
      </c>
      <c r="BD858" s="2">
        <f>+AN858*EXP(-0.0495*Y858)</f>
        <v>5.9178383354152979</v>
      </c>
      <c r="BE858" s="2">
        <f>+AO858*EXP(-0.024*Y858)</f>
        <v>18.603493164013972</v>
      </c>
    </row>
    <row r="859" spans="1:57" x14ac:dyDescent="0.2">
      <c r="A859" s="2" t="s">
        <v>1241</v>
      </c>
      <c r="B859" s="2" t="s">
        <v>19</v>
      </c>
      <c r="C859" s="2" t="s">
        <v>20</v>
      </c>
      <c r="D859" s="2" t="s">
        <v>21</v>
      </c>
      <c r="E859" s="2" t="s">
        <v>1242</v>
      </c>
      <c r="F859" s="2">
        <v>5</v>
      </c>
      <c r="G859" s="2">
        <v>166.85</v>
      </c>
      <c r="H859" s="2">
        <v>3</v>
      </c>
      <c r="I859" s="2">
        <v>3</v>
      </c>
      <c r="J859" s="2">
        <v>2</v>
      </c>
      <c r="K859" s="2" t="s">
        <v>61</v>
      </c>
      <c r="L859" s="6" t="s">
        <v>75</v>
      </c>
      <c r="M859" s="5">
        <v>1550000000</v>
      </c>
      <c r="N859" s="2">
        <v>0</v>
      </c>
      <c r="O859" s="2">
        <v>4.6431801999999998</v>
      </c>
      <c r="P859" s="2">
        <v>-74.054895500000001</v>
      </c>
      <c r="Q859" s="2" t="s">
        <v>1243</v>
      </c>
      <c r="R859" s="2">
        <v>9289781.2410000004</v>
      </c>
      <c r="S859" s="2">
        <v>0</v>
      </c>
      <c r="T859" s="2" t="s">
        <v>77</v>
      </c>
      <c r="U859" s="2" t="s">
        <v>78</v>
      </c>
      <c r="V859" s="2" t="s">
        <v>28</v>
      </c>
      <c r="W859" s="2" t="s">
        <v>79</v>
      </c>
      <c r="X859" s="2" t="s">
        <v>80</v>
      </c>
      <c r="Y859" s="2">
        <v>2.3827986780041699</v>
      </c>
      <c r="Z859" s="2">
        <v>4.6254861111111101</v>
      </c>
      <c r="AA859" s="2">
        <v>-74.066980555555503</v>
      </c>
      <c r="AB859" s="2">
        <v>2621</v>
      </c>
      <c r="AC859" s="2" t="s">
        <v>31</v>
      </c>
      <c r="AD859" s="2" t="s">
        <v>32</v>
      </c>
      <c r="AE859" s="2" t="s">
        <v>33</v>
      </c>
      <c r="AF859" s="2" t="s">
        <v>34</v>
      </c>
      <c r="AG859" s="2" t="s">
        <v>81</v>
      </c>
      <c r="AH859" s="2">
        <v>1.21249749632268</v>
      </c>
      <c r="AI859" s="2">
        <v>0.15325436824528901</v>
      </c>
      <c r="AJ859" s="2">
        <v>0.59793891570019497</v>
      </c>
      <c r="AK859" s="2">
        <v>0.13169353696438199</v>
      </c>
      <c r="AL859" s="2">
        <v>0.38525137292240302</v>
      </c>
      <c r="AN859" s="2">
        <v>6.8</v>
      </c>
      <c r="AO859" s="2">
        <v>19.899999999999999</v>
      </c>
      <c r="AP859" s="2">
        <v>564</v>
      </c>
      <c r="AQ859" s="2">
        <v>68</v>
      </c>
      <c r="AR859" s="2">
        <v>1.5</v>
      </c>
      <c r="AS859" s="2">
        <v>135</v>
      </c>
      <c r="AT859" s="2">
        <v>0.8</v>
      </c>
      <c r="AU859" s="2">
        <v>162</v>
      </c>
      <c r="AV859" s="2">
        <v>9.1</v>
      </c>
      <c r="AW859" s="2">
        <v>9.1999999999999993</v>
      </c>
      <c r="AX859" s="2">
        <v>18.3</v>
      </c>
      <c r="AY859" s="2">
        <v>0.34</v>
      </c>
      <c r="AZ859" s="2">
        <v>7.3</v>
      </c>
      <c r="BA859" s="2">
        <v>0.9</v>
      </c>
      <c r="BB859" s="2">
        <v>7.5</v>
      </c>
      <c r="BC859" s="2">
        <v>2.9</v>
      </c>
      <c r="BD859" s="2">
        <f>+AN859*EXP(-0.0495*Y859)</f>
        <v>6.0434441782823853</v>
      </c>
      <c r="BE859" s="2">
        <f>+AO859*EXP(-0.024*Y859)</f>
        <v>18.793904028636554</v>
      </c>
    </row>
    <row r="860" spans="1:57" x14ac:dyDescent="0.2">
      <c r="A860" s="2" t="s">
        <v>2277</v>
      </c>
      <c r="B860" s="2" t="s">
        <v>19</v>
      </c>
      <c r="C860" s="2" t="s">
        <v>1907</v>
      </c>
      <c r="D860" s="2" t="s">
        <v>21</v>
      </c>
      <c r="E860" s="2" t="s">
        <v>89</v>
      </c>
      <c r="F860" s="2">
        <v>3</v>
      </c>
      <c r="G860" s="2">
        <v>165</v>
      </c>
      <c r="H860" s="2">
        <v>5</v>
      </c>
      <c r="I860" s="2">
        <v>5</v>
      </c>
      <c r="J860" s="2">
        <v>0</v>
      </c>
      <c r="K860" s="2" t="s">
        <v>61</v>
      </c>
      <c r="L860" s="6" t="s">
        <v>113</v>
      </c>
      <c r="M860" s="5">
        <v>650000000</v>
      </c>
      <c r="N860" s="2">
        <v>0</v>
      </c>
      <c r="O860" s="2">
        <v>4.6157164999999996</v>
      </c>
      <c r="P860" s="2">
        <v>-74.079530000000005</v>
      </c>
      <c r="Q860" s="2" t="s">
        <v>2278</v>
      </c>
      <c r="R860" s="2">
        <v>3939393.9389999998</v>
      </c>
      <c r="S860" s="2">
        <v>0</v>
      </c>
      <c r="T860" s="2" t="s">
        <v>77</v>
      </c>
      <c r="U860" s="2" t="s">
        <v>78</v>
      </c>
      <c r="V860" s="2" t="s">
        <v>28</v>
      </c>
      <c r="W860" s="2" t="s">
        <v>79</v>
      </c>
      <c r="X860" s="2" t="s">
        <v>80</v>
      </c>
      <c r="Y860" s="2">
        <v>1.7668329871269099</v>
      </c>
      <c r="Z860" s="2">
        <v>4.6254861111111101</v>
      </c>
      <c r="AA860" s="2">
        <v>-74.066980555555503</v>
      </c>
      <c r="AB860" s="2">
        <v>2621</v>
      </c>
      <c r="AC860" s="2" t="s">
        <v>31</v>
      </c>
      <c r="AD860" s="2" t="s">
        <v>32</v>
      </c>
      <c r="AE860" s="2" t="s">
        <v>33</v>
      </c>
      <c r="AF860" s="2" t="s">
        <v>34</v>
      </c>
      <c r="AG860" s="2" t="s">
        <v>259</v>
      </c>
      <c r="AH860" s="2">
        <v>0.634068957331829</v>
      </c>
      <c r="AI860" s="2">
        <v>1.73260071082098</v>
      </c>
      <c r="AJ860" s="2">
        <v>0.62261858178055796</v>
      </c>
      <c r="AK860" s="2">
        <v>0.21905586304070901</v>
      </c>
      <c r="AL860" s="2">
        <v>0.136361270052791</v>
      </c>
      <c r="AN860" s="2">
        <v>6.8</v>
      </c>
      <c r="AO860" s="2">
        <v>19.899999999999999</v>
      </c>
      <c r="AP860" s="2">
        <v>564</v>
      </c>
      <c r="AQ860" s="2">
        <v>68</v>
      </c>
      <c r="AR860" s="2">
        <v>1.5</v>
      </c>
      <c r="AS860" s="2">
        <v>135</v>
      </c>
      <c r="AT860" s="2">
        <v>0.8</v>
      </c>
      <c r="AU860" s="2">
        <v>162</v>
      </c>
      <c r="AV860" s="2">
        <v>9.1</v>
      </c>
      <c r="AW860" s="2">
        <v>9.1999999999999993</v>
      </c>
      <c r="AX860" s="2">
        <v>18.3</v>
      </c>
      <c r="AY860" s="2">
        <v>0.34</v>
      </c>
      <c r="AZ860" s="2">
        <v>7.3</v>
      </c>
      <c r="BA860" s="2">
        <v>0.9</v>
      </c>
      <c r="BB860" s="2">
        <v>7.5</v>
      </c>
      <c r="BC860" s="2">
        <v>2.9</v>
      </c>
      <c r="BD860" s="2">
        <f>+AN860*EXP(-0.0495*Y860)</f>
        <v>6.2305485539678642</v>
      </c>
      <c r="BE860" s="2">
        <f>+AO860*EXP(-0.024*Y860)</f>
        <v>19.073801419381965</v>
      </c>
    </row>
    <row r="861" spans="1:57" x14ac:dyDescent="0.2">
      <c r="A861" s="2" t="s">
        <v>1210</v>
      </c>
      <c r="B861" s="2" t="s">
        <v>19</v>
      </c>
      <c r="C861" s="2" t="s">
        <v>20</v>
      </c>
      <c r="D861" s="2" t="s">
        <v>21</v>
      </c>
      <c r="E861" s="2" t="s">
        <v>37</v>
      </c>
      <c r="F861" s="2">
        <v>5</v>
      </c>
      <c r="G861" s="2">
        <v>160.93</v>
      </c>
      <c r="H861" s="2">
        <v>3</v>
      </c>
      <c r="I861" s="2">
        <v>3</v>
      </c>
      <c r="J861" s="2">
        <v>2</v>
      </c>
      <c r="K861" s="2" t="s">
        <v>61</v>
      </c>
      <c r="L861" s="6" t="s">
        <v>75</v>
      </c>
      <c r="M861" s="5">
        <v>1400000000</v>
      </c>
      <c r="N861" s="2">
        <v>0</v>
      </c>
      <c r="O861" s="2">
        <v>4.654865</v>
      </c>
      <c r="P861" s="2">
        <v>-74.106080000000006</v>
      </c>
      <c r="Q861" s="2" t="s">
        <v>1211</v>
      </c>
      <c r="R861" s="2">
        <v>8699434.5370000005</v>
      </c>
      <c r="S861" s="2">
        <v>0</v>
      </c>
      <c r="T861" s="2" t="s">
        <v>26</v>
      </c>
      <c r="U861" s="2" t="s">
        <v>27</v>
      </c>
      <c r="V861" s="2" t="s">
        <v>28</v>
      </c>
      <c r="W861" s="2" t="s">
        <v>29</v>
      </c>
      <c r="X861" s="2" t="s">
        <v>30</v>
      </c>
      <c r="Y861" s="2">
        <v>2.4860624243703899</v>
      </c>
      <c r="Z861" s="2">
        <v>4.6584666666666701</v>
      </c>
      <c r="AA861" s="2">
        <v>-74.083966666666697</v>
      </c>
      <c r="AB861" s="2">
        <v>2552</v>
      </c>
      <c r="AC861" s="2" t="s">
        <v>31</v>
      </c>
      <c r="AD861" s="2" t="s">
        <v>32</v>
      </c>
      <c r="AE861" s="2" t="s">
        <v>33</v>
      </c>
      <c r="AF861" s="2" t="s">
        <v>34</v>
      </c>
      <c r="AG861" s="2" t="s">
        <v>43</v>
      </c>
      <c r="AH861" s="2">
        <v>0.24805502086537001</v>
      </c>
      <c r="AI861" s="2">
        <v>5.5974197008917903</v>
      </c>
      <c r="AJ861" s="2">
        <v>0.33784835768424498</v>
      </c>
      <c r="AK861" s="2">
        <v>0.164716292250698</v>
      </c>
      <c r="AL861" s="2">
        <v>0.37361554688146298</v>
      </c>
      <c r="AN861" s="2">
        <v>6.8</v>
      </c>
      <c r="AO861" s="2">
        <v>19.899999999999999</v>
      </c>
      <c r="AP861" s="2">
        <v>564</v>
      </c>
      <c r="AQ861" s="2">
        <v>68</v>
      </c>
      <c r="AR861" s="2">
        <v>1.5</v>
      </c>
      <c r="AS861" s="2">
        <v>135</v>
      </c>
      <c r="AT861" s="2">
        <v>0.8</v>
      </c>
      <c r="AU861" s="2">
        <v>162</v>
      </c>
      <c r="AV861" s="2">
        <v>9.1</v>
      </c>
      <c r="AW861" s="2">
        <v>9.1999999999999993</v>
      </c>
      <c r="AX861" s="2">
        <v>18.3</v>
      </c>
      <c r="AY861" s="2">
        <v>0.34</v>
      </c>
      <c r="AZ861" s="2">
        <v>7.3</v>
      </c>
      <c r="BA861" s="2">
        <v>0.9</v>
      </c>
      <c r="BB861" s="2">
        <v>7.5</v>
      </c>
      <c r="BC861" s="2">
        <v>2.9</v>
      </c>
      <c r="BD861" s="2">
        <f>+AN861*EXP(-0.0495*Y861)</f>
        <v>6.0126315954874743</v>
      </c>
      <c r="BE861" s="2">
        <f>+AO861*EXP(-0.024*Y861)</f>
        <v>18.747384203652047</v>
      </c>
    </row>
    <row r="862" spans="1:57" x14ac:dyDescent="0.2">
      <c r="A862" s="2" t="s">
        <v>1787</v>
      </c>
      <c r="B862" s="2" t="s">
        <v>19</v>
      </c>
      <c r="C862" s="2" t="s">
        <v>20</v>
      </c>
      <c r="D862" s="2" t="s">
        <v>21</v>
      </c>
      <c r="E862" s="2" t="s">
        <v>355</v>
      </c>
      <c r="F862" s="2">
        <v>6</v>
      </c>
      <c r="G862" s="2">
        <v>160</v>
      </c>
      <c r="H862" s="2">
        <v>3</v>
      </c>
      <c r="I862" s="2">
        <v>2</v>
      </c>
      <c r="J862" s="2">
        <v>2</v>
      </c>
      <c r="K862" s="2" t="s">
        <v>61</v>
      </c>
      <c r="L862" s="6" t="s">
        <v>75</v>
      </c>
      <c r="M862" s="5">
        <v>1750000000</v>
      </c>
      <c r="N862" s="2">
        <v>0</v>
      </c>
      <c r="O862" s="2">
        <v>4.6731403780000003</v>
      </c>
      <c r="P862" s="2">
        <v>-74.056423010000003</v>
      </c>
      <c r="Q862" s="2" t="s">
        <v>1788</v>
      </c>
      <c r="R862" s="2">
        <v>10937500</v>
      </c>
      <c r="S862" s="2">
        <v>0</v>
      </c>
      <c r="T862" s="2" t="s">
        <v>26</v>
      </c>
      <c r="U862" s="2" t="s">
        <v>27</v>
      </c>
      <c r="V862" s="2" t="s">
        <v>28</v>
      </c>
      <c r="W862" s="2" t="s">
        <v>29</v>
      </c>
      <c r="X862" s="2" t="s">
        <v>30</v>
      </c>
      <c r="Y862" s="2">
        <v>3.4651505883307698</v>
      </c>
      <c r="Z862" s="2">
        <v>4.6584666666666701</v>
      </c>
      <c r="AA862" s="2">
        <v>-74.083966666666697</v>
      </c>
      <c r="AB862" s="2">
        <v>2552</v>
      </c>
      <c r="AC862" s="2" t="s">
        <v>31</v>
      </c>
      <c r="AD862" s="2" t="s">
        <v>32</v>
      </c>
      <c r="AE862" s="2" t="s">
        <v>33</v>
      </c>
      <c r="AF862" s="2" t="s">
        <v>34</v>
      </c>
      <c r="AG862" s="2" t="s">
        <v>81</v>
      </c>
      <c r="AH862" s="2">
        <v>0.36863494006070902</v>
      </c>
      <c r="AI862" s="2">
        <v>1.55797306389862</v>
      </c>
      <c r="AJ862" s="2">
        <v>0.62607009278039605</v>
      </c>
      <c r="AK862" s="2">
        <v>0.112550888508444</v>
      </c>
      <c r="AL862" s="2">
        <v>0.83732717917230304</v>
      </c>
      <c r="AN862" s="2">
        <v>6.8</v>
      </c>
      <c r="AO862" s="2">
        <v>19.899999999999999</v>
      </c>
      <c r="AP862" s="2">
        <v>564</v>
      </c>
      <c r="AQ862" s="2">
        <v>68</v>
      </c>
      <c r="AR862" s="2">
        <v>1.5</v>
      </c>
      <c r="AS862" s="2">
        <v>135</v>
      </c>
      <c r="AT862" s="2">
        <v>0.8</v>
      </c>
      <c r="AU862" s="2">
        <v>162</v>
      </c>
      <c r="AV862" s="2">
        <v>9.1</v>
      </c>
      <c r="AW862" s="2">
        <v>9.1999999999999993</v>
      </c>
      <c r="AX862" s="2">
        <v>18.3</v>
      </c>
      <c r="AY862" s="2">
        <v>0.34</v>
      </c>
      <c r="AZ862" s="2">
        <v>7.3</v>
      </c>
      <c r="BA862" s="2">
        <v>0.9</v>
      </c>
      <c r="BB862" s="2">
        <v>7.5</v>
      </c>
      <c r="BC862" s="2">
        <v>2.9</v>
      </c>
      <c r="BD862" s="2">
        <f>+AN862*EXP(-0.0495*Y862)</f>
        <v>5.7281788790759345</v>
      </c>
      <c r="BE862" s="2">
        <f>+AO862*EXP(-0.024*Y862)</f>
        <v>18.311991484193943</v>
      </c>
    </row>
    <row r="863" spans="1:57" x14ac:dyDescent="0.2">
      <c r="A863" s="2" t="s">
        <v>1272</v>
      </c>
      <c r="B863" s="2" t="s">
        <v>19</v>
      </c>
      <c r="C863" s="2" t="s">
        <v>20</v>
      </c>
      <c r="D863" s="2" t="s">
        <v>21</v>
      </c>
      <c r="E863" s="2" t="s">
        <v>261</v>
      </c>
      <c r="F863" s="2">
        <v>6</v>
      </c>
      <c r="G863" s="2">
        <v>154</v>
      </c>
      <c r="H863" s="2">
        <v>3</v>
      </c>
      <c r="I863" s="2">
        <v>3</v>
      </c>
      <c r="J863" s="2">
        <v>2</v>
      </c>
      <c r="K863" s="2" t="s">
        <v>61</v>
      </c>
      <c r="L863" s="6" t="s">
        <v>75</v>
      </c>
      <c r="M863" s="5">
        <v>1900000000</v>
      </c>
      <c r="N863" s="2">
        <v>0</v>
      </c>
      <c r="O863" s="2">
        <v>4.663471296</v>
      </c>
      <c r="P863" s="2">
        <v>-74.046739040000006</v>
      </c>
      <c r="Q863" s="2" t="s">
        <v>1273</v>
      </c>
      <c r="R863" s="2">
        <v>12337662.34</v>
      </c>
      <c r="S863" s="2">
        <v>0</v>
      </c>
      <c r="T863" s="2" t="s">
        <v>26</v>
      </c>
      <c r="U863" s="2" t="s">
        <v>27</v>
      </c>
      <c r="V863" s="2" t="s">
        <v>28</v>
      </c>
      <c r="W863" s="2" t="s">
        <v>29</v>
      </c>
      <c r="X863" s="2" t="s">
        <v>30</v>
      </c>
      <c r="Y863" s="2">
        <v>4.1678577324960999</v>
      </c>
      <c r="Z863" s="2">
        <v>4.6584666666666701</v>
      </c>
      <c r="AA863" s="2">
        <v>-74.083966666666697</v>
      </c>
      <c r="AB863" s="2">
        <v>2552</v>
      </c>
      <c r="AC863" s="2" t="s">
        <v>31</v>
      </c>
      <c r="AD863" s="2" t="s">
        <v>32</v>
      </c>
      <c r="AE863" s="2" t="s">
        <v>33</v>
      </c>
      <c r="AF863" s="2" t="s">
        <v>34</v>
      </c>
      <c r="AG863" s="2" t="s">
        <v>81</v>
      </c>
      <c r="AH863" s="2">
        <v>1.59063604565238</v>
      </c>
      <c r="AI863" s="2">
        <v>0.17728916037539799</v>
      </c>
      <c r="AJ863" s="2">
        <v>0.78234618637439102</v>
      </c>
      <c r="AK863" s="2">
        <v>0.151761697286208</v>
      </c>
      <c r="AL863" s="2">
        <v>0.41366893506633601</v>
      </c>
      <c r="AN863" s="2">
        <v>6.8</v>
      </c>
      <c r="AO863" s="2">
        <v>19.899999999999999</v>
      </c>
      <c r="AP863" s="2">
        <v>564</v>
      </c>
      <c r="AQ863" s="2">
        <v>68</v>
      </c>
      <c r="AR863" s="2">
        <v>1.5</v>
      </c>
      <c r="AS863" s="2">
        <v>135</v>
      </c>
      <c r="AT863" s="2">
        <v>0.8</v>
      </c>
      <c r="AU863" s="2">
        <v>162</v>
      </c>
      <c r="AV863" s="2">
        <v>9.1</v>
      </c>
      <c r="AW863" s="2">
        <v>9.1999999999999993</v>
      </c>
      <c r="AX863" s="2">
        <v>18.3</v>
      </c>
      <c r="AY863" s="2">
        <v>0.34</v>
      </c>
      <c r="AZ863" s="2">
        <v>7.3</v>
      </c>
      <c r="BA863" s="2">
        <v>0.9</v>
      </c>
      <c r="BB863" s="2">
        <v>7.5</v>
      </c>
      <c r="BC863" s="2">
        <v>2.9</v>
      </c>
      <c r="BD863" s="2">
        <f>+AN863*EXP(-0.0495*Y863)</f>
        <v>5.5323553905304612</v>
      </c>
      <c r="BE863" s="2">
        <f>+AO863*EXP(-0.024*Y863)</f>
        <v>18.005749906756222</v>
      </c>
    </row>
    <row r="864" spans="1:57" x14ac:dyDescent="0.2">
      <c r="A864" s="2" t="s">
        <v>1286</v>
      </c>
      <c r="B864" s="2" t="s">
        <v>19</v>
      </c>
      <c r="C864" s="2" t="s">
        <v>20</v>
      </c>
      <c r="D864" s="2" t="s">
        <v>21</v>
      </c>
      <c r="E864" s="2" t="s">
        <v>261</v>
      </c>
      <c r="F864" s="2">
        <v>6</v>
      </c>
      <c r="G864" s="2">
        <v>154</v>
      </c>
      <c r="H864" s="2">
        <v>3</v>
      </c>
      <c r="I864" s="2">
        <v>3</v>
      </c>
      <c r="J864" s="2">
        <v>2</v>
      </c>
      <c r="K864" s="2" t="s">
        <v>61</v>
      </c>
      <c r="L864" s="6" t="s">
        <v>75</v>
      </c>
      <c r="M864" s="5">
        <v>1900000000</v>
      </c>
      <c r="N864" s="2">
        <v>0</v>
      </c>
      <c r="O864" s="2">
        <v>4.663471296</v>
      </c>
      <c r="P864" s="2">
        <v>-74.046739040000006</v>
      </c>
      <c r="Q864" s="2" t="s">
        <v>1287</v>
      </c>
      <c r="R864" s="2">
        <v>12337662.34</v>
      </c>
      <c r="S864" s="2">
        <v>0</v>
      </c>
      <c r="T864" s="2" t="s">
        <v>26</v>
      </c>
      <c r="U864" s="2" t="s">
        <v>27</v>
      </c>
      <c r="V864" s="2" t="s">
        <v>28</v>
      </c>
      <c r="W864" s="2" t="s">
        <v>29</v>
      </c>
      <c r="X864" s="2" t="s">
        <v>30</v>
      </c>
      <c r="Y864" s="2">
        <v>4.1678577324960999</v>
      </c>
      <c r="Z864" s="2">
        <v>4.6584666666666701</v>
      </c>
      <c r="AA864" s="2">
        <v>-74.083966666666697</v>
      </c>
      <c r="AB864" s="2">
        <v>2552</v>
      </c>
      <c r="AC864" s="2" t="s">
        <v>31</v>
      </c>
      <c r="AD864" s="2" t="s">
        <v>32</v>
      </c>
      <c r="AE864" s="2" t="s">
        <v>33</v>
      </c>
      <c r="AF864" s="2" t="s">
        <v>34</v>
      </c>
      <c r="AG864" s="2" t="s">
        <v>81</v>
      </c>
      <c r="AH864" s="2">
        <v>1.59063604565238</v>
      </c>
      <c r="AI864" s="2">
        <v>0.17728916037539799</v>
      </c>
      <c r="AJ864" s="2">
        <v>0.78234618637439102</v>
      </c>
      <c r="AK864" s="2">
        <v>0.151761697286208</v>
      </c>
      <c r="AL864" s="2">
        <v>0.41366893506633601</v>
      </c>
      <c r="AN864" s="2">
        <v>6.8</v>
      </c>
      <c r="AO864" s="2">
        <v>19.899999999999999</v>
      </c>
      <c r="AP864" s="2">
        <v>564</v>
      </c>
      <c r="AQ864" s="2">
        <v>68</v>
      </c>
      <c r="AR864" s="2">
        <v>1.5</v>
      </c>
      <c r="AS864" s="2">
        <v>135</v>
      </c>
      <c r="AT864" s="2">
        <v>0.8</v>
      </c>
      <c r="AU864" s="2">
        <v>162</v>
      </c>
      <c r="AV864" s="2">
        <v>9.1</v>
      </c>
      <c r="AW864" s="2">
        <v>9.1999999999999993</v>
      </c>
      <c r="AX864" s="2">
        <v>18.3</v>
      </c>
      <c r="AY864" s="2">
        <v>0.34</v>
      </c>
      <c r="AZ864" s="2">
        <v>7.3</v>
      </c>
      <c r="BA864" s="2">
        <v>0.9</v>
      </c>
      <c r="BB864" s="2">
        <v>7.5</v>
      </c>
      <c r="BC864" s="2">
        <v>2.9</v>
      </c>
      <c r="BD864" s="2">
        <f>+AN864*EXP(-0.0495*Y864)</f>
        <v>5.5323553905304612</v>
      </c>
      <c r="BE864" s="2">
        <f>+AO864*EXP(-0.024*Y864)</f>
        <v>18.005749906756222</v>
      </c>
    </row>
    <row r="865" spans="1:57" x14ac:dyDescent="0.2">
      <c r="A865" s="2" t="s">
        <v>951</v>
      </c>
      <c r="B865" s="2" t="s">
        <v>19</v>
      </c>
      <c r="C865" s="2" t="s">
        <v>20</v>
      </c>
      <c r="D865" s="2" t="s">
        <v>21</v>
      </c>
      <c r="E865" s="2" t="s">
        <v>952</v>
      </c>
      <c r="F865" s="2">
        <v>5</v>
      </c>
      <c r="G865" s="2">
        <v>153.88</v>
      </c>
      <c r="H865" s="2">
        <v>3</v>
      </c>
      <c r="I865" s="2">
        <v>3</v>
      </c>
      <c r="J865" s="2">
        <v>2</v>
      </c>
      <c r="K865" s="2" t="s">
        <v>61</v>
      </c>
      <c r="L865" s="6" t="s">
        <v>113</v>
      </c>
      <c r="M865" s="5">
        <v>890000000</v>
      </c>
      <c r="N865" s="2">
        <v>0</v>
      </c>
      <c r="O865" s="2">
        <v>4.6926519999999998</v>
      </c>
      <c r="P865" s="2">
        <v>-74.067013000000003</v>
      </c>
      <c r="Q865" s="2" t="s">
        <v>953</v>
      </c>
      <c r="R865" s="2">
        <v>5783727.5800000001</v>
      </c>
      <c r="S865" s="2">
        <v>0</v>
      </c>
      <c r="T865" s="2" t="s">
        <v>26</v>
      </c>
      <c r="U865" s="2" t="s">
        <v>27</v>
      </c>
      <c r="V865" s="2" t="s">
        <v>28</v>
      </c>
      <c r="W865" s="2" t="s">
        <v>29</v>
      </c>
      <c r="X865" s="2" t="s">
        <v>30</v>
      </c>
      <c r="Y865" s="2">
        <v>4.2449875136102397</v>
      </c>
      <c r="Z865" s="2">
        <v>4.6584666666666701</v>
      </c>
      <c r="AA865" s="2">
        <v>-74.083966666666697</v>
      </c>
      <c r="AB865" s="2">
        <v>2552</v>
      </c>
      <c r="AC865" s="2" t="s">
        <v>31</v>
      </c>
      <c r="AD865" s="2" t="s">
        <v>32</v>
      </c>
      <c r="AE865" s="2" t="s">
        <v>33</v>
      </c>
      <c r="AF865" s="2" t="s">
        <v>34</v>
      </c>
      <c r="AG865" s="2" t="s">
        <v>72</v>
      </c>
      <c r="AH865" s="2">
        <v>8.5547384214619299E-2</v>
      </c>
      <c r="AI865" s="2">
        <v>3.6820291035741799</v>
      </c>
      <c r="AJ865" s="2">
        <v>0.64009972320415898</v>
      </c>
      <c r="AK865" s="2">
        <v>7.4067633132527205E-2</v>
      </c>
      <c r="AL865" s="2">
        <v>0.33150094849200801</v>
      </c>
      <c r="AN865" s="2">
        <v>6.8</v>
      </c>
      <c r="AO865" s="2">
        <v>19.899999999999999</v>
      </c>
      <c r="AP865" s="2">
        <v>564</v>
      </c>
      <c r="AQ865" s="2">
        <v>68</v>
      </c>
      <c r="AR865" s="2">
        <v>1.5</v>
      </c>
      <c r="AS865" s="2">
        <v>135</v>
      </c>
      <c r="AT865" s="2">
        <v>0.8</v>
      </c>
      <c r="AU865" s="2">
        <v>162</v>
      </c>
      <c r="AV865" s="2">
        <v>9.1</v>
      </c>
      <c r="AW865" s="2">
        <v>9.1999999999999993</v>
      </c>
      <c r="AX865" s="2">
        <v>18.3</v>
      </c>
      <c r="AY865" s="2">
        <v>0.34</v>
      </c>
      <c r="AZ865" s="2">
        <v>7.3</v>
      </c>
      <c r="BA865" s="2">
        <v>0.9</v>
      </c>
      <c r="BB865" s="2">
        <v>7.5</v>
      </c>
      <c r="BC865" s="2">
        <v>2.9</v>
      </c>
      <c r="BD865" s="2">
        <f>+AN865*EXP(-0.0495*Y865)</f>
        <v>5.5112735472425882</v>
      </c>
      <c r="BE865" s="2">
        <f>+AO865*EXP(-0.024*Y865)</f>
        <v>17.97245002803486</v>
      </c>
    </row>
    <row r="866" spans="1:57" x14ac:dyDescent="0.2">
      <c r="A866" s="2" t="s">
        <v>798</v>
      </c>
      <c r="B866" s="2" t="s">
        <v>19</v>
      </c>
      <c r="C866" s="2" t="s">
        <v>20</v>
      </c>
      <c r="D866" s="2" t="s">
        <v>21</v>
      </c>
      <c r="E866" s="2" t="s">
        <v>180</v>
      </c>
      <c r="F866" s="2">
        <v>6</v>
      </c>
      <c r="G866" s="2">
        <v>150</v>
      </c>
      <c r="H866" s="2">
        <v>2</v>
      </c>
      <c r="I866" s="2">
        <v>3</v>
      </c>
      <c r="J866" s="2">
        <v>2</v>
      </c>
      <c r="K866" s="2" t="s">
        <v>61</v>
      </c>
      <c r="L866" s="6" t="s">
        <v>62</v>
      </c>
      <c r="M866" s="5">
        <v>2000000000</v>
      </c>
      <c r="N866" s="2">
        <v>0</v>
      </c>
      <c r="O866" s="2">
        <v>4.6782651270000004</v>
      </c>
      <c r="P866" s="2">
        <v>-74.052178979999994</v>
      </c>
      <c r="Q866" s="2" t="s">
        <v>799</v>
      </c>
      <c r="R866" s="2">
        <v>13333333.33</v>
      </c>
      <c r="S866" s="2">
        <v>0</v>
      </c>
      <c r="T866" s="2" t="s">
        <v>26</v>
      </c>
      <c r="U866" s="2" t="s">
        <v>27</v>
      </c>
      <c r="V866" s="2" t="s">
        <v>28</v>
      </c>
      <c r="W866" s="2" t="s">
        <v>29</v>
      </c>
      <c r="X866" s="2" t="s">
        <v>30</v>
      </c>
      <c r="Y866" s="2">
        <v>4.1588561480430304</v>
      </c>
      <c r="Z866" s="2">
        <v>4.6584666666666701</v>
      </c>
      <c r="AA866" s="2">
        <v>-74.083966666666697</v>
      </c>
      <c r="AB866" s="2">
        <v>2552</v>
      </c>
      <c r="AC866" s="2" t="s">
        <v>31</v>
      </c>
      <c r="AD866" s="2" t="s">
        <v>32</v>
      </c>
      <c r="AE866" s="2" t="s">
        <v>33</v>
      </c>
      <c r="AF866" s="2" t="s">
        <v>34</v>
      </c>
      <c r="AG866" s="2" t="s">
        <v>81</v>
      </c>
      <c r="AH866" s="2">
        <v>0.79881863643165596</v>
      </c>
      <c r="AI866" s="2">
        <v>1.4779748863062001</v>
      </c>
      <c r="AJ866" s="2">
        <v>0.83112080084184103</v>
      </c>
      <c r="AK866" s="2">
        <v>0.12310919354198201</v>
      </c>
      <c r="AL866" s="2">
        <v>0.76825519482849702</v>
      </c>
      <c r="AN866" s="2">
        <v>6.8</v>
      </c>
      <c r="AO866" s="2">
        <v>19.899999999999999</v>
      </c>
      <c r="AP866" s="2">
        <v>564</v>
      </c>
      <c r="AQ866" s="2">
        <v>68</v>
      </c>
      <c r="AR866" s="2">
        <v>1.5</v>
      </c>
      <c r="AS866" s="2">
        <v>135</v>
      </c>
      <c r="AT866" s="2">
        <v>0.8</v>
      </c>
      <c r="AU866" s="2">
        <v>162</v>
      </c>
      <c r="AV866" s="2">
        <v>9.1</v>
      </c>
      <c r="AW866" s="2">
        <v>9.1999999999999993</v>
      </c>
      <c r="AX866" s="2">
        <v>18.3</v>
      </c>
      <c r="AY866" s="2">
        <v>0.34</v>
      </c>
      <c r="AZ866" s="2">
        <v>7.3</v>
      </c>
      <c r="BA866" s="2">
        <v>0.9</v>
      </c>
      <c r="BB866" s="2">
        <v>7.5</v>
      </c>
      <c r="BC866" s="2">
        <v>2.9</v>
      </c>
      <c r="BD866" s="2">
        <f>+AN866*EXP(-0.0495*Y866)</f>
        <v>5.5348210380408167</v>
      </c>
      <c r="BE866" s="2">
        <f>+AO866*EXP(-0.024*Y866)</f>
        <v>18.009640253654762</v>
      </c>
    </row>
    <row r="867" spans="1:57" x14ac:dyDescent="0.2">
      <c r="A867" s="2" t="s">
        <v>1232</v>
      </c>
      <c r="B867" s="2" t="s">
        <v>19</v>
      </c>
      <c r="C867" s="2" t="s">
        <v>20</v>
      </c>
      <c r="D867" s="2" t="s">
        <v>21</v>
      </c>
      <c r="E867" s="2" t="s">
        <v>261</v>
      </c>
      <c r="F867" s="2">
        <v>6</v>
      </c>
      <c r="G867" s="2">
        <v>150</v>
      </c>
      <c r="H867" s="2">
        <v>2</v>
      </c>
      <c r="I867" s="2">
        <v>2</v>
      </c>
      <c r="J867" s="2">
        <v>2</v>
      </c>
      <c r="K867" s="2" t="s">
        <v>61</v>
      </c>
      <c r="L867" s="6" t="s">
        <v>113</v>
      </c>
      <c r="M867" s="5">
        <v>1360000000</v>
      </c>
      <c r="N867" s="2">
        <v>0</v>
      </c>
      <c r="O867" s="2">
        <v>4.6589102999999996</v>
      </c>
      <c r="P867" s="2">
        <v>-74.047290000000004</v>
      </c>
      <c r="Q867" s="2" t="s">
        <v>1233</v>
      </c>
      <c r="R867" s="2">
        <v>9066666.6669999994</v>
      </c>
      <c r="S867" s="2">
        <v>0</v>
      </c>
      <c r="T867" s="2" t="s">
        <v>26</v>
      </c>
      <c r="U867" s="2" t="s">
        <v>27</v>
      </c>
      <c r="V867" s="2" t="s">
        <v>28</v>
      </c>
      <c r="W867" s="2" t="s">
        <v>29</v>
      </c>
      <c r="X867" s="2" t="s">
        <v>30</v>
      </c>
      <c r="Y867" s="2">
        <v>4.0696386942164304</v>
      </c>
      <c r="Z867" s="2">
        <v>4.6584666666666701</v>
      </c>
      <c r="AA867" s="2">
        <v>-74.083966666666697</v>
      </c>
      <c r="AB867" s="2">
        <v>2552</v>
      </c>
      <c r="AC867" s="2" t="s">
        <v>31</v>
      </c>
      <c r="AD867" s="2" t="s">
        <v>32</v>
      </c>
      <c r="AE867" s="2" t="s">
        <v>33</v>
      </c>
      <c r="AF867" s="2" t="s">
        <v>34</v>
      </c>
      <c r="AG867" s="2" t="s">
        <v>81</v>
      </c>
      <c r="AH867" s="2">
        <v>1.6146827282153999</v>
      </c>
      <c r="AI867" s="2">
        <v>5.6547040808427998E-2</v>
      </c>
      <c r="AJ867" s="2">
        <v>0.96128084301957994</v>
      </c>
      <c r="AK867" s="2">
        <v>0.46132959261655998</v>
      </c>
      <c r="AL867" s="2">
        <v>0.42263829788567098</v>
      </c>
      <c r="AN867" s="2">
        <v>6.8</v>
      </c>
      <c r="AO867" s="2">
        <v>19.899999999999999</v>
      </c>
      <c r="AP867" s="2">
        <v>564</v>
      </c>
      <c r="AQ867" s="2">
        <v>68</v>
      </c>
      <c r="AR867" s="2">
        <v>1.5</v>
      </c>
      <c r="AS867" s="2">
        <v>135</v>
      </c>
      <c r="AT867" s="2">
        <v>0.8</v>
      </c>
      <c r="AU867" s="2">
        <v>162</v>
      </c>
      <c r="AV867" s="2">
        <v>9.1</v>
      </c>
      <c r="AW867" s="2">
        <v>9.1999999999999993</v>
      </c>
      <c r="AX867" s="2">
        <v>18.3</v>
      </c>
      <c r="AY867" s="2">
        <v>0.34</v>
      </c>
      <c r="AZ867" s="2">
        <v>7.3</v>
      </c>
      <c r="BA867" s="2">
        <v>0.9</v>
      </c>
      <c r="BB867" s="2">
        <v>7.5</v>
      </c>
      <c r="BC867" s="2">
        <v>2.9</v>
      </c>
      <c r="BD867" s="2">
        <f>+AN867*EXP(-0.0495*Y867)</f>
        <v>5.5593183221621691</v>
      </c>
      <c r="BE867" s="2">
        <f>+AO867*EXP(-0.024*Y867)</f>
        <v>18.048244150548445</v>
      </c>
    </row>
    <row r="868" spans="1:57" x14ac:dyDescent="0.2">
      <c r="A868" s="2" t="s">
        <v>3114</v>
      </c>
      <c r="B868" s="2" t="s">
        <v>19</v>
      </c>
      <c r="C868" s="2" t="s">
        <v>1907</v>
      </c>
      <c r="D868" s="2" t="s">
        <v>21</v>
      </c>
      <c r="E868" s="2" t="s">
        <v>3115</v>
      </c>
      <c r="F868" s="2">
        <v>3</v>
      </c>
      <c r="G868" s="2">
        <v>150</v>
      </c>
      <c r="H868" s="2">
        <v>5</v>
      </c>
      <c r="I868" s="2">
        <v>4</v>
      </c>
      <c r="J868" s="2">
        <v>1</v>
      </c>
      <c r="K868" s="2" t="s">
        <v>61</v>
      </c>
      <c r="L868" s="6" t="s">
        <v>113</v>
      </c>
      <c r="M868" s="5">
        <v>950000000</v>
      </c>
      <c r="N868" s="2">
        <v>0</v>
      </c>
      <c r="O868" s="2">
        <v>4.6653971670000001</v>
      </c>
      <c r="P868" s="2">
        <v>-74.063537600000004</v>
      </c>
      <c r="Q868" s="2" t="s">
        <v>3116</v>
      </c>
      <c r="R868" s="2">
        <v>6333333.3329999996</v>
      </c>
      <c r="S868" s="2">
        <v>0</v>
      </c>
      <c r="T868" s="2" t="s">
        <v>26</v>
      </c>
      <c r="U868" s="2" t="s">
        <v>27</v>
      </c>
      <c r="V868" s="2" t="s">
        <v>28</v>
      </c>
      <c r="W868" s="2" t="s">
        <v>29</v>
      </c>
      <c r="X868" s="2" t="s">
        <v>30</v>
      </c>
      <c r="Y868" s="2">
        <v>2.3943310571477499</v>
      </c>
      <c r="Z868" s="2">
        <v>4.6584666666666701</v>
      </c>
      <c r="AA868" s="2">
        <v>-74.083966666666697</v>
      </c>
      <c r="AB868" s="2">
        <v>2552</v>
      </c>
      <c r="AC868" s="2" t="s">
        <v>31</v>
      </c>
      <c r="AD868" s="2" t="s">
        <v>32</v>
      </c>
      <c r="AE868" s="2" t="s">
        <v>33</v>
      </c>
      <c r="AF868" s="2" t="s">
        <v>34</v>
      </c>
      <c r="AG868" s="2" t="s">
        <v>293</v>
      </c>
      <c r="AH868" s="2">
        <v>0.363561331613242</v>
      </c>
      <c r="AI868" s="2">
        <v>1.94186076800437</v>
      </c>
      <c r="AJ868" s="2">
        <v>0.38070648819852598</v>
      </c>
      <c r="AK868" s="2">
        <v>7.4482649113024296E-2</v>
      </c>
      <c r="AL868" s="2">
        <v>2.5459880514312101E-2</v>
      </c>
      <c r="AN868" s="2">
        <v>6.8</v>
      </c>
      <c r="AO868" s="2">
        <v>19.899999999999999</v>
      </c>
      <c r="AP868" s="2">
        <v>564</v>
      </c>
      <c r="AQ868" s="2">
        <v>68</v>
      </c>
      <c r="AR868" s="2">
        <v>1.5</v>
      </c>
      <c r="AS868" s="2">
        <v>135</v>
      </c>
      <c r="AT868" s="2">
        <v>0.8</v>
      </c>
      <c r="AU868" s="2">
        <v>162</v>
      </c>
      <c r="AV868" s="2">
        <v>9.1</v>
      </c>
      <c r="AW868" s="2">
        <v>9.1999999999999993</v>
      </c>
      <c r="AX868" s="2">
        <v>18.3</v>
      </c>
      <c r="AY868" s="2">
        <v>0.34</v>
      </c>
      <c r="AZ868" s="2">
        <v>7.3</v>
      </c>
      <c r="BA868" s="2">
        <v>0.9</v>
      </c>
      <c r="BB868" s="2">
        <v>7.5</v>
      </c>
      <c r="BC868" s="2">
        <v>2.9</v>
      </c>
      <c r="BD868" s="2">
        <f>+AN868*EXP(-0.0495*Y868)</f>
        <v>6.0399952459572752</v>
      </c>
      <c r="BE868" s="2">
        <f>+AO868*EXP(-0.024*Y868)</f>
        <v>18.788703026184631</v>
      </c>
    </row>
    <row r="869" spans="1:57" x14ac:dyDescent="0.2">
      <c r="A869" s="2" t="s">
        <v>268</v>
      </c>
      <c r="B869" s="2" t="s">
        <v>19</v>
      </c>
      <c r="C869" s="2" t="s">
        <v>20</v>
      </c>
      <c r="D869" s="2" t="s">
        <v>21</v>
      </c>
      <c r="E869" s="2" t="s">
        <v>269</v>
      </c>
      <c r="F869" s="2">
        <v>5</v>
      </c>
      <c r="G869" s="2">
        <v>149</v>
      </c>
      <c r="H869" s="2">
        <v>3</v>
      </c>
      <c r="I869" s="2">
        <v>5</v>
      </c>
      <c r="J869" s="2">
        <v>3</v>
      </c>
      <c r="K869" s="2" t="s">
        <v>61</v>
      </c>
      <c r="L869" s="6" t="s">
        <v>62</v>
      </c>
      <c r="M869" s="5">
        <v>2400000000</v>
      </c>
      <c r="N869" s="2">
        <v>0</v>
      </c>
      <c r="O869" s="2">
        <v>4.6621990000000002</v>
      </c>
      <c r="P869" s="2">
        <v>-74.112179999999995</v>
      </c>
      <c r="Q869" s="2" t="s">
        <v>270</v>
      </c>
      <c r="R869" s="2">
        <v>16107382.550000001</v>
      </c>
      <c r="S869" s="2">
        <v>0</v>
      </c>
      <c r="T869" s="2" t="s">
        <v>26</v>
      </c>
      <c r="U869" s="2" t="s">
        <v>27</v>
      </c>
      <c r="V869" s="2" t="s">
        <v>28</v>
      </c>
      <c r="W869" s="2" t="s">
        <v>29</v>
      </c>
      <c r="X869" s="2" t="s">
        <v>30</v>
      </c>
      <c r="Y869" s="2">
        <v>3.1577631132181398</v>
      </c>
      <c r="Z869" s="2">
        <v>4.6584666666666701</v>
      </c>
      <c r="AA869" s="2">
        <v>-74.083966666666697</v>
      </c>
      <c r="AB869" s="2">
        <v>2552</v>
      </c>
      <c r="AC869" s="2" t="s">
        <v>31</v>
      </c>
      <c r="AD869" s="2" t="s">
        <v>32</v>
      </c>
      <c r="AE869" s="2" t="s">
        <v>33</v>
      </c>
      <c r="AF869" s="2" t="s">
        <v>34</v>
      </c>
      <c r="AG869" s="2" t="s">
        <v>43</v>
      </c>
      <c r="AH869" s="2">
        <v>0.37894431192144901</v>
      </c>
      <c r="AI869" s="2">
        <v>5.0352485816544599</v>
      </c>
      <c r="AJ869" s="2">
        <v>0.76787829109810202</v>
      </c>
      <c r="AK869" s="2">
        <v>0.26298597952182801</v>
      </c>
      <c r="AL869" s="2">
        <v>0.49572847825128702</v>
      </c>
      <c r="AN869" s="2">
        <v>6.8</v>
      </c>
      <c r="AO869" s="2">
        <v>19.899999999999999</v>
      </c>
      <c r="AP869" s="2">
        <v>564</v>
      </c>
      <c r="AQ869" s="2">
        <v>68</v>
      </c>
      <c r="AR869" s="2">
        <v>1.5</v>
      </c>
      <c r="AS869" s="2">
        <v>135</v>
      </c>
      <c r="AT869" s="2">
        <v>0.8</v>
      </c>
      <c r="AU869" s="2">
        <v>162</v>
      </c>
      <c r="AV869" s="2">
        <v>9.1</v>
      </c>
      <c r="AW869" s="2">
        <v>9.1999999999999993</v>
      </c>
      <c r="AX869" s="2">
        <v>18.3</v>
      </c>
      <c r="AY869" s="2">
        <v>0.34</v>
      </c>
      <c r="AZ869" s="2">
        <v>7.3</v>
      </c>
      <c r="BA869" s="2">
        <v>0.9</v>
      </c>
      <c r="BB869" s="2">
        <v>7.5</v>
      </c>
      <c r="BC869" s="2">
        <v>2.9</v>
      </c>
      <c r="BD869" s="2">
        <f>+AN869*EXP(-0.0495*Y869)</f>
        <v>5.8160034770765439</v>
      </c>
      <c r="BE869" s="2">
        <f>+AO869*EXP(-0.024*Y869)</f>
        <v>18.447584066608044</v>
      </c>
    </row>
    <row r="870" spans="1:57" x14ac:dyDescent="0.2">
      <c r="A870" s="2" t="s">
        <v>179</v>
      </c>
      <c r="B870" s="2" t="s">
        <v>19</v>
      </c>
      <c r="C870" s="2" t="s">
        <v>20</v>
      </c>
      <c r="D870" s="2" t="s">
        <v>21</v>
      </c>
      <c r="E870" s="2" t="s">
        <v>180</v>
      </c>
      <c r="F870" s="2">
        <v>5</v>
      </c>
      <c r="G870" s="2">
        <v>148</v>
      </c>
      <c r="H870" s="2">
        <v>3</v>
      </c>
      <c r="I870" s="2">
        <v>5</v>
      </c>
      <c r="J870" s="2">
        <v>3</v>
      </c>
      <c r="K870" s="2" t="s">
        <v>61</v>
      </c>
      <c r="L870" s="6" t="s">
        <v>84</v>
      </c>
      <c r="M870" s="5">
        <v>1350000000</v>
      </c>
      <c r="N870" s="2">
        <v>0</v>
      </c>
      <c r="O870" s="2">
        <v>4.6794376370000004</v>
      </c>
      <c r="P870" s="2">
        <v>-74.055374150000006</v>
      </c>
      <c r="Q870" s="2" t="s">
        <v>181</v>
      </c>
      <c r="R870" s="2">
        <v>9121621.6219999995</v>
      </c>
      <c r="S870" s="2">
        <v>0</v>
      </c>
      <c r="T870" s="2" t="s">
        <v>26</v>
      </c>
      <c r="U870" s="2" t="s">
        <v>27</v>
      </c>
      <c r="V870" s="2" t="s">
        <v>28</v>
      </c>
      <c r="W870" s="2" t="s">
        <v>29</v>
      </c>
      <c r="X870" s="2" t="s">
        <v>30</v>
      </c>
      <c r="Y870" s="2">
        <v>3.9387234441054901</v>
      </c>
      <c r="Z870" s="2">
        <v>4.6584666666666701</v>
      </c>
      <c r="AA870" s="2">
        <v>-74.083966666666697</v>
      </c>
      <c r="AB870" s="2">
        <v>2552</v>
      </c>
      <c r="AC870" s="2" t="s">
        <v>31</v>
      </c>
      <c r="AD870" s="2" t="s">
        <v>32</v>
      </c>
      <c r="AE870" s="2" t="s">
        <v>33</v>
      </c>
      <c r="AF870" s="2" t="s">
        <v>34</v>
      </c>
      <c r="AG870" s="2" t="s">
        <v>81</v>
      </c>
      <c r="AH870" s="2">
        <v>0.55490994601209498</v>
      </c>
      <c r="AI870" s="2">
        <v>1.8208425266167201</v>
      </c>
      <c r="AJ870" s="2">
        <v>0.691819454602423</v>
      </c>
      <c r="AK870" s="2">
        <v>0.107583526261594</v>
      </c>
      <c r="AL870" s="2">
        <v>0.39188716182501399</v>
      </c>
      <c r="AN870" s="2">
        <v>6.8</v>
      </c>
      <c r="AO870" s="2">
        <v>19.899999999999999</v>
      </c>
      <c r="AP870" s="2">
        <v>564</v>
      </c>
      <c r="AQ870" s="2">
        <v>68</v>
      </c>
      <c r="AR870" s="2">
        <v>1.5</v>
      </c>
      <c r="AS870" s="2">
        <v>135</v>
      </c>
      <c r="AT870" s="2">
        <v>0.8</v>
      </c>
      <c r="AU870" s="2">
        <v>162</v>
      </c>
      <c r="AV870" s="2">
        <v>9.1</v>
      </c>
      <c r="AW870" s="2">
        <v>9.1999999999999993</v>
      </c>
      <c r="AX870" s="2">
        <v>18.3</v>
      </c>
      <c r="AY870" s="2">
        <v>0.34</v>
      </c>
      <c r="AZ870" s="2">
        <v>7.3</v>
      </c>
      <c r="BA870" s="2">
        <v>0.9</v>
      </c>
      <c r="BB870" s="2">
        <v>7.5</v>
      </c>
      <c r="BC870" s="2">
        <v>2.9</v>
      </c>
      <c r="BD870" s="2">
        <f>+AN870*EXP(-0.0495*Y870)</f>
        <v>5.5954613823585673</v>
      </c>
      <c r="BE870" s="2">
        <f>+AO870*EXP(-0.024*Y870)</f>
        <v>18.105040299137137</v>
      </c>
    </row>
    <row r="871" spans="1:57" x14ac:dyDescent="0.2">
      <c r="A871" s="2" t="s">
        <v>448</v>
      </c>
      <c r="B871" s="2" t="s">
        <v>19</v>
      </c>
      <c r="C871" s="2" t="s">
        <v>20</v>
      </c>
      <c r="D871" s="2" t="s">
        <v>21</v>
      </c>
      <c r="E871" s="2" t="s">
        <v>261</v>
      </c>
      <c r="F871" s="2">
        <v>6</v>
      </c>
      <c r="G871" s="2">
        <v>148</v>
      </c>
      <c r="H871" s="2">
        <v>2</v>
      </c>
      <c r="I871" s="2">
        <v>4</v>
      </c>
      <c r="J871" s="2">
        <v>3</v>
      </c>
      <c r="K871" s="2" t="s">
        <v>61</v>
      </c>
      <c r="L871" s="6" t="s">
        <v>113</v>
      </c>
      <c r="M871" s="5">
        <v>1320000000</v>
      </c>
      <c r="N871" s="2">
        <v>0</v>
      </c>
      <c r="O871" s="2">
        <v>4.6588382719999997</v>
      </c>
      <c r="P871" s="2">
        <v>-74.050422670000003</v>
      </c>
      <c r="Q871" s="2" t="s">
        <v>449</v>
      </c>
      <c r="R871" s="2">
        <v>8918918.9189999998</v>
      </c>
      <c r="S871" s="2">
        <v>0</v>
      </c>
      <c r="T871" s="2" t="s">
        <v>26</v>
      </c>
      <c r="U871" s="2" t="s">
        <v>27</v>
      </c>
      <c r="V871" s="2" t="s">
        <v>28</v>
      </c>
      <c r="W871" s="2" t="s">
        <v>29</v>
      </c>
      <c r="X871" s="2" t="s">
        <v>30</v>
      </c>
      <c r="Y871" s="2">
        <v>3.7219940104779701</v>
      </c>
      <c r="Z871" s="2">
        <v>4.6584666666666701</v>
      </c>
      <c r="AA871" s="2">
        <v>-74.083966666666697</v>
      </c>
      <c r="AB871" s="2">
        <v>2552</v>
      </c>
      <c r="AC871" s="2" t="s">
        <v>31</v>
      </c>
      <c r="AD871" s="2" t="s">
        <v>32</v>
      </c>
      <c r="AE871" s="2" t="s">
        <v>33</v>
      </c>
      <c r="AF871" s="2" t="s">
        <v>34</v>
      </c>
      <c r="AG871" s="2" t="s">
        <v>81</v>
      </c>
      <c r="AH871" s="2">
        <v>1.2879885892933001</v>
      </c>
      <c r="AI871" s="2">
        <v>0.387508485771491</v>
      </c>
      <c r="AJ871" s="2">
        <v>0.68456624607831695</v>
      </c>
      <c r="AK871" s="2">
        <v>0.24212242059070199</v>
      </c>
      <c r="AL871" s="2">
        <v>8.5054838302340799E-2</v>
      </c>
      <c r="AN871" s="2">
        <v>6.8</v>
      </c>
      <c r="AO871" s="2">
        <v>19.899999999999999</v>
      </c>
      <c r="AP871" s="2">
        <v>564</v>
      </c>
      <c r="AQ871" s="2">
        <v>68</v>
      </c>
      <c r="AR871" s="2">
        <v>1.5</v>
      </c>
      <c r="AS871" s="2">
        <v>135</v>
      </c>
      <c r="AT871" s="2">
        <v>0.8</v>
      </c>
      <c r="AU871" s="2">
        <v>162</v>
      </c>
      <c r="AV871" s="2">
        <v>9.1</v>
      </c>
      <c r="AW871" s="2">
        <v>9.1999999999999993</v>
      </c>
      <c r="AX871" s="2">
        <v>18.3</v>
      </c>
      <c r="AY871" s="2">
        <v>0.34</v>
      </c>
      <c r="AZ871" s="2">
        <v>7.3</v>
      </c>
      <c r="BA871" s="2">
        <v>0.9</v>
      </c>
      <c r="BB871" s="2">
        <v>7.5</v>
      </c>
      <c r="BC871" s="2">
        <v>2.9</v>
      </c>
      <c r="BD871" s="2">
        <f>+AN871*EXP(-0.0495*Y871)</f>
        <v>5.6558132423543777</v>
      </c>
      <c r="BE871" s="2">
        <f>+AO871*EXP(-0.024*Y871)</f>
        <v>18.199459129448307</v>
      </c>
    </row>
    <row r="872" spans="1:57" x14ac:dyDescent="0.2">
      <c r="A872" s="2" t="s">
        <v>2558</v>
      </c>
      <c r="B872" s="2" t="s">
        <v>19</v>
      </c>
      <c r="C872" s="2" t="s">
        <v>1907</v>
      </c>
      <c r="D872" s="2" t="s">
        <v>21</v>
      </c>
      <c r="E872" s="2" t="s">
        <v>2472</v>
      </c>
      <c r="F872" s="2">
        <v>4</v>
      </c>
      <c r="G872" s="2">
        <v>148</v>
      </c>
      <c r="H872" s="2">
        <v>5</v>
      </c>
      <c r="I872" s="2">
        <v>4</v>
      </c>
      <c r="J872" s="2">
        <v>2</v>
      </c>
      <c r="K872" s="2" t="s">
        <v>61</v>
      </c>
      <c r="L872" s="6" t="s">
        <v>113</v>
      </c>
      <c r="M872" s="5">
        <v>900000000</v>
      </c>
      <c r="N872" s="2">
        <v>0</v>
      </c>
      <c r="O872" s="2">
        <v>4.6746154000000004</v>
      </c>
      <c r="P872" s="2">
        <v>-74.064279999999997</v>
      </c>
      <c r="Q872" s="2" t="s">
        <v>2559</v>
      </c>
      <c r="R872" s="2">
        <v>6081081.0810000002</v>
      </c>
      <c r="S872" s="2">
        <v>0</v>
      </c>
      <c r="T872" s="2" t="s">
        <v>26</v>
      </c>
      <c r="U872" s="2" t="s">
        <v>27</v>
      </c>
      <c r="V872" s="2" t="s">
        <v>28</v>
      </c>
      <c r="W872" s="2" t="s">
        <v>29</v>
      </c>
      <c r="X872" s="2" t="s">
        <v>30</v>
      </c>
      <c r="Y872" s="2">
        <v>2.8288759602556701</v>
      </c>
      <c r="Z872" s="2">
        <v>4.6584666666666701</v>
      </c>
      <c r="AA872" s="2">
        <v>-74.083966666666697</v>
      </c>
      <c r="AB872" s="2">
        <v>2552</v>
      </c>
      <c r="AC872" s="2" t="s">
        <v>31</v>
      </c>
      <c r="AD872" s="2" t="s">
        <v>32</v>
      </c>
      <c r="AE872" s="2" t="s">
        <v>33</v>
      </c>
      <c r="AF872" s="2" t="s">
        <v>34</v>
      </c>
      <c r="AG872" s="2" t="s">
        <v>293</v>
      </c>
      <c r="AH872" s="2">
        <v>0.11152053814004401</v>
      </c>
      <c r="AI872" s="2">
        <v>2.3873693954232502</v>
      </c>
      <c r="AJ872" s="2">
        <v>0.581690743096545</v>
      </c>
      <c r="AK872" s="2">
        <v>0.186719546669606</v>
      </c>
      <c r="AL872" s="2">
        <v>0.41904079364373198</v>
      </c>
      <c r="AN872" s="2">
        <v>6.8</v>
      </c>
      <c r="AO872" s="2">
        <v>19.899999999999999</v>
      </c>
      <c r="AP872" s="2">
        <v>564</v>
      </c>
      <c r="AQ872" s="2">
        <v>68</v>
      </c>
      <c r="AR872" s="2">
        <v>1.5</v>
      </c>
      <c r="AS872" s="2">
        <v>135</v>
      </c>
      <c r="AT872" s="2">
        <v>0.8</v>
      </c>
      <c r="AU872" s="2">
        <v>162</v>
      </c>
      <c r="AV872" s="2">
        <v>9.1</v>
      </c>
      <c r="AW872" s="2">
        <v>9.1999999999999993</v>
      </c>
      <c r="AX872" s="2">
        <v>18.3</v>
      </c>
      <c r="AY872" s="2">
        <v>0.34</v>
      </c>
      <c r="AZ872" s="2">
        <v>7.3</v>
      </c>
      <c r="BA872" s="2">
        <v>0.9</v>
      </c>
      <c r="BB872" s="2">
        <v>7.5</v>
      </c>
      <c r="BC872" s="2">
        <v>2.9</v>
      </c>
      <c r="BD872" s="2">
        <f>+AN872*EXP(-0.0495*Y872)</f>
        <v>5.9114624374337748</v>
      </c>
      <c r="BE872" s="2">
        <f>+AO872*EXP(-0.024*Y872)</f>
        <v>18.59377242293078</v>
      </c>
    </row>
    <row r="873" spans="1:57" x14ac:dyDescent="0.2">
      <c r="A873" s="2" t="s">
        <v>800</v>
      </c>
      <c r="B873" s="2" t="s">
        <v>19</v>
      </c>
      <c r="C873" s="2" t="s">
        <v>20</v>
      </c>
      <c r="D873" s="2" t="s">
        <v>21</v>
      </c>
      <c r="E873" s="2" t="s">
        <v>22</v>
      </c>
      <c r="F873" s="2">
        <v>4</v>
      </c>
      <c r="G873" s="2">
        <v>146</v>
      </c>
      <c r="H873" s="2">
        <v>4</v>
      </c>
      <c r="I873" s="2">
        <v>3</v>
      </c>
      <c r="J873" s="2">
        <v>2</v>
      </c>
      <c r="K873" s="2" t="s">
        <v>61</v>
      </c>
      <c r="L873" s="6" t="s">
        <v>62</v>
      </c>
      <c r="M873" s="5">
        <v>1400000000</v>
      </c>
      <c r="N873" s="2">
        <v>0</v>
      </c>
      <c r="O873" s="2">
        <v>4.6491102150000003</v>
      </c>
      <c r="P873" s="2">
        <v>-74.0727677</v>
      </c>
      <c r="Q873" s="2" t="s">
        <v>801</v>
      </c>
      <c r="R873" s="2">
        <v>9589041.0960000008</v>
      </c>
      <c r="S873" s="2">
        <v>0</v>
      </c>
      <c r="T873" s="2" t="s">
        <v>26</v>
      </c>
      <c r="U873" s="2" t="s">
        <v>27</v>
      </c>
      <c r="V873" s="2" t="s">
        <v>28</v>
      </c>
      <c r="W873" s="2" t="s">
        <v>29</v>
      </c>
      <c r="X873" s="2" t="s">
        <v>30</v>
      </c>
      <c r="Y873" s="2">
        <v>1.62135011242037</v>
      </c>
      <c r="Z873" s="2">
        <v>4.6584666666666701</v>
      </c>
      <c r="AA873" s="2">
        <v>-74.083966666666697</v>
      </c>
      <c r="AB873" s="2">
        <v>2552</v>
      </c>
      <c r="AC873" s="2" t="s">
        <v>31</v>
      </c>
      <c r="AD873" s="2" t="s">
        <v>32</v>
      </c>
      <c r="AE873" s="2" t="s">
        <v>33</v>
      </c>
      <c r="AF873" s="2" t="s">
        <v>34</v>
      </c>
      <c r="AG873" s="2" t="s">
        <v>35</v>
      </c>
      <c r="AH873" s="2">
        <v>0.628831541072436</v>
      </c>
      <c r="AI873" s="2">
        <v>1.9164420985202</v>
      </c>
      <c r="AJ873" s="2">
        <v>0.21756823641296499</v>
      </c>
      <c r="AK873" s="2">
        <v>7.7206653070716502E-2</v>
      </c>
      <c r="AL873" s="2">
        <v>0.38121279546856901</v>
      </c>
      <c r="AN873" s="2">
        <v>6.8</v>
      </c>
      <c r="AO873" s="2">
        <v>19.899999999999999</v>
      </c>
      <c r="AP873" s="2">
        <v>564</v>
      </c>
      <c r="AQ873" s="2">
        <v>68</v>
      </c>
      <c r="AR873" s="2">
        <v>1.5</v>
      </c>
      <c r="AS873" s="2">
        <v>135</v>
      </c>
      <c r="AT873" s="2">
        <v>0.8</v>
      </c>
      <c r="AU873" s="2">
        <v>162</v>
      </c>
      <c r="AV873" s="2">
        <v>9.1</v>
      </c>
      <c r="AW873" s="2">
        <v>9.1999999999999993</v>
      </c>
      <c r="AX873" s="2">
        <v>18.3</v>
      </c>
      <c r="AY873" s="2">
        <v>0.34</v>
      </c>
      <c r="AZ873" s="2">
        <v>7.3</v>
      </c>
      <c r="BA873" s="2">
        <v>0.9</v>
      </c>
      <c r="BB873" s="2">
        <v>7.5</v>
      </c>
      <c r="BC873" s="2">
        <v>2.9</v>
      </c>
      <c r="BD873" s="2">
        <f>+AN873*EXP(-0.0495*Y873)</f>
        <v>6.2755791878893916</v>
      </c>
      <c r="BE873" s="2">
        <f>+AO873*EXP(-0.024*Y873)</f>
        <v>19.14051569611167</v>
      </c>
    </row>
    <row r="874" spans="1:57" x14ac:dyDescent="0.2">
      <c r="A874" s="2" t="s">
        <v>387</v>
      </c>
      <c r="B874" s="2" t="s">
        <v>19</v>
      </c>
      <c r="C874" s="2" t="s">
        <v>20</v>
      </c>
      <c r="D874" s="2" t="s">
        <v>21</v>
      </c>
      <c r="E874" s="2" t="s">
        <v>261</v>
      </c>
      <c r="F874" s="2">
        <v>6</v>
      </c>
      <c r="G874" s="2">
        <v>145</v>
      </c>
      <c r="H874" s="2">
        <v>3</v>
      </c>
      <c r="I874" s="2">
        <v>4</v>
      </c>
      <c r="J874" s="2">
        <v>2</v>
      </c>
      <c r="K874" s="2" t="s">
        <v>61</v>
      </c>
      <c r="L874" s="6" t="s">
        <v>75</v>
      </c>
      <c r="M874" s="5">
        <v>1480000000</v>
      </c>
      <c r="N874" s="2">
        <v>0</v>
      </c>
      <c r="O874" s="2">
        <v>4.6582689290000001</v>
      </c>
      <c r="P874" s="2">
        <v>-74.0478363</v>
      </c>
      <c r="Q874" s="2" t="s">
        <v>388</v>
      </c>
      <c r="R874" s="2">
        <v>10206896.550000001</v>
      </c>
      <c r="S874" s="2">
        <v>0</v>
      </c>
      <c r="T874" s="2" t="s">
        <v>26</v>
      </c>
      <c r="U874" s="2" t="s">
        <v>27</v>
      </c>
      <c r="V874" s="2" t="s">
        <v>28</v>
      </c>
      <c r="W874" s="2" t="s">
        <v>29</v>
      </c>
      <c r="X874" s="2" t="s">
        <v>30</v>
      </c>
      <c r="Y874" s="2">
        <v>4.0087883804830398</v>
      </c>
      <c r="Z874" s="2">
        <v>4.6584666666666701</v>
      </c>
      <c r="AA874" s="2">
        <v>-74.083966666666697</v>
      </c>
      <c r="AB874" s="2">
        <v>2552</v>
      </c>
      <c r="AC874" s="2" t="s">
        <v>31</v>
      </c>
      <c r="AD874" s="2" t="s">
        <v>32</v>
      </c>
      <c r="AE874" s="2" t="s">
        <v>33</v>
      </c>
      <c r="AF874" s="2" t="s">
        <v>34</v>
      </c>
      <c r="AG874" s="2" t="s">
        <v>81</v>
      </c>
      <c r="AH874" s="2">
        <v>1.5780599844972001</v>
      </c>
      <c r="AI874" s="2">
        <v>9.4334444970711501E-2</v>
      </c>
      <c r="AJ874" s="2">
        <v>0.94722278297964002</v>
      </c>
      <c r="AK874" s="2">
        <v>0.52527643163428805</v>
      </c>
      <c r="AL874" s="2">
        <v>0.37627928492084001</v>
      </c>
      <c r="AN874" s="2">
        <v>6.8</v>
      </c>
      <c r="AO874" s="2">
        <v>19.899999999999999</v>
      </c>
      <c r="AP874" s="2">
        <v>564</v>
      </c>
      <c r="AQ874" s="2">
        <v>68</v>
      </c>
      <c r="AR874" s="2">
        <v>1.5</v>
      </c>
      <c r="AS874" s="2">
        <v>135</v>
      </c>
      <c r="AT874" s="2">
        <v>0.8</v>
      </c>
      <c r="AU874" s="2">
        <v>162</v>
      </c>
      <c r="AV874" s="2">
        <v>9.1</v>
      </c>
      <c r="AW874" s="2">
        <v>9.1999999999999993</v>
      </c>
      <c r="AX874" s="2">
        <v>18.3</v>
      </c>
      <c r="AY874" s="2">
        <v>0.34</v>
      </c>
      <c r="AZ874" s="2">
        <v>7.3</v>
      </c>
      <c r="BA874" s="2">
        <v>0.9</v>
      </c>
      <c r="BB874" s="2">
        <v>7.5</v>
      </c>
      <c r="BC874" s="2">
        <v>2.9</v>
      </c>
      <c r="BD874" s="2">
        <f>+AN874*EXP(-0.0495*Y874)</f>
        <v>5.576088736556307</v>
      </c>
      <c r="BE874" s="2">
        <f>+AO874*EXP(-0.024*Y874)</f>
        <v>18.074621198133379</v>
      </c>
    </row>
    <row r="875" spans="1:57" x14ac:dyDescent="0.2">
      <c r="A875" s="2" t="s">
        <v>1436</v>
      </c>
      <c r="B875" s="2" t="s">
        <v>19</v>
      </c>
      <c r="C875" s="2" t="s">
        <v>20</v>
      </c>
      <c r="D875" s="2" t="s">
        <v>21</v>
      </c>
      <c r="E875" s="2" t="s">
        <v>1437</v>
      </c>
      <c r="F875" s="2">
        <v>6</v>
      </c>
      <c r="G875" s="2">
        <v>144</v>
      </c>
      <c r="H875" s="2">
        <v>4</v>
      </c>
      <c r="I875" s="2">
        <v>4</v>
      </c>
      <c r="J875" s="2">
        <v>2</v>
      </c>
      <c r="K875" s="2" t="s">
        <v>61</v>
      </c>
      <c r="L875" s="6" t="s">
        <v>75</v>
      </c>
      <c r="M875" s="5">
        <v>990000000</v>
      </c>
      <c r="N875" s="2">
        <v>0</v>
      </c>
      <c r="O875" s="2">
        <v>4.6811299320000002</v>
      </c>
      <c r="P875" s="2">
        <v>-74.05705261</v>
      </c>
      <c r="Q875" s="2" t="s">
        <v>1438</v>
      </c>
      <c r="R875" s="2">
        <v>6875000</v>
      </c>
      <c r="S875" s="2">
        <v>0</v>
      </c>
      <c r="T875" s="2" t="s">
        <v>26</v>
      </c>
      <c r="U875" s="2" t="s">
        <v>27</v>
      </c>
      <c r="V875" s="2" t="s">
        <v>28</v>
      </c>
      <c r="W875" s="2" t="s">
        <v>29</v>
      </c>
      <c r="X875" s="2" t="s">
        <v>30</v>
      </c>
      <c r="Y875" s="2">
        <v>3.90918305148268</v>
      </c>
      <c r="Z875" s="2">
        <v>4.6584666666666701</v>
      </c>
      <c r="AA875" s="2">
        <v>-74.083966666666697</v>
      </c>
      <c r="AB875" s="2">
        <v>2552</v>
      </c>
      <c r="AC875" s="2" t="s">
        <v>31</v>
      </c>
      <c r="AD875" s="2" t="s">
        <v>32</v>
      </c>
      <c r="AE875" s="2" t="s">
        <v>33</v>
      </c>
      <c r="AF875" s="2" t="s">
        <v>34</v>
      </c>
      <c r="AG875" s="2" t="s">
        <v>81</v>
      </c>
      <c r="AH875" s="2">
        <v>0.32005982876356198</v>
      </c>
      <c r="AI875" s="2">
        <v>2.0843669781365901</v>
      </c>
      <c r="AJ875" s="2">
        <v>0.55057169873103295</v>
      </c>
      <c r="AK875" s="2">
        <v>5.6212287957116601E-2</v>
      </c>
      <c r="AL875" s="2">
        <v>0.21213503961099001</v>
      </c>
      <c r="AN875" s="2">
        <v>6.8</v>
      </c>
      <c r="AO875" s="2">
        <v>19.899999999999999</v>
      </c>
      <c r="AP875" s="2">
        <v>564</v>
      </c>
      <c r="AQ875" s="2">
        <v>68</v>
      </c>
      <c r="AR875" s="2">
        <v>1.5</v>
      </c>
      <c r="AS875" s="2">
        <v>135</v>
      </c>
      <c r="AT875" s="2">
        <v>0.8</v>
      </c>
      <c r="AU875" s="2">
        <v>162</v>
      </c>
      <c r="AV875" s="2">
        <v>9.1</v>
      </c>
      <c r="AW875" s="2">
        <v>9.1999999999999993</v>
      </c>
      <c r="AX875" s="2">
        <v>18.3</v>
      </c>
      <c r="AY875" s="2">
        <v>0.34</v>
      </c>
      <c r="AZ875" s="2">
        <v>7.3</v>
      </c>
      <c r="BA875" s="2">
        <v>0.9</v>
      </c>
      <c r="BB875" s="2">
        <v>7.5</v>
      </c>
      <c r="BC875" s="2">
        <v>2.9</v>
      </c>
      <c r="BD875" s="2">
        <f>+AN875*EXP(-0.0495*Y875)</f>
        <v>5.6036493275527075</v>
      </c>
      <c r="BE875" s="2">
        <f>+AO875*EXP(-0.024*Y875)</f>
        <v>18.117880770323342</v>
      </c>
    </row>
    <row r="876" spans="1:57" x14ac:dyDescent="0.2">
      <c r="A876" s="2" t="s">
        <v>802</v>
      </c>
      <c r="B876" s="2" t="s">
        <v>19</v>
      </c>
      <c r="C876" s="2" t="s">
        <v>20</v>
      </c>
      <c r="D876" s="2" t="s">
        <v>21</v>
      </c>
      <c r="E876" s="2" t="s">
        <v>24</v>
      </c>
      <c r="F876" s="2">
        <v>6</v>
      </c>
      <c r="G876" s="2">
        <v>143.9</v>
      </c>
      <c r="H876" s="2">
        <v>2</v>
      </c>
      <c r="I876" s="2">
        <v>2</v>
      </c>
      <c r="J876" s="2">
        <v>3</v>
      </c>
      <c r="K876" s="2" t="s">
        <v>61</v>
      </c>
      <c r="L876" s="6" t="s">
        <v>75</v>
      </c>
      <c r="M876" s="5">
        <v>1500000000</v>
      </c>
      <c r="N876" s="2">
        <v>0</v>
      </c>
      <c r="O876" s="2">
        <v>4.6820087429999999</v>
      </c>
      <c r="P876" s="2">
        <v>-74.055541989999995</v>
      </c>
      <c r="Q876" s="2" t="s">
        <v>803</v>
      </c>
      <c r="R876" s="2">
        <v>10423905.49</v>
      </c>
      <c r="S876" s="2">
        <v>0</v>
      </c>
      <c r="T876" s="2" t="s">
        <v>26</v>
      </c>
      <c r="U876" s="2" t="s">
        <v>27</v>
      </c>
      <c r="V876" s="2" t="s">
        <v>28</v>
      </c>
      <c r="W876" s="2" t="s">
        <v>29</v>
      </c>
      <c r="X876" s="2" t="s">
        <v>30</v>
      </c>
      <c r="Y876" s="2">
        <v>4.1004807994441403</v>
      </c>
      <c r="Z876" s="2">
        <v>4.6584666666666701</v>
      </c>
      <c r="AA876" s="2">
        <v>-74.083966666666697</v>
      </c>
      <c r="AB876" s="2">
        <v>2552</v>
      </c>
      <c r="AC876" s="2" t="s">
        <v>31</v>
      </c>
      <c r="AD876" s="2" t="s">
        <v>32</v>
      </c>
      <c r="AE876" s="2" t="s">
        <v>33</v>
      </c>
      <c r="AF876" s="2" t="s">
        <v>34</v>
      </c>
      <c r="AG876" s="2" t="s">
        <v>81</v>
      </c>
      <c r="AH876" s="2">
        <v>0.32234648993794102</v>
      </c>
      <c r="AI876" s="2">
        <v>1.9860292729834399</v>
      </c>
      <c r="AJ876" s="2">
        <v>0.51348968679673901</v>
      </c>
      <c r="AK876" s="2">
        <v>2.2452641776897701E-2</v>
      </c>
      <c r="AL876" s="2">
        <v>0.34536186370305699</v>
      </c>
      <c r="AN876" s="2">
        <v>6.8</v>
      </c>
      <c r="AO876" s="2">
        <v>19.899999999999999</v>
      </c>
      <c r="AP876" s="2">
        <v>564</v>
      </c>
      <c r="AQ876" s="2">
        <v>68</v>
      </c>
      <c r="AR876" s="2">
        <v>1.5</v>
      </c>
      <c r="AS876" s="2">
        <v>135</v>
      </c>
      <c r="AT876" s="2">
        <v>0.8</v>
      </c>
      <c r="AU876" s="2">
        <v>162</v>
      </c>
      <c r="AV876" s="2">
        <v>9.1</v>
      </c>
      <c r="AW876" s="2">
        <v>9.1999999999999993</v>
      </c>
      <c r="AX876" s="2">
        <v>18.3</v>
      </c>
      <c r="AY876" s="2">
        <v>0.34</v>
      </c>
      <c r="AZ876" s="2">
        <v>7.3</v>
      </c>
      <c r="BA876" s="2">
        <v>0.9</v>
      </c>
      <c r="BB876" s="2">
        <v>7.5</v>
      </c>
      <c r="BC876" s="2">
        <v>2.9</v>
      </c>
      <c r="BD876" s="2">
        <f>+AN876*EXP(-0.0495*Y876)</f>
        <v>5.5508374741038313</v>
      </c>
      <c r="BE876" s="2">
        <f>+AO876*EXP(-0.024*Y876)</f>
        <v>18.034889593463664</v>
      </c>
    </row>
    <row r="877" spans="1:57" x14ac:dyDescent="0.2">
      <c r="A877" s="2" t="s">
        <v>3050</v>
      </c>
      <c r="B877" s="2" t="s">
        <v>19</v>
      </c>
      <c r="C877" s="2" t="s">
        <v>1907</v>
      </c>
      <c r="D877" s="2" t="s">
        <v>21</v>
      </c>
      <c r="E877" s="2" t="s">
        <v>1096</v>
      </c>
      <c r="F877" s="2">
        <v>4</v>
      </c>
      <c r="G877" s="2">
        <v>142</v>
      </c>
      <c r="H877" s="2">
        <v>5</v>
      </c>
      <c r="I877" s="2">
        <v>4</v>
      </c>
      <c r="J877" s="2">
        <v>2</v>
      </c>
      <c r="K877" s="2" t="s">
        <v>61</v>
      </c>
      <c r="L877" s="6" t="s">
        <v>113</v>
      </c>
      <c r="M877" s="5">
        <v>670000000</v>
      </c>
      <c r="N877" s="2">
        <v>0</v>
      </c>
      <c r="O877" s="2">
        <v>4.6683599999999998</v>
      </c>
      <c r="P877" s="2">
        <v>-74.105069999999998</v>
      </c>
      <c r="Q877" s="2" t="s">
        <v>3051</v>
      </c>
      <c r="R877" s="2">
        <v>4718309.8590000002</v>
      </c>
      <c r="S877" s="2">
        <v>0</v>
      </c>
      <c r="T877" s="2" t="s">
        <v>26</v>
      </c>
      <c r="U877" s="2" t="s">
        <v>27</v>
      </c>
      <c r="V877" s="2" t="s">
        <v>28</v>
      </c>
      <c r="W877" s="2" t="s">
        <v>29</v>
      </c>
      <c r="X877" s="2" t="s">
        <v>30</v>
      </c>
      <c r="Y877" s="2">
        <v>2.5875136070052598</v>
      </c>
      <c r="Z877" s="2">
        <v>4.6584666666666701</v>
      </c>
      <c r="AA877" s="2">
        <v>-74.083966666666697</v>
      </c>
      <c r="AB877" s="2">
        <v>2552</v>
      </c>
      <c r="AC877" s="2" t="s">
        <v>31</v>
      </c>
      <c r="AD877" s="2" t="s">
        <v>32</v>
      </c>
      <c r="AE877" s="2" t="s">
        <v>33</v>
      </c>
      <c r="AF877" s="2" t="s">
        <v>34</v>
      </c>
      <c r="AG877" s="2" t="s">
        <v>363</v>
      </c>
      <c r="AH877" s="2">
        <v>0.81926765685126202</v>
      </c>
      <c r="AI877" s="2">
        <v>5.8480545890212898</v>
      </c>
      <c r="AJ877" s="2">
        <v>1.1783171815603599</v>
      </c>
      <c r="AK877" s="2">
        <v>0.169728743057382</v>
      </c>
      <c r="AL877" s="2">
        <v>0.171288406258746</v>
      </c>
      <c r="AN877" s="2">
        <v>6.8</v>
      </c>
      <c r="AO877" s="2">
        <v>19.899999999999999</v>
      </c>
      <c r="AP877" s="2">
        <v>564</v>
      </c>
      <c r="AQ877" s="2">
        <v>68</v>
      </c>
      <c r="AR877" s="2">
        <v>1.5</v>
      </c>
      <c r="AS877" s="2">
        <v>135</v>
      </c>
      <c r="AT877" s="2">
        <v>0.8</v>
      </c>
      <c r="AU877" s="2">
        <v>162</v>
      </c>
      <c r="AV877" s="2">
        <v>9.1</v>
      </c>
      <c r="AW877" s="2">
        <v>9.1999999999999993</v>
      </c>
      <c r="AX877" s="2">
        <v>18.3</v>
      </c>
      <c r="AY877" s="2">
        <v>0.34</v>
      </c>
      <c r="AZ877" s="2">
        <v>7.3</v>
      </c>
      <c r="BA877" s="2">
        <v>0.9</v>
      </c>
      <c r="BB877" s="2">
        <v>7.5</v>
      </c>
      <c r="BC877" s="2">
        <v>2.9</v>
      </c>
      <c r="BD877" s="2">
        <f>+AN877*EXP(-0.0495*Y877)</f>
        <v>5.9825128494361444</v>
      </c>
      <c r="BE877" s="2">
        <f>+AO877*EXP(-0.024*Y877)</f>
        <v>18.70179306630267</v>
      </c>
    </row>
    <row r="878" spans="1:57" x14ac:dyDescent="0.2">
      <c r="A878" s="2" t="s">
        <v>290</v>
      </c>
      <c r="B878" s="2" t="s">
        <v>19</v>
      </c>
      <c r="C878" s="2" t="s">
        <v>20</v>
      </c>
      <c r="D878" s="2" t="s">
        <v>21</v>
      </c>
      <c r="E878" s="2" t="s">
        <v>291</v>
      </c>
      <c r="F878" s="2">
        <v>4</v>
      </c>
      <c r="G878" s="2">
        <v>142</v>
      </c>
      <c r="H878" s="2">
        <v>5</v>
      </c>
      <c r="I878" s="2">
        <v>3</v>
      </c>
      <c r="J878" s="2">
        <v>1</v>
      </c>
      <c r="K878" s="2" t="s">
        <v>61</v>
      </c>
      <c r="L878" s="6" t="s">
        <v>113</v>
      </c>
      <c r="M878" s="5">
        <v>550000000</v>
      </c>
      <c r="N878" s="2">
        <v>0</v>
      </c>
      <c r="O878" s="2">
        <v>4.6626105000000004</v>
      </c>
      <c r="P878" s="2">
        <v>-74.079149999999998</v>
      </c>
      <c r="Q878" s="2" t="s">
        <v>292</v>
      </c>
      <c r="R878" s="2">
        <v>3873239.4369999999</v>
      </c>
      <c r="S878" s="2">
        <v>0</v>
      </c>
      <c r="T878" s="2" t="s">
        <v>26</v>
      </c>
      <c r="U878" s="2" t="s">
        <v>27</v>
      </c>
      <c r="V878" s="2" t="s">
        <v>28</v>
      </c>
      <c r="W878" s="2" t="s">
        <v>29</v>
      </c>
      <c r="X878" s="2" t="s">
        <v>30</v>
      </c>
      <c r="Y878" s="2">
        <v>0.705966291817126</v>
      </c>
      <c r="Z878" s="2">
        <v>4.6584666666666701</v>
      </c>
      <c r="AA878" s="2">
        <v>-74.083966666666697</v>
      </c>
      <c r="AB878" s="2">
        <v>2552</v>
      </c>
      <c r="AC878" s="2" t="s">
        <v>31</v>
      </c>
      <c r="AD878" s="2" t="s">
        <v>32</v>
      </c>
      <c r="AE878" s="2" t="s">
        <v>33</v>
      </c>
      <c r="AF878" s="2" t="s">
        <v>34</v>
      </c>
      <c r="AG878" s="2" t="s">
        <v>293</v>
      </c>
      <c r="AH878" s="2">
        <v>0.609404881021126</v>
      </c>
      <c r="AI878" s="2">
        <v>3.3868481000108202</v>
      </c>
      <c r="AJ878" s="2">
        <v>1.4410549588025801</v>
      </c>
      <c r="AK878" s="2">
        <v>0.168969643495894</v>
      </c>
      <c r="AL878" s="2">
        <v>2.3227011137243899E-2</v>
      </c>
      <c r="AN878" s="2">
        <v>6.8</v>
      </c>
      <c r="AO878" s="2">
        <v>19.899999999999999</v>
      </c>
      <c r="AP878" s="2">
        <v>564</v>
      </c>
      <c r="AQ878" s="2">
        <v>68</v>
      </c>
      <c r="AR878" s="2">
        <v>1.5</v>
      </c>
      <c r="AS878" s="2">
        <v>135</v>
      </c>
      <c r="AT878" s="2">
        <v>0.8</v>
      </c>
      <c r="AU878" s="2">
        <v>162</v>
      </c>
      <c r="AV878" s="2">
        <v>9.1</v>
      </c>
      <c r="AW878" s="2">
        <v>9.1999999999999993</v>
      </c>
      <c r="AX878" s="2">
        <v>18.3</v>
      </c>
      <c r="AY878" s="2">
        <v>0.34</v>
      </c>
      <c r="AZ878" s="2">
        <v>7.3</v>
      </c>
      <c r="BA878" s="2">
        <v>0.9</v>
      </c>
      <c r="BB878" s="2">
        <v>7.5</v>
      </c>
      <c r="BC878" s="2">
        <v>2.9</v>
      </c>
      <c r="BD878" s="2">
        <f>+AN878*EXP(-0.0495*Y878)</f>
        <v>6.5664758004829764</v>
      </c>
      <c r="BE878" s="2">
        <f>+AO878*EXP(-0.024*Y878)</f>
        <v>19.56567079878528</v>
      </c>
    </row>
    <row r="879" spans="1:57" x14ac:dyDescent="0.2">
      <c r="A879" s="2" t="s">
        <v>1545</v>
      </c>
      <c r="B879" s="2" t="s">
        <v>19</v>
      </c>
      <c r="C879" s="2" t="s">
        <v>20</v>
      </c>
      <c r="D879" s="2" t="s">
        <v>21</v>
      </c>
      <c r="E879" s="2" t="s">
        <v>261</v>
      </c>
      <c r="F879" s="2">
        <v>6</v>
      </c>
      <c r="G879" s="2">
        <v>139</v>
      </c>
      <c r="H879" s="2">
        <v>3</v>
      </c>
      <c r="I879" s="2">
        <v>3</v>
      </c>
      <c r="J879" s="2">
        <v>2</v>
      </c>
      <c r="K879" s="2" t="s">
        <v>61</v>
      </c>
      <c r="L879" s="6" t="s">
        <v>113</v>
      </c>
      <c r="M879" s="5">
        <v>1200000000</v>
      </c>
      <c r="N879" s="2">
        <v>0</v>
      </c>
      <c r="O879" s="2">
        <v>4.6530300000000002</v>
      </c>
      <c r="P879" s="2">
        <v>-74.049509999999998</v>
      </c>
      <c r="Q879" s="2" t="s">
        <v>1546</v>
      </c>
      <c r="R879" s="2">
        <v>8633093.5250000004</v>
      </c>
      <c r="S879" s="2">
        <v>0</v>
      </c>
      <c r="T879" s="2" t="s">
        <v>77</v>
      </c>
      <c r="U879" s="2" t="s">
        <v>78</v>
      </c>
      <c r="V879" s="2" t="s">
        <v>28</v>
      </c>
      <c r="W879" s="2" t="s">
        <v>79</v>
      </c>
      <c r="X879" s="2" t="s">
        <v>80</v>
      </c>
      <c r="Y879" s="2">
        <v>3.6275286836245102</v>
      </c>
      <c r="Z879" s="2">
        <v>4.6254861111111101</v>
      </c>
      <c r="AA879" s="2">
        <v>-74.066980555555503</v>
      </c>
      <c r="AB879" s="2">
        <v>2621</v>
      </c>
      <c r="AC879" s="2" t="s">
        <v>31</v>
      </c>
      <c r="AD879" s="2" t="s">
        <v>32</v>
      </c>
      <c r="AE879" s="2" t="s">
        <v>33</v>
      </c>
      <c r="AF879" s="2" t="s">
        <v>34</v>
      </c>
      <c r="AG879" s="2" t="s">
        <v>81</v>
      </c>
      <c r="AH879" s="2">
        <v>1.5067120225696899</v>
      </c>
      <c r="AI879" s="2">
        <v>0.100889298550527</v>
      </c>
      <c r="AJ879" s="2">
        <v>0.916378485101772</v>
      </c>
      <c r="AK879" s="2">
        <v>0.52115725939928403</v>
      </c>
      <c r="AL879" s="2">
        <v>0.104498795105733</v>
      </c>
      <c r="AN879" s="2">
        <v>6.8</v>
      </c>
      <c r="AO879" s="2">
        <v>19.899999999999999</v>
      </c>
      <c r="AP879" s="2">
        <v>564</v>
      </c>
      <c r="AQ879" s="2">
        <v>68</v>
      </c>
      <c r="AR879" s="2">
        <v>1.5</v>
      </c>
      <c r="AS879" s="2">
        <v>135</v>
      </c>
      <c r="AT879" s="2">
        <v>0.8</v>
      </c>
      <c r="AU879" s="2">
        <v>162</v>
      </c>
      <c r="AV879" s="2">
        <v>9.1</v>
      </c>
      <c r="AW879" s="2">
        <v>9.1999999999999993</v>
      </c>
      <c r="AX879" s="2">
        <v>18.3</v>
      </c>
      <c r="AY879" s="2">
        <v>0.34</v>
      </c>
      <c r="AZ879" s="2">
        <v>7.3</v>
      </c>
      <c r="BA879" s="2">
        <v>0.9</v>
      </c>
      <c r="BB879" s="2">
        <v>7.5</v>
      </c>
      <c r="BC879" s="2">
        <v>2.9</v>
      </c>
      <c r="BD879" s="2">
        <f>+AN879*EXP(-0.0495*Y879)</f>
        <v>5.6823219450507638</v>
      </c>
      <c r="BE879" s="2">
        <f>+AO879*EXP(-0.024*Y879)</f>
        <v>18.24076716640635</v>
      </c>
    </row>
    <row r="880" spans="1:57" x14ac:dyDescent="0.2">
      <c r="A880" s="2" t="s">
        <v>1923</v>
      </c>
      <c r="B880" s="2" t="s">
        <v>19</v>
      </c>
      <c r="C880" s="2" t="s">
        <v>1907</v>
      </c>
      <c r="D880" s="2" t="s">
        <v>21</v>
      </c>
      <c r="E880" s="2" t="s">
        <v>525</v>
      </c>
      <c r="F880" s="2">
        <v>3</v>
      </c>
      <c r="G880" s="2">
        <v>139</v>
      </c>
      <c r="H880" s="2">
        <v>3</v>
      </c>
      <c r="I880" s="2">
        <v>2</v>
      </c>
      <c r="J880" s="2">
        <v>2</v>
      </c>
      <c r="K880" s="2" t="s">
        <v>61</v>
      </c>
      <c r="L880" s="6" t="s">
        <v>113</v>
      </c>
      <c r="M880" s="5">
        <v>870000000</v>
      </c>
      <c r="N880" s="2">
        <v>0</v>
      </c>
      <c r="O880" s="2">
        <v>4.6958489419999996</v>
      </c>
      <c r="P880" s="2">
        <v>-74.075424190000007</v>
      </c>
      <c r="Q880" s="2" t="s">
        <v>1924</v>
      </c>
      <c r="R880" s="2">
        <v>6258992.8059999999</v>
      </c>
      <c r="S880" s="2">
        <v>0</v>
      </c>
      <c r="T880" s="2" t="s">
        <v>26</v>
      </c>
      <c r="U880" s="2" t="s">
        <v>27</v>
      </c>
      <c r="V880" s="2" t="s">
        <v>28</v>
      </c>
      <c r="W880" s="2" t="s">
        <v>29</v>
      </c>
      <c r="X880" s="2" t="s">
        <v>30</v>
      </c>
      <c r="Y880" s="2">
        <v>4.2679422596460803</v>
      </c>
      <c r="Z880" s="2">
        <v>4.6584666666666701</v>
      </c>
      <c r="AA880" s="2">
        <v>-74.083966666666697</v>
      </c>
      <c r="AB880" s="2">
        <v>2552</v>
      </c>
      <c r="AC880" s="2" t="s">
        <v>31</v>
      </c>
      <c r="AD880" s="2" t="s">
        <v>32</v>
      </c>
      <c r="AE880" s="2" t="s">
        <v>33</v>
      </c>
      <c r="AF880" s="2" t="s">
        <v>34</v>
      </c>
      <c r="AG880" s="2" t="s">
        <v>72</v>
      </c>
      <c r="AH880" s="2">
        <v>0.72343671536224996</v>
      </c>
      <c r="AI880" s="2">
        <v>4.6591731917035801</v>
      </c>
      <c r="AJ880" s="2">
        <v>0.68055565954372499</v>
      </c>
      <c r="AK880" s="2">
        <v>6.4789111731504798E-2</v>
      </c>
      <c r="AL880" s="2">
        <v>4.8537277989458803E-2</v>
      </c>
      <c r="AN880" s="2">
        <v>6.8</v>
      </c>
      <c r="AO880" s="2">
        <v>19.899999999999999</v>
      </c>
      <c r="AP880" s="2">
        <v>564</v>
      </c>
      <c r="AQ880" s="2">
        <v>68</v>
      </c>
      <c r="AR880" s="2">
        <v>1.5</v>
      </c>
      <c r="AS880" s="2">
        <v>135</v>
      </c>
      <c r="AT880" s="2">
        <v>0.8</v>
      </c>
      <c r="AU880" s="2">
        <v>162</v>
      </c>
      <c r="AV880" s="2">
        <v>9.1</v>
      </c>
      <c r="AW880" s="2">
        <v>9.1999999999999993</v>
      </c>
      <c r="AX880" s="2">
        <v>18.3</v>
      </c>
      <c r="AY880" s="2">
        <v>0.34</v>
      </c>
      <c r="AZ880" s="2">
        <v>7.3</v>
      </c>
      <c r="BA880" s="2">
        <v>0.9</v>
      </c>
      <c r="BB880" s="2">
        <v>7.5</v>
      </c>
      <c r="BC880" s="2">
        <v>2.9</v>
      </c>
      <c r="BD880" s="2">
        <f>+AN880*EXP(-0.0495*Y880)</f>
        <v>5.5050148643729946</v>
      </c>
      <c r="BE880" s="2">
        <f>+AO880*EXP(-0.024*Y880)</f>
        <v>17.962551482283612</v>
      </c>
    </row>
    <row r="881" spans="1:57" x14ac:dyDescent="0.2">
      <c r="A881" s="2" t="s">
        <v>3006</v>
      </c>
      <c r="B881" s="2" t="s">
        <v>19</v>
      </c>
      <c r="C881" s="2" t="s">
        <v>1907</v>
      </c>
      <c r="D881" s="2" t="s">
        <v>21</v>
      </c>
      <c r="E881" s="2" t="s">
        <v>3007</v>
      </c>
      <c r="F881" s="2">
        <v>3</v>
      </c>
      <c r="G881" s="2">
        <v>138.9</v>
      </c>
      <c r="H881" s="2">
        <v>4</v>
      </c>
      <c r="I881" s="2">
        <v>3</v>
      </c>
      <c r="J881" s="2">
        <v>1</v>
      </c>
      <c r="K881" s="2" t="s">
        <v>61</v>
      </c>
      <c r="L881" s="6" t="s">
        <v>113</v>
      </c>
      <c r="M881" s="5">
        <v>420000000</v>
      </c>
      <c r="N881" s="2">
        <v>0</v>
      </c>
      <c r="O881" s="2">
        <v>4.7078866960000001</v>
      </c>
      <c r="P881" s="2">
        <v>-74.122192380000001</v>
      </c>
      <c r="Q881" s="2" t="s">
        <v>3008</v>
      </c>
      <c r="R881" s="2">
        <v>3023758.0989999999</v>
      </c>
      <c r="S881" s="2">
        <v>0</v>
      </c>
      <c r="T881" s="2" t="s">
        <v>370</v>
      </c>
      <c r="U881" s="2" t="s">
        <v>371</v>
      </c>
      <c r="V881" s="2" t="s">
        <v>28</v>
      </c>
      <c r="W881" s="2" t="s">
        <v>29</v>
      </c>
      <c r="X881" s="2" t="s">
        <v>372</v>
      </c>
      <c r="Y881" s="2">
        <v>3.13485312434053</v>
      </c>
      <c r="Z881" s="2">
        <v>4.7358055555555598</v>
      </c>
      <c r="AA881" s="2">
        <v>-74.125888888888895</v>
      </c>
      <c r="AB881" s="2">
        <v>2574</v>
      </c>
      <c r="AC881" s="2" t="s">
        <v>105</v>
      </c>
      <c r="AD881" s="2" t="s">
        <v>58</v>
      </c>
      <c r="AE881" s="2" t="s">
        <v>33</v>
      </c>
      <c r="AF881" s="2" t="s">
        <v>34</v>
      </c>
      <c r="AG881" s="2" t="s">
        <v>363</v>
      </c>
      <c r="AH881" s="2">
        <v>1.3134071389475801</v>
      </c>
      <c r="AI881" s="2">
        <v>1.8755004357977001</v>
      </c>
      <c r="AJ881" s="2">
        <v>2.3241223401663702</v>
      </c>
      <c r="AK881" s="2">
        <v>0.27601402525306301</v>
      </c>
      <c r="AL881" s="2">
        <v>7.2836474215994595E-2</v>
      </c>
      <c r="AN881" s="2">
        <v>6.8</v>
      </c>
      <c r="AO881" s="2">
        <v>19.899999999999999</v>
      </c>
      <c r="AP881" s="2">
        <v>564</v>
      </c>
      <c r="AQ881" s="2">
        <v>68</v>
      </c>
      <c r="AR881" s="2">
        <v>1.5</v>
      </c>
      <c r="AS881" s="2">
        <v>135</v>
      </c>
      <c r="AT881" s="2">
        <v>0.8</v>
      </c>
      <c r="AU881" s="2">
        <v>162</v>
      </c>
      <c r="AV881" s="2">
        <v>9.1</v>
      </c>
      <c r="AW881" s="2">
        <v>9.1999999999999993</v>
      </c>
      <c r="AX881" s="2">
        <v>18.3</v>
      </c>
      <c r="AY881" s="2">
        <v>0.34</v>
      </c>
      <c r="AZ881" s="2">
        <v>7.3</v>
      </c>
      <c r="BA881" s="2">
        <v>0.9</v>
      </c>
      <c r="BB881" s="2">
        <v>7.5</v>
      </c>
      <c r="BC881" s="2">
        <v>2.9</v>
      </c>
      <c r="BD881" s="2">
        <f>+AN881*EXP(-0.0495*Y881)</f>
        <v>5.8226028248072268</v>
      </c>
      <c r="BE881" s="2">
        <f>+AO881*EXP(-0.024*Y881)</f>
        <v>18.457730070389267</v>
      </c>
    </row>
    <row r="882" spans="1:57" x14ac:dyDescent="0.2">
      <c r="A882" s="2" t="s">
        <v>2745</v>
      </c>
      <c r="B882" s="2" t="s">
        <v>19</v>
      </c>
      <c r="C882" s="2" t="s">
        <v>1907</v>
      </c>
      <c r="D882" s="2" t="s">
        <v>21</v>
      </c>
      <c r="E882" s="2" t="s">
        <v>973</v>
      </c>
      <c r="F882" s="2">
        <v>4</v>
      </c>
      <c r="G882" s="2">
        <v>138.78</v>
      </c>
      <c r="H882" s="2">
        <v>3</v>
      </c>
      <c r="I882" s="2">
        <v>2</v>
      </c>
      <c r="J882" s="2">
        <v>2</v>
      </c>
      <c r="K882" s="2" t="s">
        <v>61</v>
      </c>
      <c r="L882" s="6" t="s">
        <v>113</v>
      </c>
      <c r="M882" s="5">
        <v>1200000000</v>
      </c>
      <c r="N882" s="2">
        <v>0</v>
      </c>
      <c r="O882" s="2">
        <v>4.6927199999999996</v>
      </c>
      <c r="P882" s="2">
        <v>-74.079490000000007</v>
      </c>
      <c r="Q882" s="2" t="s">
        <v>2746</v>
      </c>
      <c r="R882" s="2">
        <v>8646779.0749999993</v>
      </c>
      <c r="S882" s="2">
        <v>0</v>
      </c>
      <c r="T882" s="2" t="s">
        <v>26</v>
      </c>
      <c r="U882" s="2" t="s">
        <v>27</v>
      </c>
      <c r="V882" s="2" t="s">
        <v>28</v>
      </c>
      <c r="W882" s="2" t="s">
        <v>29</v>
      </c>
      <c r="X882" s="2" t="s">
        <v>30</v>
      </c>
      <c r="Y882" s="2">
        <v>3.8452759439627502</v>
      </c>
      <c r="Z882" s="2">
        <v>4.6584666666666701</v>
      </c>
      <c r="AA882" s="2">
        <v>-74.083966666666697</v>
      </c>
      <c r="AB882" s="2">
        <v>2552</v>
      </c>
      <c r="AC882" s="2" t="s">
        <v>31</v>
      </c>
      <c r="AD882" s="2" t="s">
        <v>32</v>
      </c>
      <c r="AE882" s="2" t="s">
        <v>33</v>
      </c>
      <c r="AF882" s="2" t="s">
        <v>34</v>
      </c>
      <c r="AG882" s="2" t="s">
        <v>72</v>
      </c>
      <c r="AH882" s="2">
        <v>0.60189213403054798</v>
      </c>
      <c r="AI882" s="2">
        <v>4.84023126188821</v>
      </c>
      <c r="AJ882" s="2">
        <v>0.83078330552737001</v>
      </c>
      <c r="AK882" s="2">
        <v>0.45671907508308102</v>
      </c>
      <c r="AL882" s="2">
        <v>0.19121028337951301</v>
      </c>
      <c r="AN882" s="2">
        <v>6.8</v>
      </c>
      <c r="AO882" s="2">
        <v>19.899999999999999</v>
      </c>
      <c r="AP882" s="2">
        <v>564</v>
      </c>
      <c r="AQ882" s="2">
        <v>68</v>
      </c>
      <c r="AR882" s="2">
        <v>1.5</v>
      </c>
      <c r="AS882" s="2">
        <v>135</v>
      </c>
      <c r="AT882" s="2">
        <v>0.8</v>
      </c>
      <c r="AU882" s="2">
        <v>162</v>
      </c>
      <c r="AV882" s="2">
        <v>9.1</v>
      </c>
      <c r="AW882" s="2">
        <v>9.1999999999999993</v>
      </c>
      <c r="AX882" s="2">
        <v>18.3</v>
      </c>
      <c r="AY882" s="2">
        <v>0.34</v>
      </c>
      <c r="AZ882" s="2">
        <v>7.3</v>
      </c>
      <c r="BA882" s="2">
        <v>0.9</v>
      </c>
      <c r="BB882" s="2">
        <v>7.5</v>
      </c>
      <c r="BC882" s="2">
        <v>2.9</v>
      </c>
      <c r="BD882" s="2">
        <f>+AN882*EXP(-0.0495*Y882)</f>
        <v>5.6214039898060548</v>
      </c>
      <c r="BE882" s="2">
        <f>+AO882*EXP(-0.024*Y882)</f>
        <v>18.145690764453089</v>
      </c>
    </row>
    <row r="883" spans="1:57" x14ac:dyDescent="0.2">
      <c r="A883" s="2" t="s">
        <v>1917</v>
      </c>
      <c r="B883" s="2" t="s">
        <v>19</v>
      </c>
      <c r="C883" s="2" t="s">
        <v>1907</v>
      </c>
      <c r="D883" s="2" t="s">
        <v>21</v>
      </c>
      <c r="E883" s="2" t="s">
        <v>1078</v>
      </c>
      <c r="F883" s="2">
        <v>4</v>
      </c>
      <c r="G883" s="2">
        <v>137.5</v>
      </c>
      <c r="H883" s="2">
        <v>5</v>
      </c>
      <c r="I883" s="2">
        <v>3</v>
      </c>
      <c r="J883" s="2">
        <v>1</v>
      </c>
      <c r="K883" s="2" t="s">
        <v>61</v>
      </c>
      <c r="L883" s="6" t="s">
        <v>113</v>
      </c>
      <c r="M883" s="5">
        <v>950000000</v>
      </c>
      <c r="N883" s="2">
        <v>0</v>
      </c>
      <c r="O883" s="2">
        <v>4.6448273999999996</v>
      </c>
      <c r="P883" s="2">
        <v>-74.070999999999998</v>
      </c>
      <c r="Q883" s="2" t="s">
        <v>1918</v>
      </c>
      <c r="R883" s="2">
        <v>6909090.909</v>
      </c>
      <c r="S883" s="2">
        <v>0</v>
      </c>
      <c r="T883" s="2" t="s">
        <v>26</v>
      </c>
      <c r="U883" s="2" t="s">
        <v>27</v>
      </c>
      <c r="V883" s="2" t="s">
        <v>28</v>
      </c>
      <c r="W883" s="2" t="s">
        <v>29</v>
      </c>
      <c r="X883" s="2" t="s">
        <v>30</v>
      </c>
      <c r="Y883" s="2">
        <v>2.0916759155814102</v>
      </c>
      <c r="Z883" s="2">
        <v>4.6584666666666701</v>
      </c>
      <c r="AA883" s="2">
        <v>-74.083966666666697</v>
      </c>
      <c r="AB883" s="2">
        <v>2552</v>
      </c>
      <c r="AC883" s="2" t="s">
        <v>31</v>
      </c>
      <c r="AD883" s="2" t="s">
        <v>32</v>
      </c>
      <c r="AE883" s="2" t="s">
        <v>33</v>
      </c>
      <c r="AF883" s="2" t="s">
        <v>34</v>
      </c>
      <c r="AG883" s="2" t="s">
        <v>35</v>
      </c>
      <c r="AH883" s="2">
        <v>0.60867590635408697</v>
      </c>
      <c r="AI883" s="2">
        <v>1.5525255810177001</v>
      </c>
      <c r="AJ883" s="2">
        <v>0.17151672856398401</v>
      </c>
      <c r="AK883" s="2">
        <v>7.9506737131104593E-2</v>
      </c>
      <c r="AL883" s="2">
        <v>0.19257246269815601</v>
      </c>
      <c r="AN883" s="2">
        <v>6.8</v>
      </c>
      <c r="AO883" s="2">
        <v>19.899999999999999</v>
      </c>
      <c r="AP883" s="2">
        <v>564</v>
      </c>
      <c r="AQ883" s="2">
        <v>68</v>
      </c>
      <c r="AR883" s="2">
        <v>1.5</v>
      </c>
      <c r="AS883" s="2">
        <v>135</v>
      </c>
      <c r="AT883" s="2">
        <v>0.8</v>
      </c>
      <c r="AU883" s="2">
        <v>162</v>
      </c>
      <c r="AV883" s="2">
        <v>9.1</v>
      </c>
      <c r="AW883" s="2">
        <v>9.1999999999999993</v>
      </c>
      <c r="AX883" s="2">
        <v>18.3</v>
      </c>
      <c r="AY883" s="2">
        <v>0.34</v>
      </c>
      <c r="AZ883" s="2">
        <v>7.3</v>
      </c>
      <c r="BA883" s="2">
        <v>0.9</v>
      </c>
      <c r="BB883" s="2">
        <v>7.5</v>
      </c>
      <c r="BC883" s="2">
        <v>2.9</v>
      </c>
      <c r="BD883" s="2">
        <f>+AN883*EXP(-0.0495*Y883)</f>
        <v>6.1311642245918074</v>
      </c>
      <c r="BE883" s="2">
        <f>+AO883*EXP(-0.024*Y883)</f>
        <v>18.925675832011208</v>
      </c>
    </row>
    <row r="884" spans="1:57" x14ac:dyDescent="0.2">
      <c r="A884" s="2" t="s">
        <v>2652</v>
      </c>
      <c r="B884" s="2" t="s">
        <v>19</v>
      </c>
      <c r="C884" s="2" t="s">
        <v>1907</v>
      </c>
      <c r="D884" s="2" t="s">
        <v>21</v>
      </c>
      <c r="E884" s="2" t="s">
        <v>2653</v>
      </c>
      <c r="F884" s="2">
        <v>3</v>
      </c>
      <c r="G884" s="2">
        <v>137.06</v>
      </c>
      <c r="H884" s="2">
        <v>5</v>
      </c>
      <c r="I884" s="2">
        <v>4</v>
      </c>
      <c r="J884" s="2">
        <v>0</v>
      </c>
      <c r="K884" s="2" t="s">
        <v>61</v>
      </c>
      <c r="L884" s="6" t="s">
        <v>113</v>
      </c>
      <c r="M884" s="5">
        <v>500000000</v>
      </c>
      <c r="N884" s="2">
        <v>0</v>
      </c>
      <c r="O884" s="2">
        <v>4.5680366000000001</v>
      </c>
      <c r="P884" s="2">
        <v>-74.125045999999998</v>
      </c>
      <c r="Q884" s="2" t="s">
        <v>2654</v>
      </c>
      <c r="R884" s="2">
        <v>3648037.3560000001</v>
      </c>
      <c r="S884" s="2">
        <v>0</v>
      </c>
      <c r="T884" s="2" t="s">
        <v>1794</v>
      </c>
      <c r="U884" s="2" t="s">
        <v>1795</v>
      </c>
      <c r="V884" s="2" t="s">
        <v>28</v>
      </c>
      <c r="W884" s="2" t="s">
        <v>1796</v>
      </c>
      <c r="X884" s="2" t="s">
        <v>1797</v>
      </c>
      <c r="Y884" s="2">
        <v>1.1228976973275</v>
      </c>
      <c r="Z884" s="2">
        <v>4.576225</v>
      </c>
      <c r="AA884" s="2">
        <v>-74.130955555555502</v>
      </c>
      <c r="AB884" s="2">
        <v>2589</v>
      </c>
      <c r="AC884" s="2" t="s">
        <v>31</v>
      </c>
      <c r="AD884" s="2" t="s">
        <v>58</v>
      </c>
      <c r="AE884" s="2" t="s">
        <v>33</v>
      </c>
      <c r="AF884" s="2" t="s">
        <v>34</v>
      </c>
      <c r="AG884" s="2" t="s">
        <v>1798</v>
      </c>
      <c r="AH884" s="2">
        <v>0.32616653602536899</v>
      </c>
      <c r="AI884" s="2">
        <v>4.9297880626305997</v>
      </c>
      <c r="AJ884" s="2">
        <v>2.0646765885551601</v>
      </c>
      <c r="AK884" s="2">
        <v>8.9200862776363701E-2</v>
      </c>
      <c r="AL884" s="2">
        <v>0.23351502828735801</v>
      </c>
      <c r="AN884" s="2">
        <v>6.8</v>
      </c>
      <c r="AO884" s="2">
        <v>19.899999999999999</v>
      </c>
      <c r="AP884" s="2">
        <v>564</v>
      </c>
      <c r="AQ884" s="2">
        <v>68</v>
      </c>
      <c r="AR884" s="2">
        <v>1.5</v>
      </c>
      <c r="AS884" s="2">
        <v>135</v>
      </c>
      <c r="AT884" s="2">
        <v>0.8</v>
      </c>
      <c r="AU884" s="2">
        <v>162</v>
      </c>
      <c r="AV884" s="2">
        <v>9.1</v>
      </c>
      <c r="AW884" s="2">
        <v>9.1999999999999993</v>
      </c>
      <c r="AX884" s="2">
        <v>18.3</v>
      </c>
      <c r="AY884" s="2">
        <v>0.34</v>
      </c>
      <c r="AZ884" s="2">
        <v>7.3</v>
      </c>
      <c r="BA884" s="2">
        <v>0.9</v>
      </c>
      <c r="BB884" s="2">
        <v>7.5</v>
      </c>
      <c r="BC884" s="2">
        <v>2.9</v>
      </c>
      <c r="BD884" s="2">
        <f>+AN884*EXP(-0.0495*Y884)</f>
        <v>6.4323450493132661</v>
      </c>
      <c r="BE884" s="2">
        <f>+AO884*EXP(-0.024*Y884)</f>
        <v>19.370866043841044</v>
      </c>
    </row>
    <row r="885" spans="1:57" x14ac:dyDescent="0.2">
      <c r="A885" s="2" t="s">
        <v>266</v>
      </c>
      <c r="B885" s="2" t="s">
        <v>19</v>
      </c>
      <c r="C885" s="2" t="s">
        <v>20</v>
      </c>
      <c r="D885" s="2" t="s">
        <v>21</v>
      </c>
      <c r="E885" s="2" t="s">
        <v>261</v>
      </c>
      <c r="F885" s="2">
        <v>6</v>
      </c>
      <c r="G885" s="2">
        <v>136</v>
      </c>
      <c r="H885" s="2">
        <v>2</v>
      </c>
      <c r="I885" s="2">
        <v>3</v>
      </c>
      <c r="J885" s="2">
        <v>3</v>
      </c>
      <c r="K885" s="2" t="s">
        <v>61</v>
      </c>
      <c r="L885" s="6" t="s">
        <v>62</v>
      </c>
      <c r="M885" s="5">
        <v>2400000000</v>
      </c>
      <c r="N885" s="2">
        <v>0</v>
      </c>
      <c r="O885" s="2">
        <v>4.6632809640000001</v>
      </c>
      <c r="P885" s="2">
        <v>-74.046417239999997</v>
      </c>
      <c r="Q885" s="2" t="s">
        <v>267</v>
      </c>
      <c r="R885" s="2">
        <v>17647058.82</v>
      </c>
      <c r="S885" s="2">
        <v>0</v>
      </c>
      <c r="T885" s="2" t="s">
        <v>26</v>
      </c>
      <c r="U885" s="2" t="s">
        <v>27</v>
      </c>
      <c r="V885" s="2" t="s">
        <v>28</v>
      </c>
      <c r="W885" s="2" t="s">
        <v>29</v>
      </c>
      <c r="X885" s="2" t="s">
        <v>30</v>
      </c>
      <c r="Y885" s="2">
        <v>4.20048895085732</v>
      </c>
      <c r="Z885" s="2">
        <v>4.6584666666666701</v>
      </c>
      <c r="AA885" s="2">
        <v>-74.083966666666697</v>
      </c>
      <c r="AB885" s="2">
        <v>2552</v>
      </c>
      <c r="AC885" s="2" t="s">
        <v>31</v>
      </c>
      <c r="AD885" s="2" t="s">
        <v>32</v>
      </c>
      <c r="AE885" s="2" t="s">
        <v>33</v>
      </c>
      <c r="AF885" s="2" t="s">
        <v>34</v>
      </c>
      <c r="AG885" s="2" t="s">
        <v>81</v>
      </c>
      <c r="AH885" s="2">
        <v>1.6312305925311601</v>
      </c>
      <c r="AI885" s="2">
        <v>0.14417073379659501</v>
      </c>
      <c r="AJ885" s="2">
        <v>0.82149002898493795</v>
      </c>
      <c r="AK885" s="2">
        <v>0.18128316882024201</v>
      </c>
      <c r="AL885" s="2">
        <v>0.45467248501431101</v>
      </c>
      <c r="AN885" s="2">
        <v>6.8</v>
      </c>
      <c r="AO885" s="2">
        <v>19.899999999999999</v>
      </c>
      <c r="AP885" s="2">
        <v>564</v>
      </c>
      <c r="AQ885" s="2">
        <v>68</v>
      </c>
      <c r="AR885" s="2">
        <v>1.5</v>
      </c>
      <c r="AS885" s="2">
        <v>135</v>
      </c>
      <c r="AT885" s="2">
        <v>0.8</v>
      </c>
      <c r="AU885" s="2">
        <v>162</v>
      </c>
      <c r="AV885" s="2">
        <v>9.1</v>
      </c>
      <c r="AW885" s="2">
        <v>9.1999999999999993</v>
      </c>
      <c r="AX885" s="2">
        <v>18.3</v>
      </c>
      <c r="AY885" s="2">
        <v>0.34</v>
      </c>
      <c r="AZ885" s="2">
        <v>7.3</v>
      </c>
      <c r="BA885" s="2">
        <v>0.9</v>
      </c>
      <c r="BB885" s="2">
        <v>7.5</v>
      </c>
      <c r="BC885" s="2">
        <v>2.9</v>
      </c>
      <c r="BD885" s="2">
        <f>+AN885*EXP(-0.0495*Y885)</f>
        <v>5.5234264925604313</v>
      </c>
      <c r="BE885" s="2">
        <f>+AO885*EXP(-0.024*Y885)</f>
        <v>17.991654237615791</v>
      </c>
    </row>
    <row r="886" spans="1:57" x14ac:dyDescent="0.2">
      <c r="A886" s="2" t="s">
        <v>2159</v>
      </c>
      <c r="B886" s="2" t="s">
        <v>19</v>
      </c>
      <c r="C886" s="2" t="s">
        <v>1907</v>
      </c>
      <c r="D886" s="2" t="s">
        <v>21</v>
      </c>
      <c r="E886" s="2" t="s">
        <v>1054</v>
      </c>
      <c r="F886" s="2">
        <v>3</v>
      </c>
      <c r="G886" s="2">
        <v>135.6</v>
      </c>
      <c r="H886" s="2">
        <v>5</v>
      </c>
      <c r="I886" s="2">
        <v>5</v>
      </c>
      <c r="J886" s="2">
        <v>2</v>
      </c>
      <c r="K886" s="2" t="s">
        <v>61</v>
      </c>
      <c r="L886" s="6" t="s">
        <v>75</v>
      </c>
      <c r="M886" s="5">
        <v>2100000000</v>
      </c>
      <c r="N886" s="2">
        <v>0</v>
      </c>
      <c r="O886" s="2">
        <v>4.7039875999999996</v>
      </c>
      <c r="P886" s="2">
        <v>-74.109409999999997</v>
      </c>
      <c r="Q886" s="2" t="s">
        <v>2160</v>
      </c>
      <c r="R886" s="2">
        <v>15486725.66</v>
      </c>
      <c r="S886" s="2">
        <v>0</v>
      </c>
      <c r="T886" s="2" t="s">
        <v>370</v>
      </c>
      <c r="U886" s="2" t="s">
        <v>371</v>
      </c>
      <c r="V886" s="2" t="s">
        <v>28</v>
      </c>
      <c r="W886" s="2" t="s">
        <v>29</v>
      </c>
      <c r="X886" s="2" t="s">
        <v>372</v>
      </c>
      <c r="Y886" s="2">
        <v>3.9859489134806299</v>
      </c>
      <c r="Z886" s="2">
        <v>4.7358055555555598</v>
      </c>
      <c r="AA886" s="2">
        <v>-74.125888888888895</v>
      </c>
      <c r="AB886" s="2">
        <v>2574</v>
      </c>
      <c r="AC886" s="2" t="s">
        <v>105</v>
      </c>
      <c r="AD886" s="2" t="s">
        <v>58</v>
      </c>
      <c r="AE886" s="2" t="s">
        <v>33</v>
      </c>
      <c r="AF886" s="2" t="s">
        <v>34</v>
      </c>
      <c r="AG886" s="2" t="s">
        <v>363</v>
      </c>
      <c r="AH886" s="2">
        <v>0.31155307687282802</v>
      </c>
      <c r="AI886" s="2">
        <v>2.9702881445100902</v>
      </c>
      <c r="AJ886" s="2">
        <v>1.28204215809407</v>
      </c>
      <c r="AK886" s="2">
        <v>0.33008012711152301</v>
      </c>
      <c r="AL886" s="2">
        <v>9.0081137835891098E-2</v>
      </c>
      <c r="AN886" s="2">
        <v>6.8</v>
      </c>
      <c r="AO886" s="2">
        <v>19.899999999999999</v>
      </c>
      <c r="AP886" s="2">
        <v>564</v>
      </c>
      <c r="AQ886" s="2">
        <v>68</v>
      </c>
      <c r="AR886" s="2">
        <v>1.5</v>
      </c>
      <c r="AS886" s="2">
        <v>135</v>
      </c>
      <c r="AT886" s="2">
        <v>0.8</v>
      </c>
      <c r="AU886" s="2">
        <v>162</v>
      </c>
      <c r="AV886" s="2">
        <v>9.1</v>
      </c>
      <c r="AW886" s="2">
        <v>9.1999999999999993</v>
      </c>
      <c r="AX886" s="2">
        <v>18.3</v>
      </c>
      <c r="AY886" s="2">
        <v>0.34</v>
      </c>
      <c r="AZ886" s="2">
        <v>7.3</v>
      </c>
      <c r="BA886" s="2">
        <v>0.9</v>
      </c>
      <c r="BB886" s="2">
        <v>7.5</v>
      </c>
      <c r="BC886" s="2">
        <v>2.9</v>
      </c>
      <c r="BD886" s="2">
        <f>+AN886*EXP(-0.0495*Y886)</f>
        <v>5.5823963687303522</v>
      </c>
      <c r="BE886" s="2">
        <f>+AO886*EXP(-0.024*Y886)</f>
        <v>18.084531467174852</v>
      </c>
    </row>
    <row r="887" spans="1:57" x14ac:dyDescent="0.2">
      <c r="A887" s="2" t="s">
        <v>1227</v>
      </c>
      <c r="B887" s="2" t="s">
        <v>19</v>
      </c>
      <c r="C887" s="2" t="s">
        <v>20</v>
      </c>
      <c r="D887" s="2" t="s">
        <v>21</v>
      </c>
      <c r="E887" s="2" t="s">
        <v>571</v>
      </c>
      <c r="F887" s="2">
        <v>6</v>
      </c>
      <c r="G887" s="2">
        <v>133</v>
      </c>
      <c r="H887" s="2">
        <v>2</v>
      </c>
      <c r="I887" s="2">
        <v>3</v>
      </c>
      <c r="J887" s="2">
        <v>2</v>
      </c>
      <c r="K887" s="2" t="s">
        <v>61</v>
      </c>
      <c r="L887" s="6" t="s">
        <v>62</v>
      </c>
      <c r="M887" s="5">
        <v>2300000000</v>
      </c>
      <c r="N887" s="2">
        <v>0</v>
      </c>
      <c r="O887" s="2">
        <v>4.6674518020000004</v>
      </c>
      <c r="P887" s="2">
        <v>-74.049632549999998</v>
      </c>
      <c r="Q887" s="2" t="s">
        <v>1228</v>
      </c>
      <c r="R887" s="2">
        <v>17293233.079999998</v>
      </c>
      <c r="S887" s="2">
        <v>0</v>
      </c>
      <c r="T887" s="2" t="s">
        <v>26</v>
      </c>
      <c r="U887" s="2" t="s">
        <v>27</v>
      </c>
      <c r="V887" s="2" t="s">
        <v>28</v>
      </c>
      <c r="W887" s="2" t="s">
        <v>29</v>
      </c>
      <c r="X887" s="2" t="s">
        <v>30</v>
      </c>
      <c r="Y887" s="2">
        <v>3.93852956143308</v>
      </c>
      <c r="Z887" s="2">
        <v>4.6584666666666701</v>
      </c>
      <c r="AA887" s="2">
        <v>-74.083966666666697</v>
      </c>
      <c r="AB887" s="2">
        <v>2552</v>
      </c>
      <c r="AC887" s="2" t="s">
        <v>31</v>
      </c>
      <c r="AD887" s="2" t="s">
        <v>32</v>
      </c>
      <c r="AE887" s="2" t="s">
        <v>33</v>
      </c>
      <c r="AF887" s="2" t="s">
        <v>34</v>
      </c>
      <c r="AG887" s="2" t="s">
        <v>81</v>
      </c>
      <c r="AH887" s="2">
        <v>1.18635205820274</v>
      </c>
      <c r="AI887" s="2">
        <v>0.58296362550855996</v>
      </c>
      <c r="AJ887" s="2">
        <v>0.53380476274635502</v>
      </c>
      <c r="AK887" s="2">
        <v>0.224628278108779</v>
      </c>
      <c r="AL887" s="2">
        <v>0.115077207606091</v>
      </c>
      <c r="AN887" s="2">
        <v>6.8</v>
      </c>
      <c r="AO887" s="2">
        <v>19.899999999999999</v>
      </c>
      <c r="AP887" s="2">
        <v>564</v>
      </c>
      <c r="AQ887" s="2">
        <v>68</v>
      </c>
      <c r="AR887" s="2">
        <v>1.5</v>
      </c>
      <c r="AS887" s="2">
        <v>135</v>
      </c>
      <c r="AT887" s="2">
        <v>0.8</v>
      </c>
      <c r="AU887" s="2">
        <v>162</v>
      </c>
      <c r="AV887" s="2">
        <v>9.1</v>
      </c>
      <c r="AW887" s="2">
        <v>9.1999999999999993</v>
      </c>
      <c r="AX887" s="2">
        <v>18.3</v>
      </c>
      <c r="AY887" s="2">
        <v>0.34</v>
      </c>
      <c r="AZ887" s="2">
        <v>7.3</v>
      </c>
      <c r="BA887" s="2">
        <v>0.9</v>
      </c>
      <c r="BB887" s="2">
        <v>7.5</v>
      </c>
      <c r="BC887" s="2">
        <v>2.9</v>
      </c>
      <c r="BD887" s="2">
        <f>+AN887*EXP(-0.0495*Y887)</f>
        <v>5.5955150833350622</v>
      </c>
      <c r="BE887" s="2">
        <f>+AO887*EXP(-0.024*Y887)</f>
        <v>18.105124545419482</v>
      </c>
    </row>
    <row r="888" spans="1:57" x14ac:dyDescent="0.2">
      <c r="A888" s="2" t="s">
        <v>2343</v>
      </c>
      <c r="B888" s="2" t="s">
        <v>19</v>
      </c>
      <c r="C888" s="2" t="s">
        <v>1907</v>
      </c>
      <c r="D888" s="2" t="s">
        <v>21</v>
      </c>
      <c r="E888" s="2" t="s">
        <v>1520</v>
      </c>
      <c r="F888" s="2">
        <v>3</v>
      </c>
      <c r="G888" s="2">
        <v>130.30000000000001</v>
      </c>
      <c r="H888" s="2">
        <v>5</v>
      </c>
      <c r="I888" s="2">
        <v>5</v>
      </c>
      <c r="J888" s="2">
        <v>2</v>
      </c>
      <c r="K888" s="2" t="s">
        <v>61</v>
      </c>
      <c r="L888" s="6" t="s">
        <v>113</v>
      </c>
      <c r="M888" s="5">
        <v>730000000</v>
      </c>
      <c r="N888" s="2">
        <v>0</v>
      </c>
      <c r="O888" s="2">
        <v>4.7011700000000003</v>
      </c>
      <c r="P888" s="2">
        <v>-74.104039999999998</v>
      </c>
      <c r="Q888" s="2" t="s">
        <v>2344</v>
      </c>
      <c r="R888" s="2">
        <v>5602455.8710000003</v>
      </c>
      <c r="S888" s="2">
        <v>0</v>
      </c>
      <c r="T888" s="2" t="s">
        <v>370</v>
      </c>
      <c r="U888" s="2" t="s">
        <v>371</v>
      </c>
      <c r="V888" s="2" t="s">
        <v>28</v>
      </c>
      <c r="W888" s="2" t="s">
        <v>29</v>
      </c>
      <c r="X888" s="2" t="s">
        <v>372</v>
      </c>
      <c r="Y888" s="2">
        <v>4.5542671429301302</v>
      </c>
      <c r="Z888" s="2">
        <v>4.7358055555555598</v>
      </c>
      <c r="AA888" s="2">
        <v>-74.125888888888895</v>
      </c>
      <c r="AB888" s="2">
        <v>2574</v>
      </c>
      <c r="AC888" s="2" t="s">
        <v>105</v>
      </c>
      <c r="AD888" s="2" t="s">
        <v>58</v>
      </c>
      <c r="AE888" s="2" t="s">
        <v>33</v>
      </c>
      <c r="AF888" s="2" t="s">
        <v>34</v>
      </c>
      <c r="AG888" s="2" t="s">
        <v>363</v>
      </c>
      <c r="AH888" s="2">
        <v>0.39085469815984403</v>
      </c>
      <c r="AI888" s="2">
        <v>3.5989866462029898</v>
      </c>
      <c r="AJ888" s="2">
        <v>1.05206112028545</v>
      </c>
      <c r="AK888" s="2">
        <v>0.11887505683981101</v>
      </c>
      <c r="AL888" s="2">
        <v>8.3678675129626595E-2</v>
      </c>
      <c r="AN888" s="2">
        <v>6.8</v>
      </c>
      <c r="AO888" s="2">
        <v>19.899999999999999</v>
      </c>
      <c r="AP888" s="2">
        <v>564</v>
      </c>
      <c r="AQ888" s="2">
        <v>68</v>
      </c>
      <c r="AR888" s="2">
        <v>1.5</v>
      </c>
      <c r="AS888" s="2">
        <v>135</v>
      </c>
      <c r="AT888" s="2">
        <v>0.8</v>
      </c>
      <c r="AU888" s="2">
        <v>162</v>
      </c>
      <c r="AV888" s="2">
        <v>9.1</v>
      </c>
      <c r="AW888" s="2">
        <v>9.1999999999999993</v>
      </c>
      <c r="AX888" s="2">
        <v>18.3</v>
      </c>
      <c r="AY888" s="2">
        <v>0.34</v>
      </c>
      <c r="AZ888" s="2">
        <v>7.3</v>
      </c>
      <c r="BA888" s="2">
        <v>0.9</v>
      </c>
      <c r="BB888" s="2">
        <v>7.5</v>
      </c>
      <c r="BC888" s="2">
        <v>2.9</v>
      </c>
      <c r="BD888" s="2">
        <f>+AN888*EXP(-0.0495*Y888)</f>
        <v>5.4275421492424041</v>
      </c>
      <c r="BE888" s="2">
        <f>+AO888*EXP(-0.024*Y888)</f>
        <v>17.839539611705575</v>
      </c>
    </row>
    <row r="889" spans="1:57" x14ac:dyDescent="0.2">
      <c r="A889" s="2" t="s">
        <v>1315</v>
      </c>
      <c r="B889" s="2" t="s">
        <v>19</v>
      </c>
      <c r="C889" s="2" t="s">
        <v>20</v>
      </c>
      <c r="D889" s="2" t="s">
        <v>21</v>
      </c>
      <c r="E889" s="2" t="s">
        <v>1049</v>
      </c>
      <c r="F889" s="2">
        <v>3</v>
      </c>
      <c r="G889" s="2">
        <v>127</v>
      </c>
      <c r="H889" s="2">
        <v>3</v>
      </c>
      <c r="I889" s="2">
        <v>3</v>
      </c>
      <c r="J889" s="2">
        <v>0</v>
      </c>
      <c r="K889" s="2" t="s">
        <v>61</v>
      </c>
      <c r="L889" s="6" t="s">
        <v>113</v>
      </c>
      <c r="M889" s="5">
        <v>762000000</v>
      </c>
      <c r="N889" s="2">
        <v>0</v>
      </c>
      <c r="O889" s="2">
        <v>4.6070150700000001</v>
      </c>
      <c r="P889" s="2">
        <v>-74.066707780000002</v>
      </c>
      <c r="Q889" s="2" t="s">
        <v>1316</v>
      </c>
      <c r="R889" s="2">
        <v>6000000</v>
      </c>
      <c r="S889" s="2">
        <v>0</v>
      </c>
      <c r="T889" s="2" t="s">
        <v>77</v>
      </c>
      <c r="U889" s="2" t="s">
        <v>78</v>
      </c>
      <c r="V889" s="2" t="s">
        <v>28</v>
      </c>
      <c r="W889" s="2" t="s">
        <v>79</v>
      </c>
      <c r="X889" s="2" t="s">
        <v>80</v>
      </c>
      <c r="Y889" s="2">
        <v>2.0564096395237002</v>
      </c>
      <c r="Z889" s="2">
        <v>4.6254861111111101</v>
      </c>
      <c r="AA889" s="2">
        <v>-74.066980555555503</v>
      </c>
      <c r="AB889" s="2">
        <v>2621</v>
      </c>
      <c r="AC889" s="2" t="s">
        <v>31</v>
      </c>
      <c r="AD889" s="2" t="s">
        <v>32</v>
      </c>
      <c r="AE889" s="2" t="s">
        <v>33</v>
      </c>
      <c r="AF889" s="2" t="s">
        <v>34</v>
      </c>
      <c r="AG889" s="2" t="s">
        <v>89</v>
      </c>
      <c r="AH889" s="2">
        <v>0.27033088744983802</v>
      </c>
      <c r="AI889" s="2">
        <v>0.223943986962651</v>
      </c>
      <c r="AJ889" s="2">
        <v>9.91974108203698E-2</v>
      </c>
      <c r="AK889" s="2">
        <v>0.392901744695907</v>
      </c>
      <c r="AL889" s="2">
        <v>0.14476419998323201</v>
      </c>
      <c r="AN889" s="2">
        <v>6.8</v>
      </c>
      <c r="AO889" s="2">
        <v>19.899999999999999</v>
      </c>
      <c r="AP889" s="2">
        <v>564</v>
      </c>
      <c r="AQ889" s="2">
        <v>68</v>
      </c>
      <c r="AR889" s="2">
        <v>1.5</v>
      </c>
      <c r="AS889" s="2">
        <v>135</v>
      </c>
      <c r="AT889" s="2">
        <v>0.8</v>
      </c>
      <c r="AU889" s="2">
        <v>162</v>
      </c>
      <c r="AV889" s="2">
        <v>9.1</v>
      </c>
      <c r="AW889" s="2">
        <v>9.1999999999999993</v>
      </c>
      <c r="AX889" s="2">
        <v>18.3</v>
      </c>
      <c r="AY889" s="2">
        <v>0.34</v>
      </c>
      <c r="AZ889" s="2">
        <v>7.3</v>
      </c>
      <c r="BA889" s="2">
        <v>0.9</v>
      </c>
      <c r="BB889" s="2">
        <v>7.5</v>
      </c>
      <c r="BC889" s="2">
        <v>2.9</v>
      </c>
      <c r="BD889" s="2">
        <f>+AN889*EXP(-0.0495*Y889)</f>
        <v>6.1418766269281395</v>
      </c>
      <c r="BE889" s="2">
        <f>+AO889*EXP(-0.024*Y889)</f>
        <v>18.94170112748775</v>
      </c>
    </row>
    <row r="890" spans="1:57" x14ac:dyDescent="0.2">
      <c r="A890" s="2" t="s">
        <v>2792</v>
      </c>
      <c r="B890" s="2" t="s">
        <v>19</v>
      </c>
      <c r="C890" s="2" t="s">
        <v>1907</v>
      </c>
      <c r="D890" s="2" t="s">
        <v>21</v>
      </c>
      <c r="E890" s="2" t="s">
        <v>2793</v>
      </c>
      <c r="F890" s="2">
        <v>4</v>
      </c>
      <c r="G890" s="2">
        <v>126</v>
      </c>
      <c r="H890" s="2">
        <v>3</v>
      </c>
      <c r="I890" s="2">
        <v>3</v>
      </c>
      <c r="J890" s="2">
        <v>2</v>
      </c>
      <c r="K890" s="2" t="s">
        <v>61</v>
      </c>
      <c r="L890" s="6" t="s">
        <v>113</v>
      </c>
      <c r="M890" s="5">
        <v>950000000</v>
      </c>
      <c r="N890" s="2">
        <v>0</v>
      </c>
      <c r="O890" s="2">
        <v>4.6691637000000004</v>
      </c>
      <c r="P890" s="2">
        <v>-74.085850100000002</v>
      </c>
      <c r="Q890" s="2" t="s">
        <v>2794</v>
      </c>
      <c r="R890" s="2">
        <v>7539682.54</v>
      </c>
      <c r="S890" s="2">
        <v>0</v>
      </c>
      <c r="T890" s="2" t="s">
        <v>26</v>
      </c>
      <c r="U890" s="2" t="s">
        <v>27</v>
      </c>
      <c r="V890" s="2" t="s">
        <v>28</v>
      </c>
      <c r="W890" s="2" t="s">
        <v>29</v>
      </c>
      <c r="X890" s="2" t="s">
        <v>30</v>
      </c>
      <c r="Y890" s="2">
        <v>1.2089849764924301</v>
      </c>
      <c r="Z890" s="2">
        <v>4.6584666666666701</v>
      </c>
      <c r="AA890" s="2">
        <v>-74.083966666666697</v>
      </c>
      <c r="AB890" s="2">
        <v>2552</v>
      </c>
      <c r="AC890" s="2" t="s">
        <v>31</v>
      </c>
      <c r="AD890" s="2" t="s">
        <v>32</v>
      </c>
      <c r="AE890" s="2" t="s">
        <v>33</v>
      </c>
      <c r="AF890" s="2" t="s">
        <v>34</v>
      </c>
      <c r="AG890" s="2" t="s">
        <v>293</v>
      </c>
      <c r="AH890" s="2">
        <v>1.28829111634911</v>
      </c>
      <c r="AI890" s="2">
        <v>4.4243403090621296</v>
      </c>
      <c r="AJ890" s="2">
        <v>2.1461170314008999</v>
      </c>
      <c r="AK890" s="2">
        <v>9.05302389918652E-2</v>
      </c>
      <c r="AL890" s="2">
        <v>0.28370949738295098</v>
      </c>
      <c r="AN890" s="2">
        <v>6.8</v>
      </c>
      <c r="AO890" s="2">
        <v>19.899999999999999</v>
      </c>
      <c r="AP890" s="2">
        <v>564</v>
      </c>
      <c r="AQ890" s="2">
        <v>68</v>
      </c>
      <c r="AR890" s="2">
        <v>1.5</v>
      </c>
      <c r="AS890" s="2">
        <v>135</v>
      </c>
      <c r="AT890" s="2">
        <v>0.8</v>
      </c>
      <c r="AU890" s="2">
        <v>162</v>
      </c>
      <c r="AV890" s="2">
        <v>9.1</v>
      </c>
      <c r="AW890" s="2">
        <v>9.1999999999999993</v>
      </c>
      <c r="AX890" s="2">
        <v>18.3</v>
      </c>
      <c r="AY890" s="2">
        <v>0.34</v>
      </c>
      <c r="AZ890" s="2">
        <v>7.3</v>
      </c>
      <c r="BA890" s="2">
        <v>0.9</v>
      </c>
      <c r="BB890" s="2">
        <v>7.5</v>
      </c>
      <c r="BC890" s="2">
        <v>2.9</v>
      </c>
      <c r="BD890" s="2">
        <f>+AN890*EXP(-0.0495*Y890)</f>
        <v>6.4049930857869413</v>
      </c>
      <c r="BE890" s="2">
        <f>+AO890*EXP(-0.024*Y890)</f>
        <v>19.330885316381117</v>
      </c>
    </row>
    <row r="891" spans="1:57" x14ac:dyDescent="0.2">
      <c r="A891" s="2" t="s">
        <v>2374</v>
      </c>
      <c r="B891" s="2" t="s">
        <v>19</v>
      </c>
      <c r="C891" s="2" t="s">
        <v>1907</v>
      </c>
      <c r="D891" s="2" t="s">
        <v>21</v>
      </c>
      <c r="E891" s="2" t="s">
        <v>1068</v>
      </c>
      <c r="F891" s="2">
        <v>4</v>
      </c>
      <c r="G891" s="2">
        <v>126</v>
      </c>
      <c r="H891" s="2">
        <v>3</v>
      </c>
      <c r="I891" s="2">
        <v>3</v>
      </c>
      <c r="J891" s="2">
        <v>2</v>
      </c>
      <c r="K891" s="2" t="s">
        <v>61</v>
      </c>
      <c r="L891" s="6" t="s">
        <v>75</v>
      </c>
      <c r="M891" s="5">
        <v>900000000</v>
      </c>
      <c r="N891" s="2">
        <v>0</v>
      </c>
      <c r="O891" s="2">
        <v>4.6693454000000001</v>
      </c>
      <c r="P891" s="2">
        <v>-74.085650000000001</v>
      </c>
      <c r="Q891" s="2" t="s">
        <v>2375</v>
      </c>
      <c r="R891" s="2">
        <v>7142857.1430000002</v>
      </c>
      <c r="S891" s="2">
        <v>0</v>
      </c>
      <c r="T891" s="2" t="s">
        <v>26</v>
      </c>
      <c r="U891" s="2" t="s">
        <v>27</v>
      </c>
      <c r="V891" s="2" t="s">
        <v>28</v>
      </c>
      <c r="W891" s="2" t="s">
        <v>29</v>
      </c>
      <c r="X891" s="2" t="s">
        <v>30</v>
      </c>
      <c r="Y891" s="2">
        <v>1.2253324039144999</v>
      </c>
      <c r="Z891" s="2">
        <v>4.6584666666666701</v>
      </c>
      <c r="AA891" s="2">
        <v>-74.083966666666697</v>
      </c>
      <c r="AB891" s="2">
        <v>2552</v>
      </c>
      <c r="AC891" s="2" t="s">
        <v>31</v>
      </c>
      <c r="AD891" s="2" t="s">
        <v>32</v>
      </c>
      <c r="AE891" s="2" t="s">
        <v>33</v>
      </c>
      <c r="AF891" s="2" t="s">
        <v>34</v>
      </c>
      <c r="AG891" s="2" t="s">
        <v>293</v>
      </c>
      <c r="AH891" s="2">
        <v>1.27184252975858</v>
      </c>
      <c r="AI891" s="2">
        <v>4.41885841573127</v>
      </c>
      <c r="AJ891" s="2">
        <v>2.1622781003072902</v>
      </c>
      <c r="AK891" s="2">
        <v>6.6413343556685503E-2</v>
      </c>
      <c r="AL891" s="2">
        <v>0.25426072115731102</v>
      </c>
      <c r="AN891" s="2">
        <v>6.8</v>
      </c>
      <c r="AO891" s="2">
        <v>19.899999999999999</v>
      </c>
      <c r="AP891" s="2">
        <v>564</v>
      </c>
      <c r="AQ891" s="2">
        <v>68</v>
      </c>
      <c r="AR891" s="2">
        <v>1.5</v>
      </c>
      <c r="AS891" s="2">
        <v>135</v>
      </c>
      <c r="AT891" s="2">
        <v>0.8</v>
      </c>
      <c r="AU891" s="2">
        <v>162</v>
      </c>
      <c r="AV891" s="2">
        <v>9.1</v>
      </c>
      <c r="AW891" s="2">
        <v>9.1999999999999993</v>
      </c>
      <c r="AX891" s="2">
        <v>18.3</v>
      </c>
      <c r="AY891" s="2">
        <v>0.34</v>
      </c>
      <c r="AZ891" s="2">
        <v>7.3</v>
      </c>
      <c r="BA891" s="2">
        <v>0.9</v>
      </c>
      <c r="BB891" s="2">
        <v>7.5</v>
      </c>
      <c r="BC891" s="2">
        <v>2.9</v>
      </c>
      <c r="BD891" s="2">
        <f>+AN891*EXP(-0.0495*Y891)</f>
        <v>6.3998122768182473</v>
      </c>
      <c r="BE891" s="2">
        <f>+AO891*EXP(-0.024*Y891)</f>
        <v>19.323302558108335</v>
      </c>
    </row>
    <row r="892" spans="1:57" x14ac:dyDescent="0.2">
      <c r="A892" s="2" t="s">
        <v>505</v>
      </c>
      <c r="B892" s="2" t="s">
        <v>19</v>
      </c>
      <c r="C892" s="2" t="s">
        <v>20</v>
      </c>
      <c r="D892" s="2" t="s">
        <v>21</v>
      </c>
      <c r="E892" s="2" t="s">
        <v>486</v>
      </c>
      <c r="F892" s="2">
        <v>3</v>
      </c>
      <c r="G892" s="2">
        <v>126</v>
      </c>
      <c r="H892" s="2">
        <v>3</v>
      </c>
      <c r="I892" s="2">
        <v>2</v>
      </c>
      <c r="J892" s="2">
        <v>0</v>
      </c>
      <c r="K892" s="2" t="s">
        <v>61</v>
      </c>
      <c r="L892" s="6" t="s">
        <v>113</v>
      </c>
      <c r="M892" s="5">
        <v>780000000</v>
      </c>
      <c r="N892" s="2">
        <v>0</v>
      </c>
      <c r="O892" s="2">
        <v>4.6049466130000001</v>
      </c>
      <c r="P892" s="2">
        <v>-74.066543580000001</v>
      </c>
      <c r="Q892" s="2" t="s">
        <v>506</v>
      </c>
      <c r="R892" s="2">
        <v>6190476.1900000004</v>
      </c>
      <c r="S892" s="2">
        <v>0</v>
      </c>
      <c r="T892" s="2" t="s">
        <v>77</v>
      </c>
      <c r="U892" s="2" t="s">
        <v>78</v>
      </c>
      <c r="V892" s="2" t="s">
        <v>28</v>
      </c>
      <c r="W892" s="2" t="s">
        <v>79</v>
      </c>
      <c r="X892" s="2" t="s">
        <v>80</v>
      </c>
      <c r="Y892" s="2">
        <v>2.2869605096965699</v>
      </c>
      <c r="Z892" s="2">
        <v>4.6254861111111101</v>
      </c>
      <c r="AA892" s="2">
        <v>-74.066980555555503</v>
      </c>
      <c r="AB892" s="2">
        <v>2621</v>
      </c>
      <c r="AC892" s="2" t="s">
        <v>31</v>
      </c>
      <c r="AD892" s="2" t="s">
        <v>32</v>
      </c>
      <c r="AE892" s="2" t="s">
        <v>33</v>
      </c>
      <c r="AF892" s="2" t="s">
        <v>34</v>
      </c>
      <c r="AG892" s="2" t="s">
        <v>89</v>
      </c>
      <c r="AH892" s="2">
        <v>9.1847888220908405E-2</v>
      </c>
      <c r="AI892" s="2">
        <v>0.24273609508341401</v>
      </c>
      <c r="AJ892" s="2">
        <v>0.23260249858958801</v>
      </c>
      <c r="AK892" s="2">
        <v>0.26069611793023201</v>
      </c>
      <c r="AL892" s="2">
        <v>9.5799130257334802E-2</v>
      </c>
      <c r="AN892" s="2">
        <v>6.8</v>
      </c>
      <c r="AO892" s="2">
        <v>19.899999999999999</v>
      </c>
      <c r="AP892" s="2">
        <v>564</v>
      </c>
      <c r="AQ892" s="2">
        <v>68</v>
      </c>
      <c r="AR892" s="2">
        <v>1.5</v>
      </c>
      <c r="AS892" s="2">
        <v>135</v>
      </c>
      <c r="AT892" s="2">
        <v>0.8</v>
      </c>
      <c r="AU892" s="2">
        <v>162</v>
      </c>
      <c r="AV892" s="2">
        <v>9.1</v>
      </c>
      <c r="AW892" s="2">
        <v>9.1999999999999993</v>
      </c>
      <c r="AX892" s="2">
        <v>18.3</v>
      </c>
      <c r="AY892" s="2">
        <v>0.34</v>
      </c>
      <c r="AZ892" s="2">
        <v>7.3</v>
      </c>
      <c r="BA892" s="2">
        <v>0.9</v>
      </c>
      <c r="BB892" s="2">
        <v>7.5</v>
      </c>
      <c r="BC892" s="2">
        <v>2.9</v>
      </c>
      <c r="BD892" s="2">
        <f>+AN892*EXP(-0.0495*Y892)</f>
        <v>6.0721823258236647</v>
      </c>
      <c r="BE892" s="2">
        <f>+AO892*EXP(-0.024*Y892)</f>
        <v>18.837181941766232</v>
      </c>
    </row>
    <row r="893" spans="1:57" x14ac:dyDescent="0.2">
      <c r="A893" s="2" t="s">
        <v>3057</v>
      </c>
      <c r="B893" s="2" t="s">
        <v>19</v>
      </c>
      <c r="C893" s="2" t="s">
        <v>1907</v>
      </c>
      <c r="D893" s="2" t="s">
        <v>21</v>
      </c>
      <c r="E893" s="2" t="s">
        <v>3058</v>
      </c>
      <c r="F893" s="2">
        <v>3</v>
      </c>
      <c r="G893" s="2">
        <v>126</v>
      </c>
      <c r="H893" s="2">
        <v>5</v>
      </c>
      <c r="I893" s="2">
        <v>4</v>
      </c>
      <c r="J893" s="2">
        <v>1</v>
      </c>
      <c r="K893" s="2" t="s">
        <v>61</v>
      </c>
      <c r="L893" s="6" t="s">
        <v>113</v>
      </c>
      <c r="M893" s="5">
        <v>560000000</v>
      </c>
      <c r="N893" s="2">
        <v>0</v>
      </c>
      <c r="O893" s="2">
        <v>4.6015100000000002</v>
      </c>
      <c r="P893" s="2">
        <v>-74.189869999999999</v>
      </c>
      <c r="Q893" s="2" t="s">
        <v>3059</v>
      </c>
      <c r="R893" s="2">
        <v>4444444.4440000001</v>
      </c>
      <c r="S893" s="2">
        <v>0</v>
      </c>
      <c r="T893" s="2" t="s">
        <v>316</v>
      </c>
      <c r="U893" s="2" t="s">
        <v>317</v>
      </c>
      <c r="V893" s="2" t="s">
        <v>28</v>
      </c>
      <c r="W893" s="2" t="s">
        <v>316</v>
      </c>
      <c r="X893" s="2" t="s">
        <v>318</v>
      </c>
      <c r="Y893" s="2">
        <v>1.6389042568568499</v>
      </c>
      <c r="Z893" s="2">
        <v>4.6056111111111102</v>
      </c>
      <c r="AA893" s="2">
        <v>-74.204055555555598</v>
      </c>
      <c r="AB893" s="2">
        <v>2546</v>
      </c>
      <c r="AC893" s="2" t="s">
        <v>31</v>
      </c>
      <c r="AD893" s="2" t="s">
        <v>58</v>
      </c>
      <c r="AE893" s="2" t="s">
        <v>33</v>
      </c>
      <c r="AF893" s="2" t="s">
        <v>34</v>
      </c>
      <c r="AG893" s="2" t="s">
        <v>319</v>
      </c>
      <c r="AH893" s="2">
        <v>0.78882084696815002</v>
      </c>
      <c r="AI893" s="2">
        <v>3.6348324778224801</v>
      </c>
      <c r="AJ893" s="2">
        <v>5.7418089342741299</v>
      </c>
      <c r="AK893" s="2">
        <v>0.17791874385429199</v>
      </c>
      <c r="AL893" s="2">
        <v>0.18768756678078699</v>
      </c>
      <c r="AN893" s="2">
        <v>6.8</v>
      </c>
      <c r="AO893" s="2">
        <v>19.899999999999999</v>
      </c>
      <c r="AP893" s="2">
        <v>564</v>
      </c>
      <c r="AQ893" s="2">
        <v>68</v>
      </c>
      <c r="AR893" s="2">
        <v>1.5</v>
      </c>
      <c r="AS893" s="2">
        <v>135</v>
      </c>
      <c r="AT893" s="2">
        <v>0.8</v>
      </c>
      <c r="AU893" s="2">
        <v>162</v>
      </c>
      <c r="AV893" s="2">
        <v>9.1</v>
      </c>
      <c r="AW893" s="2">
        <v>9.1999999999999993</v>
      </c>
      <c r="AX893" s="2">
        <v>18.3</v>
      </c>
      <c r="AY893" s="2">
        <v>0.34</v>
      </c>
      <c r="AZ893" s="2">
        <v>7.3</v>
      </c>
      <c r="BA893" s="2">
        <v>0.9</v>
      </c>
      <c r="BB893" s="2">
        <v>7.5</v>
      </c>
      <c r="BC893" s="2">
        <v>2.9</v>
      </c>
      <c r="BD893" s="2">
        <f>+AN893*EXP(-0.0495*Y893)</f>
        <v>6.2701285163961504</v>
      </c>
      <c r="BE893" s="2">
        <f>+AO893*EXP(-0.024*Y893)</f>
        <v>19.132453505478384</v>
      </c>
    </row>
    <row r="894" spans="1:57" x14ac:dyDescent="0.2">
      <c r="A894" s="2" t="s">
        <v>1653</v>
      </c>
      <c r="B894" s="2" t="s">
        <v>19</v>
      </c>
      <c r="C894" s="2" t="s">
        <v>20</v>
      </c>
      <c r="D894" s="2" t="s">
        <v>21</v>
      </c>
      <c r="E894" s="2" t="s">
        <v>180</v>
      </c>
      <c r="F894" s="2">
        <v>6</v>
      </c>
      <c r="G894" s="2">
        <v>123</v>
      </c>
      <c r="H894" s="2">
        <v>2</v>
      </c>
      <c r="I894" s="2">
        <v>2</v>
      </c>
      <c r="J894" s="2">
        <v>2</v>
      </c>
      <c r="K894" s="2" t="s">
        <v>61</v>
      </c>
      <c r="L894" s="6" t="s">
        <v>66</v>
      </c>
      <c r="M894" s="5">
        <v>1100000000</v>
      </c>
      <c r="N894" s="2">
        <v>0</v>
      </c>
      <c r="O894" s="2">
        <v>4.6739754680000001</v>
      </c>
      <c r="P894" s="2">
        <v>-74.048332209999998</v>
      </c>
      <c r="Q894" s="2" t="s">
        <v>1654</v>
      </c>
      <c r="R894" s="2">
        <v>8943089.4309999999</v>
      </c>
      <c r="S894" s="2">
        <v>0</v>
      </c>
      <c r="T894" s="2" t="s">
        <v>26</v>
      </c>
      <c r="U894" s="2" t="s">
        <v>27</v>
      </c>
      <c r="V894" s="2" t="s">
        <v>28</v>
      </c>
      <c r="W894" s="2" t="s">
        <v>29</v>
      </c>
      <c r="X894" s="2" t="s">
        <v>30</v>
      </c>
      <c r="Y894" s="2">
        <v>4.3141635847213804</v>
      </c>
      <c r="Z894" s="2">
        <v>4.6584666666666701</v>
      </c>
      <c r="AA894" s="2">
        <v>-74.083966666666697</v>
      </c>
      <c r="AB894" s="2">
        <v>2552</v>
      </c>
      <c r="AC894" s="2" t="s">
        <v>31</v>
      </c>
      <c r="AD894" s="2" t="s">
        <v>32</v>
      </c>
      <c r="AE894" s="2" t="s">
        <v>33</v>
      </c>
      <c r="AF894" s="2" t="s">
        <v>34</v>
      </c>
      <c r="AG894" s="2" t="s">
        <v>81</v>
      </c>
      <c r="AH894" s="2">
        <v>1.2059075870374301</v>
      </c>
      <c r="AI894" s="2">
        <v>0.84030004789027402</v>
      </c>
      <c r="AJ894" s="2">
        <v>1.1724265028465499</v>
      </c>
      <c r="AK894" s="2">
        <v>4.6211697241759803E-2</v>
      </c>
      <c r="AL894" s="2">
        <v>0.82746526797525</v>
      </c>
      <c r="AN894" s="2">
        <v>6.8</v>
      </c>
      <c r="AO894" s="2">
        <v>19.899999999999999</v>
      </c>
      <c r="AP894" s="2">
        <v>564</v>
      </c>
      <c r="AQ894" s="2">
        <v>68</v>
      </c>
      <c r="AR894" s="2">
        <v>1.5</v>
      </c>
      <c r="AS894" s="2">
        <v>135</v>
      </c>
      <c r="AT894" s="2">
        <v>0.8</v>
      </c>
      <c r="AU894" s="2">
        <v>162</v>
      </c>
      <c r="AV894" s="2">
        <v>9.1</v>
      </c>
      <c r="AW894" s="2">
        <v>9.1999999999999993</v>
      </c>
      <c r="AX894" s="2">
        <v>18.3</v>
      </c>
      <c r="AY894" s="2">
        <v>0.34</v>
      </c>
      <c r="AZ894" s="2">
        <v>7.3</v>
      </c>
      <c r="BA894" s="2">
        <v>0.9</v>
      </c>
      <c r="BB894" s="2">
        <v>7.5</v>
      </c>
      <c r="BC894" s="2">
        <v>2.9</v>
      </c>
      <c r="BD894" s="2">
        <f>+AN894*EXP(-0.0495*Y894)</f>
        <v>5.4924340325146748</v>
      </c>
      <c r="BE894" s="2">
        <f>+AO894*EXP(-0.024*Y894)</f>
        <v>17.942636459960632</v>
      </c>
    </row>
    <row r="895" spans="1:57" x14ac:dyDescent="0.2">
      <c r="A895" s="2" t="s">
        <v>354</v>
      </c>
      <c r="B895" s="2" t="s">
        <v>19</v>
      </c>
      <c r="C895" s="2" t="s">
        <v>20</v>
      </c>
      <c r="D895" s="2" t="s">
        <v>21</v>
      </c>
      <c r="E895" s="2" t="s">
        <v>355</v>
      </c>
      <c r="F895" s="2">
        <v>6</v>
      </c>
      <c r="G895" s="2">
        <v>122</v>
      </c>
      <c r="H895" s="2">
        <v>3</v>
      </c>
      <c r="I895" s="2">
        <v>3</v>
      </c>
      <c r="J895" s="2">
        <v>2</v>
      </c>
      <c r="K895" s="2" t="s">
        <v>61</v>
      </c>
      <c r="L895" s="6" t="s">
        <v>113</v>
      </c>
      <c r="M895" s="5">
        <v>980000000</v>
      </c>
      <c r="N895" s="2">
        <v>0</v>
      </c>
      <c r="O895" s="2">
        <v>4.6733312610000004</v>
      </c>
      <c r="P895" s="2">
        <v>-74.058006289999994</v>
      </c>
      <c r="Q895" s="2" t="s">
        <v>356</v>
      </c>
      <c r="R895" s="2">
        <v>8032786.8849999998</v>
      </c>
      <c r="S895" s="2">
        <v>0</v>
      </c>
      <c r="T895" s="2" t="s">
        <v>26</v>
      </c>
      <c r="U895" s="2" t="s">
        <v>27</v>
      </c>
      <c r="V895" s="2" t="s">
        <v>28</v>
      </c>
      <c r="W895" s="2" t="s">
        <v>29</v>
      </c>
      <c r="X895" s="2" t="s">
        <v>30</v>
      </c>
      <c r="Y895" s="2">
        <v>3.3217963757870002</v>
      </c>
      <c r="Z895" s="2">
        <v>4.6584666666666701</v>
      </c>
      <c r="AA895" s="2">
        <v>-74.083966666666697</v>
      </c>
      <c r="AB895" s="2">
        <v>2552</v>
      </c>
      <c r="AC895" s="2" t="s">
        <v>31</v>
      </c>
      <c r="AD895" s="2" t="s">
        <v>32</v>
      </c>
      <c r="AE895" s="2" t="s">
        <v>33</v>
      </c>
      <c r="AF895" s="2" t="s">
        <v>34</v>
      </c>
      <c r="AG895" s="2" t="s">
        <v>81</v>
      </c>
      <c r="AH895" s="2">
        <v>0.21361040019649699</v>
      </c>
      <c r="AI895" s="2">
        <v>1.7155477937797801</v>
      </c>
      <c r="AJ895" s="2">
        <v>0.60691502714465295</v>
      </c>
      <c r="AK895" s="2">
        <v>4.0064203525069501E-2</v>
      </c>
      <c r="AL895" s="2">
        <v>0.77881204529357595</v>
      </c>
      <c r="AN895" s="2">
        <v>6.8</v>
      </c>
      <c r="AO895" s="2">
        <v>19.899999999999999</v>
      </c>
      <c r="AP895" s="2">
        <v>564</v>
      </c>
      <c r="AQ895" s="2">
        <v>68</v>
      </c>
      <c r="AR895" s="2">
        <v>1.5</v>
      </c>
      <c r="AS895" s="2">
        <v>135</v>
      </c>
      <c r="AT895" s="2">
        <v>0.8</v>
      </c>
      <c r="AU895" s="2">
        <v>162</v>
      </c>
      <c r="AV895" s="2">
        <v>9.1</v>
      </c>
      <c r="AW895" s="2">
        <v>9.1999999999999993</v>
      </c>
      <c r="AX895" s="2">
        <v>18.3</v>
      </c>
      <c r="AY895" s="2">
        <v>0.34</v>
      </c>
      <c r="AZ895" s="2">
        <v>7.3</v>
      </c>
      <c r="BA895" s="2">
        <v>0.9</v>
      </c>
      <c r="BB895" s="2">
        <v>7.5</v>
      </c>
      <c r="BC895" s="2">
        <v>2.9</v>
      </c>
      <c r="BD895" s="2">
        <f>+AN895*EXP(-0.0495*Y895)</f>
        <v>5.7689707876224219</v>
      </c>
      <c r="BE895" s="2">
        <f>+AO895*EXP(-0.024*Y895)</f>
        <v>18.375102415418009</v>
      </c>
    </row>
    <row r="896" spans="1:57" x14ac:dyDescent="0.2">
      <c r="A896" s="2" t="s">
        <v>2065</v>
      </c>
      <c r="B896" s="2" t="s">
        <v>19</v>
      </c>
      <c r="C896" s="2" t="s">
        <v>1907</v>
      </c>
      <c r="D896" s="2" t="s">
        <v>21</v>
      </c>
      <c r="E896" s="2" t="s">
        <v>2066</v>
      </c>
      <c r="F896" s="2">
        <v>3</v>
      </c>
      <c r="G896" s="2">
        <v>120</v>
      </c>
      <c r="H896" s="2">
        <v>4</v>
      </c>
      <c r="I896" s="2">
        <v>3</v>
      </c>
      <c r="J896" s="2">
        <v>1</v>
      </c>
      <c r="K896" s="2" t="s">
        <v>61</v>
      </c>
      <c r="L896" s="6" t="s">
        <v>66</v>
      </c>
      <c r="M896" s="5">
        <v>470000000</v>
      </c>
      <c r="N896" s="2">
        <v>0</v>
      </c>
      <c r="O896" s="2">
        <v>4.7194753</v>
      </c>
      <c r="P896" s="2">
        <v>-74.110755999999995</v>
      </c>
      <c r="Q896" s="2" t="s">
        <v>2067</v>
      </c>
      <c r="R896" s="2">
        <v>3916666.6669999999</v>
      </c>
      <c r="S896" s="2">
        <v>0</v>
      </c>
      <c r="T896" s="2" t="s">
        <v>370</v>
      </c>
      <c r="U896" s="2" t="s">
        <v>371</v>
      </c>
      <c r="V896" s="2" t="s">
        <v>28</v>
      </c>
      <c r="W896" s="2" t="s">
        <v>29</v>
      </c>
      <c r="X896" s="2" t="s">
        <v>372</v>
      </c>
      <c r="Y896" s="2">
        <v>2.47451474465301</v>
      </c>
      <c r="Z896" s="2">
        <v>4.7358055555555598</v>
      </c>
      <c r="AA896" s="2">
        <v>-74.125888888888895</v>
      </c>
      <c r="AB896" s="2">
        <v>2574</v>
      </c>
      <c r="AC896" s="2" t="s">
        <v>105</v>
      </c>
      <c r="AD896" s="2" t="s">
        <v>58</v>
      </c>
      <c r="AE896" s="2" t="s">
        <v>33</v>
      </c>
      <c r="AF896" s="2" t="s">
        <v>34</v>
      </c>
      <c r="AG896" s="2" t="s">
        <v>363</v>
      </c>
      <c r="AH896" s="2">
        <v>1.0663575216308501</v>
      </c>
      <c r="AI896" s="2">
        <v>1.78618775830233</v>
      </c>
      <c r="AJ896" s="2">
        <v>2.9994937494564899</v>
      </c>
      <c r="AK896" s="2">
        <v>0.33106230048453</v>
      </c>
      <c r="AL896" s="2">
        <v>0.19464300405141499</v>
      </c>
      <c r="AN896" s="2">
        <v>6.8</v>
      </c>
      <c r="AO896" s="2">
        <v>19.899999999999999</v>
      </c>
      <c r="AP896" s="2">
        <v>564</v>
      </c>
      <c r="AQ896" s="2">
        <v>68</v>
      </c>
      <c r="AR896" s="2">
        <v>1.5</v>
      </c>
      <c r="AS896" s="2">
        <v>135</v>
      </c>
      <c r="AT896" s="2">
        <v>0.8</v>
      </c>
      <c r="AU896" s="2">
        <v>162</v>
      </c>
      <c r="AV896" s="2">
        <v>9.1</v>
      </c>
      <c r="AW896" s="2">
        <v>9.1999999999999993</v>
      </c>
      <c r="AX896" s="2">
        <v>18.3</v>
      </c>
      <c r="AY896" s="2">
        <v>0.34</v>
      </c>
      <c r="AZ896" s="2">
        <v>7.3</v>
      </c>
      <c r="BA896" s="2">
        <v>0.9</v>
      </c>
      <c r="BB896" s="2">
        <v>7.5</v>
      </c>
      <c r="BC896" s="2">
        <v>2.9</v>
      </c>
      <c r="BD896" s="2">
        <f>+AN896*EXP(-0.0495*Y896)</f>
        <v>6.0160694591769523</v>
      </c>
      <c r="BE896" s="2">
        <f>+AO896*EXP(-0.024*Y896)</f>
        <v>18.752580654621941</v>
      </c>
    </row>
    <row r="897" spans="1:57" x14ac:dyDescent="0.2">
      <c r="A897" s="2" t="s">
        <v>2150</v>
      </c>
      <c r="B897" s="2" t="s">
        <v>19</v>
      </c>
      <c r="C897" s="2" t="s">
        <v>1907</v>
      </c>
      <c r="D897" s="2" t="s">
        <v>21</v>
      </c>
      <c r="E897" s="2" t="s">
        <v>2151</v>
      </c>
      <c r="F897" s="2">
        <v>3</v>
      </c>
      <c r="G897" s="2">
        <v>120</v>
      </c>
      <c r="H897" s="2">
        <v>4</v>
      </c>
      <c r="I897" s="2">
        <v>3</v>
      </c>
      <c r="J897" s="2">
        <v>1</v>
      </c>
      <c r="K897" s="2" t="s">
        <v>61</v>
      </c>
      <c r="L897" s="6" t="s">
        <v>75</v>
      </c>
      <c r="M897" s="5">
        <v>400000000</v>
      </c>
      <c r="N897" s="2">
        <v>0</v>
      </c>
      <c r="O897" s="2">
        <v>4.7115235330000003</v>
      </c>
      <c r="P897" s="2">
        <v>-74.118904110000003</v>
      </c>
      <c r="Q897" s="2" t="s">
        <v>2152</v>
      </c>
      <c r="R897" s="2">
        <v>3333333.3330000001</v>
      </c>
      <c r="S897" s="2">
        <v>0</v>
      </c>
      <c r="T897" s="2" t="s">
        <v>370</v>
      </c>
      <c r="U897" s="2" t="s">
        <v>371</v>
      </c>
      <c r="V897" s="2" t="s">
        <v>28</v>
      </c>
      <c r="W897" s="2" t="s">
        <v>29</v>
      </c>
      <c r="X897" s="2" t="s">
        <v>372</v>
      </c>
      <c r="Y897" s="2">
        <v>2.81194202158055</v>
      </c>
      <c r="Z897" s="2">
        <v>4.7358055555555598</v>
      </c>
      <c r="AA897" s="2">
        <v>-74.125888888888895</v>
      </c>
      <c r="AB897" s="2">
        <v>2574</v>
      </c>
      <c r="AC897" s="2" t="s">
        <v>105</v>
      </c>
      <c r="AD897" s="2" t="s">
        <v>58</v>
      </c>
      <c r="AE897" s="2" t="s">
        <v>33</v>
      </c>
      <c r="AF897" s="2" t="s">
        <v>34</v>
      </c>
      <c r="AG897" s="2" t="s">
        <v>363</v>
      </c>
      <c r="AH897" s="2">
        <v>0.94977198695455001</v>
      </c>
      <c r="AI897" s="2">
        <v>1.67581835558266</v>
      </c>
      <c r="AJ897" s="2">
        <v>2.4311592474868098</v>
      </c>
      <c r="AK897" s="2">
        <v>0.221373210822845</v>
      </c>
      <c r="AL897" s="2">
        <v>8.0148165572668795E-2</v>
      </c>
      <c r="AN897" s="2">
        <v>6.8</v>
      </c>
      <c r="AO897" s="2">
        <v>19.899999999999999</v>
      </c>
      <c r="AP897" s="2">
        <v>564</v>
      </c>
      <c r="AQ897" s="2">
        <v>68</v>
      </c>
      <c r="AR897" s="2">
        <v>1.5</v>
      </c>
      <c r="AS897" s="2">
        <v>135</v>
      </c>
      <c r="AT897" s="2">
        <v>0.8</v>
      </c>
      <c r="AU897" s="2">
        <v>162</v>
      </c>
      <c r="AV897" s="2">
        <v>9.1</v>
      </c>
      <c r="AW897" s="2">
        <v>9.1999999999999993</v>
      </c>
      <c r="AX897" s="2">
        <v>18.3</v>
      </c>
      <c r="AY897" s="2">
        <v>0.34</v>
      </c>
      <c r="AZ897" s="2">
        <v>7.3</v>
      </c>
      <c r="BA897" s="2">
        <v>0.9</v>
      </c>
      <c r="BB897" s="2">
        <v>7.5</v>
      </c>
      <c r="BC897" s="2">
        <v>2.9</v>
      </c>
      <c r="BD897" s="2">
        <f>+AN897*EXP(-0.0495*Y897)</f>
        <v>5.9164196797466309</v>
      </c>
      <c r="BE897" s="2">
        <f>+AO897*EXP(-0.024*Y897)</f>
        <v>18.601330737978046</v>
      </c>
    </row>
    <row r="898" spans="1:57" x14ac:dyDescent="0.2">
      <c r="A898" s="2" t="s">
        <v>1764</v>
      </c>
      <c r="B898" s="2" t="s">
        <v>19</v>
      </c>
      <c r="C898" s="2" t="s">
        <v>20</v>
      </c>
      <c r="D898" s="2" t="s">
        <v>21</v>
      </c>
      <c r="E898" s="2" t="s">
        <v>1765</v>
      </c>
      <c r="F898" s="2">
        <v>6</v>
      </c>
      <c r="G898" s="2">
        <v>118</v>
      </c>
      <c r="H898" s="2">
        <v>3</v>
      </c>
      <c r="I898" s="2">
        <v>4</v>
      </c>
      <c r="J898" s="2">
        <v>2</v>
      </c>
      <c r="K898" s="2" t="s">
        <v>61</v>
      </c>
      <c r="L898" s="6" t="s">
        <v>62</v>
      </c>
      <c r="M898" s="5">
        <v>1650000000</v>
      </c>
      <c r="N898" s="2">
        <v>0</v>
      </c>
      <c r="O898" s="2">
        <v>4.673942566</v>
      </c>
      <c r="P898" s="2">
        <v>-74.058097840000002</v>
      </c>
      <c r="Q898" s="2" t="s">
        <v>1766</v>
      </c>
      <c r="R898" s="2">
        <v>13983050.85</v>
      </c>
      <c r="S898" s="2">
        <v>0</v>
      </c>
      <c r="T898" s="2" t="s">
        <v>26</v>
      </c>
      <c r="U898" s="2" t="s">
        <v>27</v>
      </c>
      <c r="V898" s="2" t="s">
        <v>28</v>
      </c>
      <c r="W898" s="2" t="s">
        <v>29</v>
      </c>
      <c r="X898" s="2" t="s">
        <v>30</v>
      </c>
      <c r="Y898" s="2">
        <v>3.3474993598453602</v>
      </c>
      <c r="Z898" s="2">
        <v>4.6584666666666701</v>
      </c>
      <c r="AA898" s="2">
        <v>-74.083966666666697</v>
      </c>
      <c r="AB898" s="2">
        <v>2552</v>
      </c>
      <c r="AC898" s="2" t="s">
        <v>31</v>
      </c>
      <c r="AD898" s="2" t="s">
        <v>32</v>
      </c>
      <c r="AE898" s="2" t="s">
        <v>33</v>
      </c>
      <c r="AF898" s="2" t="s">
        <v>34</v>
      </c>
      <c r="AG898" s="2" t="s">
        <v>81</v>
      </c>
      <c r="AH898" s="2">
        <v>0.24863193569903699</v>
      </c>
      <c r="AI898" s="2">
        <v>1.76231132323115</v>
      </c>
      <c r="AJ898" s="2">
        <v>0.67356739252260101</v>
      </c>
      <c r="AK898" s="2">
        <v>9.4984429613736696E-2</v>
      </c>
      <c r="AL898" s="2">
        <v>0.71054781072594597</v>
      </c>
      <c r="AN898" s="2">
        <v>6.8</v>
      </c>
      <c r="AO898" s="2">
        <v>19.899999999999999</v>
      </c>
      <c r="AP898" s="2">
        <v>564</v>
      </c>
      <c r="AQ898" s="2">
        <v>68</v>
      </c>
      <c r="AR898" s="2">
        <v>1.5</v>
      </c>
      <c r="AS898" s="2">
        <v>135</v>
      </c>
      <c r="AT898" s="2">
        <v>0.8</v>
      </c>
      <c r="AU898" s="2">
        <v>162</v>
      </c>
      <c r="AV898" s="2">
        <v>9.1</v>
      </c>
      <c r="AW898" s="2">
        <v>9.1999999999999993</v>
      </c>
      <c r="AX898" s="2">
        <v>18.3</v>
      </c>
      <c r="AY898" s="2">
        <v>0.34</v>
      </c>
      <c r="AZ898" s="2">
        <v>7.3</v>
      </c>
      <c r="BA898" s="2">
        <v>0.9</v>
      </c>
      <c r="BB898" s="2">
        <v>7.5</v>
      </c>
      <c r="BC898" s="2">
        <v>2.9</v>
      </c>
      <c r="BD898" s="2">
        <f>+AN898*EXP(-0.0495*Y898)</f>
        <v>5.7616356065516685</v>
      </c>
      <c r="BE898" s="2">
        <f>+AO898*EXP(-0.024*Y898)</f>
        <v>18.36377083169663</v>
      </c>
    </row>
    <row r="899" spans="1:57" x14ac:dyDescent="0.2">
      <c r="A899" s="2" t="s">
        <v>1265</v>
      </c>
      <c r="B899" s="2" t="s">
        <v>19</v>
      </c>
      <c r="C899" s="2" t="s">
        <v>20</v>
      </c>
      <c r="D899" s="2" t="s">
        <v>21</v>
      </c>
      <c r="E899" s="2" t="s">
        <v>22</v>
      </c>
      <c r="F899" s="2">
        <v>4</v>
      </c>
      <c r="G899" s="2">
        <v>118</v>
      </c>
      <c r="H899" s="2">
        <v>3</v>
      </c>
      <c r="I899" s="2">
        <v>3</v>
      </c>
      <c r="J899" s="2">
        <v>1</v>
      </c>
      <c r="K899" s="2" t="s">
        <v>61</v>
      </c>
      <c r="L899" s="6" t="s">
        <v>84</v>
      </c>
      <c r="M899" s="5">
        <v>830000000</v>
      </c>
      <c r="N899" s="2">
        <v>0</v>
      </c>
      <c r="O899" s="2">
        <v>4.6472153660000002</v>
      </c>
      <c r="P899" s="2">
        <v>-74.070571900000004</v>
      </c>
      <c r="Q899" s="2" t="s">
        <v>1266</v>
      </c>
      <c r="R899" s="2">
        <v>7033898.3049999997</v>
      </c>
      <c r="S899" s="2">
        <v>0</v>
      </c>
      <c r="T899" s="2" t="s">
        <v>26</v>
      </c>
      <c r="U899" s="2" t="s">
        <v>27</v>
      </c>
      <c r="V899" s="2" t="s">
        <v>28</v>
      </c>
      <c r="W899" s="2" t="s">
        <v>29</v>
      </c>
      <c r="X899" s="2" t="s">
        <v>30</v>
      </c>
      <c r="Y899" s="2">
        <v>1.9435724148028199</v>
      </c>
      <c r="Z899" s="2">
        <v>4.6584666666666701</v>
      </c>
      <c r="AA899" s="2">
        <v>-74.083966666666697</v>
      </c>
      <c r="AB899" s="2">
        <v>2552</v>
      </c>
      <c r="AC899" s="2" t="s">
        <v>31</v>
      </c>
      <c r="AD899" s="2" t="s">
        <v>32</v>
      </c>
      <c r="AE899" s="2" t="s">
        <v>33</v>
      </c>
      <c r="AF899" s="2" t="s">
        <v>34</v>
      </c>
      <c r="AG899" s="2" t="s">
        <v>35</v>
      </c>
      <c r="AH899" s="2">
        <v>0.64570553616987603</v>
      </c>
      <c r="AI899" s="2">
        <v>1.6042475682238799</v>
      </c>
      <c r="AJ899" s="2">
        <v>0.40705244938268198</v>
      </c>
      <c r="AK899" s="2">
        <v>0.16919420196943999</v>
      </c>
      <c r="AL899" s="2">
        <v>0.1921891310535</v>
      </c>
      <c r="AN899" s="2">
        <v>6.8</v>
      </c>
      <c r="AO899" s="2">
        <v>19.899999999999999</v>
      </c>
      <c r="AP899" s="2">
        <v>564</v>
      </c>
      <c r="AQ899" s="2">
        <v>68</v>
      </c>
      <c r="AR899" s="2">
        <v>1.5</v>
      </c>
      <c r="AS899" s="2">
        <v>135</v>
      </c>
      <c r="AT899" s="2">
        <v>0.8</v>
      </c>
      <c r="AU899" s="2">
        <v>162</v>
      </c>
      <c r="AV899" s="2">
        <v>9.1</v>
      </c>
      <c r="AW899" s="2">
        <v>9.1999999999999993</v>
      </c>
      <c r="AX899" s="2">
        <v>18.3</v>
      </c>
      <c r="AY899" s="2">
        <v>0.34</v>
      </c>
      <c r="AZ899" s="2">
        <v>7.3</v>
      </c>
      <c r="BA899" s="2">
        <v>0.9</v>
      </c>
      <c r="BB899" s="2">
        <v>7.5</v>
      </c>
      <c r="BC899" s="2">
        <v>2.9</v>
      </c>
      <c r="BD899" s="2">
        <f>+AN899*EXP(-0.0495*Y899)</f>
        <v>6.1762777096317532</v>
      </c>
      <c r="BE899" s="2">
        <f>+AO899*EXP(-0.024*Y899)</f>
        <v>18.99306654294827</v>
      </c>
    </row>
    <row r="900" spans="1:57" x14ac:dyDescent="0.2">
      <c r="A900" s="2" t="s">
        <v>4579</v>
      </c>
      <c r="B900" s="2" t="s">
        <v>19</v>
      </c>
      <c r="C900" s="2" t="s">
        <v>3245</v>
      </c>
      <c r="D900" s="2" t="s">
        <v>21</v>
      </c>
      <c r="E900" s="2" t="s">
        <v>1783</v>
      </c>
      <c r="F900" s="2">
        <v>6</v>
      </c>
      <c r="G900" s="2">
        <v>116</v>
      </c>
      <c r="H900" s="2">
        <v>1</v>
      </c>
      <c r="I900" s="2">
        <v>2</v>
      </c>
      <c r="J900" s="2">
        <v>1</v>
      </c>
      <c r="K900" s="2" t="s">
        <v>61</v>
      </c>
      <c r="L900" s="6" t="s">
        <v>62</v>
      </c>
      <c r="M900" s="5">
        <v>1900000000</v>
      </c>
      <c r="N900" s="2">
        <v>0</v>
      </c>
      <c r="O900" s="2">
        <v>4.6626098550000004</v>
      </c>
      <c r="P900" s="2">
        <v>-74.049316489999995</v>
      </c>
      <c r="Q900" s="2" t="s">
        <v>4580</v>
      </c>
      <c r="R900" s="2">
        <v>16379310.34</v>
      </c>
      <c r="S900" s="2">
        <v>0</v>
      </c>
      <c r="T900" s="2" t="s">
        <v>26</v>
      </c>
      <c r="U900" s="2" t="s">
        <v>27</v>
      </c>
      <c r="V900" s="2" t="s">
        <v>28</v>
      </c>
      <c r="W900" s="2" t="s">
        <v>29</v>
      </c>
      <c r="X900" s="2" t="s">
        <v>30</v>
      </c>
      <c r="Y900" s="2">
        <v>3.8720533621040301</v>
      </c>
      <c r="Z900" s="2">
        <v>4.6584666666666701</v>
      </c>
      <c r="AA900" s="2">
        <v>-74.083966666666697</v>
      </c>
      <c r="AB900" s="2">
        <v>2552</v>
      </c>
      <c r="AC900" s="2" t="s">
        <v>31</v>
      </c>
      <c r="AD900" s="2" t="s">
        <v>32</v>
      </c>
      <c r="AE900" s="2" t="s">
        <v>33</v>
      </c>
      <c r="AF900" s="2" t="s">
        <v>34</v>
      </c>
      <c r="AG900" s="2" t="s">
        <v>81</v>
      </c>
      <c r="AH900" s="2">
        <v>1.32529028144001</v>
      </c>
      <c r="AI900" s="2">
        <v>0.40574172705353401</v>
      </c>
      <c r="AJ900" s="2">
        <v>0.54040578990907495</v>
      </c>
      <c r="AK900" s="2">
        <v>0.14950650249817801</v>
      </c>
      <c r="AL900" s="2">
        <v>0.291862022006529</v>
      </c>
      <c r="AN900" s="2">
        <v>6.8</v>
      </c>
      <c r="AO900" s="2">
        <v>19.899999999999999</v>
      </c>
      <c r="AP900" s="2">
        <v>564</v>
      </c>
      <c r="AQ900" s="2">
        <v>68</v>
      </c>
      <c r="AR900" s="2">
        <v>1.5</v>
      </c>
      <c r="AS900" s="2">
        <v>135</v>
      </c>
      <c r="AT900" s="2">
        <v>0.8</v>
      </c>
      <c r="AU900" s="2">
        <v>162</v>
      </c>
      <c r="AV900" s="2">
        <v>9.1</v>
      </c>
      <c r="AW900" s="2">
        <v>9.1999999999999993</v>
      </c>
      <c r="AX900" s="2">
        <v>18.3</v>
      </c>
      <c r="AY900" s="2">
        <v>0.34</v>
      </c>
      <c r="AZ900" s="2">
        <v>7.3</v>
      </c>
      <c r="BA900" s="2">
        <v>0.9</v>
      </c>
      <c r="BB900" s="2">
        <v>7.5</v>
      </c>
      <c r="BC900" s="2">
        <v>2.9</v>
      </c>
      <c r="BD900" s="2">
        <f>+AN900*EXP(-0.0495*Y900)</f>
        <v>5.6139578548396871</v>
      </c>
      <c r="BE900" s="2">
        <f>+AO900*EXP(-0.024*Y900)</f>
        <v>18.13403303684299</v>
      </c>
    </row>
    <row r="901" spans="1:57" x14ac:dyDescent="0.2">
      <c r="A901" s="2" t="s">
        <v>1690</v>
      </c>
      <c r="B901" s="2" t="s">
        <v>19</v>
      </c>
      <c r="C901" s="2" t="s">
        <v>20</v>
      </c>
      <c r="D901" s="2" t="s">
        <v>21</v>
      </c>
      <c r="E901" s="2" t="s">
        <v>952</v>
      </c>
      <c r="F901" s="2">
        <v>5</v>
      </c>
      <c r="G901" s="2">
        <v>113.11</v>
      </c>
      <c r="H901" s="2">
        <v>4</v>
      </c>
      <c r="I901" s="2">
        <v>3</v>
      </c>
      <c r="J901" s="2">
        <v>1</v>
      </c>
      <c r="K901" s="2" t="s">
        <v>61</v>
      </c>
      <c r="L901" s="6" t="s">
        <v>113</v>
      </c>
      <c r="M901" s="5">
        <v>550000000</v>
      </c>
      <c r="N901" s="2">
        <v>0</v>
      </c>
      <c r="O901" s="2">
        <v>4.6931057000000003</v>
      </c>
      <c r="P901" s="2">
        <v>-74.066370000000006</v>
      </c>
      <c r="Q901" s="2" t="s">
        <v>1691</v>
      </c>
      <c r="R901" s="2">
        <v>4862523.2070000004</v>
      </c>
      <c r="S901" s="2">
        <v>0</v>
      </c>
      <c r="T901" s="2" t="s">
        <v>26</v>
      </c>
      <c r="U901" s="2" t="s">
        <v>27</v>
      </c>
      <c r="V901" s="2" t="s">
        <v>28</v>
      </c>
      <c r="W901" s="2" t="s">
        <v>29</v>
      </c>
      <c r="X901" s="2" t="s">
        <v>30</v>
      </c>
      <c r="Y901" s="2">
        <v>4.3220753888882104</v>
      </c>
      <c r="Z901" s="2">
        <v>4.6584666666666701</v>
      </c>
      <c r="AA901" s="2">
        <v>-74.083966666666697</v>
      </c>
      <c r="AB901" s="2">
        <v>2552</v>
      </c>
      <c r="AC901" s="2" t="s">
        <v>31</v>
      </c>
      <c r="AD901" s="2" t="s">
        <v>32</v>
      </c>
      <c r="AE901" s="2" t="s">
        <v>33</v>
      </c>
      <c r="AF901" s="2" t="s">
        <v>34</v>
      </c>
      <c r="AG901" s="2" t="s">
        <v>72</v>
      </c>
      <c r="AH901" s="2">
        <v>9.8550113391973906E-2</v>
      </c>
      <c r="AI901" s="2">
        <v>3.6512587182069201</v>
      </c>
      <c r="AJ901" s="2">
        <v>0.63330365819299494</v>
      </c>
      <c r="AK901" s="2">
        <v>8.3077763329537202E-2</v>
      </c>
      <c r="AL901" s="2">
        <v>0.32421841068726198</v>
      </c>
      <c r="AN901" s="2">
        <v>6.8</v>
      </c>
      <c r="AO901" s="2">
        <v>19.899999999999999</v>
      </c>
      <c r="AP901" s="2">
        <v>564</v>
      </c>
      <c r="AQ901" s="2">
        <v>68</v>
      </c>
      <c r="AR901" s="2">
        <v>1.5</v>
      </c>
      <c r="AS901" s="2">
        <v>135</v>
      </c>
      <c r="AT901" s="2">
        <v>0.8</v>
      </c>
      <c r="AU901" s="2">
        <v>162</v>
      </c>
      <c r="AV901" s="2">
        <v>9.1</v>
      </c>
      <c r="AW901" s="2">
        <v>9.1999999999999993</v>
      </c>
      <c r="AX901" s="2">
        <v>18.3</v>
      </c>
      <c r="AY901" s="2">
        <v>0.34</v>
      </c>
      <c r="AZ901" s="2">
        <v>7.3</v>
      </c>
      <c r="BA901" s="2">
        <v>0.9</v>
      </c>
      <c r="BB901" s="2">
        <v>7.5</v>
      </c>
      <c r="BC901" s="2">
        <v>2.9</v>
      </c>
      <c r="BD901" s="2">
        <f>+AN901*EXP(-0.0495*Y901)</f>
        <v>5.4902834280754087</v>
      </c>
      <c r="BE901" s="2">
        <f>+AO901*EXP(-0.024*Y901)</f>
        <v>17.93922977638524</v>
      </c>
    </row>
    <row r="902" spans="1:57" x14ac:dyDescent="0.2">
      <c r="A902" s="2" t="s">
        <v>1799</v>
      </c>
      <c r="B902" s="2" t="s">
        <v>19</v>
      </c>
      <c r="C902" s="2" t="s">
        <v>20</v>
      </c>
      <c r="D902" s="2" t="s">
        <v>21</v>
      </c>
      <c r="E902" s="2" t="s">
        <v>899</v>
      </c>
      <c r="F902" s="2">
        <v>4</v>
      </c>
      <c r="G902" s="2">
        <v>113</v>
      </c>
      <c r="H902" s="2">
        <v>4</v>
      </c>
      <c r="I902" s="2">
        <v>3</v>
      </c>
      <c r="J902" s="2">
        <v>0</v>
      </c>
      <c r="K902" s="2" t="s">
        <v>61</v>
      </c>
      <c r="L902" s="6" t="s">
        <v>113</v>
      </c>
      <c r="M902" s="5">
        <v>482000000</v>
      </c>
      <c r="N902" s="2">
        <v>0</v>
      </c>
      <c r="O902" s="2">
        <v>4.6358480450000004</v>
      </c>
      <c r="P902" s="2">
        <v>-74.0668869</v>
      </c>
      <c r="Q902" s="2" t="s">
        <v>1800</v>
      </c>
      <c r="R902" s="2">
        <v>4265486.7259999998</v>
      </c>
      <c r="S902" s="2">
        <v>0</v>
      </c>
      <c r="T902" s="2" t="s">
        <v>77</v>
      </c>
      <c r="U902" s="2" t="s">
        <v>78</v>
      </c>
      <c r="V902" s="2" t="s">
        <v>28</v>
      </c>
      <c r="W902" s="2" t="s">
        <v>79</v>
      </c>
      <c r="X902" s="2" t="s">
        <v>80</v>
      </c>
      <c r="Y902" s="2">
        <v>1.1535320120057699</v>
      </c>
      <c r="Z902" s="2">
        <v>4.6254861111111101</v>
      </c>
      <c r="AA902" s="2">
        <v>-74.066980555555503</v>
      </c>
      <c r="AB902" s="2">
        <v>2621</v>
      </c>
      <c r="AC902" s="2" t="s">
        <v>31</v>
      </c>
      <c r="AD902" s="2" t="s">
        <v>32</v>
      </c>
      <c r="AE902" s="2" t="s">
        <v>33</v>
      </c>
      <c r="AF902" s="2" t="s">
        <v>34</v>
      </c>
      <c r="AG902" s="2" t="s">
        <v>81</v>
      </c>
      <c r="AH902" s="2">
        <v>0.18940454846758301</v>
      </c>
      <c r="AI902" s="2">
        <v>0.80638898540497495</v>
      </c>
      <c r="AJ902" s="2">
        <v>0.18908795447638299</v>
      </c>
      <c r="AK902" s="2">
        <v>3.4627828324497699E-2</v>
      </c>
      <c r="AL902" s="2">
        <v>6.4421241048538594E-2</v>
      </c>
      <c r="AN902" s="2">
        <v>6.8</v>
      </c>
      <c r="AO902" s="2">
        <v>19.899999999999999</v>
      </c>
      <c r="AP902" s="2">
        <v>564</v>
      </c>
      <c r="AQ902" s="2">
        <v>68</v>
      </c>
      <c r="AR902" s="2">
        <v>1.5</v>
      </c>
      <c r="AS902" s="2">
        <v>135</v>
      </c>
      <c r="AT902" s="2">
        <v>0.8</v>
      </c>
      <c r="AU902" s="2">
        <v>162</v>
      </c>
      <c r="AV902" s="2">
        <v>9.1</v>
      </c>
      <c r="AW902" s="2">
        <v>9.1999999999999993</v>
      </c>
      <c r="AX902" s="2">
        <v>18.3</v>
      </c>
      <c r="AY902" s="2">
        <v>0.34</v>
      </c>
      <c r="AZ902" s="2">
        <v>7.3</v>
      </c>
      <c r="BA902" s="2">
        <v>0.9</v>
      </c>
      <c r="BB902" s="2">
        <v>7.5</v>
      </c>
      <c r="BC902" s="2">
        <v>2.9</v>
      </c>
      <c r="BD902" s="2">
        <f>+AN902*EXP(-0.0495*Y902)</f>
        <v>6.4225984421747127</v>
      </c>
      <c r="BE902" s="2">
        <f>+AO902*EXP(-0.024*Y902)</f>
        <v>19.356629361111114</v>
      </c>
    </row>
    <row r="903" spans="1:57" x14ac:dyDescent="0.2">
      <c r="A903" s="2" t="s">
        <v>364</v>
      </c>
      <c r="B903" s="2" t="s">
        <v>19</v>
      </c>
      <c r="C903" s="2" t="s">
        <v>20</v>
      </c>
      <c r="D903" s="2" t="s">
        <v>21</v>
      </c>
      <c r="E903" s="2" t="s">
        <v>365</v>
      </c>
      <c r="F903" s="2">
        <v>5</v>
      </c>
      <c r="G903" s="2">
        <v>110</v>
      </c>
      <c r="H903" s="2">
        <v>2</v>
      </c>
      <c r="I903" s="2">
        <v>3</v>
      </c>
      <c r="J903" s="2">
        <v>2</v>
      </c>
      <c r="K903" s="2" t="s">
        <v>61</v>
      </c>
      <c r="L903" s="6" t="s">
        <v>75</v>
      </c>
      <c r="M903" s="5">
        <v>950000000</v>
      </c>
      <c r="N903" s="2">
        <v>0</v>
      </c>
      <c r="O903" s="2">
        <v>4.6500282290000001</v>
      </c>
      <c r="P903" s="2">
        <v>-74.081726070000002</v>
      </c>
      <c r="Q903" s="2" t="s">
        <v>366</v>
      </c>
      <c r="R903" s="2">
        <v>8636363.6359999999</v>
      </c>
      <c r="S903" s="2">
        <v>0</v>
      </c>
      <c r="T903" s="2" t="s">
        <v>26</v>
      </c>
      <c r="U903" s="2" t="s">
        <v>27</v>
      </c>
      <c r="V903" s="2" t="s">
        <v>28</v>
      </c>
      <c r="W903" s="2" t="s">
        <v>29</v>
      </c>
      <c r="X903" s="2" t="s">
        <v>30</v>
      </c>
      <c r="Y903" s="2">
        <v>0.97170151320737597</v>
      </c>
      <c r="Z903" s="2">
        <v>4.6584666666666701</v>
      </c>
      <c r="AA903" s="2">
        <v>-74.083966666666697</v>
      </c>
      <c r="AB903" s="2">
        <v>2552</v>
      </c>
      <c r="AC903" s="2" t="s">
        <v>31</v>
      </c>
      <c r="AD903" s="2" t="s">
        <v>32</v>
      </c>
      <c r="AE903" s="2" t="s">
        <v>33</v>
      </c>
      <c r="AF903" s="2" t="s">
        <v>34</v>
      </c>
      <c r="AG903" s="2" t="s">
        <v>35</v>
      </c>
      <c r="AH903" s="2">
        <v>0.37298110377888699</v>
      </c>
      <c r="AI903" s="2">
        <v>2.8642876152967802</v>
      </c>
      <c r="AJ903" s="2">
        <v>9.2239037673290197E-2</v>
      </c>
      <c r="AK903" s="2">
        <v>0.18352596482310801</v>
      </c>
      <c r="AL903" s="2">
        <v>1.2923302804193499E-2</v>
      </c>
      <c r="AN903" s="2">
        <v>6.8</v>
      </c>
      <c r="AO903" s="2">
        <v>19.899999999999999</v>
      </c>
      <c r="AP903" s="2">
        <v>564</v>
      </c>
      <c r="AQ903" s="2">
        <v>68</v>
      </c>
      <c r="AR903" s="2">
        <v>1.5</v>
      </c>
      <c r="AS903" s="2">
        <v>135</v>
      </c>
      <c r="AT903" s="2">
        <v>0.8</v>
      </c>
      <c r="AU903" s="2">
        <v>162</v>
      </c>
      <c r="AV903" s="2">
        <v>9.1</v>
      </c>
      <c r="AW903" s="2">
        <v>9.1999999999999993</v>
      </c>
      <c r="AX903" s="2">
        <v>18.3</v>
      </c>
      <c r="AY903" s="2">
        <v>0.34</v>
      </c>
      <c r="AZ903" s="2">
        <v>7.3</v>
      </c>
      <c r="BA903" s="2">
        <v>0.9</v>
      </c>
      <c r="BB903" s="2">
        <v>7.5</v>
      </c>
      <c r="BC903" s="2">
        <v>2.9</v>
      </c>
      <c r="BD903" s="2">
        <f>+AN903*EXP(-0.0495*Y903)</f>
        <v>6.480666676695682</v>
      </c>
      <c r="BE903" s="2">
        <f>+AO903*EXP(-0.024*Y903)</f>
        <v>19.44128495611508</v>
      </c>
    </row>
    <row r="904" spans="1:57" x14ac:dyDescent="0.2">
      <c r="A904" s="2" t="s">
        <v>893</v>
      </c>
      <c r="B904" s="2" t="s">
        <v>19</v>
      </c>
      <c r="C904" s="2" t="s">
        <v>20</v>
      </c>
      <c r="D904" s="2" t="s">
        <v>21</v>
      </c>
      <c r="E904" s="2" t="s">
        <v>894</v>
      </c>
      <c r="F904" s="2">
        <v>3</v>
      </c>
      <c r="G904" s="2">
        <v>110</v>
      </c>
      <c r="H904" s="2">
        <v>3</v>
      </c>
      <c r="I904" s="2">
        <v>2</v>
      </c>
      <c r="J904" s="2">
        <v>1</v>
      </c>
      <c r="K904" s="2" t="s">
        <v>61</v>
      </c>
      <c r="L904" s="6" t="s">
        <v>113</v>
      </c>
      <c r="M904" s="5">
        <v>690000000</v>
      </c>
      <c r="N904" s="2">
        <v>0</v>
      </c>
      <c r="O904" s="2">
        <v>4.6411299709999998</v>
      </c>
      <c r="P904" s="2">
        <v>-74.067474369999999</v>
      </c>
      <c r="Q904" s="2" t="s">
        <v>895</v>
      </c>
      <c r="R904" s="2">
        <v>6272727.273</v>
      </c>
      <c r="S904" s="2">
        <v>0</v>
      </c>
      <c r="T904" s="2" t="s">
        <v>77</v>
      </c>
      <c r="U904" s="2" t="s">
        <v>78</v>
      </c>
      <c r="V904" s="2" t="s">
        <v>28</v>
      </c>
      <c r="W904" s="2" t="s">
        <v>79</v>
      </c>
      <c r="X904" s="2" t="s">
        <v>80</v>
      </c>
      <c r="Y904" s="2">
        <v>1.7423282530268001</v>
      </c>
      <c r="Z904" s="2">
        <v>4.6254861111111101</v>
      </c>
      <c r="AA904" s="2">
        <v>-74.066980555555503</v>
      </c>
      <c r="AB904" s="2">
        <v>2621</v>
      </c>
      <c r="AC904" s="2" t="s">
        <v>31</v>
      </c>
      <c r="AD904" s="2" t="s">
        <v>32</v>
      </c>
      <c r="AE904" s="2" t="s">
        <v>33</v>
      </c>
      <c r="AF904" s="2" t="s">
        <v>34</v>
      </c>
      <c r="AG904" s="2" t="s">
        <v>35</v>
      </c>
      <c r="AH904" s="2">
        <v>0.27421114216963699</v>
      </c>
      <c r="AI904" s="2">
        <v>1.08986883724287</v>
      </c>
      <c r="AJ904" s="2">
        <v>0.41404577742034299</v>
      </c>
      <c r="AK904" s="2">
        <v>7.6673223240646696E-2</v>
      </c>
      <c r="AL904" s="2">
        <v>0.194521177008734</v>
      </c>
      <c r="AN904" s="2">
        <v>6.8</v>
      </c>
      <c r="AO904" s="2">
        <v>19.899999999999999</v>
      </c>
      <c r="AP904" s="2">
        <v>564</v>
      </c>
      <c r="AQ904" s="2">
        <v>68</v>
      </c>
      <c r="AR904" s="2">
        <v>1.5</v>
      </c>
      <c r="AS904" s="2">
        <v>135</v>
      </c>
      <c r="AT904" s="2">
        <v>0.8</v>
      </c>
      <c r="AU904" s="2">
        <v>162</v>
      </c>
      <c r="AV904" s="2">
        <v>9.1</v>
      </c>
      <c r="AW904" s="2">
        <v>9.1999999999999993</v>
      </c>
      <c r="AX904" s="2">
        <v>18.3</v>
      </c>
      <c r="AY904" s="2">
        <v>0.34</v>
      </c>
      <c r="AZ904" s="2">
        <v>7.3</v>
      </c>
      <c r="BA904" s="2">
        <v>0.9</v>
      </c>
      <c r="BB904" s="2">
        <v>7.5</v>
      </c>
      <c r="BC904" s="2">
        <v>2.9</v>
      </c>
      <c r="BD904" s="2">
        <f>+AN904*EXP(-0.0495*Y904)</f>
        <v>6.2381106972341671</v>
      </c>
      <c r="BE904" s="2">
        <f>+AO904*EXP(-0.024*Y904)</f>
        <v>19.085022280998754</v>
      </c>
    </row>
    <row r="905" spans="1:57" x14ac:dyDescent="0.2">
      <c r="A905" s="2" t="s">
        <v>403</v>
      </c>
      <c r="B905" s="2" t="s">
        <v>19</v>
      </c>
      <c r="C905" s="2" t="s">
        <v>20</v>
      </c>
      <c r="D905" s="2" t="s">
        <v>21</v>
      </c>
      <c r="E905" s="2" t="s">
        <v>180</v>
      </c>
      <c r="F905" s="2">
        <v>6</v>
      </c>
      <c r="G905" s="2">
        <v>108</v>
      </c>
      <c r="H905" s="2">
        <v>2</v>
      </c>
      <c r="I905" s="2">
        <v>3</v>
      </c>
      <c r="J905" s="2">
        <v>2</v>
      </c>
      <c r="K905" s="2" t="s">
        <v>61</v>
      </c>
      <c r="L905" s="6" t="s">
        <v>62</v>
      </c>
      <c r="M905" s="5">
        <v>1395000000</v>
      </c>
      <c r="N905" s="2">
        <v>0</v>
      </c>
      <c r="O905" s="2">
        <v>4.6784443859999998</v>
      </c>
      <c r="P905" s="2">
        <v>-74.053642269999997</v>
      </c>
      <c r="Q905" s="2" t="s">
        <v>404</v>
      </c>
      <c r="R905" s="2">
        <v>12916666.67</v>
      </c>
      <c r="S905" s="2">
        <v>0</v>
      </c>
      <c r="T905" s="2" t="s">
        <v>26</v>
      </c>
      <c r="U905" s="2" t="s">
        <v>27</v>
      </c>
      <c r="V905" s="2" t="s">
        <v>28</v>
      </c>
      <c r="W905" s="2" t="s">
        <v>29</v>
      </c>
      <c r="X905" s="2" t="s">
        <v>30</v>
      </c>
      <c r="Y905" s="2">
        <v>4.0330650445091303</v>
      </c>
      <c r="Z905" s="2">
        <v>4.6584666666666701</v>
      </c>
      <c r="AA905" s="2">
        <v>-74.083966666666697</v>
      </c>
      <c r="AB905" s="2">
        <v>2552</v>
      </c>
      <c r="AC905" s="2" t="s">
        <v>31</v>
      </c>
      <c r="AD905" s="2" t="s">
        <v>32</v>
      </c>
      <c r="AE905" s="2" t="s">
        <v>33</v>
      </c>
      <c r="AF905" s="2" t="s">
        <v>34</v>
      </c>
      <c r="AG905" s="2" t="s">
        <v>81</v>
      </c>
      <c r="AH905" s="2">
        <v>0.65469624608459798</v>
      </c>
      <c r="AI905" s="2">
        <v>1.6054952546022301</v>
      </c>
      <c r="AJ905" s="2">
        <v>0.81365011334761295</v>
      </c>
      <c r="AK905" s="2">
        <v>5.40015475079497E-2</v>
      </c>
      <c r="AL905" s="2">
        <v>0.60817089196421403</v>
      </c>
      <c r="AN905" s="2">
        <v>6.8</v>
      </c>
      <c r="AO905" s="2">
        <v>19.899999999999999</v>
      </c>
      <c r="AP905" s="2">
        <v>564</v>
      </c>
      <c r="AQ905" s="2">
        <v>68</v>
      </c>
      <c r="AR905" s="2">
        <v>1.5</v>
      </c>
      <c r="AS905" s="2">
        <v>135</v>
      </c>
      <c r="AT905" s="2">
        <v>0.8</v>
      </c>
      <c r="AU905" s="2">
        <v>162</v>
      </c>
      <c r="AV905" s="2">
        <v>9.1</v>
      </c>
      <c r="AW905" s="2">
        <v>9.1999999999999993</v>
      </c>
      <c r="AX905" s="2">
        <v>18.3</v>
      </c>
      <c r="AY905" s="2">
        <v>0.34</v>
      </c>
      <c r="AZ905" s="2">
        <v>7.3</v>
      </c>
      <c r="BA905" s="2">
        <v>0.9</v>
      </c>
      <c r="BB905" s="2">
        <v>7.5</v>
      </c>
      <c r="BC905" s="2">
        <v>2.9</v>
      </c>
      <c r="BD905" s="2">
        <f>+AN905*EXP(-0.0495*Y905)</f>
        <v>5.5693920038514193</v>
      </c>
      <c r="BE905" s="2">
        <f>+AO905*EXP(-0.024*Y905)</f>
        <v>18.064093269277684</v>
      </c>
    </row>
    <row r="906" spans="1:57" x14ac:dyDescent="0.2">
      <c r="A906" s="2" t="s">
        <v>1531</v>
      </c>
      <c r="B906" s="2" t="s">
        <v>19</v>
      </c>
      <c r="C906" s="2" t="s">
        <v>20</v>
      </c>
      <c r="D906" s="2" t="s">
        <v>21</v>
      </c>
      <c r="E906" s="2" t="s">
        <v>81</v>
      </c>
      <c r="F906" s="2">
        <v>4</v>
      </c>
      <c r="G906" s="2">
        <v>108</v>
      </c>
      <c r="H906" s="2">
        <v>3</v>
      </c>
      <c r="I906" s="2">
        <v>2</v>
      </c>
      <c r="J906" s="2">
        <v>2</v>
      </c>
      <c r="K906" s="2" t="s">
        <v>61</v>
      </c>
      <c r="L906" s="6" t="s">
        <v>84</v>
      </c>
      <c r="M906" s="5">
        <v>975000000</v>
      </c>
      <c r="N906" s="2">
        <v>0</v>
      </c>
      <c r="O906" s="2">
        <v>4.6435029999999999</v>
      </c>
      <c r="P906" s="2">
        <v>-74.057832399999995</v>
      </c>
      <c r="Q906" s="2" t="s">
        <v>1532</v>
      </c>
      <c r="R906" s="2">
        <v>9027777.7780000009</v>
      </c>
      <c r="S906" s="2">
        <v>0</v>
      </c>
      <c r="T906" s="2" t="s">
        <v>77</v>
      </c>
      <c r="U906" s="2" t="s">
        <v>78</v>
      </c>
      <c r="V906" s="2" t="s">
        <v>28</v>
      </c>
      <c r="W906" s="2" t="s">
        <v>79</v>
      </c>
      <c r="X906" s="2" t="s">
        <v>80</v>
      </c>
      <c r="Y906" s="2">
        <v>2.2478563548584098</v>
      </c>
      <c r="Z906" s="2">
        <v>4.6254861111111101</v>
      </c>
      <c r="AA906" s="2">
        <v>-74.066980555555503</v>
      </c>
      <c r="AB906" s="2">
        <v>2621</v>
      </c>
      <c r="AC906" s="2" t="s">
        <v>31</v>
      </c>
      <c r="AD906" s="2" t="s">
        <v>32</v>
      </c>
      <c r="AE906" s="2" t="s">
        <v>33</v>
      </c>
      <c r="AF906" s="2" t="s">
        <v>34</v>
      </c>
      <c r="AG906" s="2" t="s">
        <v>81</v>
      </c>
      <c r="AH906" s="2">
        <v>0.88850577509068496</v>
      </c>
      <c r="AI906" s="2">
        <v>0.24581933507018899</v>
      </c>
      <c r="AJ906" s="2">
        <v>0.282017959354115</v>
      </c>
      <c r="AK906" s="2">
        <v>0.26854839137632902</v>
      </c>
      <c r="AL906" s="2">
        <v>0.10575016255849801</v>
      </c>
      <c r="AN906" s="2">
        <v>6.8</v>
      </c>
      <c r="AO906" s="2">
        <v>19.899999999999999</v>
      </c>
      <c r="AP906" s="2">
        <v>564</v>
      </c>
      <c r="AQ906" s="2">
        <v>68</v>
      </c>
      <c r="AR906" s="2">
        <v>1.5</v>
      </c>
      <c r="AS906" s="2">
        <v>135</v>
      </c>
      <c r="AT906" s="2">
        <v>0.8</v>
      </c>
      <c r="AU906" s="2">
        <v>162</v>
      </c>
      <c r="AV906" s="2">
        <v>9.1</v>
      </c>
      <c r="AW906" s="2">
        <v>9.1999999999999993</v>
      </c>
      <c r="AX906" s="2">
        <v>18.3</v>
      </c>
      <c r="AY906" s="2">
        <v>0.34</v>
      </c>
      <c r="AZ906" s="2">
        <v>7.3</v>
      </c>
      <c r="BA906" s="2">
        <v>0.9</v>
      </c>
      <c r="BB906" s="2">
        <v>7.5</v>
      </c>
      <c r="BC906" s="2">
        <v>2.9</v>
      </c>
      <c r="BD906" s="2">
        <f>+AN906*EXP(-0.0495*Y906)</f>
        <v>6.0839473627952829</v>
      </c>
      <c r="BE906" s="2">
        <f>+AO906*EXP(-0.024*Y906)</f>
        <v>18.854868929989518</v>
      </c>
    </row>
    <row r="907" spans="1:57" x14ac:dyDescent="0.2">
      <c r="A907" s="2" t="s">
        <v>918</v>
      </c>
      <c r="B907" s="2" t="s">
        <v>19</v>
      </c>
      <c r="C907" s="2" t="s">
        <v>20</v>
      </c>
      <c r="D907" s="2" t="s">
        <v>21</v>
      </c>
      <c r="E907" s="2" t="s">
        <v>714</v>
      </c>
      <c r="F907" s="2">
        <v>6</v>
      </c>
      <c r="G907" s="2">
        <v>101.87</v>
      </c>
      <c r="H907" s="2">
        <v>2</v>
      </c>
      <c r="I907" s="2">
        <v>3</v>
      </c>
      <c r="J907" s="2">
        <v>2</v>
      </c>
      <c r="K907" s="2" t="s">
        <v>61</v>
      </c>
      <c r="L907" s="6" t="s">
        <v>113</v>
      </c>
      <c r="M907" s="5">
        <v>890000000</v>
      </c>
      <c r="N907" s="2">
        <v>0</v>
      </c>
      <c r="O907" s="2">
        <v>4.6534386000000003</v>
      </c>
      <c r="P907" s="2">
        <v>-74.054050000000004</v>
      </c>
      <c r="Q907" s="2" t="s">
        <v>919</v>
      </c>
      <c r="R907" s="2">
        <v>8736625.1099999994</v>
      </c>
      <c r="S907" s="2">
        <v>0</v>
      </c>
      <c r="T907" s="2" t="s">
        <v>26</v>
      </c>
      <c r="U907" s="2" t="s">
        <v>27</v>
      </c>
      <c r="V907" s="2" t="s">
        <v>28</v>
      </c>
      <c r="W907" s="2" t="s">
        <v>29</v>
      </c>
      <c r="X907" s="2" t="s">
        <v>30</v>
      </c>
      <c r="Y907" s="2">
        <v>3.36617927430986</v>
      </c>
      <c r="Z907" s="2">
        <v>4.6584666666666701</v>
      </c>
      <c r="AA907" s="2">
        <v>-74.083966666666697</v>
      </c>
      <c r="AB907" s="2">
        <v>2552</v>
      </c>
      <c r="AC907" s="2" t="s">
        <v>31</v>
      </c>
      <c r="AD907" s="2" t="s">
        <v>32</v>
      </c>
      <c r="AE907" s="2" t="s">
        <v>33</v>
      </c>
      <c r="AF907" s="2" t="s">
        <v>34</v>
      </c>
      <c r="AG907" s="2" t="s">
        <v>81</v>
      </c>
      <c r="AH907" s="2">
        <v>1.00652889262474</v>
      </c>
      <c r="AI907" s="2">
        <v>0.59964942075880601</v>
      </c>
      <c r="AJ907" s="2">
        <v>0.51332210438035197</v>
      </c>
      <c r="AK907" s="2">
        <v>2.3727021204565501E-2</v>
      </c>
      <c r="AL907" s="2">
        <v>5.1102222547240598E-3</v>
      </c>
      <c r="AN907" s="2">
        <v>6.8</v>
      </c>
      <c r="AO907" s="2">
        <v>19.899999999999999</v>
      </c>
      <c r="AP907" s="2">
        <v>564</v>
      </c>
      <c r="AQ907" s="2">
        <v>68</v>
      </c>
      <c r="AR907" s="2">
        <v>1.5</v>
      </c>
      <c r="AS907" s="2">
        <v>135</v>
      </c>
      <c r="AT907" s="2">
        <v>0.8</v>
      </c>
      <c r="AU907" s="2">
        <v>162</v>
      </c>
      <c r="AV907" s="2">
        <v>9.1</v>
      </c>
      <c r="AW907" s="2">
        <v>9.1999999999999993</v>
      </c>
      <c r="AX907" s="2">
        <v>18.3</v>
      </c>
      <c r="AY907" s="2">
        <v>0.34</v>
      </c>
      <c r="AZ907" s="2">
        <v>7.3</v>
      </c>
      <c r="BA907" s="2">
        <v>0.9</v>
      </c>
      <c r="BB907" s="2">
        <v>7.5</v>
      </c>
      <c r="BC907" s="2">
        <v>2.9</v>
      </c>
      <c r="BD907" s="2">
        <f>+AN907*EXP(-0.0495*Y907)</f>
        <v>5.7563105392730094</v>
      </c>
      <c r="BE907" s="2">
        <f>+AO907*EXP(-0.024*Y907)</f>
        <v>18.355539868837514</v>
      </c>
    </row>
    <row r="908" spans="1:57" x14ac:dyDescent="0.2">
      <c r="A908" s="2" t="s">
        <v>4430</v>
      </c>
      <c r="B908" s="2" t="s">
        <v>19</v>
      </c>
      <c r="C908" s="2" t="s">
        <v>3245</v>
      </c>
      <c r="D908" s="2" t="s">
        <v>21</v>
      </c>
      <c r="E908" s="2" t="s">
        <v>1783</v>
      </c>
      <c r="F908" s="2">
        <v>6</v>
      </c>
      <c r="G908" s="2">
        <v>100</v>
      </c>
      <c r="H908" s="2">
        <v>1</v>
      </c>
      <c r="I908" s="2">
        <v>1</v>
      </c>
      <c r="J908" s="2">
        <v>2</v>
      </c>
      <c r="K908" s="2" t="s">
        <v>61</v>
      </c>
      <c r="L908" s="6" t="s">
        <v>113</v>
      </c>
      <c r="M908" s="5">
        <v>1200000000</v>
      </c>
      <c r="N908" s="2">
        <v>0</v>
      </c>
      <c r="O908" s="2">
        <v>4.6676571129999997</v>
      </c>
      <c r="P908" s="2">
        <v>-74.047426920000007</v>
      </c>
      <c r="Q908" s="2" t="s">
        <v>4431</v>
      </c>
      <c r="R908" s="2">
        <v>12000000</v>
      </c>
      <c r="S908" s="2">
        <v>0</v>
      </c>
      <c r="T908" s="2" t="s">
        <v>26</v>
      </c>
      <c r="U908" s="2" t="s">
        <v>27</v>
      </c>
      <c r="V908" s="2" t="s">
        <v>28</v>
      </c>
      <c r="W908" s="2" t="s">
        <v>29</v>
      </c>
      <c r="X908" s="2" t="s">
        <v>30</v>
      </c>
      <c r="Y908" s="2">
        <v>4.1812189261209296</v>
      </c>
      <c r="Z908" s="2">
        <v>4.6584666666666701</v>
      </c>
      <c r="AA908" s="2">
        <v>-74.083966666666697</v>
      </c>
      <c r="AB908" s="2">
        <v>2552</v>
      </c>
      <c r="AC908" s="2" t="s">
        <v>31</v>
      </c>
      <c r="AD908" s="2" t="s">
        <v>32</v>
      </c>
      <c r="AE908" s="2" t="s">
        <v>33</v>
      </c>
      <c r="AF908" s="2" t="s">
        <v>34</v>
      </c>
      <c r="AG908" s="2" t="s">
        <v>81</v>
      </c>
      <c r="AH908" s="2">
        <v>1.4294855998673299</v>
      </c>
      <c r="AI908" s="2">
        <v>0.41365108119163901</v>
      </c>
      <c r="AJ908" s="2">
        <v>0.759785096675619</v>
      </c>
      <c r="AK908" s="2">
        <v>8.1436748841366993E-2</v>
      </c>
      <c r="AL908" s="2">
        <v>0.22748097705988499</v>
      </c>
      <c r="AN908" s="2">
        <v>6.8</v>
      </c>
      <c r="AO908" s="2">
        <v>19.899999999999999</v>
      </c>
      <c r="AP908" s="2">
        <v>564</v>
      </c>
      <c r="AQ908" s="2">
        <v>68</v>
      </c>
      <c r="AR908" s="2">
        <v>1.5</v>
      </c>
      <c r="AS908" s="2">
        <v>135</v>
      </c>
      <c r="AT908" s="2">
        <v>0.8</v>
      </c>
      <c r="AU908" s="2">
        <v>162</v>
      </c>
      <c r="AV908" s="2">
        <v>9.1</v>
      </c>
      <c r="AW908" s="2">
        <v>9.1999999999999993</v>
      </c>
      <c r="AX908" s="2">
        <v>18.3</v>
      </c>
      <c r="AY908" s="2">
        <v>0.34</v>
      </c>
      <c r="AZ908" s="2">
        <v>7.3</v>
      </c>
      <c r="BA908" s="2">
        <v>0.9</v>
      </c>
      <c r="BB908" s="2">
        <v>7.5</v>
      </c>
      <c r="BC908" s="2">
        <v>2.9</v>
      </c>
      <c r="BD908" s="2">
        <f>+AN908*EXP(-0.0495*Y908)</f>
        <v>5.5286976161086177</v>
      </c>
      <c r="BE908" s="2">
        <f>+AO908*EXP(-0.024*Y908)</f>
        <v>17.999976952947588</v>
      </c>
    </row>
    <row r="909" spans="1:57" x14ac:dyDescent="0.2">
      <c r="A909" s="2" t="s">
        <v>1579</v>
      </c>
      <c r="B909" s="2" t="s">
        <v>19</v>
      </c>
      <c r="C909" s="2" t="s">
        <v>20</v>
      </c>
      <c r="D909" s="2" t="s">
        <v>21</v>
      </c>
      <c r="E909" s="2" t="s">
        <v>973</v>
      </c>
      <c r="F909" s="2">
        <v>4</v>
      </c>
      <c r="G909" s="2">
        <v>98</v>
      </c>
      <c r="H909" s="2">
        <v>3</v>
      </c>
      <c r="I909" s="2">
        <v>2</v>
      </c>
      <c r="J909" s="2">
        <v>2</v>
      </c>
      <c r="K909" s="2" t="s">
        <v>61</v>
      </c>
      <c r="L909" s="6" t="s">
        <v>113</v>
      </c>
      <c r="M909" s="5">
        <v>550000000</v>
      </c>
      <c r="N909" s="2">
        <v>0</v>
      </c>
      <c r="O909" s="2">
        <v>4.6950701060000002</v>
      </c>
      <c r="P909" s="2">
        <v>-74.078663250000005</v>
      </c>
      <c r="Q909" s="2" t="s">
        <v>1580</v>
      </c>
      <c r="R909" s="2">
        <v>5612244.898</v>
      </c>
      <c r="S909" s="2">
        <v>0</v>
      </c>
      <c r="T909" s="2" t="s">
        <v>26</v>
      </c>
      <c r="U909" s="2" t="s">
        <v>27</v>
      </c>
      <c r="V909" s="2" t="s">
        <v>28</v>
      </c>
      <c r="W909" s="2" t="s">
        <v>29</v>
      </c>
      <c r="X909" s="2" t="s">
        <v>30</v>
      </c>
      <c r="Y909" s="2">
        <v>4.1169418670604401</v>
      </c>
      <c r="Z909" s="2">
        <v>4.6584666666666701</v>
      </c>
      <c r="AA909" s="2">
        <v>-74.083966666666697</v>
      </c>
      <c r="AB909" s="2">
        <v>2552</v>
      </c>
      <c r="AC909" s="2" t="s">
        <v>31</v>
      </c>
      <c r="AD909" s="2" t="s">
        <v>32</v>
      </c>
      <c r="AE909" s="2" t="s">
        <v>33</v>
      </c>
      <c r="AF909" s="2" t="s">
        <v>34</v>
      </c>
      <c r="AG909" s="2" t="s">
        <v>72</v>
      </c>
      <c r="AH909" s="2">
        <v>0.80456081670255097</v>
      </c>
      <c r="AI909" s="2">
        <v>4.9155617280810198</v>
      </c>
      <c r="AJ909" s="2">
        <v>1.0093339829675601</v>
      </c>
      <c r="AK909" s="2">
        <v>0.37797933795521999</v>
      </c>
      <c r="AL909" s="2">
        <v>0.31387808864864303</v>
      </c>
      <c r="AN909" s="2">
        <v>6.8</v>
      </c>
      <c r="AO909" s="2">
        <v>19.899999999999999</v>
      </c>
      <c r="AP909" s="2">
        <v>564</v>
      </c>
      <c r="AQ909" s="2">
        <v>68</v>
      </c>
      <c r="AR909" s="2">
        <v>1.5</v>
      </c>
      <c r="AS909" s="2">
        <v>135</v>
      </c>
      <c r="AT909" s="2">
        <v>0.8</v>
      </c>
      <c r="AU909" s="2">
        <v>162</v>
      </c>
      <c r="AV909" s="2">
        <v>9.1</v>
      </c>
      <c r="AW909" s="2">
        <v>9.1999999999999993</v>
      </c>
      <c r="AX909" s="2">
        <v>18.3</v>
      </c>
      <c r="AY909" s="2">
        <v>0.34</v>
      </c>
      <c r="AZ909" s="2">
        <v>7.3</v>
      </c>
      <c r="BA909" s="2">
        <v>0.9</v>
      </c>
      <c r="BB909" s="2">
        <v>7.5</v>
      </c>
      <c r="BC909" s="2">
        <v>2.9</v>
      </c>
      <c r="BD909" s="2">
        <f>+AN909*EXP(-0.0495*Y909)</f>
        <v>5.5463163671106894</v>
      </c>
      <c r="BE909" s="2">
        <f>+AO909*EXP(-0.024*Y909)</f>
        <v>18.027766035803477</v>
      </c>
    </row>
    <row r="910" spans="1:57" x14ac:dyDescent="0.2">
      <c r="A910" s="2" t="s">
        <v>1686</v>
      </c>
      <c r="B910" s="2" t="s">
        <v>19</v>
      </c>
      <c r="C910" s="2" t="s">
        <v>20</v>
      </c>
      <c r="D910" s="2" t="s">
        <v>21</v>
      </c>
      <c r="E910" s="2" t="s">
        <v>973</v>
      </c>
      <c r="F910" s="2">
        <v>4</v>
      </c>
      <c r="G910" s="2">
        <v>98</v>
      </c>
      <c r="H910" s="2">
        <v>3</v>
      </c>
      <c r="I910" s="2">
        <v>2</v>
      </c>
      <c r="J910" s="2">
        <v>2</v>
      </c>
      <c r="K910" s="2" t="s">
        <v>61</v>
      </c>
      <c r="L910" s="6" t="s">
        <v>113</v>
      </c>
      <c r="M910" s="5">
        <v>550000000</v>
      </c>
      <c r="N910" s="2">
        <v>0</v>
      </c>
      <c r="O910" s="2">
        <v>4.6950701060000002</v>
      </c>
      <c r="P910" s="2">
        <v>-74.078663250000005</v>
      </c>
      <c r="Q910" s="2" t="s">
        <v>1687</v>
      </c>
      <c r="R910" s="2">
        <v>5612244.898</v>
      </c>
      <c r="S910" s="2">
        <v>0</v>
      </c>
      <c r="T910" s="2" t="s">
        <v>26</v>
      </c>
      <c r="U910" s="2" t="s">
        <v>27</v>
      </c>
      <c r="V910" s="2" t="s">
        <v>28</v>
      </c>
      <c r="W910" s="2" t="s">
        <v>29</v>
      </c>
      <c r="X910" s="2" t="s">
        <v>30</v>
      </c>
      <c r="Y910" s="2">
        <v>4.1169418670604401</v>
      </c>
      <c r="Z910" s="2">
        <v>4.6584666666666701</v>
      </c>
      <c r="AA910" s="2">
        <v>-74.083966666666697</v>
      </c>
      <c r="AB910" s="2">
        <v>2552</v>
      </c>
      <c r="AC910" s="2" t="s">
        <v>31</v>
      </c>
      <c r="AD910" s="2" t="s">
        <v>32</v>
      </c>
      <c r="AE910" s="2" t="s">
        <v>33</v>
      </c>
      <c r="AF910" s="2" t="s">
        <v>34</v>
      </c>
      <c r="AG910" s="2" t="s">
        <v>72</v>
      </c>
      <c r="AH910" s="2">
        <v>0.80456081670255097</v>
      </c>
      <c r="AI910" s="2">
        <v>4.9155617280810198</v>
      </c>
      <c r="AJ910" s="2">
        <v>1.0093339829675601</v>
      </c>
      <c r="AK910" s="2">
        <v>0.37797933795521999</v>
      </c>
      <c r="AL910" s="2">
        <v>0.31387808864864303</v>
      </c>
      <c r="AN910" s="2">
        <v>6.8</v>
      </c>
      <c r="AO910" s="2">
        <v>19.899999999999999</v>
      </c>
      <c r="AP910" s="2">
        <v>564</v>
      </c>
      <c r="AQ910" s="2">
        <v>68</v>
      </c>
      <c r="AR910" s="2">
        <v>1.5</v>
      </c>
      <c r="AS910" s="2">
        <v>135</v>
      </c>
      <c r="AT910" s="2">
        <v>0.8</v>
      </c>
      <c r="AU910" s="2">
        <v>162</v>
      </c>
      <c r="AV910" s="2">
        <v>9.1</v>
      </c>
      <c r="AW910" s="2">
        <v>9.1999999999999993</v>
      </c>
      <c r="AX910" s="2">
        <v>18.3</v>
      </c>
      <c r="AY910" s="2">
        <v>0.34</v>
      </c>
      <c r="AZ910" s="2">
        <v>7.3</v>
      </c>
      <c r="BA910" s="2">
        <v>0.9</v>
      </c>
      <c r="BB910" s="2">
        <v>7.5</v>
      </c>
      <c r="BC910" s="2">
        <v>2.9</v>
      </c>
      <c r="BD910" s="2">
        <f>+AN910*EXP(-0.0495*Y910)</f>
        <v>5.5463163671106894</v>
      </c>
      <c r="BE910" s="2">
        <f>+AO910*EXP(-0.024*Y910)</f>
        <v>18.027766035803477</v>
      </c>
    </row>
    <row r="911" spans="1:57" x14ac:dyDescent="0.2">
      <c r="A911" s="2" t="s">
        <v>1424</v>
      </c>
      <c r="B911" s="2" t="s">
        <v>19</v>
      </c>
      <c r="C911" s="2" t="s">
        <v>20</v>
      </c>
      <c r="D911" s="2" t="s">
        <v>21</v>
      </c>
      <c r="E911" s="2" t="s">
        <v>81</v>
      </c>
      <c r="F911" s="2">
        <v>4</v>
      </c>
      <c r="G911" s="2">
        <v>97</v>
      </c>
      <c r="H911" s="2">
        <v>3</v>
      </c>
      <c r="I911" s="2">
        <v>3</v>
      </c>
      <c r="J911" s="2">
        <v>1</v>
      </c>
      <c r="K911" s="2" t="s">
        <v>61</v>
      </c>
      <c r="L911" s="6" t="s">
        <v>113</v>
      </c>
      <c r="M911" s="5">
        <v>605000000</v>
      </c>
      <c r="N911" s="2">
        <v>0</v>
      </c>
      <c r="O911" s="2">
        <v>4.6320565</v>
      </c>
      <c r="P911" s="2">
        <v>-74.064320800000004</v>
      </c>
      <c r="Q911" s="2" t="s">
        <v>1425</v>
      </c>
      <c r="R911" s="2">
        <v>6237113.4019999998</v>
      </c>
      <c r="S911" s="2">
        <v>0</v>
      </c>
      <c r="T911" s="2" t="s">
        <v>77</v>
      </c>
      <c r="U911" s="2" t="s">
        <v>78</v>
      </c>
      <c r="V911" s="2" t="s">
        <v>28</v>
      </c>
      <c r="W911" s="2" t="s">
        <v>79</v>
      </c>
      <c r="X911" s="2" t="s">
        <v>80</v>
      </c>
      <c r="Y911" s="2">
        <v>0.78870655884255103</v>
      </c>
      <c r="Z911" s="2">
        <v>4.6254861111111101</v>
      </c>
      <c r="AA911" s="2">
        <v>-74.066980555555503</v>
      </c>
      <c r="AB911" s="2">
        <v>2621</v>
      </c>
      <c r="AC911" s="2" t="s">
        <v>31</v>
      </c>
      <c r="AD911" s="2" t="s">
        <v>32</v>
      </c>
      <c r="AE911" s="2" t="s">
        <v>33</v>
      </c>
      <c r="AF911" s="2" t="s">
        <v>34</v>
      </c>
      <c r="AG911" s="2" t="s">
        <v>81</v>
      </c>
      <c r="AH911" s="2">
        <v>0.400142137697724</v>
      </c>
      <c r="AI911" s="2">
        <v>0.50563954242073805</v>
      </c>
      <c r="AJ911" s="2">
        <v>0.13727556202660901</v>
      </c>
      <c r="AK911" s="2">
        <v>7.6276384568499098E-2</v>
      </c>
      <c r="AL911" s="2">
        <v>0.11864055142747899</v>
      </c>
      <c r="AN911" s="2">
        <v>6.8</v>
      </c>
      <c r="AO911" s="2">
        <v>19.899999999999999</v>
      </c>
      <c r="AP911" s="2">
        <v>564</v>
      </c>
      <c r="AQ911" s="2">
        <v>68</v>
      </c>
      <c r="AR911" s="2">
        <v>1.5</v>
      </c>
      <c r="AS911" s="2">
        <v>135</v>
      </c>
      <c r="AT911" s="2">
        <v>0.8</v>
      </c>
      <c r="AU911" s="2">
        <v>162</v>
      </c>
      <c r="AV911" s="2">
        <v>9.1</v>
      </c>
      <c r="AW911" s="2">
        <v>9.1999999999999993</v>
      </c>
      <c r="AX911" s="2">
        <v>18.3</v>
      </c>
      <c r="AY911" s="2">
        <v>0.34</v>
      </c>
      <c r="AZ911" s="2">
        <v>7.3</v>
      </c>
      <c r="BA911" s="2">
        <v>0.9</v>
      </c>
      <c r="BB911" s="2">
        <v>7.5</v>
      </c>
      <c r="BC911" s="2">
        <v>2.9</v>
      </c>
      <c r="BD911" s="2">
        <f>+AN911*EXP(-0.0495*Y911)</f>
        <v>6.5396368572909962</v>
      </c>
      <c r="BE911" s="2">
        <f>+AO911*EXP(-0.024*Y911)</f>
        <v>19.526856497773288</v>
      </c>
    </row>
    <row r="912" spans="1:57" x14ac:dyDescent="0.2">
      <c r="A912" s="2" t="s">
        <v>331</v>
      </c>
      <c r="B912" s="2" t="s">
        <v>19</v>
      </c>
      <c r="C912" s="2" t="s">
        <v>20</v>
      </c>
      <c r="D912" s="2" t="s">
        <v>21</v>
      </c>
      <c r="E912" s="2" t="s">
        <v>332</v>
      </c>
      <c r="F912" s="2">
        <v>3</v>
      </c>
      <c r="G912" s="2">
        <v>95.9</v>
      </c>
      <c r="H912" s="2">
        <v>3</v>
      </c>
      <c r="I912" s="2">
        <v>2</v>
      </c>
      <c r="J912" s="2">
        <v>0</v>
      </c>
      <c r="K912" s="2" t="s">
        <v>61</v>
      </c>
      <c r="L912" s="6" t="s">
        <v>66</v>
      </c>
      <c r="M912" s="5">
        <v>570000000</v>
      </c>
      <c r="N912" s="2">
        <v>0</v>
      </c>
      <c r="O912" s="2">
        <v>4.602834702</v>
      </c>
      <c r="P912" s="2">
        <v>-74.06939697</v>
      </c>
      <c r="Q912" s="2" t="s">
        <v>333</v>
      </c>
      <c r="R912" s="2">
        <v>5943691.3449999997</v>
      </c>
      <c r="S912" s="2">
        <v>0</v>
      </c>
      <c r="T912" s="2" t="s">
        <v>77</v>
      </c>
      <c r="U912" s="2" t="s">
        <v>78</v>
      </c>
      <c r="V912" s="2" t="s">
        <v>28</v>
      </c>
      <c r="W912" s="2" t="s">
        <v>79</v>
      </c>
      <c r="X912" s="2" t="s">
        <v>80</v>
      </c>
      <c r="Y912" s="2">
        <v>2.5357583245619399</v>
      </c>
      <c r="Z912" s="2">
        <v>4.6254861111111101</v>
      </c>
      <c r="AA912" s="2">
        <v>-74.066980555555503</v>
      </c>
      <c r="AB912" s="2">
        <v>2621</v>
      </c>
      <c r="AC912" s="2" t="s">
        <v>31</v>
      </c>
      <c r="AD912" s="2" t="s">
        <v>32</v>
      </c>
      <c r="AE912" s="2" t="s">
        <v>33</v>
      </c>
      <c r="AF912" s="2" t="s">
        <v>34</v>
      </c>
      <c r="AG912" s="2" t="s">
        <v>89</v>
      </c>
      <c r="AH912" s="2">
        <v>0.113936399157512</v>
      </c>
      <c r="AI912" s="2">
        <v>0.60300872963191199</v>
      </c>
      <c r="AJ912" s="2">
        <v>0.17018660567506899</v>
      </c>
      <c r="AK912" s="2">
        <v>0.132550679810715</v>
      </c>
      <c r="AL912" s="2">
        <v>0.14971253865780099</v>
      </c>
      <c r="AN912" s="2">
        <v>6.8</v>
      </c>
      <c r="AO912" s="2">
        <v>19.899999999999999</v>
      </c>
      <c r="AP912" s="2">
        <v>564</v>
      </c>
      <c r="AQ912" s="2">
        <v>68</v>
      </c>
      <c r="AR912" s="2">
        <v>1.5</v>
      </c>
      <c r="AS912" s="2">
        <v>135</v>
      </c>
      <c r="AT912" s="2">
        <v>0.8</v>
      </c>
      <c r="AU912" s="2">
        <v>162</v>
      </c>
      <c r="AV912" s="2">
        <v>9.1</v>
      </c>
      <c r="AW912" s="2">
        <v>9.1999999999999993</v>
      </c>
      <c r="AX912" s="2">
        <v>18.3</v>
      </c>
      <c r="AY912" s="2">
        <v>0.34</v>
      </c>
      <c r="AZ912" s="2">
        <v>7.3</v>
      </c>
      <c r="BA912" s="2">
        <v>0.9</v>
      </c>
      <c r="BB912" s="2">
        <v>7.5</v>
      </c>
      <c r="BC912" s="2">
        <v>2.9</v>
      </c>
      <c r="BD912" s="2">
        <f>+AN912*EXP(-0.0495*Y912)</f>
        <v>5.9978590174039059</v>
      </c>
      <c r="BE912" s="2">
        <f>+AO912*EXP(-0.024*Y912)</f>
        <v>18.725037497555544</v>
      </c>
    </row>
    <row r="913" spans="1:57" x14ac:dyDescent="0.2">
      <c r="A913" s="2" t="s">
        <v>876</v>
      </c>
      <c r="B913" s="2" t="s">
        <v>19</v>
      </c>
      <c r="C913" s="2" t="s">
        <v>20</v>
      </c>
      <c r="D913" s="2" t="s">
        <v>21</v>
      </c>
      <c r="E913" s="2" t="s">
        <v>578</v>
      </c>
      <c r="F913" s="2">
        <v>4</v>
      </c>
      <c r="G913" s="2">
        <v>94.4</v>
      </c>
      <c r="H913" s="2">
        <v>4</v>
      </c>
      <c r="I913" s="2">
        <v>4</v>
      </c>
      <c r="J913" s="2">
        <v>2</v>
      </c>
      <c r="K913" s="2" t="s">
        <v>61</v>
      </c>
      <c r="L913" s="6" t="s">
        <v>62</v>
      </c>
      <c r="M913" s="5">
        <v>690000000</v>
      </c>
      <c r="N913" s="2">
        <v>0</v>
      </c>
      <c r="O913" s="2">
        <v>4.7239009999999997</v>
      </c>
      <c r="P913" s="2">
        <v>-74.126230000000007</v>
      </c>
      <c r="Q913" s="2" t="s">
        <v>877</v>
      </c>
      <c r="R913" s="2">
        <v>7309322.034</v>
      </c>
      <c r="S913" s="2">
        <v>0</v>
      </c>
      <c r="T913" s="2" t="s">
        <v>370</v>
      </c>
      <c r="U913" s="2" t="s">
        <v>371</v>
      </c>
      <c r="V913" s="2" t="s">
        <v>28</v>
      </c>
      <c r="W913" s="2" t="s">
        <v>29</v>
      </c>
      <c r="X913" s="2" t="s">
        <v>372</v>
      </c>
      <c r="Y913" s="2">
        <v>1.32574927959682</v>
      </c>
      <c r="Z913" s="2">
        <v>4.7358055555555598</v>
      </c>
      <c r="AA913" s="2">
        <v>-74.125888888888895</v>
      </c>
      <c r="AB913" s="2">
        <v>2574</v>
      </c>
      <c r="AC913" s="2" t="s">
        <v>105</v>
      </c>
      <c r="AD913" s="2" t="s">
        <v>58</v>
      </c>
      <c r="AE913" s="2" t="s">
        <v>33</v>
      </c>
      <c r="AF913" s="2" t="s">
        <v>34</v>
      </c>
      <c r="AG913" s="2" t="s">
        <v>363</v>
      </c>
      <c r="AH913" s="2">
        <v>2.3361961818796502</v>
      </c>
      <c r="AI913" s="2">
        <v>8.7749185661705004E-2</v>
      </c>
      <c r="AJ913" s="2">
        <v>4.0219834313198204</v>
      </c>
      <c r="AK913" s="2">
        <v>0.215872878379293</v>
      </c>
      <c r="AL913" s="2">
        <v>4.4315284296825103E-2</v>
      </c>
      <c r="AN913" s="2">
        <v>6.8</v>
      </c>
      <c r="AO913" s="2">
        <v>19.899999999999999</v>
      </c>
      <c r="AP913" s="2">
        <v>564</v>
      </c>
      <c r="AQ913" s="2">
        <v>68</v>
      </c>
      <c r="AR913" s="2">
        <v>1.5</v>
      </c>
      <c r="AS913" s="2">
        <v>135</v>
      </c>
      <c r="AT913" s="2">
        <v>0.8</v>
      </c>
      <c r="AU913" s="2">
        <v>162</v>
      </c>
      <c r="AV913" s="2">
        <v>9.1</v>
      </c>
      <c r="AW913" s="2">
        <v>9.1999999999999993</v>
      </c>
      <c r="AX913" s="2">
        <v>18.3</v>
      </c>
      <c r="AY913" s="2">
        <v>0.34</v>
      </c>
      <c r="AZ913" s="2">
        <v>7.3</v>
      </c>
      <c r="BA913" s="2">
        <v>0.9</v>
      </c>
      <c r="BB913" s="2">
        <v>7.5</v>
      </c>
      <c r="BC913" s="2">
        <v>2.9</v>
      </c>
      <c r="BD913" s="2">
        <f>+AN913*EXP(-0.0495*Y913)</f>
        <v>6.3680800736454293</v>
      </c>
      <c r="BE913" s="2">
        <f>+AO913*EXP(-0.024*Y913)</f>
        <v>19.276789373027896</v>
      </c>
    </row>
    <row r="914" spans="1:57" x14ac:dyDescent="0.2">
      <c r="A914" s="2" t="s">
        <v>1842</v>
      </c>
      <c r="B914" s="2" t="s">
        <v>19</v>
      </c>
      <c r="C914" s="2" t="s">
        <v>20</v>
      </c>
      <c r="D914" s="2" t="s">
        <v>21</v>
      </c>
      <c r="E914" s="2" t="s">
        <v>1336</v>
      </c>
      <c r="F914" s="2">
        <v>4</v>
      </c>
      <c r="G914" s="2">
        <v>94</v>
      </c>
      <c r="H914" s="2">
        <v>3</v>
      </c>
      <c r="I914" s="2">
        <v>2</v>
      </c>
      <c r="J914" s="2">
        <v>2</v>
      </c>
      <c r="K914" s="2" t="s">
        <v>61</v>
      </c>
      <c r="L914" s="6" t="s">
        <v>84</v>
      </c>
      <c r="M914" s="5">
        <v>900000000</v>
      </c>
      <c r="N914" s="2">
        <v>0</v>
      </c>
      <c r="O914" s="2">
        <v>4.6560800000000002</v>
      </c>
      <c r="P914" s="2">
        <v>-74.0792</v>
      </c>
      <c r="Q914" s="2" t="s">
        <v>1843</v>
      </c>
      <c r="R914" s="2">
        <v>9574468.0850000009</v>
      </c>
      <c r="S914" s="2">
        <v>0</v>
      </c>
      <c r="T914" s="2" t="s">
        <v>26</v>
      </c>
      <c r="U914" s="2" t="s">
        <v>27</v>
      </c>
      <c r="V914" s="2" t="s">
        <v>28</v>
      </c>
      <c r="W914" s="2" t="s">
        <v>29</v>
      </c>
      <c r="X914" s="2" t="s">
        <v>30</v>
      </c>
      <c r="Y914" s="2">
        <v>0.59185440069684003</v>
      </c>
      <c r="Z914" s="2">
        <v>4.6584666666666701</v>
      </c>
      <c r="AA914" s="2">
        <v>-74.083966666666697</v>
      </c>
      <c r="AB914" s="2">
        <v>2552</v>
      </c>
      <c r="AC914" s="2" t="s">
        <v>31</v>
      </c>
      <c r="AD914" s="2" t="s">
        <v>32</v>
      </c>
      <c r="AE914" s="2" t="s">
        <v>33</v>
      </c>
      <c r="AF914" s="2" t="s">
        <v>34</v>
      </c>
      <c r="AG914" s="2" t="s">
        <v>293</v>
      </c>
      <c r="AH914" s="2">
        <v>0.21495177925070899</v>
      </c>
      <c r="AI914" s="2">
        <v>2.92895141540277</v>
      </c>
      <c r="AJ914" s="2">
        <v>0.76556989518264396</v>
      </c>
      <c r="AK914" s="2">
        <v>0.23592890950878601</v>
      </c>
      <c r="AL914" s="2">
        <v>0.197649675389137</v>
      </c>
      <c r="AN914" s="2">
        <v>6.8</v>
      </c>
      <c r="AO914" s="2">
        <v>19.899999999999999</v>
      </c>
      <c r="AP914" s="2">
        <v>564</v>
      </c>
      <c r="AQ914" s="2">
        <v>68</v>
      </c>
      <c r="AR914" s="2">
        <v>1.5</v>
      </c>
      <c r="AS914" s="2">
        <v>135</v>
      </c>
      <c r="AT914" s="2">
        <v>0.8</v>
      </c>
      <c r="AU914" s="2">
        <v>162</v>
      </c>
      <c r="AV914" s="2">
        <v>9.1</v>
      </c>
      <c r="AW914" s="2">
        <v>9.1999999999999993</v>
      </c>
      <c r="AX914" s="2">
        <v>18.3</v>
      </c>
      <c r="AY914" s="2">
        <v>0.34</v>
      </c>
      <c r="AZ914" s="2">
        <v>7.3</v>
      </c>
      <c r="BA914" s="2">
        <v>0.9</v>
      </c>
      <c r="BB914" s="2">
        <v>7.5</v>
      </c>
      <c r="BC914" s="2">
        <v>2.9</v>
      </c>
      <c r="BD914" s="2">
        <f>+AN914*EXP(-0.0495*Y914)</f>
        <v>6.6036717450433899</v>
      </c>
      <c r="BE914" s="2">
        <f>+AO914*EXP(-0.024*Y914)</f>
        <v>19.619328457671887</v>
      </c>
    </row>
    <row r="915" spans="1:57" x14ac:dyDescent="0.2">
      <c r="A915" s="2" t="s">
        <v>1222</v>
      </c>
      <c r="B915" s="2" t="s">
        <v>19</v>
      </c>
      <c r="C915" s="2" t="s">
        <v>20</v>
      </c>
      <c r="D915" s="2" t="s">
        <v>21</v>
      </c>
      <c r="E915" s="2" t="s">
        <v>355</v>
      </c>
      <c r="F915" s="2">
        <v>5</v>
      </c>
      <c r="G915" s="2">
        <v>92</v>
      </c>
      <c r="H915" s="2">
        <v>2</v>
      </c>
      <c r="I915" s="2">
        <v>2</v>
      </c>
      <c r="J915" s="2">
        <v>2</v>
      </c>
      <c r="K915" s="2" t="s">
        <v>61</v>
      </c>
      <c r="L915" s="6" t="s">
        <v>75</v>
      </c>
      <c r="M915" s="5">
        <v>906000000</v>
      </c>
      <c r="N915" s="2">
        <v>0</v>
      </c>
      <c r="O915" s="2">
        <v>4.6722431179999999</v>
      </c>
      <c r="P915" s="2">
        <v>-74.058692930000007</v>
      </c>
      <c r="Q915" s="2" t="s">
        <v>1223</v>
      </c>
      <c r="R915" s="2">
        <v>9847826.0869999994</v>
      </c>
      <c r="S915" s="2">
        <v>0</v>
      </c>
      <c r="T915" s="2" t="s">
        <v>26</v>
      </c>
      <c r="U915" s="2" t="s">
        <v>27</v>
      </c>
      <c r="V915" s="2" t="s">
        <v>28</v>
      </c>
      <c r="W915" s="2" t="s">
        <v>29</v>
      </c>
      <c r="X915" s="2" t="s">
        <v>30</v>
      </c>
      <c r="Y915" s="2">
        <v>3.19610380670056</v>
      </c>
      <c r="Z915" s="2">
        <v>4.6584666666666701</v>
      </c>
      <c r="AA915" s="2">
        <v>-74.083966666666697</v>
      </c>
      <c r="AB915" s="2">
        <v>2552</v>
      </c>
      <c r="AC915" s="2" t="s">
        <v>31</v>
      </c>
      <c r="AD915" s="2" t="s">
        <v>32</v>
      </c>
      <c r="AE915" s="2" t="s">
        <v>33</v>
      </c>
      <c r="AF915" s="2" t="s">
        <v>34</v>
      </c>
      <c r="AG915" s="2" t="s">
        <v>81</v>
      </c>
      <c r="AH915" s="2">
        <v>0.105696631265358</v>
      </c>
      <c r="AI915" s="2">
        <v>1.71775359708495</v>
      </c>
      <c r="AJ915" s="2">
        <v>0.485182287736378</v>
      </c>
      <c r="AK915" s="2">
        <v>2.4927912276709499E-2</v>
      </c>
      <c r="AL915" s="2">
        <v>0.73969791729020795</v>
      </c>
      <c r="AN915" s="2">
        <v>6.8</v>
      </c>
      <c r="AO915" s="2">
        <v>19.899999999999999</v>
      </c>
      <c r="AP915" s="2">
        <v>564</v>
      </c>
      <c r="AQ915" s="2">
        <v>68</v>
      </c>
      <c r="AR915" s="2">
        <v>1.5</v>
      </c>
      <c r="AS915" s="2">
        <v>135</v>
      </c>
      <c r="AT915" s="2">
        <v>0.8</v>
      </c>
      <c r="AU915" s="2">
        <v>162</v>
      </c>
      <c r="AV915" s="2">
        <v>9.1</v>
      </c>
      <c r="AW915" s="2">
        <v>9.1999999999999993</v>
      </c>
      <c r="AX915" s="2">
        <v>18.3</v>
      </c>
      <c r="AY915" s="2">
        <v>0.34</v>
      </c>
      <c r="AZ915" s="2">
        <v>7.3</v>
      </c>
      <c r="BA915" s="2">
        <v>0.9</v>
      </c>
      <c r="BB915" s="2">
        <v>7.5</v>
      </c>
      <c r="BC915" s="2">
        <v>2.9</v>
      </c>
      <c r="BD915" s="2">
        <f>+AN915*EXP(-0.0495*Y915)</f>
        <v>5.8049759592258487</v>
      </c>
      <c r="BE915" s="2">
        <f>+AO915*EXP(-0.024*Y915)</f>
        <v>18.430616838240347</v>
      </c>
    </row>
    <row r="916" spans="1:57" x14ac:dyDescent="0.2">
      <c r="A916" s="2" t="s">
        <v>416</v>
      </c>
      <c r="B916" s="2" t="s">
        <v>19</v>
      </c>
      <c r="C916" s="2" t="s">
        <v>20</v>
      </c>
      <c r="D916" s="2" t="s">
        <v>21</v>
      </c>
      <c r="E916" s="2" t="s">
        <v>280</v>
      </c>
      <c r="F916" s="2">
        <v>4</v>
      </c>
      <c r="G916" s="2">
        <v>91.45</v>
      </c>
      <c r="H916" s="2">
        <v>3</v>
      </c>
      <c r="I916" s="2">
        <v>3</v>
      </c>
      <c r="J916" s="2">
        <v>1</v>
      </c>
      <c r="K916" s="2" t="s">
        <v>61</v>
      </c>
      <c r="L916" s="6" t="s">
        <v>66</v>
      </c>
      <c r="M916" s="5">
        <v>749000000</v>
      </c>
      <c r="N916" s="2">
        <v>0</v>
      </c>
      <c r="O916" s="2">
        <v>4.6947739999999998</v>
      </c>
      <c r="P916" s="2">
        <v>-74.08184</v>
      </c>
      <c r="Q916" s="2" t="s">
        <v>417</v>
      </c>
      <c r="R916" s="2">
        <v>8190267.9060000004</v>
      </c>
      <c r="S916" s="2">
        <v>0</v>
      </c>
      <c r="T916" s="2" t="s">
        <v>26</v>
      </c>
      <c r="U916" s="2" t="s">
        <v>27</v>
      </c>
      <c r="V916" s="2" t="s">
        <v>28</v>
      </c>
      <c r="W916" s="2" t="s">
        <v>29</v>
      </c>
      <c r="X916" s="2" t="s">
        <v>30</v>
      </c>
      <c r="Y916" s="2">
        <v>4.0485953023102397</v>
      </c>
      <c r="Z916" s="2">
        <v>4.6584666666666701</v>
      </c>
      <c r="AA916" s="2">
        <v>-74.083966666666697</v>
      </c>
      <c r="AB916" s="2">
        <v>2552</v>
      </c>
      <c r="AC916" s="2" t="s">
        <v>31</v>
      </c>
      <c r="AD916" s="2" t="s">
        <v>32</v>
      </c>
      <c r="AE916" s="2" t="s">
        <v>33</v>
      </c>
      <c r="AF916" s="2" t="s">
        <v>34</v>
      </c>
      <c r="AG916" s="2" t="s">
        <v>72</v>
      </c>
      <c r="AH916" s="2">
        <v>0.52760472462101704</v>
      </c>
      <c r="AI916" s="2">
        <v>5.1831837322507903</v>
      </c>
      <c r="AJ916" s="2">
        <v>1.1087947308487101</v>
      </c>
      <c r="AK916" s="2">
        <v>0.47784447686614301</v>
      </c>
      <c r="AL916" s="2">
        <v>0.492441930088516</v>
      </c>
      <c r="AN916" s="2">
        <v>6.8</v>
      </c>
      <c r="AO916" s="2">
        <v>19.899999999999999</v>
      </c>
      <c r="AP916" s="2">
        <v>564</v>
      </c>
      <c r="AQ916" s="2">
        <v>68</v>
      </c>
      <c r="AR916" s="2">
        <v>1.5</v>
      </c>
      <c r="AS916" s="2">
        <v>135</v>
      </c>
      <c r="AT916" s="2">
        <v>0.8</v>
      </c>
      <c r="AU916" s="2">
        <v>162</v>
      </c>
      <c r="AV916" s="2">
        <v>9.1</v>
      </c>
      <c r="AW916" s="2">
        <v>9.1999999999999993</v>
      </c>
      <c r="AX916" s="2">
        <v>18.3</v>
      </c>
      <c r="AY916" s="2">
        <v>0.34</v>
      </c>
      <c r="AZ916" s="2">
        <v>7.3</v>
      </c>
      <c r="BA916" s="2">
        <v>0.9</v>
      </c>
      <c r="BB916" s="2">
        <v>7.5</v>
      </c>
      <c r="BC916" s="2">
        <v>2.9</v>
      </c>
      <c r="BD916" s="2">
        <f>+AN916*EXP(-0.0495*Y916)</f>
        <v>5.5651121914763264</v>
      </c>
      <c r="BE916" s="2">
        <f>+AO916*EXP(-0.024*Y916)</f>
        <v>18.057361563287209</v>
      </c>
    </row>
    <row r="917" spans="1:57" x14ac:dyDescent="0.2">
      <c r="A917" s="2" t="s">
        <v>972</v>
      </c>
      <c r="B917" s="2" t="s">
        <v>19</v>
      </c>
      <c r="C917" s="2" t="s">
        <v>20</v>
      </c>
      <c r="D917" s="2" t="s">
        <v>21</v>
      </c>
      <c r="E917" s="2" t="s">
        <v>973</v>
      </c>
      <c r="F917" s="2">
        <v>4</v>
      </c>
      <c r="G917" s="2">
        <v>90.6</v>
      </c>
      <c r="H917" s="2">
        <v>3</v>
      </c>
      <c r="I917" s="2">
        <v>2</v>
      </c>
      <c r="J917" s="2">
        <v>1</v>
      </c>
      <c r="K917" s="2" t="s">
        <v>61</v>
      </c>
      <c r="L917" s="6" t="s">
        <v>75</v>
      </c>
      <c r="M917" s="5">
        <v>650000000</v>
      </c>
      <c r="N917" s="2">
        <v>0</v>
      </c>
      <c r="O917" s="2">
        <v>4.6735110000000004</v>
      </c>
      <c r="P917" s="2">
        <v>-74.060440999999997</v>
      </c>
      <c r="Q917" s="2" t="s">
        <v>974</v>
      </c>
      <c r="R917" s="2">
        <v>7174392.9359999998</v>
      </c>
      <c r="S917" s="2">
        <v>0</v>
      </c>
      <c r="T917" s="2" t="s">
        <v>26</v>
      </c>
      <c r="U917" s="2" t="s">
        <v>27</v>
      </c>
      <c r="V917" s="2" t="s">
        <v>28</v>
      </c>
      <c r="W917" s="2" t="s">
        <v>29</v>
      </c>
      <c r="X917" s="2" t="s">
        <v>30</v>
      </c>
      <c r="Y917" s="2">
        <v>3.10125503597189</v>
      </c>
      <c r="Z917" s="2">
        <v>4.6584666666666701</v>
      </c>
      <c r="AA917" s="2">
        <v>-74.083966666666697</v>
      </c>
      <c r="AB917" s="2">
        <v>2552</v>
      </c>
      <c r="AC917" s="2" t="s">
        <v>31</v>
      </c>
      <c r="AD917" s="2" t="s">
        <v>32</v>
      </c>
      <c r="AE917" s="2" t="s">
        <v>33</v>
      </c>
      <c r="AF917" s="2" t="s">
        <v>34</v>
      </c>
      <c r="AG917" s="2" t="s">
        <v>293</v>
      </c>
      <c r="AH917" s="2">
        <v>0.159220941356882</v>
      </c>
      <c r="AI917" s="2">
        <v>1.9554540845975299</v>
      </c>
      <c r="AJ917" s="2">
        <v>0.63581495815789102</v>
      </c>
      <c r="AK917" s="2">
        <v>1.6807899925153899E-2</v>
      </c>
      <c r="AL917" s="2">
        <v>0.60262416035129995</v>
      </c>
      <c r="AN917" s="2">
        <v>6.8</v>
      </c>
      <c r="AO917" s="2">
        <v>19.899999999999999</v>
      </c>
      <c r="AP917" s="2">
        <v>564</v>
      </c>
      <c r="AQ917" s="2">
        <v>68</v>
      </c>
      <c r="AR917" s="2">
        <v>1.5</v>
      </c>
      <c r="AS917" s="2">
        <v>135</v>
      </c>
      <c r="AT917" s="2">
        <v>0.8</v>
      </c>
      <c r="AU917" s="2">
        <v>162</v>
      </c>
      <c r="AV917" s="2">
        <v>9.1</v>
      </c>
      <c r="AW917" s="2">
        <v>9.1999999999999993</v>
      </c>
      <c r="AX917" s="2">
        <v>18.3</v>
      </c>
      <c r="AY917" s="2">
        <v>0.34</v>
      </c>
      <c r="AZ917" s="2">
        <v>7.3</v>
      </c>
      <c r="BA917" s="2">
        <v>0.9</v>
      </c>
      <c r="BB917" s="2">
        <v>7.5</v>
      </c>
      <c r="BC917" s="2">
        <v>2.9</v>
      </c>
      <c r="BD917" s="2">
        <f>+AN917*EXP(-0.0495*Y917)</f>
        <v>5.8322944837484467</v>
      </c>
      <c r="BE917" s="2">
        <f>+AO917*EXP(-0.024*Y917)</f>
        <v>18.472619539378581</v>
      </c>
    </row>
    <row r="918" spans="1:57" x14ac:dyDescent="0.2">
      <c r="A918" s="2" t="s">
        <v>260</v>
      </c>
      <c r="B918" s="2" t="s">
        <v>19</v>
      </c>
      <c r="C918" s="2" t="s">
        <v>20</v>
      </c>
      <c r="D918" s="2" t="s">
        <v>21</v>
      </c>
      <c r="E918" s="2" t="s">
        <v>261</v>
      </c>
      <c r="F918" s="2">
        <v>6</v>
      </c>
      <c r="G918" s="2">
        <v>90</v>
      </c>
      <c r="H918" s="2">
        <v>2</v>
      </c>
      <c r="I918" s="2">
        <v>2</v>
      </c>
      <c r="J918" s="2">
        <v>2</v>
      </c>
      <c r="K918" s="2" t="s">
        <v>61</v>
      </c>
      <c r="L918" s="6" t="s">
        <v>84</v>
      </c>
      <c r="M918" s="5">
        <v>1100000000</v>
      </c>
      <c r="N918" s="2">
        <v>0</v>
      </c>
      <c r="O918" s="2">
        <v>4.6629991530000003</v>
      </c>
      <c r="P918" s="2">
        <v>-74.046852110000003</v>
      </c>
      <c r="Q918" s="2" t="s">
        <v>262</v>
      </c>
      <c r="R918" s="2">
        <v>12222222.220000001</v>
      </c>
      <c r="S918" s="2">
        <v>0</v>
      </c>
      <c r="T918" s="2" t="s">
        <v>26</v>
      </c>
      <c r="U918" s="2" t="s">
        <v>27</v>
      </c>
      <c r="V918" s="2" t="s">
        <v>28</v>
      </c>
      <c r="W918" s="2" t="s">
        <v>29</v>
      </c>
      <c r="X918" s="2" t="s">
        <v>30</v>
      </c>
      <c r="Y918" s="2">
        <v>4.1487072261891402</v>
      </c>
      <c r="Z918" s="2">
        <v>4.6584666666666701</v>
      </c>
      <c r="AA918" s="2">
        <v>-74.083966666666697</v>
      </c>
      <c r="AB918" s="2">
        <v>2552</v>
      </c>
      <c r="AC918" s="2" t="s">
        <v>31</v>
      </c>
      <c r="AD918" s="2" t="s">
        <v>32</v>
      </c>
      <c r="AE918" s="2" t="s">
        <v>33</v>
      </c>
      <c r="AF918" s="2" t="s">
        <v>34</v>
      </c>
      <c r="AG918" s="2" t="s">
        <v>81</v>
      </c>
      <c r="AH918" s="2">
        <v>1.5965799216794001</v>
      </c>
      <c r="AI918" s="2">
        <v>0.19557346174112999</v>
      </c>
      <c r="AJ918" s="2">
        <v>0.78178302996239302</v>
      </c>
      <c r="AK918" s="2">
        <v>0.130736465025898</v>
      </c>
      <c r="AL918" s="2">
        <v>0.43921922424918602</v>
      </c>
      <c r="AN918" s="2">
        <v>6.8</v>
      </c>
      <c r="AO918" s="2">
        <v>19.899999999999999</v>
      </c>
      <c r="AP918" s="2">
        <v>564</v>
      </c>
      <c r="AQ918" s="2">
        <v>68</v>
      </c>
      <c r="AR918" s="2">
        <v>1.5</v>
      </c>
      <c r="AS918" s="2">
        <v>135</v>
      </c>
      <c r="AT918" s="2">
        <v>0.8</v>
      </c>
      <c r="AU918" s="2">
        <v>162</v>
      </c>
      <c r="AV918" s="2">
        <v>9.1</v>
      </c>
      <c r="AW918" s="2">
        <v>9.1999999999999993</v>
      </c>
      <c r="AX918" s="2">
        <v>18.3</v>
      </c>
      <c r="AY918" s="2">
        <v>0.34</v>
      </c>
      <c r="AZ918" s="2">
        <v>7.3</v>
      </c>
      <c r="BA918" s="2">
        <v>0.9</v>
      </c>
      <c r="BB918" s="2">
        <v>7.5</v>
      </c>
      <c r="BC918" s="2">
        <v>2.9</v>
      </c>
      <c r="BD918" s="2">
        <f>+AN918*EXP(-0.0495*Y918)</f>
        <v>5.5376022736656854</v>
      </c>
      <c r="BE918" s="2">
        <f>+AO918*EXP(-0.024*Y918)</f>
        <v>18.014027470296522</v>
      </c>
    </row>
    <row r="919" spans="1:57" x14ac:dyDescent="0.2">
      <c r="A919" s="2" t="s">
        <v>2763</v>
      </c>
      <c r="B919" s="2" t="s">
        <v>19</v>
      </c>
      <c r="C919" s="2" t="s">
        <v>1907</v>
      </c>
      <c r="D919" s="2" t="s">
        <v>21</v>
      </c>
      <c r="E919" s="2" t="s">
        <v>2764</v>
      </c>
      <c r="F919" s="2">
        <v>3</v>
      </c>
      <c r="G919" s="2">
        <v>90</v>
      </c>
      <c r="H919" s="2">
        <v>5</v>
      </c>
      <c r="I919" s="2">
        <v>5</v>
      </c>
      <c r="J919" s="2">
        <v>1</v>
      </c>
      <c r="K919" s="2" t="s">
        <v>61</v>
      </c>
      <c r="L919" s="6" t="s">
        <v>113</v>
      </c>
      <c r="M919" s="5">
        <v>660000000</v>
      </c>
      <c r="N919" s="2">
        <v>0</v>
      </c>
      <c r="O919" s="2">
        <v>4.5766499999999999</v>
      </c>
      <c r="P919" s="2">
        <v>-74.108059999999995</v>
      </c>
      <c r="Q919" s="2" t="s">
        <v>2765</v>
      </c>
      <c r="R919" s="2">
        <v>7333333.3329999996</v>
      </c>
      <c r="S919" s="2">
        <v>0</v>
      </c>
      <c r="T919" s="2" t="s">
        <v>1794</v>
      </c>
      <c r="U919" s="2" t="s">
        <v>1795</v>
      </c>
      <c r="V919" s="2" t="s">
        <v>28</v>
      </c>
      <c r="W919" s="2" t="s">
        <v>1796</v>
      </c>
      <c r="X919" s="2" t="s">
        <v>1797</v>
      </c>
      <c r="Y919" s="2">
        <v>2.54103615973691</v>
      </c>
      <c r="Z919" s="2">
        <v>4.576225</v>
      </c>
      <c r="AA919" s="2">
        <v>-74.130955555555502</v>
      </c>
      <c r="AB919" s="2">
        <v>2589</v>
      </c>
      <c r="AC919" s="2" t="s">
        <v>31</v>
      </c>
      <c r="AD919" s="2" t="s">
        <v>58</v>
      </c>
      <c r="AE919" s="2" t="s">
        <v>33</v>
      </c>
      <c r="AF919" s="2" t="s">
        <v>34</v>
      </c>
      <c r="AG919" s="2" t="s">
        <v>1798</v>
      </c>
      <c r="AH919" s="2">
        <v>0.26196897325051799</v>
      </c>
      <c r="AI919" s="2">
        <v>3.6807484947177</v>
      </c>
      <c r="AJ919" s="2">
        <v>1.5367442010779</v>
      </c>
      <c r="AK919" s="2">
        <v>0.17936402435912499</v>
      </c>
      <c r="AL919" s="2">
        <v>0.168278136370384</v>
      </c>
      <c r="AN919" s="2">
        <v>6.8</v>
      </c>
      <c r="AO919" s="2">
        <v>19.899999999999999</v>
      </c>
      <c r="AP919" s="2">
        <v>564</v>
      </c>
      <c r="AQ919" s="2">
        <v>68</v>
      </c>
      <c r="AR919" s="2">
        <v>1.5</v>
      </c>
      <c r="AS919" s="2">
        <v>135</v>
      </c>
      <c r="AT919" s="2">
        <v>0.8</v>
      </c>
      <c r="AU919" s="2">
        <v>162</v>
      </c>
      <c r="AV919" s="2">
        <v>9.1</v>
      </c>
      <c r="AW919" s="2">
        <v>9.1999999999999993</v>
      </c>
      <c r="AX919" s="2">
        <v>18.3</v>
      </c>
      <c r="AY919" s="2">
        <v>0.34</v>
      </c>
      <c r="AZ919" s="2">
        <v>7.3</v>
      </c>
      <c r="BA919" s="2">
        <v>0.9</v>
      </c>
      <c r="BB919" s="2">
        <v>7.5</v>
      </c>
      <c r="BC919" s="2">
        <v>2.9</v>
      </c>
      <c r="BD919" s="2">
        <f>+AN919*EXP(-0.0495*Y919)</f>
        <v>5.996292264362979</v>
      </c>
      <c r="BE919" s="2">
        <f>+AO919*EXP(-0.024*Y919)</f>
        <v>18.722665783891507</v>
      </c>
    </row>
    <row r="920" spans="1:57" x14ac:dyDescent="0.2">
      <c r="A920" s="2" t="s">
        <v>1940</v>
      </c>
      <c r="B920" s="2" t="s">
        <v>19</v>
      </c>
      <c r="C920" s="2" t="s">
        <v>1907</v>
      </c>
      <c r="D920" s="2" t="s">
        <v>21</v>
      </c>
      <c r="E920" s="2" t="s">
        <v>1941</v>
      </c>
      <c r="F920" s="2">
        <v>4</v>
      </c>
      <c r="G920" s="2">
        <v>89.84</v>
      </c>
      <c r="H920" s="2">
        <v>3</v>
      </c>
      <c r="I920" s="2">
        <v>2</v>
      </c>
      <c r="J920" s="2">
        <v>1</v>
      </c>
      <c r="K920" s="2" t="s">
        <v>61</v>
      </c>
      <c r="L920" s="6" t="s">
        <v>113</v>
      </c>
      <c r="M920" s="5">
        <v>770000000</v>
      </c>
      <c r="N920" s="2">
        <v>0</v>
      </c>
      <c r="O920" s="2">
        <v>4.6893563</v>
      </c>
      <c r="P920" s="2">
        <v>-74.076909999999998</v>
      </c>
      <c r="Q920" s="2" t="s">
        <v>1942</v>
      </c>
      <c r="R920" s="2">
        <v>8570792.5199999996</v>
      </c>
      <c r="S920" s="2">
        <v>0</v>
      </c>
      <c r="T920" s="2" t="s">
        <v>26</v>
      </c>
      <c r="U920" s="2" t="s">
        <v>27</v>
      </c>
      <c r="V920" s="2" t="s">
        <v>28</v>
      </c>
      <c r="W920" s="2" t="s">
        <v>29</v>
      </c>
      <c r="X920" s="2" t="s">
        <v>30</v>
      </c>
      <c r="Y920" s="2">
        <v>3.5266242271941999</v>
      </c>
      <c r="Z920" s="2">
        <v>4.6584666666666701</v>
      </c>
      <c r="AA920" s="2">
        <v>-74.083966666666697</v>
      </c>
      <c r="AB920" s="2">
        <v>2552</v>
      </c>
      <c r="AC920" s="2" t="s">
        <v>31</v>
      </c>
      <c r="AD920" s="2" t="s">
        <v>32</v>
      </c>
      <c r="AE920" s="2" t="s">
        <v>33</v>
      </c>
      <c r="AF920" s="2" t="s">
        <v>34</v>
      </c>
      <c r="AG920" s="2" t="s">
        <v>72</v>
      </c>
      <c r="AH920" s="2">
        <v>0.55867601348211304</v>
      </c>
      <c r="AI920" s="2">
        <v>4.3984063240658902</v>
      </c>
      <c r="AJ920" s="2">
        <v>0.36176720252762701</v>
      </c>
      <c r="AK920" s="2">
        <v>0.26831829795241102</v>
      </c>
      <c r="AL920" s="2">
        <v>0.125783832354258</v>
      </c>
      <c r="AN920" s="2">
        <v>6.8</v>
      </c>
      <c r="AO920" s="2">
        <v>19.899999999999999</v>
      </c>
      <c r="AP920" s="2">
        <v>564</v>
      </c>
      <c r="AQ920" s="2">
        <v>68</v>
      </c>
      <c r="AR920" s="2">
        <v>1.5</v>
      </c>
      <c r="AS920" s="2">
        <v>135</v>
      </c>
      <c r="AT920" s="2">
        <v>0.8</v>
      </c>
      <c r="AU920" s="2">
        <v>162</v>
      </c>
      <c r="AV920" s="2">
        <v>9.1</v>
      </c>
      <c r="AW920" s="2">
        <v>9.1999999999999993</v>
      </c>
      <c r="AX920" s="2">
        <v>18.3</v>
      </c>
      <c r="AY920" s="2">
        <v>0.34</v>
      </c>
      <c r="AZ920" s="2">
        <v>7.3</v>
      </c>
      <c r="BA920" s="2">
        <v>0.9</v>
      </c>
      <c r="BB920" s="2">
        <v>7.5</v>
      </c>
      <c r="BC920" s="2">
        <v>2.9</v>
      </c>
      <c r="BD920" s="2">
        <f>+AN920*EXP(-0.0495*Y920)</f>
        <v>5.710774838287878</v>
      </c>
      <c r="BE920" s="2">
        <f>+AO920*EXP(-0.024*Y920)</f>
        <v>18.284994490299557</v>
      </c>
    </row>
    <row r="921" spans="1:57" x14ac:dyDescent="0.2">
      <c r="A921" s="2" t="s">
        <v>524</v>
      </c>
      <c r="B921" s="2" t="s">
        <v>19</v>
      </c>
      <c r="C921" s="2" t="s">
        <v>20</v>
      </c>
      <c r="D921" s="2" t="s">
        <v>21</v>
      </c>
      <c r="E921" s="2" t="s">
        <v>525</v>
      </c>
      <c r="F921" s="2">
        <v>4</v>
      </c>
      <c r="G921" s="2">
        <v>89</v>
      </c>
      <c r="H921" s="2">
        <v>3</v>
      </c>
      <c r="I921" s="2">
        <v>2</v>
      </c>
      <c r="J921" s="2">
        <v>1</v>
      </c>
      <c r="K921" s="2" t="s">
        <v>61</v>
      </c>
      <c r="L921" s="6" t="s">
        <v>75</v>
      </c>
      <c r="M921" s="5">
        <v>725000000</v>
      </c>
      <c r="N921" s="2">
        <v>0</v>
      </c>
      <c r="O921" s="2">
        <v>4.6938848499999999</v>
      </c>
      <c r="P921" s="2">
        <v>-74.085372919999998</v>
      </c>
      <c r="Q921" s="2" t="s">
        <v>526</v>
      </c>
      <c r="R921" s="2">
        <v>8146067.4160000002</v>
      </c>
      <c r="S921" s="2">
        <v>0</v>
      </c>
      <c r="T921" s="2" t="s">
        <v>26</v>
      </c>
      <c r="U921" s="2" t="s">
        <v>27</v>
      </c>
      <c r="V921" s="2" t="s">
        <v>28</v>
      </c>
      <c r="W921" s="2" t="s">
        <v>29</v>
      </c>
      <c r="X921" s="2" t="s">
        <v>30</v>
      </c>
      <c r="Y921" s="2">
        <v>3.94581999261298</v>
      </c>
      <c r="Z921" s="2">
        <v>4.6584666666666701</v>
      </c>
      <c r="AA921" s="2">
        <v>-74.083966666666697</v>
      </c>
      <c r="AB921" s="2">
        <v>2552</v>
      </c>
      <c r="AC921" s="2" t="s">
        <v>31</v>
      </c>
      <c r="AD921" s="2" t="s">
        <v>32</v>
      </c>
      <c r="AE921" s="2" t="s">
        <v>33</v>
      </c>
      <c r="AF921" s="2" t="s">
        <v>34</v>
      </c>
      <c r="AG921" s="2" t="s">
        <v>363</v>
      </c>
      <c r="AH921" s="2">
        <v>0.195111079666168</v>
      </c>
      <c r="AI921" s="2">
        <v>5.4600823255238096</v>
      </c>
      <c r="AJ921" s="2">
        <v>0.93129926168764998</v>
      </c>
      <c r="AK921" s="2">
        <v>0.14922298197003001</v>
      </c>
      <c r="AL921" s="2">
        <v>0.17717784682625701</v>
      </c>
      <c r="AN921" s="2">
        <v>6.8</v>
      </c>
      <c r="AO921" s="2">
        <v>19.899999999999999</v>
      </c>
      <c r="AP921" s="2">
        <v>564</v>
      </c>
      <c r="AQ921" s="2">
        <v>68</v>
      </c>
      <c r="AR921" s="2">
        <v>1.5</v>
      </c>
      <c r="AS921" s="2">
        <v>135</v>
      </c>
      <c r="AT921" s="2">
        <v>0.8</v>
      </c>
      <c r="AU921" s="2">
        <v>162</v>
      </c>
      <c r="AV921" s="2">
        <v>9.1</v>
      </c>
      <c r="AW921" s="2">
        <v>9.1999999999999993</v>
      </c>
      <c r="AX921" s="2">
        <v>18.3</v>
      </c>
      <c r="AY921" s="2">
        <v>0.34</v>
      </c>
      <c r="AZ921" s="2">
        <v>7.3</v>
      </c>
      <c r="BA921" s="2">
        <v>0.9</v>
      </c>
      <c r="BB921" s="2">
        <v>7.5</v>
      </c>
      <c r="BC921" s="2">
        <v>2.9</v>
      </c>
      <c r="BD921" s="2">
        <f>+AN921*EXP(-0.0495*Y921)</f>
        <v>5.5934961586253147</v>
      </c>
      <c r="BE921" s="2">
        <f>+AO921*EXP(-0.024*Y921)</f>
        <v>18.101956962596052</v>
      </c>
    </row>
    <row r="922" spans="1:57" x14ac:dyDescent="0.2">
      <c r="A922" s="2" t="s">
        <v>839</v>
      </c>
      <c r="B922" s="2" t="s">
        <v>19</v>
      </c>
      <c r="C922" s="2" t="s">
        <v>20</v>
      </c>
      <c r="D922" s="2" t="s">
        <v>21</v>
      </c>
      <c r="E922" s="2" t="s">
        <v>81</v>
      </c>
      <c r="F922" s="2">
        <v>3</v>
      </c>
      <c r="G922" s="2">
        <v>87</v>
      </c>
      <c r="H922" s="2">
        <v>3</v>
      </c>
      <c r="I922" s="2">
        <v>2</v>
      </c>
      <c r="J922" s="2">
        <v>1</v>
      </c>
      <c r="K922" s="2" t="s">
        <v>61</v>
      </c>
      <c r="L922" s="6" t="s">
        <v>75</v>
      </c>
      <c r="M922" s="5">
        <v>590000000</v>
      </c>
      <c r="N922" s="2">
        <v>0</v>
      </c>
      <c r="O922" s="2">
        <v>4.6525116000000004</v>
      </c>
      <c r="P922" s="2">
        <v>-74.062298889999994</v>
      </c>
      <c r="Q922" s="2" t="s">
        <v>840</v>
      </c>
      <c r="R922" s="2">
        <v>6781609.1950000003</v>
      </c>
      <c r="S922" s="2">
        <v>0</v>
      </c>
      <c r="T922" s="2" t="s">
        <v>26</v>
      </c>
      <c r="U922" s="2" t="s">
        <v>27</v>
      </c>
      <c r="V922" s="2" t="s">
        <v>28</v>
      </c>
      <c r="W922" s="2" t="s">
        <v>29</v>
      </c>
      <c r="X922" s="2" t="s">
        <v>30</v>
      </c>
      <c r="Y922" s="2">
        <v>2.4938113224972702</v>
      </c>
      <c r="Z922" s="2">
        <v>4.6584666666666701</v>
      </c>
      <c r="AA922" s="2">
        <v>-74.083966666666697</v>
      </c>
      <c r="AB922" s="2">
        <v>2552</v>
      </c>
      <c r="AC922" s="2" t="s">
        <v>31</v>
      </c>
      <c r="AD922" s="2" t="s">
        <v>32</v>
      </c>
      <c r="AE922" s="2" t="s">
        <v>33</v>
      </c>
      <c r="AF922" s="2" t="s">
        <v>34</v>
      </c>
      <c r="AG922" s="2" t="s">
        <v>81</v>
      </c>
      <c r="AH922" s="2">
        <v>0.27576299493269502</v>
      </c>
      <c r="AI922" s="2">
        <v>1.27970696855363</v>
      </c>
      <c r="AJ922" s="2">
        <v>0.10332665561992301</v>
      </c>
      <c r="AK922" s="2">
        <v>7.9264910174481496E-3</v>
      </c>
      <c r="AL922" s="2">
        <v>7.3330259160430997E-2</v>
      </c>
      <c r="AN922" s="2">
        <v>6.8</v>
      </c>
      <c r="AO922" s="2">
        <v>19.899999999999999</v>
      </c>
      <c r="AP922" s="2">
        <v>564</v>
      </c>
      <c r="AQ922" s="2">
        <v>68</v>
      </c>
      <c r="AR922" s="2">
        <v>1.5</v>
      </c>
      <c r="AS922" s="2">
        <v>135</v>
      </c>
      <c r="AT922" s="2">
        <v>0.8</v>
      </c>
      <c r="AU922" s="2">
        <v>162</v>
      </c>
      <c r="AV922" s="2">
        <v>9.1</v>
      </c>
      <c r="AW922" s="2">
        <v>9.1999999999999993</v>
      </c>
      <c r="AX922" s="2">
        <v>18.3</v>
      </c>
      <c r="AY922" s="2">
        <v>0.34</v>
      </c>
      <c r="AZ922" s="2">
        <v>7.3</v>
      </c>
      <c r="BA922" s="2">
        <v>0.9</v>
      </c>
      <c r="BB922" s="2">
        <v>7.5</v>
      </c>
      <c r="BC922" s="2">
        <v>2.9</v>
      </c>
      <c r="BD922" s="2">
        <f>+AN922*EXP(-0.0495*Y922)</f>
        <v>6.0103257698884933</v>
      </c>
      <c r="BE922" s="2">
        <f>+AO922*EXP(-0.024*Y922)</f>
        <v>18.743898010143845</v>
      </c>
    </row>
    <row r="923" spans="1:57" x14ac:dyDescent="0.2">
      <c r="A923" s="2" t="s">
        <v>1036</v>
      </c>
      <c r="B923" s="2" t="s">
        <v>19</v>
      </c>
      <c r="C923" s="2" t="s">
        <v>20</v>
      </c>
      <c r="D923" s="2" t="s">
        <v>21</v>
      </c>
      <c r="E923" s="2" t="s">
        <v>590</v>
      </c>
      <c r="F923" s="2">
        <v>3</v>
      </c>
      <c r="G923" s="2">
        <v>86.9</v>
      </c>
      <c r="H923" s="2">
        <v>2</v>
      </c>
      <c r="I923" s="2">
        <v>2</v>
      </c>
      <c r="J923" s="2">
        <v>1</v>
      </c>
      <c r="K923" s="2" t="s">
        <v>61</v>
      </c>
      <c r="L923" s="6" t="s">
        <v>62</v>
      </c>
      <c r="M923" s="5">
        <v>628700000</v>
      </c>
      <c r="N923" s="2">
        <v>0</v>
      </c>
      <c r="O923" s="2">
        <v>4.662922</v>
      </c>
      <c r="P923" s="2">
        <v>-74.077445999999995</v>
      </c>
      <c r="Q923" s="2" t="s">
        <v>1037</v>
      </c>
      <c r="R923" s="2">
        <v>7234752.5889999997</v>
      </c>
      <c r="S923" s="2">
        <v>0</v>
      </c>
      <c r="T923" s="2" t="s">
        <v>26</v>
      </c>
      <c r="U923" s="2" t="s">
        <v>27</v>
      </c>
      <c r="V923" s="2" t="s">
        <v>28</v>
      </c>
      <c r="W923" s="2" t="s">
        <v>29</v>
      </c>
      <c r="X923" s="2" t="s">
        <v>30</v>
      </c>
      <c r="Y923" s="2">
        <v>0.87715494712354303</v>
      </c>
      <c r="Z923" s="2">
        <v>4.6584666666666701</v>
      </c>
      <c r="AA923" s="2">
        <v>-74.083966666666697</v>
      </c>
      <c r="AB923" s="2">
        <v>2552</v>
      </c>
      <c r="AC923" s="2" t="s">
        <v>31</v>
      </c>
      <c r="AD923" s="2" t="s">
        <v>32</v>
      </c>
      <c r="AE923" s="2" t="s">
        <v>33</v>
      </c>
      <c r="AF923" s="2" t="s">
        <v>34</v>
      </c>
      <c r="AG923" s="2" t="s">
        <v>293</v>
      </c>
      <c r="AH923" s="2">
        <v>0.49509193480542701</v>
      </c>
      <c r="AI923" s="2">
        <v>3.2803556290696601</v>
      </c>
      <c r="AJ923" s="2">
        <v>1.42782731809617</v>
      </c>
      <c r="AK923" s="2">
        <v>8.9824461477754997E-2</v>
      </c>
      <c r="AL923" s="2">
        <v>7.0462238182893003E-2</v>
      </c>
      <c r="AN923" s="2">
        <v>6.8</v>
      </c>
      <c r="AO923" s="2">
        <v>19.899999999999999</v>
      </c>
      <c r="AP923" s="2">
        <v>564</v>
      </c>
      <c r="AQ923" s="2">
        <v>68</v>
      </c>
      <c r="AR923" s="2">
        <v>1.5</v>
      </c>
      <c r="AS923" s="2">
        <v>135</v>
      </c>
      <c r="AT923" s="2">
        <v>0.8</v>
      </c>
      <c r="AU923" s="2">
        <v>162</v>
      </c>
      <c r="AV923" s="2">
        <v>9.1</v>
      </c>
      <c r="AW923" s="2">
        <v>9.1999999999999993</v>
      </c>
      <c r="AX923" s="2">
        <v>18.3</v>
      </c>
      <c r="AY923" s="2">
        <v>0.34</v>
      </c>
      <c r="AZ923" s="2">
        <v>7.3</v>
      </c>
      <c r="BA923" s="2">
        <v>0.9</v>
      </c>
      <c r="BB923" s="2">
        <v>7.5</v>
      </c>
      <c r="BC923" s="2">
        <v>2.9</v>
      </c>
      <c r="BD923" s="2">
        <f>+AN923*EXP(-0.0495*Y923)</f>
        <v>6.5110676369104823</v>
      </c>
      <c r="BE923" s="2">
        <f>+AO923*EXP(-0.024*Y923)</f>
        <v>19.485449606145778</v>
      </c>
    </row>
    <row r="924" spans="1:57" x14ac:dyDescent="0.2">
      <c r="A924" s="2" t="s">
        <v>243</v>
      </c>
      <c r="B924" s="2" t="s">
        <v>19</v>
      </c>
      <c r="C924" s="2" t="s">
        <v>20</v>
      </c>
      <c r="D924" s="2" t="s">
        <v>21</v>
      </c>
      <c r="E924" s="2" t="s">
        <v>244</v>
      </c>
      <c r="F924" s="2">
        <v>4</v>
      </c>
      <c r="G924" s="2">
        <v>86</v>
      </c>
      <c r="H924" s="2">
        <v>2</v>
      </c>
      <c r="I924" s="2">
        <v>3</v>
      </c>
      <c r="J924" s="2">
        <v>1</v>
      </c>
      <c r="K924" s="2" t="s">
        <v>23</v>
      </c>
      <c r="L924" s="6" t="s">
        <v>24</v>
      </c>
      <c r="M924" s="5">
        <v>1303000000</v>
      </c>
      <c r="N924" s="2">
        <v>0</v>
      </c>
      <c r="O924" s="2">
        <v>4.6110949999999997</v>
      </c>
      <c r="P924" s="2">
        <v>-74.0672</v>
      </c>
      <c r="Q924" s="2" t="s">
        <v>245</v>
      </c>
      <c r="R924" s="2">
        <v>15151162.789999999</v>
      </c>
      <c r="S924" s="2">
        <v>0</v>
      </c>
      <c r="T924" s="2" t="s">
        <v>77</v>
      </c>
      <c r="U924" s="2" t="s">
        <v>78</v>
      </c>
      <c r="V924" s="2" t="s">
        <v>28</v>
      </c>
      <c r="W924" s="2" t="s">
        <v>79</v>
      </c>
      <c r="X924" s="2" t="s">
        <v>80</v>
      </c>
      <c r="Y924" s="2">
        <v>1.60219619260187</v>
      </c>
      <c r="Z924" s="2">
        <v>4.6254861111111101</v>
      </c>
      <c r="AA924" s="2">
        <v>-74.066980555555503</v>
      </c>
      <c r="AB924" s="2">
        <v>2621</v>
      </c>
      <c r="AC924" s="2" t="s">
        <v>31</v>
      </c>
      <c r="AD924" s="2" t="s">
        <v>32</v>
      </c>
      <c r="AE924" s="2" t="s">
        <v>33</v>
      </c>
      <c r="AF924" s="2" t="s">
        <v>34</v>
      </c>
      <c r="AG924" s="2" t="s">
        <v>89</v>
      </c>
      <c r="AH924" s="2">
        <v>0.47733575772768</v>
      </c>
      <c r="AI924" s="2">
        <v>0.35692331491159202</v>
      </c>
      <c r="AJ924" s="2">
        <v>0.46451264872717402</v>
      </c>
      <c r="AK924" s="2">
        <v>0.39257844270589998</v>
      </c>
      <c r="AL924" s="2">
        <v>3.30575350259847E-2</v>
      </c>
      <c r="AN924" s="2">
        <v>6.8</v>
      </c>
      <c r="AO924" s="2">
        <v>19.899999999999999</v>
      </c>
      <c r="AP924" s="2">
        <v>564</v>
      </c>
      <c r="AQ924" s="2">
        <v>68</v>
      </c>
      <c r="AR924" s="2">
        <v>1.5</v>
      </c>
      <c r="AS924" s="2">
        <v>135</v>
      </c>
      <c r="AT924" s="2">
        <v>0.8</v>
      </c>
      <c r="AU924" s="2">
        <v>162</v>
      </c>
      <c r="AV924" s="2">
        <v>9.1</v>
      </c>
      <c r="AW924" s="2">
        <v>9.1999999999999993</v>
      </c>
      <c r="AX924" s="2">
        <v>18.3</v>
      </c>
      <c r="AY924" s="2">
        <v>0.34</v>
      </c>
      <c r="AZ924" s="2">
        <v>7.3</v>
      </c>
      <c r="BA924" s="2">
        <v>0.9</v>
      </c>
      <c r="BB924" s="2">
        <v>7.5</v>
      </c>
      <c r="BC924" s="2">
        <v>2.9</v>
      </c>
      <c r="BD924" s="2">
        <f>+AN924*EXP(-0.0495*Y924)</f>
        <v>6.2815320054919743</v>
      </c>
      <c r="BE924" s="2">
        <f>+AO924*EXP(-0.024*Y924)</f>
        <v>19.149316500465773</v>
      </c>
    </row>
    <row r="925" spans="1:57" x14ac:dyDescent="0.2">
      <c r="A925" s="2" t="s">
        <v>766</v>
      </c>
      <c r="B925" s="2" t="s">
        <v>19</v>
      </c>
      <c r="C925" s="2" t="s">
        <v>20</v>
      </c>
      <c r="D925" s="2" t="s">
        <v>21</v>
      </c>
      <c r="E925" s="2" t="s">
        <v>138</v>
      </c>
      <c r="F925" s="2">
        <v>6</v>
      </c>
      <c r="G925" s="2">
        <v>86</v>
      </c>
      <c r="H925" s="2">
        <v>1</v>
      </c>
      <c r="I925" s="2">
        <v>2</v>
      </c>
      <c r="J925" s="2">
        <v>2</v>
      </c>
      <c r="K925" s="2" t="s">
        <v>61</v>
      </c>
      <c r="L925" s="6" t="s">
        <v>66</v>
      </c>
      <c r="M925" s="5">
        <v>999000000</v>
      </c>
      <c r="N925" s="2">
        <v>0</v>
      </c>
      <c r="O925" s="2">
        <v>4.6665340000000004</v>
      </c>
      <c r="P925" s="2">
        <v>-74.044880000000006</v>
      </c>
      <c r="Q925" s="2" t="s">
        <v>767</v>
      </c>
      <c r="R925" s="2">
        <v>11616279.07</v>
      </c>
      <c r="S925" s="2">
        <v>0</v>
      </c>
      <c r="T925" s="2" t="s">
        <v>26</v>
      </c>
      <c r="U925" s="2" t="s">
        <v>27</v>
      </c>
      <c r="V925" s="2" t="s">
        <v>28</v>
      </c>
      <c r="W925" s="2" t="s">
        <v>29</v>
      </c>
      <c r="X925" s="2" t="s">
        <v>30</v>
      </c>
      <c r="Y925" s="2">
        <v>4.4287179417418701</v>
      </c>
      <c r="Z925" s="2">
        <v>4.6584666666666701</v>
      </c>
      <c r="AA925" s="2">
        <v>-74.083966666666697</v>
      </c>
      <c r="AB925" s="2">
        <v>2552</v>
      </c>
      <c r="AC925" s="2" t="s">
        <v>31</v>
      </c>
      <c r="AD925" s="2" t="s">
        <v>32</v>
      </c>
      <c r="AE925" s="2" t="s">
        <v>33</v>
      </c>
      <c r="AF925" s="2" t="s">
        <v>34</v>
      </c>
      <c r="AG925" s="2" t="s">
        <v>81</v>
      </c>
      <c r="AH925" s="2">
        <v>1.7200512542433699</v>
      </c>
      <c r="AI925" s="2">
        <v>0.18705768896112501</v>
      </c>
      <c r="AJ925" s="2">
        <v>0.99259320914645199</v>
      </c>
      <c r="AK925" s="2">
        <v>0.312580254861198</v>
      </c>
      <c r="AL925" s="2">
        <v>0.47293501518493603</v>
      </c>
      <c r="AN925" s="2">
        <v>6.8</v>
      </c>
      <c r="AO925" s="2">
        <v>19.899999999999999</v>
      </c>
      <c r="AP925" s="2">
        <v>564</v>
      </c>
      <c r="AQ925" s="2">
        <v>68</v>
      </c>
      <c r="AR925" s="2">
        <v>1.5</v>
      </c>
      <c r="AS925" s="2">
        <v>135</v>
      </c>
      <c r="AT925" s="2">
        <v>0.8</v>
      </c>
      <c r="AU925" s="2">
        <v>162</v>
      </c>
      <c r="AV925" s="2">
        <v>9.1</v>
      </c>
      <c r="AW925" s="2">
        <v>9.1999999999999993</v>
      </c>
      <c r="AX925" s="2">
        <v>18.3</v>
      </c>
      <c r="AY925" s="2">
        <v>0.34</v>
      </c>
      <c r="AZ925" s="2">
        <v>7.3</v>
      </c>
      <c r="BA925" s="2">
        <v>0.9</v>
      </c>
      <c r="BB925" s="2">
        <v>7.5</v>
      </c>
      <c r="BC925" s="2">
        <v>2.9</v>
      </c>
      <c r="BD925" s="2">
        <f>+AN925*EXP(-0.0495*Y925)</f>
        <v>5.4613776460992147</v>
      </c>
      <c r="BE925" s="2">
        <f>+AO925*EXP(-0.024*Y925)</f>
        <v>17.89337443675284</v>
      </c>
    </row>
    <row r="926" spans="1:57" x14ac:dyDescent="0.2">
      <c r="A926" s="2" t="s">
        <v>1234</v>
      </c>
      <c r="B926" s="2" t="s">
        <v>19</v>
      </c>
      <c r="C926" s="2" t="s">
        <v>20</v>
      </c>
      <c r="D926" s="2" t="s">
        <v>21</v>
      </c>
      <c r="E926" s="2" t="s">
        <v>35</v>
      </c>
      <c r="F926" s="2">
        <v>4</v>
      </c>
      <c r="G926" s="2">
        <v>85</v>
      </c>
      <c r="H926" s="2">
        <v>3</v>
      </c>
      <c r="I926" s="2">
        <v>3</v>
      </c>
      <c r="J926" s="2">
        <v>2</v>
      </c>
      <c r="K926" s="2" t="s">
        <v>61</v>
      </c>
      <c r="L926" s="6" t="s">
        <v>84</v>
      </c>
      <c r="M926" s="5">
        <v>820000000</v>
      </c>
      <c r="N926" s="2">
        <v>0</v>
      </c>
      <c r="O926" s="2">
        <v>4.6236309999999996</v>
      </c>
      <c r="P926" s="2">
        <v>-74.075069999999997</v>
      </c>
      <c r="Q926" s="2" t="s">
        <v>1235</v>
      </c>
      <c r="R926" s="2">
        <v>9647058.8239999991</v>
      </c>
      <c r="S926" s="2">
        <v>0</v>
      </c>
      <c r="T926" s="2" t="s">
        <v>77</v>
      </c>
      <c r="U926" s="2" t="s">
        <v>78</v>
      </c>
      <c r="V926" s="2" t="s">
        <v>28</v>
      </c>
      <c r="W926" s="2" t="s">
        <v>79</v>
      </c>
      <c r="X926" s="2" t="s">
        <v>80</v>
      </c>
      <c r="Y926" s="2">
        <v>0.92103110024526103</v>
      </c>
      <c r="Z926" s="2">
        <v>4.6254861111111101</v>
      </c>
      <c r="AA926" s="2">
        <v>-74.066980555555503</v>
      </c>
      <c r="AB926" s="2">
        <v>2621</v>
      </c>
      <c r="AC926" s="2" t="s">
        <v>31</v>
      </c>
      <c r="AD926" s="2" t="s">
        <v>32</v>
      </c>
      <c r="AE926" s="2" t="s">
        <v>33</v>
      </c>
      <c r="AF926" s="2" t="s">
        <v>34</v>
      </c>
      <c r="AG926" s="2" t="s">
        <v>35</v>
      </c>
      <c r="AH926" s="2">
        <v>0.37636433047868001</v>
      </c>
      <c r="AI926" s="2">
        <v>1.5618427127810599</v>
      </c>
      <c r="AJ926" s="2">
        <v>0.34449331331008298</v>
      </c>
      <c r="AK926" s="2">
        <v>0.12805098466053699</v>
      </c>
      <c r="AL926" s="2">
        <v>0.101606398064307</v>
      </c>
      <c r="AN926" s="2">
        <v>6.8</v>
      </c>
      <c r="AO926" s="2">
        <v>19.899999999999999</v>
      </c>
      <c r="AP926" s="2">
        <v>564</v>
      </c>
      <c r="AQ926" s="2">
        <v>68</v>
      </c>
      <c r="AR926" s="2">
        <v>1.5</v>
      </c>
      <c r="AS926" s="2">
        <v>135</v>
      </c>
      <c r="AT926" s="2">
        <v>0.8</v>
      </c>
      <c r="AU926" s="2">
        <v>162</v>
      </c>
      <c r="AV926" s="2">
        <v>9.1</v>
      </c>
      <c r="AW926" s="2">
        <v>9.1999999999999993</v>
      </c>
      <c r="AX926" s="2">
        <v>18.3</v>
      </c>
      <c r="AY926" s="2">
        <v>0.34</v>
      </c>
      <c r="AZ926" s="2">
        <v>7.3</v>
      </c>
      <c r="BA926" s="2">
        <v>0.9</v>
      </c>
      <c r="BB926" s="2">
        <v>7.5</v>
      </c>
      <c r="BC926" s="2">
        <v>2.9</v>
      </c>
      <c r="BD926" s="2">
        <f>+AN926*EXP(-0.0495*Y926)</f>
        <v>6.4969417924782045</v>
      </c>
      <c r="BE926" s="2">
        <f>+AO926*EXP(-0.024*Y926)</f>
        <v>19.464941688049926</v>
      </c>
    </row>
    <row r="927" spans="1:57" x14ac:dyDescent="0.2">
      <c r="A927" s="2" t="s">
        <v>1677</v>
      </c>
      <c r="B927" s="2" t="s">
        <v>19</v>
      </c>
      <c r="C927" s="2" t="s">
        <v>20</v>
      </c>
      <c r="D927" s="2" t="s">
        <v>21</v>
      </c>
      <c r="E927" s="2" t="s">
        <v>1678</v>
      </c>
      <c r="F927" s="2">
        <v>4</v>
      </c>
      <c r="G927" s="2">
        <v>85</v>
      </c>
      <c r="H927" s="2">
        <v>3</v>
      </c>
      <c r="I927" s="2">
        <v>2</v>
      </c>
      <c r="J927" s="2">
        <v>1</v>
      </c>
      <c r="K927" s="2" t="s">
        <v>61</v>
      </c>
      <c r="L927" s="6" t="s">
        <v>62</v>
      </c>
      <c r="M927" s="5">
        <v>480000000</v>
      </c>
      <c r="N927" s="2">
        <v>0</v>
      </c>
      <c r="O927" s="2">
        <v>4.7240525</v>
      </c>
      <c r="P927" s="2">
        <v>-74.131106299999999</v>
      </c>
      <c r="Q927" s="2" t="s">
        <v>1679</v>
      </c>
      <c r="R927" s="2">
        <v>5647058.824</v>
      </c>
      <c r="S927" s="2">
        <v>0</v>
      </c>
      <c r="T927" s="2" t="s">
        <v>370</v>
      </c>
      <c r="U927" s="2" t="s">
        <v>371</v>
      </c>
      <c r="V927" s="2" t="s">
        <v>28</v>
      </c>
      <c r="W927" s="2" t="s">
        <v>29</v>
      </c>
      <c r="X927" s="2" t="s">
        <v>372</v>
      </c>
      <c r="Y927" s="2">
        <v>1.4306637936739099</v>
      </c>
      <c r="Z927" s="2">
        <v>4.7358055555555598</v>
      </c>
      <c r="AA927" s="2">
        <v>-74.125888888888895</v>
      </c>
      <c r="AB927" s="2">
        <v>2574</v>
      </c>
      <c r="AC927" s="2" t="s">
        <v>105</v>
      </c>
      <c r="AD927" s="2" t="s">
        <v>58</v>
      </c>
      <c r="AE927" s="2" t="s">
        <v>33</v>
      </c>
      <c r="AF927" s="2" t="s">
        <v>34</v>
      </c>
      <c r="AG927" s="2" t="s">
        <v>363</v>
      </c>
      <c r="AH927" s="2">
        <v>2.7726742589311599</v>
      </c>
      <c r="AI927" s="2">
        <v>5.0836017762988302E-2</v>
      </c>
      <c r="AJ927" s="2">
        <v>4.33363702513115</v>
      </c>
      <c r="AK927" s="2">
        <v>0.74435361610223105</v>
      </c>
      <c r="AL927" s="2">
        <v>4.37819721198551E-2</v>
      </c>
      <c r="AN927" s="2">
        <v>6.8</v>
      </c>
      <c r="AO927" s="2">
        <v>19.899999999999999</v>
      </c>
      <c r="AP927" s="2">
        <v>564</v>
      </c>
      <c r="AQ927" s="2">
        <v>68</v>
      </c>
      <c r="AR927" s="2">
        <v>1.5</v>
      </c>
      <c r="AS927" s="2">
        <v>135</v>
      </c>
      <c r="AT927" s="2">
        <v>0.8</v>
      </c>
      <c r="AU927" s="2">
        <v>162</v>
      </c>
      <c r="AV927" s="2">
        <v>9.1</v>
      </c>
      <c r="AW927" s="2">
        <v>9.1999999999999993</v>
      </c>
      <c r="AX927" s="2">
        <v>18.3</v>
      </c>
      <c r="AY927" s="2">
        <v>0.34</v>
      </c>
      <c r="AZ927" s="2">
        <v>7.3</v>
      </c>
      <c r="BA927" s="2">
        <v>0.9</v>
      </c>
      <c r="BB927" s="2">
        <v>7.5</v>
      </c>
      <c r="BC927" s="2">
        <v>2.9</v>
      </c>
      <c r="BD927" s="2">
        <f>+AN927*EXP(-0.0495*Y927)</f>
        <v>6.335094649548064</v>
      </c>
      <c r="BE927" s="2">
        <f>+AO927*EXP(-0.024*Y927)</f>
        <v>19.228312470047854</v>
      </c>
    </row>
    <row r="928" spans="1:57" x14ac:dyDescent="0.2">
      <c r="A928" s="2" t="s">
        <v>1077</v>
      </c>
      <c r="B928" s="2" t="s">
        <v>19</v>
      </c>
      <c r="C928" s="2" t="s">
        <v>20</v>
      </c>
      <c r="D928" s="2" t="s">
        <v>21</v>
      </c>
      <c r="E928" s="2" t="s">
        <v>1078</v>
      </c>
      <c r="F928" s="2">
        <v>3</v>
      </c>
      <c r="G928" s="2">
        <v>85</v>
      </c>
      <c r="H928" s="2">
        <v>3</v>
      </c>
      <c r="I928" s="2">
        <v>2</v>
      </c>
      <c r="J928" s="2">
        <v>1</v>
      </c>
      <c r="K928" s="2" t="s">
        <v>61</v>
      </c>
      <c r="L928" s="6" t="s">
        <v>113</v>
      </c>
      <c r="M928" s="5">
        <v>400000000</v>
      </c>
      <c r="N928" s="2">
        <v>0</v>
      </c>
      <c r="O928" s="2">
        <v>4.6420754999999998</v>
      </c>
      <c r="P928" s="2">
        <v>-74.07123</v>
      </c>
      <c r="Q928" s="2" t="s">
        <v>1079</v>
      </c>
      <c r="R928" s="2">
        <v>4705882.3530000001</v>
      </c>
      <c r="S928" s="2">
        <v>0</v>
      </c>
      <c r="T928" s="2" t="s">
        <v>77</v>
      </c>
      <c r="U928" s="2" t="s">
        <v>78</v>
      </c>
      <c r="V928" s="2" t="s">
        <v>28</v>
      </c>
      <c r="W928" s="2" t="s">
        <v>79</v>
      </c>
      <c r="X928" s="2" t="s">
        <v>80</v>
      </c>
      <c r="Y928" s="2">
        <v>1.9059631171489</v>
      </c>
      <c r="Z928" s="2">
        <v>4.6254861111111101</v>
      </c>
      <c r="AA928" s="2">
        <v>-74.066980555555503</v>
      </c>
      <c r="AB928" s="2">
        <v>2621</v>
      </c>
      <c r="AC928" s="2" t="s">
        <v>31</v>
      </c>
      <c r="AD928" s="2" t="s">
        <v>32</v>
      </c>
      <c r="AE928" s="2" t="s">
        <v>33</v>
      </c>
      <c r="AF928" s="2" t="s">
        <v>34</v>
      </c>
      <c r="AG928" s="2" t="s">
        <v>35</v>
      </c>
      <c r="AH928" s="2">
        <v>0.60729692720778305</v>
      </c>
      <c r="AI928" s="2">
        <v>1.51458651497557</v>
      </c>
      <c r="AJ928" s="2">
        <v>0.16001139111773299</v>
      </c>
      <c r="AK928" s="2">
        <v>4.0858904984764202E-2</v>
      </c>
      <c r="AL928" s="2">
        <v>0.172605606221924</v>
      </c>
      <c r="AN928" s="2">
        <v>6.8</v>
      </c>
      <c r="AO928" s="2">
        <v>19.899999999999999</v>
      </c>
      <c r="AP928" s="2">
        <v>564</v>
      </c>
      <c r="AQ928" s="2">
        <v>68</v>
      </c>
      <c r="AR928" s="2">
        <v>1.5</v>
      </c>
      <c r="AS928" s="2">
        <v>135</v>
      </c>
      <c r="AT928" s="2">
        <v>0.8</v>
      </c>
      <c r="AU928" s="2">
        <v>162</v>
      </c>
      <c r="AV928" s="2">
        <v>9.1</v>
      </c>
      <c r="AW928" s="2">
        <v>9.1999999999999993</v>
      </c>
      <c r="AX928" s="2">
        <v>18.3</v>
      </c>
      <c r="AY928" s="2">
        <v>0.34</v>
      </c>
      <c r="AZ928" s="2">
        <v>7.3</v>
      </c>
      <c r="BA928" s="2">
        <v>0.9</v>
      </c>
      <c r="BB928" s="2">
        <v>7.5</v>
      </c>
      <c r="BC928" s="2">
        <v>2.9</v>
      </c>
      <c r="BD928" s="2">
        <f>+AN928*EXP(-0.0495*Y928)</f>
        <v>6.1877865496881173</v>
      </c>
      <c r="BE928" s="2">
        <f>+AO928*EXP(-0.024*Y928)</f>
        <v>19.010217863804758</v>
      </c>
    </row>
    <row r="929" spans="1:57" x14ac:dyDescent="0.2">
      <c r="A929" s="2" t="s">
        <v>634</v>
      </c>
      <c r="B929" s="2" t="s">
        <v>19</v>
      </c>
      <c r="C929" s="2" t="s">
        <v>20</v>
      </c>
      <c r="D929" s="2" t="s">
        <v>21</v>
      </c>
      <c r="E929" s="2" t="s">
        <v>635</v>
      </c>
      <c r="F929" s="2">
        <v>5</v>
      </c>
      <c r="G929" s="2">
        <v>84</v>
      </c>
      <c r="H929" s="2">
        <v>3</v>
      </c>
      <c r="I929" s="2">
        <v>2</v>
      </c>
      <c r="J929" s="2">
        <v>1</v>
      </c>
      <c r="K929" s="2" t="s">
        <v>61</v>
      </c>
      <c r="L929" s="6" t="s">
        <v>113</v>
      </c>
      <c r="M929" s="5">
        <v>650000000</v>
      </c>
      <c r="N929" s="2">
        <v>0</v>
      </c>
      <c r="O929" s="2">
        <v>4.6820919999999999</v>
      </c>
      <c r="P929" s="2">
        <v>-74.059813399999996</v>
      </c>
      <c r="Q929" s="2" t="s">
        <v>636</v>
      </c>
      <c r="R929" s="2">
        <v>7738095.2379999999</v>
      </c>
      <c r="S929" s="2">
        <v>0</v>
      </c>
      <c r="T929" s="2" t="s">
        <v>26</v>
      </c>
      <c r="U929" s="2" t="s">
        <v>27</v>
      </c>
      <c r="V929" s="2" t="s">
        <v>28</v>
      </c>
      <c r="W929" s="2" t="s">
        <v>29</v>
      </c>
      <c r="X929" s="2" t="s">
        <v>30</v>
      </c>
      <c r="Y929" s="2">
        <v>3.75473424416806</v>
      </c>
      <c r="Z929" s="2">
        <v>4.6584666666666701</v>
      </c>
      <c r="AA929" s="2">
        <v>-74.083966666666697</v>
      </c>
      <c r="AB929" s="2">
        <v>2552</v>
      </c>
      <c r="AC929" s="2" t="s">
        <v>31</v>
      </c>
      <c r="AD929" s="2" t="s">
        <v>32</v>
      </c>
      <c r="AE929" s="2" t="s">
        <v>33</v>
      </c>
      <c r="AF929" s="2" t="s">
        <v>34</v>
      </c>
      <c r="AG929" s="2" t="s">
        <v>293</v>
      </c>
      <c r="AH929" s="2">
        <v>0.31050137483564899</v>
      </c>
      <c r="AI929" s="2">
        <v>2.3853266292352102</v>
      </c>
      <c r="AJ929" s="2">
        <v>0.38164833016651101</v>
      </c>
      <c r="AK929" s="2">
        <v>2.2712572451965601E-2</v>
      </c>
      <c r="AL929" s="2">
        <v>0.172309815697469</v>
      </c>
      <c r="AN929" s="2">
        <v>6.8</v>
      </c>
      <c r="AO929" s="2">
        <v>19.899999999999999</v>
      </c>
      <c r="AP929" s="2">
        <v>564</v>
      </c>
      <c r="AQ929" s="2">
        <v>68</v>
      </c>
      <c r="AR929" s="2">
        <v>1.5</v>
      </c>
      <c r="AS929" s="2">
        <v>135</v>
      </c>
      <c r="AT929" s="2">
        <v>0.8</v>
      </c>
      <c r="AU929" s="2">
        <v>162</v>
      </c>
      <c r="AV929" s="2">
        <v>9.1</v>
      </c>
      <c r="AW929" s="2">
        <v>9.1999999999999993</v>
      </c>
      <c r="AX929" s="2">
        <v>18.3</v>
      </c>
      <c r="AY929" s="2">
        <v>0.34</v>
      </c>
      <c r="AZ929" s="2">
        <v>7.3</v>
      </c>
      <c r="BA929" s="2">
        <v>0.9</v>
      </c>
      <c r="BB929" s="2">
        <v>7.5</v>
      </c>
      <c r="BC929" s="2">
        <v>2.9</v>
      </c>
      <c r="BD929" s="2">
        <f>+AN929*EXP(-0.0495*Y929)</f>
        <v>5.6466546197417316</v>
      </c>
      <c r="BE929" s="2">
        <f>+AO929*EXP(-0.024*Y929)</f>
        <v>18.185164237322763</v>
      </c>
    </row>
    <row r="930" spans="1:57" x14ac:dyDescent="0.2">
      <c r="A930" s="2" t="s">
        <v>3855</v>
      </c>
      <c r="B930" s="2" t="s">
        <v>19</v>
      </c>
      <c r="C930" s="2" t="s">
        <v>3245</v>
      </c>
      <c r="D930" s="2" t="s">
        <v>21</v>
      </c>
      <c r="E930" s="2" t="s">
        <v>645</v>
      </c>
      <c r="F930" s="2">
        <v>4</v>
      </c>
      <c r="G930" s="2">
        <v>84</v>
      </c>
      <c r="H930" s="2">
        <v>1</v>
      </c>
      <c r="I930" s="2">
        <v>1</v>
      </c>
      <c r="J930" s="2">
        <v>1</v>
      </c>
      <c r="K930" s="2" t="s">
        <v>61</v>
      </c>
      <c r="L930" s="6" t="s">
        <v>84</v>
      </c>
      <c r="M930" s="5">
        <v>603453800</v>
      </c>
      <c r="N930" s="2">
        <v>0</v>
      </c>
      <c r="O930" s="2">
        <v>4.6438822750000002</v>
      </c>
      <c r="P930" s="2">
        <v>-74.05656433</v>
      </c>
      <c r="Q930" s="2" t="s">
        <v>3856</v>
      </c>
      <c r="R930" s="2">
        <v>7183973.8099999996</v>
      </c>
      <c r="S930" s="2">
        <v>0</v>
      </c>
      <c r="T930" s="2" t="s">
        <v>77</v>
      </c>
      <c r="U930" s="2" t="s">
        <v>78</v>
      </c>
      <c r="V930" s="2" t="s">
        <v>28</v>
      </c>
      <c r="W930" s="2" t="s">
        <v>79</v>
      </c>
      <c r="X930" s="2" t="s">
        <v>80</v>
      </c>
      <c r="Y930" s="2">
        <v>2.35147297897548</v>
      </c>
      <c r="Z930" s="2">
        <v>4.6254861111111101</v>
      </c>
      <c r="AA930" s="2">
        <v>-74.066980555555503</v>
      </c>
      <c r="AB930" s="2">
        <v>2621</v>
      </c>
      <c r="AC930" s="2" t="s">
        <v>31</v>
      </c>
      <c r="AD930" s="2" t="s">
        <v>32</v>
      </c>
      <c r="AE930" s="2" t="s">
        <v>33</v>
      </c>
      <c r="AF930" s="2" t="s">
        <v>34</v>
      </c>
      <c r="AG930" s="2" t="s">
        <v>81</v>
      </c>
      <c r="AH930" s="2">
        <v>1.0320581271707201</v>
      </c>
      <c r="AI930" s="2">
        <v>0.23283216895154801</v>
      </c>
      <c r="AJ930" s="2">
        <v>0.39897559395527599</v>
      </c>
      <c r="AK930" s="2">
        <v>0.19658434007362899</v>
      </c>
      <c r="AL930" s="2">
        <v>0.19564759063206</v>
      </c>
      <c r="AN930" s="2">
        <v>6.8</v>
      </c>
      <c r="AO930" s="2">
        <v>19.899999999999999</v>
      </c>
      <c r="AP930" s="2">
        <v>564</v>
      </c>
      <c r="AQ930" s="2">
        <v>68</v>
      </c>
      <c r="AR930" s="2">
        <v>1.5</v>
      </c>
      <c r="AS930" s="2">
        <v>135</v>
      </c>
      <c r="AT930" s="2">
        <v>0.8</v>
      </c>
      <c r="AU930" s="2">
        <v>162</v>
      </c>
      <c r="AV930" s="2">
        <v>9.1</v>
      </c>
      <c r="AW930" s="2">
        <v>9.1999999999999993</v>
      </c>
      <c r="AX930" s="2">
        <v>18.3</v>
      </c>
      <c r="AY930" s="2">
        <v>0.34</v>
      </c>
      <c r="AZ930" s="2">
        <v>7.3</v>
      </c>
      <c r="BA930" s="2">
        <v>0.9</v>
      </c>
      <c r="BB930" s="2">
        <v>7.5</v>
      </c>
      <c r="BC930" s="2">
        <v>2.9</v>
      </c>
      <c r="BD930" s="2">
        <f>+AN930*EXP(-0.0495*Y930)</f>
        <v>6.0528225456696916</v>
      </c>
      <c r="BE930" s="2">
        <f>+AO930*EXP(-0.024*Y930)</f>
        <v>18.808038913740848</v>
      </c>
    </row>
    <row r="931" spans="1:57" x14ac:dyDescent="0.2">
      <c r="A931" s="2" t="s">
        <v>3687</v>
      </c>
      <c r="B931" s="2" t="s">
        <v>19</v>
      </c>
      <c r="C931" s="2" t="s">
        <v>3245</v>
      </c>
      <c r="D931" s="2" t="s">
        <v>21</v>
      </c>
      <c r="E931" s="2" t="s">
        <v>183</v>
      </c>
      <c r="F931" s="2">
        <v>3</v>
      </c>
      <c r="G931" s="2">
        <v>83.7</v>
      </c>
      <c r="H931" s="2">
        <v>1</v>
      </c>
      <c r="I931" s="2">
        <v>1</v>
      </c>
      <c r="J931" s="2">
        <v>1</v>
      </c>
      <c r="K931" s="2" t="s">
        <v>61</v>
      </c>
      <c r="L931" s="6" t="s">
        <v>113</v>
      </c>
      <c r="M931" s="5">
        <v>690000000</v>
      </c>
      <c r="N931" s="2">
        <v>0</v>
      </c>
      <c r="O931" s="2">
        <v>4.6645899999999996</v>
      </c>
      <c r="P931" s="2">
        <v>-74.047370000000001</v>
      </c>
      <c r="Q931" s="2" t="s">
        <v>3688</v>
      </c>
      <c r="R931" s="2">
        <v>8243727.5990000004</v>
      </c>
      <c r="S931" s="2">
        <v>0</v>
      </c>
      <c r="T931" s="2" t="s">
        <v>26</v>
      </c>
      <c r="U931" s="2" t="s">
        <v>27</v>
      </c>
      <c r="V931" s="2" t="s">
        <v>28</v>
      </c>
      <c r="W931" s="2" t="s">
        <v>29</v>
      </c>
      <c r="X931" s="2" t="s">
        <v>30</v>
      </c>
      <c r="Y931" s="2">
        <v>4.1172645635991003</v>
      </c>
      <c r="Z931" s="2">
        <v>4.6584666666666701</v>
      </c>
      <c r="AA931" s="2">
        <v>-74.083966666666697</v>
      </c>
      <c r="AB931" s="2">
        <v>2552</v>
      </c>
      <c r="AC931" s="2" t="s">
        <v>31</v>
      </c>
      <c r="AD931" s="2" t="s">
        <v>32</v>
      </c>
      <c r="AE931" s="2" t="s">
        <v>33</v>
      </c>
      <c r="AF931" s="2" t="s">
        <v>34</v>
      </c>
      <c r="AG931" s="2" t="s">
        <v>81</v>
      </c>
      <c r="AH931" s="2">
        <v>1.48737255958314</v>
      </c>
      <c r="AI931" s="2">
        <v>0.23739922664770399</v>
      </c>
      <c r="AJ931" s="2">
        <v>0.69859811695576401</v>
      </c>
      <c r="AK931" s="2">
        <v>0.18854828332620399</v>
      </c>
      <c r="AL931" s="2">
        <v>0.283385976508917</v>
      </c>
      <c r="AN931" s="2">
        <v>6.8</v>
      </c>
      <c r="AO931" s="2">
        <v>19.899999999999999</v>
      </c>
      <c r="AP931" s="2">
        <v>564</v>
      </c>
      <c r="AQ931" s="2">
        <v>68</v>
      </c>
      <c r="AR931" s="2">
        <v>1.5</v>
      </c>
      <c r="AS931" s="2">
        <v>135</v>
      </c>
      <c r="AT931" s="2">
        <v>0.8</v>
      </c>
      <c r="AU931" s="2">
        <v>162</v>
      </c>
      <c r="AV931" s="2">
        <v>9.1</v>
      </c>
      <c r="AW931" s="2">
        <v>9.1999999999999993</v>
      </c>
      <c r="AX931" s="2">
        <v>18.3</v>
      </c>
      <c r="AY931" s="2">
        <v>0.34</v>
      </c>
      <c r="AZ931" s="2">
        <v>7.3</v>
      </c>
      <c r="BA931" s="2">
        <v>0.9</v>
      </c>
      <c r="BB931" s="2">
        <v>7.5</v>
      </c>
      <c r="BC931" s="2">
        <v>2.9</v>
      </c>
      <c r="BD931" s="2">
        <f>+AN931*EXP(-0.0495*Y931)</f>
        <v>5.5462277738521113</v>
      </c>
      <c r="BE931" s="2">
        <f>+AO931*EXP(-0.024*Y931)</f>
        <v>18.027626416399343</v>
      </c>
    </row>
    <row r="932" spans="1:57" x14ac:dyDescent="0.2">
      <c r="A932" s="2" t="s">
        <v>1692</v>
      </c>
      <c r="B932" s="2" t="s">
        <v>19</v>
      </c>
      <c r="C932" s="2" t="s">
        <v>20</v>
      </c>
      <c r="D932" s="2" t="s">
        <v>21</v>
      </c>
      <c r="E932" s="2" t="s">
        <v>280</v>
      </c>
      <c r="F932" s="2">
        <v>4</v>
      </c>
      <c r="G932" s="2">
        <v>83</v>
      </c>
      <c r="H932" s="2">
        <v>3</v>
      </c>
      <c r="I932" s="2">
        <v>2</v>
      </c>
      <c r="J932" s="2">
        <v>2</v>
      </c>
      <c r="K932" s="2" t="s">
        <v>61</v>
      </c>
      <c r="L932" s="6" t="s">
        <v>75</v>
      </c>
      <c r="M932" s="5">
        <v>635000000</v>
      </c>
      <c r="N932" s="2">
        <v>0</v>
      </c>
      <c r="O932" s="2">
        <v>4.6955004000000002</v>
      </c>
      <c r="P932" s="2">
        <v>-74.082954000000001</v>
      </c>
      <c r="Q932" s="2" t="s">
        <v>1693</v>
      </c>
      <c r="R932" s="2">
        <v>7650602.4100000001</v>
      </c>
      <c r="S932" s="2">
        <v>0</v>
      </c>
      <c r="T932" s="2" t="s">
        <v>26</v>
      </c>
      <c r="U932" s="2" t="s">
        <v>27</v>
      </c>
      <c r="V932" s="2" t="s">
        <v>28</v>
      </c>
      <c r="W932" s="2" t="s">
        <v>29</v>
      </c>
      <c r="X932" s="2" t="s">
        <v>30</v>
      </c>
      <c r="Y932" s="2">
        <v>4.1241070685544203</v>
      </c>
      <c r="Z932" s="2">
        <v>4.6584666666666701</v>
      </c>
      <c r="AA932" s="2">
        <v>-74.083966666666697</v>
      </c>
      <c r="AB932" s="2">
        <v>2552</v>
      </c>
      <c r="AC932" s="2" t="s">
        <v>31</v>
      </c>
      <c r="AD932" s="2" t="s">
        <v>32</v>
      </c>
      <c r="AE932" s="2" t="s">
        <v>33</v>
      </c>
      <c r="AF932" s="2" t="s">
        <v>34</v>
      </c>
      <c r="AG932" s="2" t="s">
        <v>72</v>
      </c>
      <c r="AH932" s="2">
        <v>0.49458628415262901</v>
      </c>
      <c r="AI932" s="2">
        <v>5.3304655222964099</v>
      </c>
      <c r="AJ932" s="2">
        <v>0.96274381447398905</v>
      </c>
      <c r="AK932" s="2">
        <v>0.381073036477653</v>
      </c>
      <c r="AL932" s="2">
        <v>0.49600080627701598</v>
      </c>
      <c r="AN932" s="2">
        <v>6.8</v>
      </c>
      <c r="AO932" s="2">
        <v>19.899999999999999</v>
      </c>
      <c r="AP932" s="2">
        <v>564</v>
      </c>
      <c r="AQ932" s="2">
        <v>68</v>
      </c>
      <c r="AR932" s="2">
        <v>1.5</v>
      </c>
      <c r="AS932" s="2">
        <v>135</v>
      </c>
      <c r="AT932" s="2">
        <v>0.8</v>
      </c>
      <c r="AU932" s="2">
        <v>162</v>
      </c>
      <c r="AV932" s="2">
        <v>9.1</v>
      </c>
      <c r="AW932" s="2">
        <v>9.1999999999999993</v>
      </c>
      <c r="AX932" s="2">
        <v>18.3</v>
      </c>
      <c r="AY932" s="2">
        <v>0.34</v>
      </c>
      <c r="AZ932" s="2">
        <v>7.3</v>
      </c>
      <c r="BA932" s="2">
        <v>0.9</v>
      </c>
      <c r="BB932" s="2">
        <v>7.5</v>
      </c>
      <c r="BC932" s="2">
        <v>2.9</v>
      </c>
      <c r="BD932" s="2">
        <f>+AN932*EXP(-0.0495*Y932)</f>
        <v>5.5443495624431378</v>
      </c>
      <c r="BE932" s="2">
        <f>+AO932*EXP(-0.024*Y932)</f>
        <v>18.024666160518699</v>
      </c>
    </row>
    <row r="933" spans="1:57" x14ac:dyDescent="0.2">
      <c r="A933" s="2" t="s">
        <v>4484</v>
      </c>
      <c r="B933" s="2" t="s">
        <v>19</v>
      </c>
      <c r="C933" s="2" t="s">
        <v>3245</v>
      </c>
      <c r="D933" s="2" t="s">
        <v>21</v>
      </c>
      <c r="E933" s="2" t="s">
        <v>180</v>
      </c>
      <c r="F933" s="2">
        <v>6</v>
      </c>
      <c r="G933" s="2">
        <v>81.56</v>
      </c>
      <c r="H933" s="2">
        <v>1</v>
      </c>
      <c r="I933" s="2">
        <v>1</v>
      </c>
      <c r="J933" s="2">
        <v>2</v>
      </c>
      <c r="K933" s="2" t="s">
        <v>61</v>
      </c>
      <c r="L933" s="6" t="s">
        <v>113</v>
      </c>
      <c r="M933" s="5">
        <v>660000000</v>
      </c>
      <c r="N933" s="2">
        <v>0</v>
      </c>
      <c r="O933" s="2">
        <v>4.6746309999999998</v>
      </c>
      <c r="P933" s="2">
        <v>-74.048444000000003</v>
      </c>
      <c r="Q933" s="2" t="s">
        <v>4485</v>
      </c>
      <c r="R933" s="2">
        <v>8092202.0599999996</v>
      </c>
      <c r="S933" s="2">
        <v>0</v>
      </c>
      <c r="T933" s="2" t="s">
        <v>26</v>
      </c>
      <c r="U933" s="2" t="s">
        <v>27</v>
      </c>
      <c r="V933" s="2" t="s">
        <v>28</v>
      </c>
      <c r="W933" s="2" t="s">
        <v>29</v>
      </c>
      <c r="X933" s="2" t="s">
        <v>30</v>
      </c>
      <c r="Y933" s="2">
        <v>4.3325931740834402</v>
      </c>
      <c r="Z933" s="2">
        <v>4.6584666666666701</v>
      </c>
      <c r="AA933" s="2">
        <v>-74.083966666666697</v>
      </c>
      <c r="AB933" s="2">
        <v>2552</v>
      </c>
      <c r="AC933" s="2" t="s">
        <v>31</v>
      </c>
      <c r="AD933" s="2" t="s">
        <v>32</v>
      </c>
      <c r="AE933" s="2" t="s">
        <v>33</v>
      </c>
      <c r="AF933" s="2" t="s">
        <v>34</v>
      </c>
      <c r="AG933" s="2" t="s">
        <v>81</v>
      </c>
      <c r="AH933" s="2">
        <v>1.18231188187949</v>
      </c>
      <c r="AI933" s="2">
        <v>0.90285375357065401</v>
      </c>
      <c r="AJ933" s="2">
        <v>1.22963142710472</v>
      </c>
      <c r="AK933" s="2">
        <v>3.1309004672681898E-2</v>
      </c>
      <c r="AL933" s="2">
        <v>0.89835514298999697</v>
      </c>
      <c r="AN933" s="2">
        <v>6.8</v>
      </c>
      <c r="AO933" s="2">
        <v>19.899999999999999</v>
      </c>
      <c r="AP933" s="2">
        <v>564</v>
      </c>
      <c r="AQ933" s="2">
        <v>68</v>
      </c>
      <c r="AR933" s="2">
        <v>1.5</v>
      </c>
      <c r="AS933" s="2">
        <v>135</v>
      </c>
      <c r="AT933" s="2">
        <v>0.8</v>
      </c>
      <c r="AU933" s="2">
        <v>162</v>
      </c>
      <c r="AV933" s="2">
        <v>9.1</v>
      </c>
      <c r="AW933" s="2">
        <v>9.1999999999999993</v>
      </c>
      <c r="AX933" s="2">
        <v>18.3</v>
      </c>
      <c r="AY933" s="2">
        <v>0.34</v>
      </c>
      <c r="AZ933" s="2">
        <v>7.3</v>
      </c>
      <c r="BA933" s="2">
        <v>0.9</v>
      </c>
      <c r="BB933" s="2">
        <v>7.5</v>
      </c>
      <c r="BC933" s="2">
        <v>2.9</v>
      </c>
      <c r="BD933" s="2">
        <f>+AN933*EXP(-0.0495*Y933)</f>
        <v>5.4874257637563773</v>
      </c>
      <c r="BE933" s="2">
        <f>+AO933*EXP(-0.024*Y933)</f>
        <v>17.934702004706303</v>
      </c>
    </row>
    <row r="934" spans="1:57" x14ac:dyDescent="0.2">
      <c r="A934" s="2" t="s">
        <v>898</v>
      </c>
      <c r="B934" s="2" t="s">
        <v>19</v>
      </c>
      <c r="C934" s="2" t="s">
        <v>20</v>
      </c>
      <c r="D934" s="2" t="s">
        <v>21</v>
      </c>
      <c r="E934" s="2" t="s">
        <v>899</v>
      </c>
      <c r="F934" s="2">
        <v>4</v>
      </c>
      <c r="G934" s="2">
        <v>81</v>
      </c>
      <c r="H934" s="2">
        <v>2</v>
      </c>
      <c r="I934" s="2">
        <v>3</v>
      </c>
      <c r="J934" s="2">
        <v>1</v>
      </c>
      <c r="K934" s="2" t="s">
        <v>61</v>
      </c>
      <c r="L934" s="6" t="s">
        <v>75</v>
      </c>
      <c r="M934" s="5">
        <v>600000000</v>
      </c>
      <c r="N934" s="2">
        <v>0</v>
      </c>
      <c r="O934" s="2">
        <v>4.6373496059999999</v>
      </c>
      <c r="P934" s="2">
        <v>-74.064140320000007</v>
      </c>
      <c r="Q934" s="2" t="s">
        <v>900</v>
      </c>
      <c r="R934" s="2">
        <v>7407407.4069999997</v>
      </c>
      <c r="S934" s="2">
        <v>0</v>
      </c>
      <c r="T934" s="2" t="s">
        <v>77</v>
      </c>
      <c r="U934" s="2" t="s">
        <v>78</v>
      </c>
      <c r="V934" s="2" t="s">
        <v>28</v>
      </c>
      <c r="W934" s="2" t="s">
        <v>79</v>
      </c>
      <c r="X934" s="2" t="s">
        <v>80</v>
      </c>
      <c r="Y934" s="2">
        <v>1.3577183992008299</v>
      </c>
      <c r="Z934" s="2">
        <v>4.6254861111111101</v>
      </c>
      <c r="AA934" s="2">
        <v>-74.066980555555503</v>
      </c>
      <c r="AB934" s="2">
        <v>2621</v>
      </c>
      <c r="AC934" s="2" t="s">
        <v>31</v>
      </c>
      <c r="AD934" s="2" t="s">
        <v>32</v>
      </c>
      <c r="AE934" s="2" t="s">
        <v>33</v>
      </c>
      <c r="AF934" s="2" t="s">
        <v>34</v>
      </c>
      <c r="AG934" s="2" t="s">
        <v>81</v>
      </c>
      <c r="AH934" s="2">
        <v>0.294501334094314</v>
      </c>
      <c r="AI934" s="2">
        <v>0.622294043885538</v>
      </c>
      <c r="AJ934" s="2">
        <v>7.2288902169162006E-2</v>
      </c>
      <c r="AK934" s="2">
        <v>4.0568418101021103E-2</v>
      </c>
      <c r="AL934" s="2">
        <v>0.117878346113889</v>
      </c>
      <c r="AN934" s="2">
        <v>6.8</v>
      </c>
      <c r="AO934" s="2">
        <v>19.899999999999999</v>
      </c>
      <c r="AP934" s="2">
        <v>564</v>
      </c>
      <c r="AQ934" s="2">
        <v>68</v>
      </c>
      <c r="AR934" s="2">
        <v>1.5</v>
      </c>
      <c r="AS934" s="2">
        <v>135</v>
      </c>
      <c r="AT934" s="2">
        <v>0.8</v>
      </c>
      <c r="AU934" s="2">
        <v>162</v>
      </c>
      <c r="AV934" s="2">
        <v>9.1</v>
      </c>
      <c r="AW934" s="2">
        <v>9.1999999999999993</v>
      </c>
      <c r="AX934" s="2">
        <v>18.3</v>
      </c>
      <c r="AY934" s="2">
        <v>0.34</v>
      </c>
      <c r="AZ934" s="2">
        <v>7.3</v>
      </c>
      <c r="BA934" s="2">
        <v>0.9</v>
      </c>
      <c r="BB934" s="2">
        <v>7.5</v>
      </c>
      <c r="BC934" s="2">
        <v>2.9</v>
      </c>
      <c r="BD934" s="2">
        <f>+AN934*EXP(-0.0495*Y934)</f>
        <v>6.358010738245139</v>
      </c>
      <c r="BE934" s="2">
        <f>+AO934*EXP(-0.024*Y934)</f>
        <v>19.262004757925585</v>
      </c>
    </row>
    <row r="935" spans="1:57" x14ac:dyDescent="0.2">
      <c r="A935" s="2" t="s">
        <v>1038</v>
      </c>
      <c r="B935" s="2" t="s">
        <v>19</v>
      </c>
      <c r="C935" s="2" t="s">
        <v>20</v>
      </c>
      <c r="D935" s="2" t="s">
        <v>21</v>
      </c>
      <c r="E935" s="2" t="s">
        <v>280</v>
      </c>
      <c r="F935" s="2">
        <v>4</v>
      </c>
      <c r="G935" s="2">
        <v>80.42</v>
      </c>
      <c r="H935" s="2">
        <v>3</v>
      </c>
      <c r="I935" s="2">
        <v>2</v>
      </c>
      <c r="J935" s="2">
        <v>2</v>
      </c>
      <c r="K935" s="2" t="s">
        <v>61</v>
      </c>
      <c r="L935" s="6" t="s">
        <v>113</v>
      </c>
      <c r="M935" s="5">
        <v>550000000</v>
      </c>
      <c r="N935" s="2">
        <v>0</v>
      </c>
      <c r="O935" s="2">
        <v>4.6962856999999998</v>
      </c>
      <c r="P935" s="2">
        <v>-74.081559999999996</v>
      </c>
      <c r="Q935" s="2" t="s">
        <v>1039</v>
      </c>
      <c r="R935" s="2">
        <v>6839094.7529999996</v>
      </c>
      <c r="S935" s="2">
        <v>0</v>
      </c>
      <c r="T935" s="2" t="s">
        <v>26</v>
      </c>
      <c r="U935" s="2" t="s">
        <v>27</v>
      </c>
      <c r="V935" s="2" t="s">
        <v>28</v>
      </c>
      <c r="W935" s="2" t="s">
        <v>29</v>
      </c>
      <c r="X935" s="2" t="s">
        <v>30</v>
      </c>
      <c r="Y935" s="2">
        <v>4.21845472807692</v>
      </c>
      <c r="Z935" s="2">
        <v>4.6584666666666701</v>
      </c>
      <c r="AA935" s="2">
        <v>-74.083966666666697</v>
      </c>
      <c r="AB935" s="2">
        <v>2552</v>
      </c>
      <c r="AC935" s="2" t="s">
        <v>31</v>
      </c>
      <c r="AD935" s="2" t="s">
        <v>32</v>
      </c>
      <c r="AE935" s="2" t="s">
        <v>33</v>
      </c>
      <c r="AF935" s="2" t="s">
        <v>34</v>
      </c>
      <c r="AG935" s="2" t="s">
        <v>72</v>
      </c>
      <c r="AH935" s="2">
        <v>0.67030916639787896</v>
      </c>
      <c r="AI935" s="2">
        <v>5.2538160634358304</v>
      </c>
      <c r="AJ935" s="2">
        <v>1.0357713153381001</v>
      </c>
      <c r="AK935" s="2">
        <v>0.49850152645198798</v>
      </c>
      <c r="AL935" s="2">
        <v>0.550731680736953</v>
      </c>
      <c r="AN935" s="2">
        <v>6.8</v>
      </c>
      <c r="AO935" s="2">
        <v>19.899999999999999</v>
      </c>
      <c r="AP935" s="2">
        <v>564</v>
      </c>
      <c r="AQ935" s="2">
        <v>68</v>
      </c>
      <c r="AR935" s="2">
        <v>1.5</v>
      </c>
      <c r="AS935" s="2">
        <v>135</v>
      </c>
      <c r="AT935" s="2">
        <v>0.8</v>
      </c>
      <c r="AU935" s="2">
        <v>162</v>
      </c>
      <c r="AV935" s="2">
        <v>9.1</v>
      </c>
      <c r="AW935" s="2">
        <v>9.1999999999999993</v>
      </c>
      <c r="AX935" s="2">
        <v>18.3</v>
      </c>
      <c r="AY935" s="2">
        <v>0.34</v>
      </c>
      <c r="AZ935" s="2">
        <v>7.3</v>
      </c>
      <c r="BA935" s="2">
        <v>0.9</v>
      </c>
      <c r="BB935" s="2">
        <v>7.5</v>
      </c>
      <c r="BC935" s="2">
        <v>2.9</v>
      </c>
      <c r="BD935" s="2">
        <f>+AN935*EXP(-0.0495*Y935)</f>
        <v>5.5185166598879931</v>
      </c>
      <c r="BE935" s="2">
        <f>+AO935*EXP(-0.024*Y935)</f>
        <v>17.983898292590638</v>
      </c>
    </row>
    <row r="936" spans="1:57" x14ac:dyDescent="0.2">
      <c r="A936" s="2" t="s">
        <v>1680</v>
      </c>
      <c r="B936" s="2" t="s">
        <v>19</v>
      </c>
      <c r="C936" s="2" t="s">
        <v>20</v>
      </c>
      <c r="D936" s="2" t="s">
        <v>21</v>
      </c>
      <c r="E936" s="2" t="s">
        <v>578</v>
      </c>
      <c r="F936" s="2">
        <v>3</v>
      </c>
      <c r="G936" s="2">
        <v>79</v>
      </c>
      <c r="H936" s="2">
        <v>3</v>
      </c>
      <c r="I936" s="2">
        <v>2</v>
      </c>
      <c r="J936" s="2">
        <v>1</v>
      </c>
      <c r="K936" s="2" t="s">
        <v>61</v>
      </c>
      <c r="L936" s="6" t="s">
        <v>62</v>
      </c>
      <c r="M936" s="5">
        <v>450000000</v>
      </c>
      <c r="N936" s="2">
        <v>0</v>
      </c>
      <c r="O936" s="2">
        <v>4.7246858180000002</v>
      </c>
      <c r="P936" s="2">
        <v>-74.133375799999996</v>
      </c>
      <c r="Q936" s="2" t="s">
        <v>1681</v>
      </c>
      <c r="R936" s="2">
        <v>5696202.5319999997</v>
      </c>
      <c r="S936" s="2">
        <v>0</v>
      </c>
      <c r="T936" s="2" t="s">
        <v>370</v>
      </c>
      <c r="U936" s="2" t="s">
        <v>371</v>
      </c>
      <c r="V936" s="2" t="s">
        <v>28</v>
      </c>
      <c r="W936" s="2" t="s">
        <v>29</v>
      </c>
      <c r="X936" s="2" t="s">
        <v>372</v>
      </c>
      <c r="Y936" s="2">
        <v>1.49068898971863</v>
      </c>
      <c r="Z936" s="2">
        <v>4.7358055555555598</v>
      </c>
      <c r="AA936" s="2">
        <v>-74.125888888888895</v>
      </c>
      <c r="AB936" s="2">
        <v>2574</v>
      </c>
      <c r="AC936" s="2" t="s">
        <v>105</v>
      </c>
      <c r="AD936" s="2" t="s">
        <v>58</v>
      </c>
      <c r="AE936" s="2" t="s">
        <v>33</v>
      </c>
      <c r="AF936" s="2" t="s">
        <v>34</v>
      </c>
      <c r="AG936" s="2" t="s">
        <v>363</v>
      </c>
      <c r="AH936" s="2">
        <v>3.0208421945850801</v>
      </c>
      <c r="AI936" s="2">
        <v>0.106537257155861</v>
      </c>
      <c r="AJ936" s="2">
        <v>4.5421119681615396</v>
      </c>
      <c r="AK936" s="2">
        <v>0.99346330460063204</v>
      </c>
      <c r="AL936" s="2">
        <v>9.3517201028028907E-2</v>
      </c>
      <c r="AN936" s="2">
        <v>6.8</v>
      </c>
      <c r="AO936" s="2">
        <v>19.899999999999999</v>
      </c>
      <c r="AP936" s="2">
        <v>564</v>
      </c>
      <c r="AQ936" s="2">
        <v>68</v>
      </c>
      <c r="AR936" s="2">
        <v>1.5</v>
      </c>
      <c r="AS936" s="2">
        <v>135</v>
      </c>
      <c r="AT936" s="2">
        <v>0.8</v>
      </c>
      <c r="AU936" s="2">
        <v>162</v>
      </c>
      <c r="AV936" s="2">
        <v>9.1</v>
      </c>
      <c r="AW936" s="2">
        <v>9.1999999999999993</v>
      </c>
      <c r="AX936" s="2">
        <v>18.3</v>
      </c>
      <c r="AY936" s="2">
        <v>0.34</v>
      </c>
      <c r="AZ936" s="2">
        <v>7.3</v>
      </c>
      <c r="BA936" s="2">
        <v>0.9</v>
      </c>
      <c r="BB936" s="2">
        <v>7.5</v>
      </c>
      <c r="BC936" s="2">
        <v>2.9</v>
      </c>
      <c r="BD936" s="2">
        <f>+AN936*EXP(-0.0495*Y936)</f>
        <v>6.3162994536962112</v>
      </c>
      <c r="BE936" s="2">
        <f>+AO936*EXP(-0.024*Y936)</f>
        <v>19.200632015716458</v>
      </c>
    </row>
    <row r="937" spans="1:57" x14ac:dyDescent="0.2">
      <c r="A937" s="2" t="s">
        <v>1688</v>
      </c>
      <c r="B937" s="2" t="s">
        <v>19</v>
      </c>
      <c r="C937" s="2" t="s">
        <v>20</v>
      </c>
      <c r="D937" s="2" t="s">
        <v>21</v>
      </c>
      <c r="E937" s="2" t="s">
        <v>578</v>
      </c>
      <c r="F937" s="2">
        <v>3</v>
      </c>
      <c r="G937" s="2">
        <v>79</v>
      </c>
      <c r="H937" s="2">
        <v>3</v>
      </c>
      <c r="I937" s="2">
        <v>2</v>
      </c>
      <c r="J937" s="2">
        <v>1</v>
      </c>
      <c r="K937" s="2" t="s">
        <v>61</v>
      </c>
      <c r="L937" s="6" t="s">
        <v>62</v>
      </c>
      <c r="M937" s="5">
        <v>450000000</v>
      </c>
      <c r="N937" s="2">
        <v>0</v>
      </c>
      <c r="O937" s="2">
        <v>4.7246858180000002</v>
      </c>
      <c r="P937" s="2">
        <v>-74.133375799999996</v>
      </c>
      <c r="Q937" s="2" t="s">
        <v>1689</v>
      </c>
      <c r="R937" s="2">
        <v>5696202.5319999997</v>
      </c>
      <c r="S937" s="2">
        <v>0</v>
      </c>
      <c r="T937" s="2" t="s">
        <v>370</v>
      </c>
      <c r="U937" s="2" t="s">
        <v>371</v>
      </c>
      <c r="V937" s="2" t="s">
        <v>28</v>
      </c>
      <c r="W937" s="2" t="s">
        <v>29</v>
      </c>
      <c r="X937" s="2" t="s">
        <v>372</v>
      </c>
      <c r="Y937" s="2">
        <v>1.49068898971863</v>
      </c>
      <c r="Z937" s="2">
        <v>4.7358055555555598</v>
      </c>
      <c r="AA937" s="2">
        <v>-74.125888888888895</v>
      </c>
      <c r="AB937" s="2">
        <v>2574</v>
      </c>
      <c r="AC937" s="2" t="s">
        <v>105</v>
      </c>
      <c r="AD937" s="2" t="s">
        <v>58</v>
      </c>
      <c r="AE937" s="2" t="s">
        <v>33</v>
      </c>
      <c r="AF937" s="2" t="s">
        <v>34</v>
      </c>
      <c r="AG937" s="2" t="s">
        <v>363</v>
      </c>
      <c r="AH937" s="2">
        <v>3.0208421945850801</v>
      </c>
      <c r="AI937" s="2">
        <v>0.106537257155861</v>
      </c>
      <c r="AJ937" s="2">
        <v>4.5421119681615396</v>
      </c>
      <c r="AK937" s="2">
        <v>0.99346330460063204</v>
      </c>
      <c r="AL937" s="2">
        <v>9.3517201028028907E-2</v>
      </c>
      <c r="AN937" s="2">
        <v>6.8</v>
      </c>
      <c r="AO937" s="2">
        <v>19.899999999999999</v>
      </c>
      <c r="AP937" s="2">
        <v>564</v>
      </c>
      <c r="AQ937" s="2">
        <v>68</v>
      </c>
      <c r="AR937" s="2">
        <v>1.5</v>
      </c>
      <c r="AS937" s="2">
        <v>135</v>
      </c>
      <c r="AT937" s="2">
        <v>0.8</v>
      </c>
      <c r="AU937" s="2">
        <v>162</v>
      </c>
      <c r="AV937" s="2">
        <v>9.1</v>
      </c>
      <c r="AW937" s="2">
        <v>9.1999999999999993</v>
      </c>
      <c r="AX937" s="2">
        <v>18.3</v>
      </c>
      <c r="AY937" s="2">
        <v>0.34</v>
      </c>
      <c r="AZ937" s="2">
        <v>7.3</v>
      </c>
      <c r="BA937" s="2">
        <v>0.9</v>
      </c>
      <c r="BB937" s="2">
        <v>7.5</v>
      </c>
      <c r="BC937" s="2">
        <v>2.9</v>
      </c>
      <c r="BD937" s="2">
        <f>+AN937*EXP(-0.0495*Y937)</f>
        <v>6.3162994536962112</v>
      </c>
      <c r="BE937" s="2">
        <f>+AO937*EXP(-0.024*Y937)</f>
        <v>19.200632015716458</v>
      </c>
    </row>
    <row r="938" spans="1:57" x14ac:dyDescent="0.2">
      <c r="A938" s="2" t="s">
        <v>1295</v>
      </c>
      <c r="B938" s="2" t="s">
        <v>19</v>
      </c>
      <c r="C938" s="2" t="s">
        <v>20</v>
      </c>
      <c r="D938" s="2" t="s">
        <v>21</v>
      </c>
      <c r="E938" s="2" t="s">
        <v>122</v>
      </c>
      <c r="F938" s="2">
        <v>4</v>
      </c>
      <c r="G938" s="2">
        <v>79</v>
      </c>
      <c r="H938" s="2">
        <v>3</v>
      </c>
      <c r="I938" s="2">
        <v>2</v>
      </c>
      <c r="J938" s="2">
        <v>1</v>
      </c>
      <c r="K938" s="2" t="s">
        <v>61</v>
      </c>
      <c r="L938" s="6" t="s">
        <v>113</v>
      </c>
      <c r="M938" s="5">
        <v>576000000</v>
      </c>
      <c r="N938" s="2">
        <v>0</v>
      </c>
      <c r="O938" s="2">
        <v>4.6640117730000004</v>
      </c>
      <c r="P938" s="2">
        <v>-74.114452310000004</v>
      </c>
      <c r="Q938" s="2" t="s">
        <v>1296</v>
      </c>
      <c r="R938" s="2">
        <v>7291139.2410000004</v>
      </c>
      <c r="S938" s="2">
        <v>0</v>
      </c>
      <c r="T938" s="2" t="s">
        <v>26</v>
      </c>
      <c r="U938" s="2" t="s">
        <v>27</v>
      </c>
      <c r="V938" s="2" t="s">
        <v>28</v>
      </c>
      <c r="W938" s="2" t="s">
        <v>29</v>
      </c>
      <c r="X938" s="2" t="s">
        <v>30</v>
      </c>
      <c r="Y938" s="2">
        <v>3.4382861990903599</v>
      </c>
      <c r="Z938" s="2">
        <v>4.6584666666666701</v>
      </c>
      <c r="AA938" s="2">
        <v>-74.083966666666697</v>
      </c>
      <c r="AB938" s="2">
        <v>2552</v>
      </c>
      <c r="AC938" s="2" t="s">
        <v>31</v>
      </c>
      <c r="AD938" s="2" t="s">
        <v>32</v>
      </c>
      <c r="AE938" s="2" t="s">
        <v>33</v>
      </c>
      <c r="AF938" s="2" t="s">
        <v>34</v>
      </c>
      <c r="AG938" s="2" t="s">
        <v>43</v>
      </c>
      <c r="AH938" s="2">
        <v>0.56732120591077895</v>
      </c>
      <c r="AI938" s="2">
        <v>4.7823800710448303</v>
      </c>
      <c r="AJ938" s="2">
        <v>1.08977684201858</v>
      </c>
      <c r="AK938" s="2">
        <v>0.24531367348215999</v>
      </c>
      <c r="AL938" s="2">
        <v>0.56847648317839405</v>
      </c>
      <c r="AN938" s="2">
        <v>6.8</v>
      </c>
      <c r="AO938" s="2">
        <v>19.899999999999999</v>
      </c>
      <c r="AP938" s="2">
        <v>564</v>
      </c>
      <c r="AQ938" s="2">
        <v>68</v>
      </c>
      <c r="AR938" s="2">
        <v>1.5</v>
      </c>
      <c r="AS938" s="2">
        <v>135</v>
      </c>
      <c r="AT938" s="2">
        <v>0.8</v>
      </c>
      <c r="AU938" s="2">
        <v>162</v>
      </c>
      <c r="AV938" s="2">
        <v>9.1</v>
      </c>
      <c r="AW938" s="2">
        <v>9.1999999999999993</v>
      </c>
      <c r="AX938" s="2">
        <v>18.3</v>
      </c>
      <c r="AY938" s="2">
        <v>0.34</v>
      </c>
      <c r="AZ938" s="2">
        <v>7.3</v>
      </c>
      <c r="BA938" s="2">
        <v>0.9</v>
      </c>
      <c r="BB938" s="2">
        <v>7.5</v>
      </c>
      <c r="BC938" s="2">
        <v>2.9</v>
      </c>
      <c r="BD938" s="2">
        <f>+AN938*EXP(-0.0495*Y938)</f>
        <v>5.7358012053276841</v>
      </c>
      <c r="BE938" s="2">
        <f>+AO938*EXP(-0.024*Y938)</f>
        <v>18.323801862335923</v>
      </c>
    </row>
    <row r="939" spans="1:57" x14ac:dyDescent="0.2">
      <c r="A939" s="2" t="s">
        <v>4248</v>
      </c>
      <c r="B939" s="2" t="s">
        <v>19</v>
      </c>
      <c r="C939" s="2" t="s">
        <v>3245</v>
      </c>
      <c r="D939" s="2" t="s">
        <v>21</v>
      </c>
      <c r="E939" s="2" t="s">
        <v>183</v>
      </c>
      <c r="F939" s="2">
        <v>6</v>
      </c>
      <c r="G939" s="2">
        <v>75</v>
      </c>
      <c r="H939" s="2">
        <v>2</v>
      </c>
      <c r="I939" s="2">
        <v>2</v>
      </c>
      <c r="J939" s="2">
        <v>1</v>
      </c>
      <c r="K939" s="2" t="s">
        <v>61</v>
      </c>
      <c r="L939" s="6" t="s">
        <v>62</v>
      </c>
      <c r="M939" s="5">
        <v>1288000000</v>
      </c>
      <c r="N939" s="2">
        <v>0</v>
      </c>
      <c r="O939" s="2">
        <v>4.6635594459999998</v>
      </c>
      <c r="P939" s="2">
        <v>-74.048237799999995</v>
      </c>
      <c r="Q939" s="2" t="s">
        <v>4249</v>
      </c>
      <c r="R939" s="2">
        <v>17173333.329999998</v>
      </c>
      <c r="S939" s="2">
        <v>0</v>
      </c>
      <c r="T939" s="2" t="s">
        <v>26</v>
      </c>
      <c r="U939" s="2" t="s">
        <v>27</v>
      </c>
      <c r="V939" s="2" t="s">
        <v>28</v>
      </c>
      <c r="W939" s="2" t="s">
        <v>29</v>
      </c>
      <c r="X939" s="2" t="s">
        <v>30</v>
      </c>
      <c r="Y939" s="2">
        <v>4.00449945377206</v>
      </c>
      <c r="Z939" s="2">
        <v>4.6584666666666701</v>
      </c>
      <c r="AA939" s="2">
        <v>-74.083966666666697</v>
      </c>
      <c r="AB939" s="2">
        <v>2552</v>
      </c>
      <c r="AC939" s="2" t="s">
        <v>31</v>
      </c>
      <c r="AD939" s="2" t="s">
        <v>32</v>
      </c>
      <c r="AE939" s="2" t="s">
        <v>33</v>
      </c>
      <c r="AF939" s="2" t="s">
        <v>34</v>
      </c>
      <c r="AG939" s="2" t="s">
        <v>81</v>
      </c>
      <c r="AH939" s="2">
        <v>1.4309583842127001</v>
      </c>
      <c r="AI939" s="2">
        <v>0.34300097199215301</v>
      </c>
      <c r="AJ939" s="2">
        <v>0.61772344476371999</v>
      </c>
      <c r="AK939" s="2">
        <v>6.4074523468776595E-2</v>
      </c>
      <c r="AL939" s="2">
        <v>0.28590196750364899</v>
      </c>
      <c r="AN939" s="2">
        <v>6.8</v>
      </c>
      <c r="AO939" s="2">
        <v>19.899999999999999</v>
      </c>
      <c r="AP939" s="2">
        <v>564</v>
      </c>
      <c r="AQ939" s="2">
        <v>68</v>
      </c>
      <c r="AR939" s="2">
        <v>1.5</v>
      </c>
      <c r="AS939" s="2">
        <v>135</v>
      </c>
      <c r="AT939" s="2">
        <v>0.8</v>
      </c>
      <c r="AU939" s="2">
        <v>162</v>
      </c>
      <c r="AV939" s="2">
        <v>9.1</v>
      </c>
      <c r="AW939" s="2">
        <v>9.1999999999999993</v>
      </c>
      <c r="AX939" s="2">
        <v>18.3</v>
      </c>
      <c r="AY939" s="2">
        <v>0.34</v>
      </c>
      <c r="AZ939" s="2">
        <v>7.3</v>
      </c>
      <c r="BA939" s="2">
        <v>0.9</v>
      </c>
      <c r="BB939" s="2">
        <v>7.5</v>
      </c>
      <c r="BC939" s="2">
        <v>2.9</v>
      </c>
      <c r="BD939" s="2">
        <f>+AN939*EXP(-0.0495*Y939)</f>
        <v>5.5772726763064613</v>
      </c>
      <c r="BE939" s="2">
        <f>+AO939*EXP(-0.024*Y939)</f>
        <v>18.076481791306652</v>
      </c>
    </row>
    <row r="940" spans="1:57" x14ac:dyDescent="0.2">
      <c r="A940" s="2" t="s">
        <v>1529</v>
      </c>
      <c r="B940" s="2" t="s">
        <v>19</v>
      </c>
      <c r="C940" s="2" t="s">
        <v>20</v>
      </c>
      <c r="D940" s="2" t="s">
        <v>21</v>
      </c>
      <c r="E940" s="2" t="s">
        <v>355</v>
      </c>
      <c r="F940" s="2">
        <v>5</v>
      </c>
      <c r="G940" s="2">
        <v>74</v>
      </c>
      <c r="H940" s="2">
        <v>2</v>
      </c>
      <c r="I940" s="2">
        <v>2</v>
      </c>
      <c r="J940" s="2">
        <v>1</v>
      </c>
      <c r="K940" s="2" t="s">
        <v>61</v>
      </c>
      <c r="L940" s="6" t="s">
        <v>84</v>
      </c>
      <c r="M940" s="5">
        <v>676791522</v>
      </c>
      <c r="N940" s="2">
        <v>0</v>
      </c>
      <c r="O940" s="2">
        <v>4.6725846640000004</v>
      </c>
      <c r="P940" s="2">
        <v>-74.059152780000005</v>
      </c>
      <c r="Q940" s="2" t="s">
        <v>1530</v>
      </c>
      <c r="R940" s="2">
        <v>9145831.3780000005</v>
      </c>
      <c r="S940" s="2">
        <v>0</v>
      </c>
      <c r="T940" s="2" t="s">
        <v>26</v>
      </c>
      <c r="U940" s="2" t="s">
        <v>27</v>
      </c>
      <c r="V940" s="2" t="s">
        <v>28</v>
      </c>
      <c r="W940" s="2" t="s">
        <v>29</v>
      </c>
      <c r="X940" s="2" t="s">
        <v>30</v>
      </c>
      <c r="Y940" s="2">
        <v>3.1701108549958801</v>
      </c>
      <c r="Z940" s="2">
        <v>4.6584666666666701</v>
      </c>
      <c r="AA940" s="2">
        <v>-74.083966666666697</v>
      </c>
      <c r="AB940" s="2">
        <v>2552</v>
      </c>
      <c r="AC940" s="2" t="s">
        <v>31</v>
      </c>
      <c r="AD940" s="2" t="s">
        <v>32</v>
      </c>
      <c r="AE940" s="2" t="s">
        <v>33</v>
      </c>
      <c r="AF940" s="2" t="s">
        <v>34</v>
      </c>
      <c r="AG940" s="2" t="s">
        <v>81</v>
      </c>
      <c r="AH940" s="2">
        <v>6.21691641509486E-2</v>
      </c>
      <c r="AI940" s="2">
        <v>1.7806803389360799</v>
      </c>
      <c r="AJ940" s="2">
        <v>0.527804807563097</v>
      </c>
      <c r="AK940" s="2">
        <v>8.3769083738488806E-2</v>
      </c>
      <c r="AL940" s="2">
        <v>0.69855621452639105</v>
      </c>
      <c r="AN940" s="2">
        <v>6.8</v>
      </c>
      <c r="AO940" s="2">
        <v>19.899999999999999</v>
      </c>
      <c r="AP940" s="2">
        <v>564</v>
      </c>
      <c r="AQ940" s="2">
        <v>68</v>
      </c>
      <c r="AR940" s="2">
        <v>1.5</v>
      </c>
      <c r="AS940" s="2">
        <v>135</v>
      </c>
      <c r="AT940" s="2">
        <v>0.8</v>
      </c>
      <c r="AU940" s="2">
        <v>162</v>
      </c>
      <c r="AV940" s="2">
        <v>9.1</v>
      </c>
      <c r="AW940" s="2">
        <v>9.1999999999999993</v>
      </c>
      <c r="AX940" s="2">
        <v>18.3</v>
      </c>
      <c r="AY940" s="2">
        <v>0.34</v>
      </c>
      <c r="AZ940" s="2">
        <v>7.3</v>
      </c>
      <c r="BA940" s="2">
        <v>0.9</v>
      </c>
      <c r="BB940" s="2">
        <v>7.5</v>
      </c>
      <c r="BC940" s="2">
        <v>2.9</v>
      </c>
      <c r="BD940" s="2">
        <f>+AN940*EXP(-0.0495*Y940)</f>
        <v>5.8124497450300652</v>
      </c>
      <c r="BE940" s="2">
        <f>+AO940*EXP(-0.024*Y940)</f>
        <v>18.442118012461684</v>
      </c>
    </row>
    <row r="941" spans="1:57" x14ac:dyDescent="0.2">
      <c r="A941" s="2" t="s">
        <v>1161</v>
      </c>
      <c r="B941" s="2" t="s">
        <v>19</v>
      </c>
      <c r="C941" s="2" t="s">
        <v>20</v>
      </c>
      <c r="D941" s="2" t="s">
        <v>21</v>
      </c>
      <c r="E941" s="2" t="s">
        <v>1096</v>
      </c>
      <c r="F941" s="2">
        <v>4</v>
      </c>
      <c r="G941" s="2">
        <v>74</v>
      </c>
      <c r="H941" s="2">
        <v>2</v>
      </c>
      <c r="I941" s="2">
        <v>2</v>
      </c>
      <c r="J941" s="2">
        <v>1</v>
      </c>
      <c r="K941" s="2" t="s">
        <v>61</v>
      </c>
      <c r="L941" s="6" t="s">
        <v>62</v>
      </c>
      <c r="M941" s="5">
        <v>493000000</v>
      </c>
      <c r="N941" s="2">
        <v>0</v>
      </c>
      <c r="O941" s="2">
        <v>4.6660139999999997</v>
      </c>
      <c r="P941" s="2">
        <v>-74.106715899999998</v>
      </c>
      <c r="Q941" s="2" t="s">
        <v>1162</v>
      </c>
      <c r="R941" s="2">
        <v>6662162.1619999995</v>
      </c>
      <c r="S941" s="2">
        <v>0</v>
      </c>
      <c r="T941" s="2" t="s">
        <v>26</v>
      </c>
      <c r="U941" s="2" t="s">
        <v>27</v>
      </c>
      <c r="V941" s="2" t="s">
        <v>28</v>
      </c>
      <c r="W941" s="2" t="s">
        <v>29</v>
      </c>
      <c r="X941" s="2" t="s">
        <v>30</v>
      </c>
      <c r="Y941" s="2">
        <v>2.66021140360133</v>
      </c>
      <c r="Z941" s="2">
        <v>4.6584666666666701</v>
      </c>
      <c r="AA941" s="2">
        <v>-74.083966666666697</v>
      </c>
      <c r="AB941" s="2">
        <v>2552</v>
      </c>
      <c r="AC941" s="2" t="s">
        <v>31</v>
      </c>
      <c r="AD941" s="2" t="s">
        <v>32</v>
      </c>
      <c r="AE941" s="2" t="s">
        <v>33</v>
      </c>
      <c r="AF941" s="2" t="s">
        <v>34</v>
      </c>
      <c r="AG941" s="2" t="s">
        <v>363</v>
      </c>
      <c r="AH941" s="2">
        <v>0.50423051498295501</v>
      </c>
      <c r="AI941" s="2">
        <v>5.6474854276973403</v>
      </c>
      <c r="AJ941" s="2">
        <v>0.90357347311089797</v>
      </c>
      <c r="AK941" s="2">
        <v>0.120174403169168</v>
      </c>
      <c r="AL941" s="2">
        <v>0.21204070885164</v>
      </c>
      <c r="AN941" s="2">
        <v>6.8</v>
      </c>
      <c r="AO941" s="2">
        <v>19.899999999999999</v>
      </c>
      <c r="AP941" s="2">
        <v>564</v>
      </c>
      <c r="AQ941" s="2">
        <v>68</v>
      </c>
      <c r="AR941" s="2">
        <v>1.5</v>
      </c>
      <c r="AS941" s="2">
        <v>135</v>
      </c>
      <c r="AT941" s="2">
        <v>0.8</v>
      </c>
      <c r="AU941" s="2">
        <v>162</v>
      </c>
      <c r="AV941" s="2">
        <v>9.1</v>
      </c>
      <c r="AW941" s="2">
        <v>9.1999999999999993</v>
      </c>
      <c r="AX941" s="2">
        <v>18.3</v>
      </c>
      <c r="AY941" s="2">
        <v>0.34</v>
      </c>
      <c r="AZ941" s="2">
        <v>7.3</v>
      </c>
      <c r="BA941" s="2">
        <v>0.9</v>
      </c>
      <c r="BB941" s="2">
        <v>7.5</v>
      </c>
      <c r="BC941" s="2">
        <v>2.9</v>
      </c>
      <c r="BD941" s="2">
        <f>+AN941*EXP(-0.0495*Y941)</f>
        <v>5.9610232209180873</v>
      </c>
      <c r="BE941" s="2">
        <f>+AO941*EXP(-0.024*Y941)</f>
        <v>18.66919161565691</v>
      </c>
    </row>
    <row r="942" spans="1:57" x14ac:dyDescent="0.2">
      <c r="A942" s="2" t="s">
        <v>1095</v>
      </c>
      <c r="B942" s="2" t="s">
        <v>19</v>
      </c>
      <c r="C942" s="2" t="s">
        <v>20</v>
      </c>
      <c r="D942" s="2" t="s">
        <v>21</v>
      </c>
      <c r="E942" s="2" t="s">
        <v>1096</v>
      </c>
      <c r="F942" s="2">
        <v>4</v>
      </c>
      <c r="G942" s="2">
        <v>74</v>
      </c>
      <c r="H942" s="2">
        <v>2</v>
      </c>
      <c r="I942" s="2">
        <v>2</v>
      </c>
      <c r="J942" s="2">
        <v>1</v>
      </c>
      <c r="K942" s="2" t="s">
        <v>61</v>
      </c>
      <c r="L942" s="6" t="s">
        <v>75</v>
      </c>
      <c r="M942" s="5">
        <v>493000000</v>
      </c>
      <c r="N942" s="2">
        <v>0</v>
      </c>
      <c r="O942" s="2">
        <v>4.6659636080000002</v>
      </c>
      <c r="P942" s="2">
        <v>-74.106724439999994</v>
      </c>
      <c r="Q942" s="2" t="s">
        <v>1097</v>
      </c>
      <c r="R942" s="2">
        <v>6662162.1619999995</v>
      </c>
      <c r="S942" s="2">
        <v>0</v>
      </c>
      <c r="T942" s="2" t="s">
        <v>26</v>
      </c>
      <c r="U942" s="2" t="s">
        <v>27</v>
      </c>
      <c r="V942" s="2" t="s">
        <v>28</v>
      </c>
      <c r="W942" s="2" t="s">
        <v>29</v>
      </c>
      <c r="X942" s="2" t="s">
        <v>30</v>
      </c>
      <c r="Y942" s="2">
        <v>2.6593447932733998</v>
      </c>
      <c r="Z942" s="2">
        <v>4.6584666666666701</v>
      </c>
      <c r="AA942" s="2">
        <v>-74.083966666666697</v>
      </c>
      <c r="AB942" s="2">
        <v>2552</v>
      </c>
      <c r="AC942" s="2" t="s">
        <v>31</v>
      </c>
      <c r="AD942" s="2" t="s">
        <v>32</v>
      </c>
      <c r="AE942" s="2" t="s">
        <v>33</v>
      </c>
      <c r="AF942" s="2" t="s">
        <v>34</v>
      </c>
      <c r="AG942" s="2" t="s">
        <v>363</v>
      </c>
      <c r="AH942" s="2">
        <v>0.49883793508295798</v>
      </c>
      <c r="AI942" s="2">
        <v>5.6462486632497599</v>
      </c>
      <c r="AJ942" s="2">
        <v>0.89799666984191995</v>
      </c>
      <c r="AK942" s="2">
        <v>0.12568812916637601</v>
      </c>
      <c r="AL942" s="2">
        <v>0.21527105013678599</v>
      </c>
      <c r="AN942" s="2">
        <v>6.8</v>
      </c>
      <c r="AO942" s="2">
        <v>19.899999999999999</v>
      </c>
      <c r="AP942" s="2">
        <v>564</v>
      </c>
      <c r="AQ942" s="2">
        <v>68</v>
      </c>
      <c r="AR942" s="2">
        <v>1.5</v>
      </c>
      <c r="AS942" s="2">
        <v>135</v>
      </c>
      <c r="AT942" s="2">
        <v>0.8</v>
      </c>
      <c r="AU942" s="2">
        <v>162</v>
      </c>
      <c r="AV942" s="2">
        <v>9.1</v>
      </c>
      <c r="AW942" s="2">
        <v>9.1999999999999993</v>
      </c>
      <c r="AX942" s="2">
        <v>18.3</v>
      </c>
      <c r="AY942" s="2">
        <v>0.34</v>
      </c>
      <c r="AZ942" s="2">
        <v>7.3</v>
      </c>
      <c r="BA942" s="2">
        <v>0.9</v>
      </c>
      <c r="BB942" s="2">
        <v>7.5</v>
      </c>
      <c r="BC942" s="2">
        <v>2.9</v>
      </c>
      <c r="BD942" s="2">
        <f>+AN942*EXP(-0.0495*Y942)</f>
        <v>5.9612789376750861</v>
      </c>
      <c r="BE942" s="2">
        <f>+AO942*EXP(-0.024*Y942)</f>
        <v>18.669579913637371</v>
      </c>
    </row>
    <row r="943" spans="1:57" x14ac:dyDescent="0.2">
      <c r="A943" s="2" t="s">
        <v>1340</v>
      </c>
      <c r="B943" s="2" t="s">
        <v>19</v>
      </c>
      <c r="C943" s="2" t="s">
        <v>20</v>
      </c>
      <c r="D943" s="2" t="s">
        <v>21</v>
      </c>
      <c r="E943" s="2" t="s">
        <v>1341</v>
      </c>
      <c r="F943" s="2">
        <v>3</v>
      </c>
      <c r="G943" s="2">
        <v>73.8</v>
      </c>
      <c r="H943" s="2">
        <v>4</v>
      </c>
      <c r="I943" s="2">
        <v>2</v>
      </c>
      <c r="J943" s="2">
        <v>1</v>
      </c>
      <c r="K943" s="2" t="s">
        <v>61</v>
      </c>
      <c r="L943" s="6" t="s">
        <v>66</v>
      </c>
      <c r="M943" s="5">
        <v>450000000</v>
      </c>
      <c r="N943" s="2">
        <v>0</v>
      </c>
      <c r="O943" s="2">
        <v>4.6192320000000002</v>
      </c>
      <c r="P943" s="2">
        <v>-74.083470000000005</v>
      </c>
      <c r="Q943" s="2" t="s">
        <v>1342</v>
      </c>
      <c r="R943" s="2">
        <v>6097560.9759999998</v>
      </c>
      <c r="S943" s="2">
        <v>0</v>
      </c>
      <c r="T943" s="2" t="s">
        <v>77</v>
      </c>
      <c r="U943" s="2" t="s">
        <v>78</v>
      </c>
      <c r="V943" s="2" t="s">
        <v>28</v>
      </c>
      <c r="W943" s="2" t="s">
        <v>79</v>
      </c>
      <c r="X943" s="2" t="s">
        <v>80</v>
      </c>
      <c r="Y943" s="2">
        <v>1.95760900599975</v>
      </c>
      <c r="Z943" s="2">
        <v>4.6254861111111101</v>
      </c>
      <c r="AA943" s="2">
        <v>-74.066980555555503</v>
      </c>
      <c r="AB943" s="2">
        <v>2621</v>
      </c>
      <c r="AC943" s="2" t="s">
        <v>31</v>
      </c>
      <c r="AD943" s="2" t="s">
        <v>32</v>
      </c>
      <c r="AE943" s="2" t="s">
        <v>33</v>
      </c>
      <c r="AF943" s="2" t="s">
        <v>34</v>
      </c>
      <c r="AG943" s="2" t="s">
        <v>259</v>
      </c>
      <c r="AH943" s="2">
        <v>0.46903391282719398</v>
      </c>
      <c r="AI943" s="2">
        <v>2.2278510793191799</v>
      </c>
      <c r="AJ943" s="2">
        <v>1.16124036637886</v>
      </c>
      <c r="AK943" s="2">
        <v>0.29864784978122</v>
      </c>
      <c r="AL943" s="2">
        <v>0.33208118532113901</v>
      </c>
      <c r="AN943" s="2">
        <v>6.8</v>
      </c>
      <c r="AO943" s="2">
        <v>19.899999999999999</v>
      </c>
      <c r="AP943" s="2">
        <v>564</v>
      </c>
      <c r="AQ943" s="2">
        <v>68</v>
      </c>
      <c r="AR943" s="2">
        <v>1.5</v>
      </c>
      <c r="AS943" s="2">
        <v>135</v>
      </c>
      <c r="AT943" s="2">
        <v>0.8</v>
      </c>
      <c r="AU943" s="2">
        <v>162</v>
      </c>
      <c r="AV943" s="2">
        <v>9.1</v>
      </c>
      <c r="AW943" s="2">
        <v>9.1999999999999993</v>
      </c>
      <c r="AX943" s="2">
        <v>18.3</v>
      </c>
      <c r="AY943" s="2">
        <v>0.34</v>
      </c>
      <c r="AZ943" s="2">
        <v>7.3</v>
      </c>
      <c r="BA943" s="2">
        <v>0.9</v>
      </c>
      <c r="BB943" s="2">
        <v>7.5</v>
      </c>
      <c r="BC943" s="2">
        <v>2.9</v>
      </c>
      <c r="BD943" s="2">
        <f>+AN943*EXP(-0.0495*Y943)</f>
        <v>6.1719878528009824</v>
      </c>
      <c r="BE943" s="2">
        <f>+AO943*EXP(-0.024*Y943)</f>
        <v>18.986669270704166</v>
      </c>
    </row>
    <row r="944" spans="1:57" x14ac:dyDescent="0.2">
      <c r="A944" s="2" t="s">
        <v>1335</v>
      </c>
      <c r="B944" s="2" t="s">
        <v>19</v>
      </c>
      <c r="C944" s="2" t="s">
        <v>20</v>
      </c>
      <c r="D944" s="2" t="s">
        <v>21</v>
      </c>
      <c r="E944" s="2" t="s">
        <v>1336</v>
      </c>
      <c r="F944" s="2">
        <v>4</v>
      </c>
      <c r="G944" s="2">
        <v>73</v>
      </c>
      <c r="H944" s="2">
        <v>3</v>
      </c>
      <c r="I944" s="2">
        <v>2</v>
      </c>
      <c r="J944" s="2">
        <v>1</v>
      </c>
      <c r="K944" s="2" t="s">
        <v>61</v>
      </c>
      <c r="L944" s="6" t="s">
        <v>75</v>
      </c>
      <c r="M944" s="5">
        <v>650000000</v>
      </c>
      <c r="N944" s="2">
        <v>0</v>
      </c>
      <c r="O944" s="2">
        <v>4.6552714999999996</v>
      </c>
      <c r="P944" s="2">
        <v>-74.079530000000005</v>
      </c>
      <c r="Q944" s="2" t="s">
        <v>1337</v>
      </c>
      <c r="R944" s="2">
        <v>8904109.5889999997</v>
      </c>
      <c r="S944" s="2">
        <v>0</v>
      </c>
      <c r="T944" s="2" t="s">
        <v>26</v>
      </c>
      <c r="U944" s="2" t="s">
        <v>27</v>
      </c>
      <c r="V944" s="2" t="s">
        <v>28</v>
      </c>
      <c r="W944" s="2" t="s">
        <v>29</v>
      </c>
      <c r="X944" s="2" t="s">
        <v>30</v>
      </c>
      <c r="Y944" s="2">
        <v>0.60731239003447501</v>
      </c>
      <c r="Z944" s="2">
        <v>4.6584666666666701</v>
      </c>
      <c r="AA944" s="2">
        <v>-74.083966666666697</v>
      </c>
      <c r="AB944" s="2">
        <v>2552</v>
      </c>
      <c r="AC944" s="2" t="s">
        <v>31</v>
      </c>
      <c r="AD944" s="2" t="s">
        <v>32</v>
      </c>
      <c r="AE944" s="2" t="s">
        <v>33</v>
      </c>
      <c r="AF944" s="2" t="s">
        <v>34</v>
      </c>
      <c r="AG944" s="2" t="s">
        <v>293</v>
      </c>
      <c r="AH944" s="2">
        <v>0.30300018388897398</v>
      </c>
      <c r="AI944" s="2">
        <v>2.9094376535399702</v>
      </c>
      <c r="AJ944" s="2">
        <v>0.66980146465564105</v>
      </c>
      <c r="AK944" s="2">
        <v>0.21674839105858301</v>
      </c>
      <c r="AL944" s="2">
        <v>0.26753191289961797</v>
      </c>
      <c r="AN944" s="2">
        <v>6.8</v>
      </c>
      <c r="AO944" s="2">
        <v>19.899999999999999</v>
      </c>
      <c r="AP944" s="2">
        <v>564</v>
      </c>
      <c r="AQ944" s="2">
        <v>68</v>
      </c>
      <c r="AR944" s="2">
        <v>1.5</v>
      </c>
      <c r="AS944" s="2">
        <v>135</v>
      </c>
      <c r="AT944" s="2">
        <v>0.8</v>
      </c>
      <c r="AU944" s="2">
        <v>162</v>
      </c>
      <c r="AV944" s="2">
        <v>9.1</v>
      </c>
      <c r="AW944" s="2">
        <v>9.1999999999999993</v>
      </c>
      <c r="AX944" s="2">
        <v>18.3</v>
      </c>
      <c r="AY944" s="2">
        <v>0.34</v>
      </c>
      <c r="AZ944" s="2">
        <v>7.3</v>
      </c>
      <c r="BA944" s="2">
        <v>0.9</v>
      </c>
      <c r="BB944" s="2">
        <v>7.5</v>
      </c>
      <c r="BC944" s="2">
        <v>2.9</v>
      </c>
      <c r="BD944" s="2">
        <f>+AN944*EXP(-0.0495*Y944)</f>
        <v>6.5986207431011072</v>
      </c>
      <c r="BE944" s="2">
        <f>+AO944*EXP(-0.024*Y944)</f>
        <v>19.612051198774193</v>
      </c>
    </row>
    <row r="945" spans="1:57" x14ac:dyDescent="0.2">
      <c r="A945" s="2" t="s">
        <v>1511</v>
      </c>
      <c r="B945" s="2" t="s">
        <v>19</v>
      </c>
      <c r="C945" s="2" t="s">
        <v>20</v>
      </c>
      <c r="D945" s="2" t="s">
        <v>21</v>
      </c>
      <c r="E945" s="2" t="s">
        <v>1512</v>
      </c>
      <c r="F945" s="2">
        <v>4</v>
      </c>
      <c r="G945" s="2">
        <v>73</v>
      </c>
      <c r="H945" s="2">
        <v>3</v>
      </c>
      <c r="I945" s="2">
        <v>2</v>
      </c>
      <c r="J945" s="2">
        <v>0</v>
      </c>
      <c r="K945" s="2" t="s">
        <v>61</v>
      </c>
      <c r="L945" s="6" t="s">
        <v>113</v>
      </c>
      <c r="M945" s="5">
        <v>415000000</v>
      </c>
      <c r="N945" s="2">
        <v>0</v>
      </c>
      <c r="O945" s="2">
        <v>4.6822552999999996</v>
      </c>
      <c r="P945" s="2">
        <v>-74.082951699999995</v>
      </c>
      <c r="Q945" s="2" t="s">
        <v>1513</v>
      </c>
      <c r="R945" s="2">
        <v>5684931.5070000002</v>
      </c>
      <c r="S945" s="2">
        <v>0</v>
      </c>
      <c r="T945" s="2" t="s">
        <v>26</v>
      </c>
      <c r="U945" s="2" t="s">
        <v>27</v>
      </c>
      <c r="V945" s="2" t="s">
        <v>28</v>
      </c>
      <c r="W945" s="2" t="s">
        <v>29</v>
      </c>
      <c r="X945" s="2" t="s">
        <v>30</v>
      </c>
      <c r="Y945" s="2">
        <v>2.6505318113390399</v>
      </c>
      <c r="Z945" s="2">
        <v>4.6584666666666701</v>
      </c>
      <c r="AA945" s="2">
        <v>-74.083966666666697</v>
      </c>
      <c r="AB945" s="2">
        <v>2552</v>
      </c>
      <c r="AC945" s="2" t="s">
        <v>31</v>
      </c>
      <c r="AD945" s="2" t="s">
        <v>32</v>
      </c>
      <c r="AE945" s="2" t="s">
        <v>33</v>
      </c>
      <c r="AF945" s="2" t="s">
        <v>34</v>
      </c>
      <c r="AG945" s="2" t="s">
        <v>363</v>
      </c>
      <c r="AH945" s="2">
        <v>0.48939735970432102</v>
      </c>
      <c r="AI945" s="2">
        <v>4.6181055419764503</v>
      </c>
      <c r="AJ945" s="2">
        <v>1.0126097567949801</v>
      </c>
      <c r="AK945" s="2">
        <v>0.15508394049447699</v>
      </c>
      <c r="AL945" s="2">
        <v>0.22130053371990399</v>
      </c>
      <c r="AN945" s="2">
        <v>6.8</v>
      </c>
      <c r="AO945" s="2">
        <v>19.899999999999999</v>
      </c>
      <c r="AP945" s="2">
        <v>564</v>
      </c>
      <c r="AQ945" s="2">
        <v>68</v>
      </c>
      <c r="AR945" s="2">
        <v>1.5</v>
      </c>
      <c r="AS945" s="2">
        <v>135</v>
      </c>
      <c r="AT945" s="2">
        <v>0.8</v>
      </c>
      <c r="AU945" s="2">
        <v>162</v>
      </c>
      <c r="AV945" s="2">
        <v>9.1</v>
      </c>
      <c r="AW945" s="2">
        <v>9.1999999999999993</v>
      </c>
      <c r="AX945" s="2">
        <v>18.3</v>
      </c>
      <c r="AY945" s="2">
        <v>0.34</v>
      </c>
      <c r="AZ945" s="2">
        <v>7.3</v>
      </c>
      <c r="BA945" s="2">
        <v>0.9</v>
      </c>
      <c r="BB945" s="2">
        <v>7.5</v>
      </c>
      <c r="BC945" s="2">
        <v>2.9</v>
      </c>
      <c r="BD945" s="2">
        <f>+AN945*EXP(-0.0495*Y945)</f>
        <v>5.9638800688533351</v>
      </c>
      <c r="BE945" s="2">
        <f>+AO945*EXP(-0.024*Y945)</f>
        <v>18.673529163370667</v>
      </c>
    </row>
    <row r="946" spans="1:57" x14ac:dyDescent="0.2">
      <c r="A946" s="2" t="s">
        <v>1827</v>
      </c>
      <c r="B946" s="2" t="s">
        <v>19</v>
      </c>
      <c r="C946" s="2" t="s">
        <v>20</v>
      </c>
      <c r="D946" s="2" t="s">
        <v>21</v>
      </c>
      <c r="E946" s="2" t="s">
        <v>355</v>
      </c>
      <c r="F946" s="2">
        <v>5</v>
      </c>
      <c r="G946" s="2">
        <v>72.5</v>
      </c>
      <c r="H946" s="2">
        <v>2</v>
      </c>
      <c r="I946" s="2">
        <v>3</v>
      </c>
      <c r="J946" s="2">
        <v>1</v>
      </c>
      <c r="K946" s="2" t="s">
        <v>61</v>
      </c>
      <c r="L946" s="6" t="s">
        <v>62</v>
      </c>
      <c r="M946" s="5">
        <v>950000000</v>
      </c>
      <c r="N946" s="2">
        <v>0</v>
      </c>
      <c r="O946" s="2">
        <v>4.6722200000000003</v>
      </c>
      <c r="P946" s="2">
        <v>-74.058459999999997</v>
      </c>
      <c r="Q946" s="2" t="s">
        <v>1828</v>
      </c>
      <c r="R946" s="2">
        <v>13103448.279999999</v>
      </c>
      <c r="S946" s="2">
        <v>0</v>
      </c>
      <c r="T946" s="2" t="s">
        <v>26</v>
      </c>
      <c r="U946" s="2" t="s">
        <v>27</v>
      </c>
      <c r="V946" s="2" t="s">
        <v>28</v>
      </c>
      <c r="W946" s="2" t="s">
        <v>29</v>
      </c>
      <c r="X946" s="2" t="s">
        <v>30</v>
      </c>
      <c r="Y946" s="2">
        <v>3.2175766976093199</v>
      </c>
      <c r="Z946" s="2">
        <v>4.6584666666666701</v>
      </c>
      <c r="AA946" s="2">
        <v>-74.083966666666697</v>
      </c>
      <c r="AB946" s="2">
        <v>2552</v>
      </c>
      <c r="AC946" s="2" t="s">
        <v>31</v>
      </c>
      <c r="AD946" s="2" t="s">
        <v>32</v>
      </c>
      <c r="AE946" s="2" t="s">
        <v>33</v>
      </c>
      <c r="AF946" s="2" t="s">
        <v>34</v>
      </c>
      <c r="AG946" s="2" t="s">
        <v>81</v>
      </c>
      <c r="AH946" s="2">
        <v>0.131643597682714</v>
      </c>
      <c r="AI946" s="2">
        <v>1.6939722140697699</v>
      </c>
      <c r="AJ946" s="2">
        <v>0.48197045828672203</v>
      </c>
      <c r="AK946" s="2">
        <v>3.0024627063824801E-2</v>
      </c>
      <c r="AL946" s="2">
        <v>0.76457944593916305</v>
      </c>
      <c r="AN946" s="2">
        <v>6.8</v>
      </c>
      <c r="AO946" s="2">
        <v>19.899999999999999</v>
      </c>
      <c r="AP946" s="2">
        <v>564</v>
      </c>
      <c r="AQ946" s="2">
        <v>68</v>
      </c>
      <c r="AR946" s="2">
        <v>1.5</v>
      </c>
      <c r="AS946" s="2">
        <v>135</v>
      </c>
      <c r="AT946" s="2">
        <v>0.8</v>
      </c>
      <c r="AU946" s="2">
        <v>162</v>
      </c>
      <c r="AV946" s="2">
        <v>9.1</v>
      </c>
      <c r="AW946" s="2">
        <v>9.1999999999999993</v>
      </c>
      <c r="AX946" s="2">
        <v>18.3</v>
      </c>
      <c r="AY946" s="2">
        <v>0.34</v>
      </c>
      <c r="AZ946" s="2">
        <v>7.3</v>
      </c>
      <c r="BA946" s="2">
        <v>0.9</v>
      </c>
      <c r="BB946" s="2">
        <v>7.5</v>
      </c>
      <c r="BC946" s="2">
        <v>2.9</v>
      </c>
      <c r="BD946" s="2">
        <f>+AN946*EXP(-0.0495*Y946)</f>
        <v>5.7988090812514503</v>
      </c>
      <c r="BE946" s="2">
        <f>+AO946*EXP(-0.024*Y946)</f>
        <v>18.421121078273554</v>
      </c>
    </row>
    <row r="947" spans="1:57" x14ac:dyDescent="0.2">
      <c r="A947" s="2" t="s">
        <v>1194</v>
      </c>
      <c r="B947" s="2" t="s">
        <v>19</v>
      </c>
      <c r="C947" s="2" t="s">
        <v>20</v>
      </c>
      <c r="D947" s="2" t="s">
        <v>21</v>
      </c>
      <c r="E947" s="2" t="s">
        <v>822</v>
      </c>
      <c r="F947" s="2">
        <v>4</v>
      </c>
      <c r="G947" s="2">
        <v>72</v>
      </c>
      <c r="H947" s="2">
        <v>2</v>
      </c>
      <c r="I947" s="2">
        <v>2</v>
      </c>
      <c r="J947" s="2">
        <v>1</v>
      </c>
      <c r="K947" s="2" t="s">
        <v>61</v>
      </c>
      <c r="L947" s="6" t="s">
        <v>75</v>
      </c>
      <c r="M947" s="5">
        <v>650000000</v>
      </c>
      <c r="N947" s="2">
        <v>0</v>
      </c>
      <c r="O947" s="2">
        <v>4.6453815000000001</v>
      </c>
      <c r="P947" s="2">
        <v>-74.054569999999998</v>
      </c>
      <c r="Q947" s="2" t="s">
        <v>1195</v>
      </c>
      <c r="R947" s="2">
        <v>9027777.7780000009</v>
      </c>
      <c r="S947" s="2">
        <v>0</v>
      </c>
      <c r="T947" s="2" t="s">
        <v>77</v>
      </c>
      <c r="U947" s="2" t="s">
        <v>78</v>
      </c>
      <c r="V947" s="2" t="s">
        <v>28</v>
      </c>
      <c r="W947" s="2" t="s">
        <v>79</v>
      </c>
      <c r="X947" s="2" t="s">
        <v>80</v>
      </c>
      <c r="Y947" s="2">
        <v>2.6079247661967</v>
      </c>
      <c r="Z947" s="2">
        <v>4.6254861111111101</v>
      </c>
      <c r="AA947" s="2">
        <v>-74.066980555555503</v>
      </c>
      <c r="AB947" s="2">
        <v>2621</v>
      </c>
      <c r="AC947" s="2" t="s">
        <v>31</v>
      </c>
      <c r="AD947" s="2" t="s">
        <v>32</v>
      </c>
      <c r="AE947" s="2" t="s">
        <v>33</v>
      </c>
      <c r="AF947" s="2" t="s">
        <v>34</v>
      </c>
      <c r="AG947" s="2" t="s">
        <v>81</v>
      </c>
      <c r="AH947" s="2">
        <v>1.1900254935486501</v>
      </c>
      <c r="AI947" s="2">
        <v>0.18073939434901601</v>
      </c>
      <c r="AJ947" s="2">
        <v>0.515875605691962</v>
      </c>
      <c r="AK947" s="2">
        <v>0.36148348053068802</v>
      </c>
      <c r="AL947" s="2">
        <v>0.30674781715689198</v>
      </c>
      <c r="AN947" s="2">
        <v>6.8</v>
      </c>
      <c r="AO947" s="2">
        <v>19.899999999999999</v>
      </c>
      <c r="AP947" s="2">
        <v>564</v>
      </c>
      <c r="AQ947" s="2">
        <v>68</v>
      </c>
      <c r="AR947" s="2">
        <v>1.5</v>
      </c>
      <c r="AS947" s="2">
        <v>135</v>
      </c>
      <c r="AT947" s="2">
        <v>0.8</v>
      </c>
      <c r="AU947" s="2">
        <v>162</v>
      </c>
      <c r="AV947" s="2">
        <v>9.1</v>
      </c>
      <c r="AW947" s="2">
        <v>9.1999999999999993</v>
      </c>
      <c r="AX947" s="2">
        <v>18.3</v>
      </c>
      <c r="AY947" s="2">
        <v>0.34</v>
      </c>
      <c r="AZ947" s="2">
        <v>7.3</v>
      </c>
      <c r="BA947" s="2">
        <v>0.9</v>
      </c>
      <c r="BB947" s="2">
        <v>7.5</v>
      </c>
      <c r="BC947" s="2">
        <v>2.9</v>
      </c>
      <c r="BD947" s="2">
        <f>+AN947*EXP(-0.0495*Y947)</f>
        <v>5.9764714558226126</v>
      </c>
      <c r="BE947" s="2">
        <f>+AO947*EXP(-0.024*Y947)</f>
        <v>18.692633903264845</v>
      </c>
    </row>
    <row r="948" spans="1:57" x14ac:dyDescent="0.2">
      <c r="A948" s="2" t="s">
        <v>2543</v>
      </c>
      <c r="B948" s="2" t="s">
        <v>19</v>
      </c>
      <c r="C948" s="2" t="s">
        <v>1907</v>
      </c>
      <c r="D948" s="2" t="s">
        <v>21</v>
      </c>
      <c r="E948" s="2" t="s">
        <v>525</v>
      </c>
      <c r="F948" s="2">
        <v>4</v>
      </c>
      <c r="G948" s="2">
        <v>72</v>
      </c>
      <c r="H948" s="2">
        <v>4</v>
      </c>
      <c r="I948" s="2">
        <v>2</v>
      </c>
      <c r="J948" s="2">
        <v>0</v>
      </c>
      <c r="K948" s="2" t="s">
        <v>61</v>
      </c>
      <c r="L948" s="6" t="s">
        <v>113</v>
      </c>
      <c r="M948" s="5">
        <v>360000000</v>
      </c>
      <c r="N948" s="2">
        <v>0</v>
      </c>
      <c r="O948" s="2">
        <v>4.6969614030000004</v>
      </c>
      <c r="P948" s="2">
        <v>-74.072250370000006</v>
      </c>
      <c r="Q948" s="2" t="s">
        <v>2544</v>
      </c>
      <c r="R948" s="2">
        <v>5000000</v>
      </c>
      <c r="S948" s="2">
        <v>0</v>
      </c>
      <c r="T948" s="2" t="s">
        <v>26</v>
      </c>
      <c r="U948" s="2" t="s">
        <v>27</v>
      </c>
      <c r="V948" s="2" t="s">
        <v>28</v>
      </c>
      <c r="W948" s="2" t="s">
        <v>29</v>
      </c>
      <c r="X948" s="2" t="s">
        <v>30</v>
      </c>
      <c r="Y948" s="2">
        <v>4.4780379047900496</v>
      </c>
      <c r="Z948" s="2">
        <v>4.6584666666666701</v>
      </c>
      <c r="AA948" s="2">
        <v>-74.083966666666697</v>
      </c>
      <c r="AB948" s="2">
        <v>2552</v>
      </c>
      <c r="AC948" s="2" t="s">
        <v>31</v>
      </c>
      <c r="AD948" s="2" t="s">
        <v>32</v>
      </c>
      <c r="AE948" s="2" t="s">
        <v>33</v>
      </c>
      <c r="AF948" s="2" t="s">
        <v>34</v>
      </c>
      <c r="AG948" s="2" t="s">
        <v>72</v>
      </c>
      <c r="AH948" s="2">
        <v>0.36696786734161901</v>
      </c>
      <c r="AI948" s="2">
        <v>4.4298788833548102</v>
      </c>
      <c r="AJ948" s="2">
        <v>0.30782626509969502</v>
      </c>
      <c r="AK948" s="2">
        <v>2.0311411900921301E-2</v>
      </c>
      <c r="AL948" s="2">
        <v>0.23543906786919799</v>
      </c>
      <c r="AN948" s="2">
        <v>6.8</v>
      </c>
      <c r="AO948" s="2">
        <v>19.899999999999999</v>
      </c>
      <c r="AP948" s="2">
        <v>564</v>
      </c>
      <c r="AQ948" s="2">
        <v>68</v>
      </c>
      <c r="AR948" s="2">
        <v>1.5</v>
      </c>
      <c r="AS948" s="2">
        <v>135</v>
      </c>
      <c r="AT948" s="2">
        <v>0.8</v>
      </c>
      <c r="AU948" s="2">
        <v>162</v>
      </c>
      <c r="AV948" s="2">
        <v>9.1</v>
      </c>
      <c r="AW948" s="2">
        <v>9.1999999999999993</v>
      </c>
      <c r="AX948" s="2">
        <v>18.3</v>
      </c>
      <c r="AY948" s="2">
        <v>0.34</v>
      </c>
      <c r="AZ948" s="2">
        <v>7.3</v>
      </c>
      <c r="BA948" s="2">
        <v>0.9</v>
      </c>
      <c r="BB948" s="2">
        <v>7.5</v>
      </c>
      <c r="BC948" s="2">
        <v>2.9</v>
      </c>
      <c r="BD948" s="2">
        <f>+AN948*EXP(-0.0495*Y948)</f>
        <v>5.4480608384157918</v>
      </c>
      <c r="BE948" s="2">
        <f>+AO948*EXP(-0.024*Y948)</f>
        <v>17.872206953393611</v>
      </c>
    </row>
    <row r="949" spans="1:57" x14ac:dyDescent="0.2">
      <c r="A949" s="2" t="s">
        <v>4573</v>
      </c>
      <c r="B949" s="2" t="s">
        <v>19</v>
      </c>
      <c r="C949" s="2" t="s">
        <v>3245</v>
      </c>
      <c r="D949" s="2" t="s">
        <v>21</v>
      </c>
      <c r="E949" s="2" t="s">
        <v>460</v>
      </c>
      <c r="F949" s="2">
        <v>4</v>
      </c>
      <c r="G949" s="2">
        <v>71</v>
      </c>
      <c r="H949" s="2">
        <v>2</v>
      </c>
      <c r="I949" s="2">
        <v>2</v>
      </c>
      <c r="J949" s="2">
        <v>1</v>
      </c>
      <c r="K949" s="2" t="s">
        <v>61</v>
      </c>
      <c r="L949" s="6" t="s">
        <v>84</v>
      </c>
      <c r="M949" s="5">
        <v>670000000</v>
      </c>
      <c r="N949" s="2">
        <v>0</v>
      </c>
      <c r="O949" s="2">
        <v>4.6436562539999997</v>
      </c>
      <c r="P949" s="2">
        <v>-74.059463500000007</v>
      </c>
      <c r="Q949" s="2" t="s">
        <v>4574</v>
      </c>
      <c r="R949" s="2">
        <v>9436619.7180000003</v>
      </c>
      <c r="S949" s="2">
        <v>0</v>
      </c>
      <c r="T949" s="2" t="s">
        <v>77</v>
      </c>
      <c r="U949" s="2" t="s">
        <v>78</v>
      </c>
      <c r="V949" s="2" t="s">
        <v>28</v>
      </c>
      <c r="W949" s="2" t="s">
        <v>79</v>
      </c>
      <c r="X949" s="2" t="s">
        <v>80</v>
      </c>
      <c r="Y949" s="2">
        <v>2.1879060917266102</v>
      </c>
      <c r="Z949" s="2">
        <v>4.6254861111111101</v>
      </c>
      <c r="AA949" s="2">
        <v>-74.066980555555503</v>
      </c>
      <c r="AB949" s="2">
        <v>2621</v>
      </c>
      <c r="AC949" s="2" t="s">
        <v>31</v>
      </c>
      <c r="AD949" s="2" t="s">
        <v>32</v>
      </c>
      <c r="AE949" s="2" t="s">
        <v>33</v>
      </c>
      <c r="AF949" s="2" t="s">
        <v>34</v>
      </c>
      <c r="AG949" s="2" t="s">
        <v>81</v>
      </c>
      <c r="AH949" s="2">
        <v>0.709695052351346</v>
      </c>
      <c r="AI949" s="2">
        <v>0.36430962975589798</v>
      </c>
      <c r="AJ949" s="2">
        <v>0.13612221989653001</v>
      </c>
      <c r="AK949" s="2">
        <v>0.19952011970306899</v>
      </c>
      <c r="AL949" s="2">
        <v>1.0157267886810701E-2</v>
      </c>
      <c r="AN949" s="2">
        <v>6.8</v>
      </c>
      <c r="AO949" s="2">
        <v>19.899999999999999</v>
      </c>
      <c r="AP949" s="2">
        <v>564</v>
      </c>
      <c r="AQ949" s="2">
        <v>68</v>
      </c>
      <c r="AR949" s="2">
        <v>1.5</v>
      </c>
      <c r="AS949" s="2">
        <v>135</v>
      </c>
      <c r="AT949" s="2">
        <v>0.8</v>
      </c>
      <c r="AU949" s="2">
        <v>162</v>
      </c>
      <c r="AV949" s="2">
        <v>9.1</v>
      </c>
      <c r="AW949" s="2">
        <v>9.1999999999999993</v>
      </c>
      <c r="AX949" s="2">
        <v>18.3</v>
      </c>
      <c r="AY949" s="2">
        <v>0.34</v>
      </c>
      <c r="AZ949" s="2">
        <v>7.3</v>
      </c>
      <c r="BA949" s="2">
        <v>0.9</v>
      </c>
      <c r="BB949" s="2">
        <v>7.5</v>
      </c>
      <c r="BC949" s="2">
        <v>2.9</v>
      </c>
      <c r="BD949" s="2">
        <f>+AN949*EXP(-0.0495*Y949)</f>
        <v>6.1020285229327644</v>
      </c>
      <c r="BE949" s="2">
        <f>+AO949*EXP(-0.024*Y949)</f>
        <v>18.882016960172791</v>
      </c>
    </row>
    <row r="950" spans="1:57" x14ac:dyDescent="0.2">
      <c r="A950" s="2" t="s">
        <v>2313</v>
      </c>
      <c r="B950" s="2" t="s">
        <v>19</v>
      </c>
      <c r="C950" s="2" t="s">
        <v>1907</v>
      </c>
      <c r="D950" s="2" t="s">
        <v>21</v>
      </c>
      <c r="E950" s="2" t="s">
        <v>2314</v>
      </c>
      <c r="F950" s="2">
        <v>3</v>
      </c>
      <c r="G950" s="2">
        <v>71</v>
      </c>
      <c r="H950" s="2">
        <v>3</v>
      </c>
      <c r="I950" s="2">
        <v>2</v>
      </c>
      <c r="J950" s="2">
        <v>1</v>
      </c>
      <c r="K950" s="2" t="s">
        <v>61</v>
      </c>
      <c r="L950" s="6" t="s">
        <v>113</v>
      </c>
      <c r="M950" s="5">
        <v>420000000</v>
      </c>
      <c r="N950" s="2">
        <v>0</v>
      </c>
      <c r="O950" s="2">
        <v>4.7205548290000001</v>
      </c>
      <c r="P950" s="2">
        <v>-74.109725949999998</v>
      </c>
      <c r="Q950" s="2" t="s">
        <v>2315</v>
      </c>
      <c r="R950" s="2">
        <v>5915492.9579999996</v>
      </c>
      <c r="S950" s="2">
        <v>0</v>
      </c>
      <c r="T950" s="2" t="s">
        <v>370</v>
      </c>
      <c r="U950" s="2" t="s">
        <v>371</v>
      </c>
      <c r="V950" s="2" t="s">
        <v>28</v>
      </c>
      <c r="W950" s="2" t="s">
        <v>29</v>
      </c>
      <c r="X950" s="2" t="s">
        <v>372</v>
      </c>
      <c r="Y950" s="2">
        <v>2.4693118600812198</v>
      </c>
      <c r="Z950" s="2">
        <v>4.7358055555555598</v>
      </c>
      <c r="AA950" s="2">
        <v>-74.125888888888895</v>
      </c>
      <c r="AB950" s="2">
        <v>2574</v>
      </c>
      <c r="AC950" s="2" t="s">
        <v>105</v>
      </c>
      <c r="AD950" s="2" t="s">
        <v>58</v>
      </c>
      <c r="AE950" s="2" t="s">
        <v>33</v>
      </c>
      <c r="AF950" s="2" t="s">
        <v>34</v>
      </c>
      <c r="AG950" s="2" t="s">
        <v>363</v>
      </c>
      <c r="AH950" s="2">
        <v>1.18845442309728</v>
      </c>
      <c r="AI950" s="2">
        <v>1.8530272504376399</v>
      </c>
      <c r="AJ950" s="2">
        <v>3.05440428605479</v>
      </c>
      <c r="AK950" s="2">
        <v>0.30645189036607401</v>
      </c>
      <c r="AL950" s="2">
        <v>0.142949188471614</v>
      </c>
      <c r="AN950" s="2">
        <v>6.8</v>
      </c>
      <c r="AO950" s="2">
        <v>19.899999999999999</v>
      </c>
      <c r="AP950" s="2">
        <v>564</v>
      </c>
      <c r="AQ950" s="2">
        <v>68</v>
      </c>
      <c r="AR950" s="2">
        <v>1.5</v>
      </c>
      <c r="AS950" s="2">
        <v>135</v>
      </c>
      <c r="AT950" s="2">
        <v>0.8</v>
      </c>
      <c r="AU950" s="2">
        <v>162</v>
      </c>
      <c r="AV950" s="2">
        <v>9.1</v>
      </c>
      <c r="AW950" s="2">
        <v>9.1999999999999993</v>
      </c>
      <c r="AX950" s="2">
        <v>18.3</v>
      </c>
      <c r="AY950" s="2">
        <v>0.34</v>
      </c>
      <c r="AZ950" s="2">
        <v>7.3</v>
      </c>
      <c r="BA950" s="2">
        <v>0.9</v>
      </c>
      <c r="BB950" s="2">
        <v>7.5</v>
      </c>
      <c r="BC950" s="2">
        <v>2.9</v>
      </c>
      <c r="BD950" s="2">
        <f>+AN950*EXP(-0.0495*Y950)</f>
        <v>6.017619054002985</v>
      </c>
      <c r="BE950" s="2">
        <f>+AO950*EXP(-0.024*Y950)</f>
        <v>18.754922421127848</v>
      </c>
    </row>
    <row r="951" spans="1:57" x14ac:dyDescent="0.2">
      <c r="A951" s="2" t="s">
        <v>1127</v>
      </c>
      <c r="B951" s="2" t="s">
        <v>19</v>
      </c>
      <c r="C951" s="2" t="s">
        <v>20</v>
      </c>
      <c r="D951" s="2" t="s">
        <v>21</v>
      </c>
      <c r="E951" s="2" t="s">
        <v>578</v>
      </c>
      <c r="F951" s="2">
        <v>3</v>
      </c>
      <c r="G951" s="2">
        <v>70</v>
      </c>
      <c r="H951" s="2">
        <v>3</v>
      </c>
      <c r="I951" s="2">
        <v>2</v>
      </c>
      <c r="J951" s="2">
        <v>1</v>
      </c>
      <c r="K951" s="2" t="s">
        <v>61</v>
      </c>
      <c r="L951" s="6" t="s">
        <v>75</v>
      </c>
      <c r="M951" s="5">
        <v>371000000</v>
      </c>
      <c r="N951" s="2">
        <v>0</v>
      </c>
      <c r="O951" s="2">
        <v>4.7211960880000001</v>
      </c>
      <c r="P951" s="2">
        <v>-74.127755339999993</v>
      </c>
      <c r="Q951" s="2" t="s">
        <v>1128</v>
      </c>
      <c r="R951" s="2">
        <v>5300000</v>
      </c>
      <c r="S951" s="2">
        <v>0</v>
      </c>
      <c r="T951" s="2" t="s">
        <v>370</v>
      </c>
      <c r="U951" s="2" t="s">
        <v>371</v>
      </c>
      <c r="V951" s="2" t="s">
        <v>28</v>
      </c>
      <c r="W951" s="2" t="s">
        <v>29</v>
      </c>
      <c r="X951" s="2" t="s">
        <v>372</v>
      </c>
      <c r="Y951" s="2">
        <v>1.63944741882205</v>
      </c>
      <c r="Z951" s="2">
        <v>4.7358055555555598</v>
      </c>
      <c r="AA951" s="2">
        <v>-74.125888888888895</v>
      </c>
      <c r="AB951" s="2">
        <v>2574</v>
      </c>
      <c r="AC951" s="2" t="s">
        <v>105</v>
      </c>
      <c r="AD951" s="2" t="s">
        <v>58</v>
      </c>
      <c r="AE951" s="2" t="s">
        <v>33</v>
      </c>
      <c r="AF951" s="2" t="s">
        <v>34</v>
      </c>
      <c r="AG951" s="2" t="s">
        <v>363</v>
      </c>
      <c r="AH951" s="2">
        <v>2.2881788597796899</v>
      </c>
      <c r="AI951" s="2">
        <v>0.291459484742629</v>
      </c>
      <c r="AJ951" s="2">
        <v>3.8607202801896299</v>
      </c>
      <c r="AK951" s="2">
        <v>0.52865713452762098</v>
      </c>
      <c r="AL951" s="2">
        <v>9.9213088528096599E-2</v>
      </c>
      <c r="AN951" s="2">
        <v>6.8</v>
      </c>
      <c r="AO951" s="2">
        <v>19.899999999999999</v>
      </c>
      <c r="AP951" s="2">
        <v>564</v>
      </c>
      <c r="AQ951" s="2">
        <v>68</v>
      </c>
      <c r="AR951" s="2">
        <v>1.5</v>
      </c>
      <c r="AS951" s="2">
        <v>135</v>
      </c>
      <c r="AT951" s="2">
        <v>0.8</v>
      </c>
      <c r="AU951" s="2">
        <v>162</v>
      </c>
      <c r="AV951" s="2">
        <v>9.1</v>
      </c>
      <c r="AW951" s="2">
        <v>9.1999999999999993</v>
      </c>
      <c r="AX951" s="2">
        <v>18.3</v>
      </c>
      <c r="AY951" s="2">
        <v>0.34</v>
      </c>
      <c r="AZ951" s="2">
        <v>7.3</v>
      </c>
      <c r="BA951" s="2">
        <v>0.9</v>
      </c>
      <c r="BB951" s="2">
        <v>7.5</v>
      </c>
      <c r="BC951" s="2">
        <v>2.9</v>
      </c>
      <c r="BD951" s="2">
        <f>+AN951*EXP(-0.0495*Y951)</f>
        <v>6.2699599367437333</v>
      </c>
      <c r="BE951" s="2">
        <f>+AO951*EXP(-0.024*Y951)</f>
        <v>19.132204098598926</v>
      </c>
    </row>
    <row r="952" spans="1:57" x14ac:dyDescent="0.2">
      <c r="A952" s="2" t="s">
        <v>1015</v>
      </c>
      <c r="B952" s="2" t="s">
        <v>19</v>
      </c>
      <c r="C952" s="2" t="s">
        <v>20</v>
      </c>
      <c r="D952" s="2" t="s">
        <v>21</v>
      </c>
      <c r="E952" s="2" t="s">
        <v>244</v>
      </c>
      <c r="F952" s="2">
        <v>4</v>
      </c>
      <c r="G952" s="2">
        <v>69</v>
      </c>
      <c r="H952" s="2">
        <v>2</v>
      </c>
      <c r="I952" s="2">
        <v>2</v>
      </c>
      <c r="J952" s="2">
        <v>1</v>
      </c>
      <c r="K952" s="2" t="s">
        <v>61</v>
      </c>
      <c r="L952" s="6" t="s">
        <v>75</v>
      </c>
      <c r="M952" s="5">
        <v>620000000</v>
      </c>
      <c r="N952" s="2">
        <v>0</v>
      </c>
      <c r="O952" s="2">
        <v>4.6104202269999996</v>
      </c>
      <c r="P952" s="2">
        <v>-74.065856929999995</v>
      </c>
      <c r="Q952" s="2" t="s">
        <v>1016</v>
      </c>
      <c r="R952" s="2">
        <v>8985507.2459999993</v>
      </c>
      <c r="S952" s="2">
        <v>0</v>
      </c>
      <c r="T952" s="2" t="s">
        <v>77</v>
      </c>
      <c r="U952" s="2" t="s">
        <v>78</v>
      </c>
      <c r="V952" s="2" t="s">
        <v>28</v>
      </c>
      <c r="W952" s="2" t="s">
        <v>79</v>
      </c>
      <c r="X952" s="2" t="s">
        <v>80</v>
      </c>
      <c r="Y952" s="2">
        <v>1.6817542642026</v>
      </c>
      <c r="Z952" s="2">
        <v>4.6254861111111101</v>
      </c>
      <c r="AA952" s="2">
        <v>-74.066980555555503</v>
      </c>
      <c r="AB952" s="2">
        <v>2621</v>
      </c>
      <c r="AC952" s="2" t="s">
        <v>31</v>
      </c>
      <c r="AD952" s="2" t="s">
        <v>32</v>
      </c>
      <c r="AE952" s="2" t="s">
        <v>33</v>
      </c>
      <c r="AF952" s="2" t="s">
        <v>34</v>
      </c>
      <c r="AG952" s="2" t="s">
        <v>89</v>
      </c>
      <c r="AH952" s="2">
        <v>0.62801418715329704</v>
      </c>
      <c r="AI952" s="2">
        <v>0.19948634837988599</v>
      </c>
      <c r="AJ952" s="2">
        <v>0.44482141246307599</v>
      </c>
      <c r="AK952" s="2">
        <v>0.54084034340481801</v>
      </c>
      <c r="AL952" s="2">
        <v>0.174131386851333</v>
      </c>
      <c r="AN952" s="2">
        <v>6.8</v>
      </c>
      <c r="AO952" s="2">
        <v>19.899999999999999</v>
      </c>
      <c r="AP952" s="2">
        <v>564</v>
      </c>
      <c r="AQ952" s="2">
        <v>68</v>
      </c>
      <c r="AR952" s="2">
        <v>1.5</v>
      </c>
      <c r="AS952" s="2">
        <v>135</v>
      </c>
      <c r="AT952" s="2">
        <v>0.8</v>
      </c>
      <c r="AU952" s="2">
        <v>162</v>
      </c>
      <c r="AV952" s="2">
        <v>9.1</v>
      </c>
      <c r="AW952" s="2">
        <v>9.1999999999999993</v>
      </c>
      <c r="AX952" s="2">
        <v>18.3</v>
      </c>
      <c r="AY952" s="2">
        <v>0.34</v>
      </c>
      <c r="AZ952" s="2">
        <v>7.3</v>
      </c>
      <c r="BA952" s="2">
        <v>0.9</v>
      </c>
      <c r="BB952" s="2">
        <v>7.5</v>
      </c>
      <c r="BC952" s="2">
        <v>2.9</v>
      </c>
      <c r="BD952" s="2">
        <f>+AN952*EXP(-0.0495*Y952)</f>
        <v>6.256843195837237</v>
      </c>
      <c r="BE952" s="2">
        <f>+AO952*EXP(-0.024*Y952)</f>
        <v>19.112787800760653</v>
      </c>
    </row>
    <row r="953" spans="1:57" x14ac:dyDescent="0.2">
      <c r="A953" s="2" t="s">
        <v>1492</v>
      </c>
      <c r="B953" s="2" t="s">
        <v>19</v>
      </c>
      <c r="C953" s="2" t="s">
        <v>20</v>
      </c>
      <c r="D953" s="2" t="s">
        <v>21</v>
      </c>
      <c r="E953" s="2" t="s">
        <v>1493</v>
      </c>
      <c r="F953" s="2">
        <v>4</v>
      </c>
      <c r="G953" s="2">
        <v>69</v>
      </c>
      <c r="H953" s="2">
        <v>3</v>
      </c>
      <c r="I953" s="2">
        <v>2</v>
      </c>
      <c r="J953" s="2">
        <v>1</v>
      </c>
      <c r="K953" s="2" t="s">
        <v>61</v>
      </c>
      <c r="L953" s="6" t="s">
        <v>75</v>
      </c>
      <c r="M953" s="5">
        <v>576000000</v>
      </c>
      <c r="N953" s="2">
        <v>0</v>
      </c>
      <c r="O953" s="2">
        <v>4.6637058260000002</v>
      </c>
      <c r="P953" s="2">
        <v>-74.114639280000006</v>
      </c>
      <c r="Q953" s="2" t="s">
        <v>1494</v>
      </c>
      <c r="R953" s="2">
        <v>8347826.0870000003</v>
      </c>
      <c r="S953" s="2">
        <v>0</v>
      </c>
      <c r="T953" s="2" t="s">
        <v>26</v>
      </c>
      <c r="U953" s="2" t="s">
        <v>27</v>
      </c>
      <c r="V953" s="2" t="s">
        <v>28</v>
      </c>
      <c r="W953" s="2" t="s">
        <v>29</v>
      </c>
      <c r="X953" s="2" t="s">
        <v>30</v>
      </c>
      <c r="Y953" s="2">
        <v>3.4527807197706299</v>
      </c>
      <c r="Z953" s="2">
        <v>4.6584666666666701</v>
      </c>
      <c r="AA953" s="2">
        <v>-74.083966666666697</v>
      </c>
      <c r="AB953" s="2">
        <v>2552</v>
      </c>
      <c r="AC953" s="2" t="s">
        <v>31</v>
      </c>
      <c r="AD953" s="2" t="s">
        <v>32</v>
      </c>
      <c r="AE953" s="2" t="s">
        <v>33</v>
      </c>
      <c r="AF953" s="2" t="s">
        <v>34</v>
      </c>
      <c r="AG953" s="2" t="s">
        <v>43</v>
      </c>
      <c r="AH953" s="2">
        <v>0.60511122235090697</v>
      </c>
      <c r="AI953" s="2">
        <v>4.7612256148951602</v>
      </c>
      <c r="AJ953" s="2">
        <v>1.0854889550048099</v>
      </c>
      <c r="AK953" s="2">
        <v>0.23833144413754601</v>
      </c>
      <c r="AL953" s="2">
        <v>0.57989962272646001</v>
      </c>
      <c r="AN953" s="2">
        <v>6.8</v>
      </c>
      <c r="AO953" s="2">
        <v>19.899999999999999</v>
      </c>
      <c r="AP953" s="2">
        <v>564</v>
      </c>
      <c r="AQ953" s="2">
        <v>68</v>
      </c>
      <c r="AR953" s="2">
        <v>1.5</v>
      </c>
      <c r="AS953" s="2">
        <v>135</v>
      </c>
      <c r="AT953" s="2">
        <v>0.8</v>
      </c>
      <c r="AU953" s="2">
        <v>162</v>
      </c>
      <c r="AV953" s="2">
        <v>9.1</v>
      </c>
      <c r="AW953" s="2">
        <v>9.1999999999999993</v>
      </c>
      <c r="AX953" s="2">
        <v>18.3</v>
      </c>
      <c r="AY953" s="2">
        <v>0.34</v>
      </c>
      <c r="AZ953" s="2">
        <v>7.3</v>
      </c>
      <c r="BA953" s="2">
        <v>0.9</v>
      </c>
      <c r="BB953" s="2">
        <v>7.5</v>
      </c>
      <c r="BC953" s="2">
        <v>2.9</v>
      </c>
      <c r="BD953" s="2">
        <f>+AN953*EXP(-0.0495*Y953)</f>
        <v>5.7316873656856382</v>
      </c>
      <c r="BE953" s="2">
        <f>+AO953*EXP(-0.024*Y953)</f>
        <v>18.317428697510991</v>
      </c>
    </row>
    <row r="954" spans="1:57" x14ac:dyDescent="0.2">
      <c r="A954" s="2" t="s">
        <v>1186</v>
      </c>
      <c r="B954" s="2" t="s">
        <v>19</v>
      </c>
      <c r="C954" s="2" t="s">
        <v>20</v>
      </c>
      <c r="D954" s="2" t="s">
        <v>21</v>
      </c>
      <c r="E954" s="2" t="s">
        <v>1187</v>
      </c>
      <c r="F954" s="2">
        <v>3</v>
      </c>
      <c r="G954" s="2">
        <v>69</v>
      </c>
      <c r="H954" s="2">
        <v>2</v>
      </c>
      <c r="I954" s="2">
        <v>2</v>
      </c>
      <c r="J954" s="2">
        <v>1</v>
      </c>
      <c r="K954" s="2" t="s">
        <v>61</v>
      </c>
      <c r="L954" s="6" t="s">
        <v>113</v>
      </c>
      <c r="M954" s="5">
        <v>420000000</v>
      </c>
      <c r="N954" s="2">
        <v>0</v>
      </c>
      <c r="O954" s="2">
        <v>4.7181997000000004</v>
      </c>
      <c r="P954" s="2">
        <v>-74.110939999999999</v>
      </c>
      <c r="Q954" s="2" t="s">
        <v>1188</v>
      </c>
      <c r="R954" s="2">
        <v>6086956.5219999999</v>
      </c>
      <c r="S954" s="2">
        <v>0</v>
      </c>
      <c r="T954" s="2" t="s">
        <v>370</v>
      </c>
      <c r="U954" s="2" t="s">
        <v>371</v>
      </c>
      <c r="V954" s="2" t="s">
        <v>28</v>
      </c>
      <c r="W954" s="2" t="s">
        <v>29</v>
      </c>
      <c r="X954" s="2" t="s">
        <v>372</v>
      </c>
      <c r="Y954" s="2">
        <v>2.56739967591017</v>
      </c>
      <c r="Z954" s="2">
        <v>4.7358055555555598</v>
      </c>
      <c r="AA954" s="2">
        <v>-74.125888888888895</v>
      </c>
      <c r="AB954" s="2">
        <v>2574</v>
      </c>
      <c r="AC954" s="2" t="s">
        <v>105</v>
      </c>
      <c r="AD954" s="2" t="s">
        <v>58</v>
      </c>
      <c r="AE954" s="2" t="s">
        <v>33</v>
      </c>
      <c r="AF954" s="2" t="s">
        <v>34</v>
      </c>
      <c r="AG954" s="2" t="s">
        <v>363</v>
      </c>
      <c r="AH954" s="2">
        <v>0.92627547817294897</v>
      </c>
      <c r="AI954" s="2">
        <v>1.8259885404400999</v>
      </c>
      <c r="AJ954" s="2">
        <v>2.8616503331080501</v>
      </c>
      <c r="AK954" s="2">
        <v>0.45873349425972598</v>
      </c>
      <c r="AL954" s="2">
        <v>9.1211450143914394E-2</v>
      </c>
      <c r="AN954" s="2">
        <v>6.8</v>
      </c>
      <c r="AO954" s="2">
        <v>19.899999999999999</v>
      </c>
      <c r="AP954" s="2">
        <v>564</v>
      </c>
      <c r="AQ954" s="2">
        <v>68</v>
      </c>
      <c r="AR954" s="2">
        <v>1.5</v>
      </c>
      <c r="AS954" s="2">
        <v>135</v>
      </c>
      <c r="AT954" s="2">
        <v>0.8</v>
      </c>
      <c r="AU954" s="2">
        <v>162</v>
      </c>
      <c r="AV954" s="2">
        <v>9.1</v>
      </c>
      <c r="AW954" s="2">
        <v>9.1999999999999993</v>
      </c>
      <c r="AX954" s="2">
        <v>18.3</v>
      </c>
      <c r="AY954" s="2">
        <v>0.34</v>
      </c>
      <c r="AZ954" s="2">
        <v>7.3</v>
      </c>
      <c r="BA954" s="2">
        <v>0.9</v>
      </c>
      <c r="BB954" s="2">
        <v>7.5</v>
      </c>
      <c r="BC954" s="2">
        <v>2.9</v>
      </c>
      <c r="BD954" s="2">
        <f>+AN954*EXP(-0.0495*Y954)</f>
        <v>5.9884722422834109</v>
      </c>
      <c r="BE954" s="2">
        <f>+AO954*EXP(-0.024*Y954)</f>
        <v>18.710823243565834</v>
      </c>
    </row>
    <row r="955" spans="1:57" x14ac:dyDescent="0.2">
      <c r="A955" s="2" t="s">
        <v>866</v>
      </c>
      <c r="B955" s="2" t="s">
        <v>19</v>
      </c>
      <c r="C955" s="2" t="s">
        <v>20</v>
      </c>
      <c r="D955" s="2" t="s">
        <v>21</v>
      </c>
      <c r="E955" s="2" t="s">
        <v>867</v>
      </c>
      <c r="F955" s="2">
        <v>2</v>
      </c>
      <c r="G955" s="2">
        <v>67</v>
      </c>
      <c r="H955" s="2">
        <v>3</v>
      </c>
      <c r="I955" s="2">
        <v>2</v>
      </c>
      <c r="J955" s="2">
        <v>2</v>
      </c>
      <c r="K955" s="2" t="s">
        <v>61</v>
      </c>
      <c r="L955" s="6" t="s">
        <v>113</v>
      </c>
      <c r="M955" s="5">
        <v>520000000</v>
      </c>
      <c r="N955" s="2">
        <v>0</v>
      </c>
      <c r="O955" s="2">
        <v>4.6468658449999998</v>
      </c>
      <c r="P955" s="2">
        <v>-74.055305480000001</v>
      </c>
      <c r="Q955" s="2" t="s">
        <v>868</v>
      </c>
      <c r="R955" s="2">
        <v>7761194.0300000003</v>
      </c>
      <c r="S955" s="2">
        <v>0</v>
      </c>
      <c r="T955" s="2" t="s">
        <v>77</v>
      </c>
      <c r="U955" s="2" t="s">
        <v>78</v>
      </c>
      <c r="V955" s="2" t="s">
        <v>28</v>
      </c>
      <c r="W955" s="2" t="s">
        <v>79</v>
      </c>
      <c r="X955" s="2" t="s">
        <v>80</v>
      </c>
      <c r="Y955" s="2">
        <v>2.7096862707671199</v>
      </c>
      <c r="Z955" s="2">
        <v>4.6254861111111101</v>
      </c>
      <c r="AA955" s="2">
        <v>-74.066980555555503</v>
      </c>
      <c r="AB955" s="2">
        <v>2621</v>
      </c>
      <c r="AC955" s="2" t="s">
        <v>31</v>
      </c>
      <c r="AD955" s="2" t="s">
        <v>32</v>
      </c>
      <c r="AE955" s="2" t="s">
        <v>33</v>
      </c>
      <c r="AF955" s="2" t="s">
        <v>34</v>
      </c>
      <c r="AG955" s="2" t="s">
        <v>81</v>
      </c>
      <c r="AH955" s="2">
        <v>1.0741663322871999</v>
      </c>
      <c r="AI955" s="2">
        <v>0.334574970856028</v>
      </c>
      <c r="AJ955" s="2">
        <v>0.34258546635895998</v>
      </c>
      <c r="AK955" s="2">
        <v>0.31325018623293799</v>
      </c>
      <c r="AL955" s="2">
        <v>0.153835386287061</v>
      </c>
      <c r="AN955" s="2">
        <v>6.8</v>
      </c>
      <c r="AO955" s="2">
        <v>19.899999999999999</v>
      </c>
      <c r="AP955" s="2">
        <v>564</v>
      </c>
      <c r="AQ955" s="2">
        <v>68</v>
      </c>
      <c r="AR955" s="2">
        <v>1.5</v>
      </c>
      <c r="AS955" s="2">
        <v>135</v>
      </c>
      <c r="AT955" s="2">
        <v>0.8</v>
      </c>
      <c r="AU955" s="2">
        <v>162</v>
      </c>
      <c r="AV955" s="2">
        <v>9.1</v>
      </c>
      <c r="AW955" s="2">
        <v>9.1999999999999993</v>
      </c>
      <c r="AX955" s="2">
        <v>18.3</v>
      </c>
      <c r="AY955" s="2">
        <v>0.34</v>
      </c>
      <c r="AZ955" s="2">
        <v>7.3</v>
      </c>
      <c r="BA955" s="2">
        <v>0.9</v>
      </c>
      <c r="BB955" s="2">
        <v>7.5</v>
      </c>
      <c r="BC955" s="2">
        <v>2.9</v>
      </c>
      <c r="BD955" s="2">
        <f>+AN955*EXP(-0.0495*Y955)</f>
        <v>5.9464425011547686</v>
      </c>
      <c r="BE955" s="2">
        <f>+AO955*EXP(-0.024*Y955)</f>
        <v>18.647037032793786</v>
      </c>
    </row>
    <row r="956" spans="1:57" x14ac:dyDescent="0.2">
      <c r="A956" s="2" t="s">
        <v>4488</v>
      </c>
      <c r="B956" s="2" t="s">
        <v>19</v>
      </c>
      <c r="C956" s="2" t="s">
        <v>3245</v>
      </c>
      <c r="D956" s="2" t="s">
        <v>21</v>
      </c>
      <c r="E956" s="2" t="s">
        <v>83</v>
      </c>
      <c r="F956" s="2">
        <v>6</v>
      </c>
      <c r="G956" s="2">
        <v>65.7</v>
      </c>
      <c r="H956" s="2">
        <v>1</v>
      </c>
      <c r="I956" s="2">
        <v>1</v>
      </c>
      <c r="J956" s="2">
        <v>1</v>
      </c>
      <c r="K956" s="2" t="s">
        <v>61</v>
      </c>
      <c r="L956" s="6" t="s">
        <v>84</v>
      </c>
      <c r="M956" s="5">
        <v>880000000</v>
      </c>
      <c r="N956" s="2">
        <v>0</v>
      </c>
      <c r="O956" s="2">
        <v>4.6779000000000002</v>
      </c>
      <c r="P956" s="2">
        <v>-74.053420000000003</v>
      </c>
      <c r="Q956" s="2" t="s">
        <v>4489</v>
      </c>
      <c r="R956" s="2">
        <v>13394216.130000001</v>
      </c>
      <c r="S956" s="2">
        <v>0</v>
      </c>
      <c r="T956" s="2" t="s">
        <v>26</v>
      </c>
      <c r="U956" s="2" t="s">
        <v>27</v>
      </c>
      <c r="V956" s="2" t="s">
        <v>28</v>
      </c>
      <c r="W956" s="2" t="s">
        <v>29</v>
      </c>
      <c r="X956" s="2" t="s">
        <v>30</v>
      </c>
      <c r="Y956" s="2">
        <v>4.0207343761327099</v>
      </c>
      <c r="Z956" s="2">
        <v>4.6584666666666701</v>
      </c>
      <c r="AA956" s="2">
        <v>-74.083966666666697</v>
      </c>
      <c r="AB956" s="2">
        <v>2552</v>
      </c>
      <c r="AC956" s="2" t="s">
        <v>31</v>
      </c>
      <c r="AD956" s="2" t="s">
        <v>32</v>
      </c>
      <c r="AE956" s="2" t="s">
        <v>33</v>
      </c>
      <c r="AF956" s="2" t="s">
        <v>34</v>
      </c>
      <c r="AG956" s="2" t="s">
        <v>81</v>
      </c>
      <c r="AH956" s="2">
        <v>0.65551911086643599</v>
      </c>
      <c r="AI956" s="2">
        <v>1.5462802870735199</v>
      </c>
      <c r="AJ956" s="2">
        <v>0.87118337232374099</v>
      </c>
      <c r="AK956" s="2">
        <v>1.1027981722916601E-2</v>
      </c>
      <c r="AL956" s="2">
        <v>0.65374431737417404</v>
      </c>
      <c r="AN956" s="2">
        <v>6.8</v>
      </c>
      <c r="AO956" s="2">
        <v>19.899999999999999</v>
      </c>
      <c r="AP956" s="2">
        <v>564</v>
      </c>
      <c r="AQ956" s="2">
        <v>68</v>
      </c>
      <c r="AR956" s="2">
        <v>1.5</v>
      </c>
      <c r="AS956" s="2">
        <v>135</v>
      </c>
      <c r="AT956" s="2">
        <v>0.8</v>
      </c>
      <c r="AU956" s="2">
        <v>162</v>
      </c>
      <c r="AV956" s="2">
        <v>9.1</v>
      </c>
      <c r="AW956" s="2">
        <v>9.1999999999999993</v>
      </c>
      <c r="AX956" s="2">
        <v>18.3</v>
      </c>
      <c r="AY956" s="2">
        <v>0.34</v>
      </c>
      <c r="AZ956" s="2">
        <v>7.3</v>
      </c>
      <c r="BA956" s="2">
        <v>0.9</v>
      </c>
      <c r="BB956" s="2">
        <v>7.5</v>
      </c>
      <c r="BC956" s="2">
        <v>2.9</v>
      </c>
      <c r="BD956" s="2">
        <f>+AN956*EXP(-0.0495*Y956)</f>
        <v>5.5727924206287485</v>
      </c>
      <c r="BE956" s="2">
        <f>+AO956*EXP(-0.024*Y956)</f>
        <v>18.069439876612549</v>
      </c>
    </row>
    <row r="957" spans="1:57" x14ac:dyDescent="0.2">
      <c r="A957" s="2" t="s">
        <v>644</v>
      </c>
      <c r="B957" s="2" t="s">
        <v>19</v>
      </c>
      <c r="C957" s="2" t="s">
        <v>20</v>
      </c>
      <c r="D957" s="2" t="s">
        <v>21</v>
      </c>
      <c r="E957" s="2" t="s">
        <v>645</v>
      </c>
      <c r="F957" s="2">
        <v>4</v>
      </c>
      <c r="G957" s="2">
        <v>65</v>
      </c>
      <c r="H957" s="2">
        <v>3</v>
      </c>
      <c r="I957" s="2">
        <v>2</v>
      </c>
      <c r="J957" s="2">
        <v>1</v>
      </c>
      <c r="K957" s="2" t="s">
        <v>61</v>
      </c>
      <c r="L957" s="6" t="s">
        <v>113</v>
      </c>
      <c r="M957" s="5">
        <v>540000000</v>
      </c>
      <c r="N957" s="2">
        <v>0</v>
      </c>
      <c r="O957" s="2">
        <v>4.6446332930000001</v>
      </c>
      <c r="P957" s="2">
        <v>-74.060150149999998</v>
      </c>
      <c r="Q957" s="2" t="s">
        <v>646</v>
      </c>
      <c r="R957" s="2">
        <v>8307692.3080000002</v>
      </c>
      <c r="S957" s="2">
        <v>0</v>
      </c>
      <c r="T957" s="2" t="s">
        <v>77</v>
      </c>
      <c r="U957" s="2" t="s">
        <v>78</v>
      </c>
      <c r="V957" s="2" t="s">
        <v>28</v>
      </c>
      <c r="W957" s="2" t="s">
        <v>79</v>
      </c>
      <c r="X957" s="2" t="s">
        <v>80</v>
      </c>
      <c r="Y957" s="2">
        <v>2.26218175717838</v>
      </c>
      <c r="Z957" s="2">
        <v>4.6254861111111101</v>
      </c>
      <c r="AA957" s="2">
        <v>-74.066980555555503</v>
      </c>
      <c r="AB957" s="2">
        <v>2621</v>
      </c>
      <c r="AC957" s="2" t="s">
        <v>31</v>
      </c>
      <c r="AD957" s="2" t="s">
        <v>32</v>
      </c>
      <c r="AE957" s="2" t="s">
        <v>33</v>
      </c>
      <c r="AF957" s="2" t="s">
        <v>34</v>
      </c>
      <c r="AG957" s="2" t="s">
        <v>81</v>
      </c>
      <c r="AH957" s="2">
        <v>0.65555132432043794</v>
      </c>
      <c r="AI957" s="2">
        <v>0.49623244947822598</v>
      </c>
      <c r="AJ957" s="2">
        <v>1.47075588192596E-2</v>
      </c>
      <c r="AK957" s="2">
        <v>7.2492953046720696E-2</v>
      </c>
      <c r="AL957" s="2">
        <v>0.142068319439489</v>
      </c>
      <c r="AN957" s="2">
        <v>6.8</v>
      </c>
      <c r="AO957" s="2">
        <v>19.899999999999999</v>
      </c>
      <c r="AP957" s="2">
        <v>564</v>
      </c>
      <c r="AQ957" s="2">
        <v>68</v>
      </c>
      <c r="AR957" s="2">
        <v>1.5</v>
      </c>
      <c r="AS957" s="2">
        <v>135</v>
      </c>
      <c r="AT957" s="2">
        <v>0.8</v>
      </c>
      <c r="AU957" s="2">
        <v>162</v>
      </c>
      <c r="AV957" s="2">
        <v>9.1</v>
      </c>
      <c r="AW957" s="2">
        <v>9.1999999999999993</v>
      </c>
      <c r="AX957" s="2">
        <v>18.3</v>
      </c>
      <c r="AY957" s="2">
        <v>0.34</v>
      </c>
      <c r="AZ957" s="2">
        <v>7.3</v>
      </c>
      <c r="BA957" s="2">
        <v>0.9</v>
      </c>
      <c r="BB957" s="2">
        <v>7.5</v>
      </c>
      <c r="BC957" s="2">
        <v>2.9</v>
      </c>
      <c r="BD957" s="2">
        <f>+AN957*EXP(-0.0495*Y957)</f>
        <v>6.0796347198530931</v>
      </c>
      <c r="BE957" s="2">
        <f>+AO957*EXP(-0.024*Y957)</f>
        <v>18.848387558237761</v>
      </c>
    </row>
    <row r="958" spans="1:57" x14ac:dyDescent="0.2">
      <c r="A958" s="2" t="s">
        <v>1563</v>
      </c>
      <c r="B958" s="2" t="s">
        <v>19</v>
      </c>
      <c r="C958" s="2" t="s">
        <v>20</v>
      </c>
      <c r="D958" s="2" t="s">
        <v>21</v>
      </c>
      <c r="E958" s="2" t="s">
        <v>578</v>
      </c>
      <c r="F958" s="2">
        <v>3</v>
      </c>
      <c r="G958" s="2">
        <v>64.069999999999993</v>
      </c>
      <c r="H958" s="2">
        <v>3</v>
      </c>
      <c r="I958" s="2">
        <v>2</v>
      </c>
      <c r="J958" s="2">
        <v>1</v>
      </c>
      <c r="K958" s="2" t="s">
        <v>61</v>
      </c>
      <c r="L958" s="6" t="s">
        <v>75</v>
      </c>
      <c r="M958" s="5">
        <v>390000000</v>
      </c>
      <c r="N958" s="2">
        <v>0</v>
      </c>
      <c r="O958" s="2">
        <v>4.7231907839999998</v>
      </c>
      <c r="P958" s="2">
        <v>-74.1293869</v>
      </c>
      <c r="Q958" s="2" t="s">
        <v>1564</v>
      </c>
      <c r="R958" s="2">
        <v>6087092.2429999998</v>
      </c>
      <c r="S958" s="2">
        <v>0</v>
      </c>
      <c r="T958" s="2" t="s">
        <v>370</v>
      </c>
      <c r="U958" s="2" t="s">
        <v>371</v>
      </c>
      <c r="V958" s="2" t="s">
        <v>28</v>
      </c>
      <c r="W958" s="2" t="s">
        <v>29</v>
      </c>
      <c r="X958" s="2" t="s">
        <v>372</v>
      </c>
      <c r="Y958" s="2">
        <v>1.45690532990543</v>
      </c>
      <c r="Z958" s="2">
        <v>4.7358055555555598</v>
      </c>
      <c r="AA958" s="2">
        <v>-74.125888888888895</v>
      </c>
      <c r="AB958" s="2">
        <v>2574</v>
      </c>
      <c r="AC958" s="2" t="s">
        <v>105</v>
      </c>
      <c r="AD958" s="2" t="s">
        <v>58</v>
      </c>
      <c r="AE958" s="2" t="s">
        <v>33</v>
      </c>
      <c r="AF958" s="2" t="s">
        <v>34</v>
      </c>
      <c r="AG958" s="2" t="s">
        <v>363</v>
      </c>
      <c r="AH958" s="2">
        <v>2.5618101812284602</v>
      </c>
      <c r="AI958" s="2">
        <v>5.9240364652953501E-2</v>
      </c>
      <c r="AJ958" s="2">
        <v>4.1450148823837401</v>
      </c>
      <c r="AK958" s="2">
        <v>0.57305260206318498</v>
      </c>
      <c r="AL958" s="2">
        <v>4.09733212771307E-2</v>
      </c>
      <c r="AN958" s="2">
        <v>6.8</v>
      </c>
      <c r="AO958" s="2">
        <v>19.899999999999999</v>
      </c>
      <c r="AP958" s="2">
        <v>564</v>
      </c>
      <c r="AQ958" s="2">
        <v>68</v>
      </c>
      <c r="AR958" s="2">
        <v>1.5</v>
      </c>
      <c r="AS958" s="2">
        <v>135</v>
      </c>
      <c r="AT958" s="2">
        <v>0.8</v>
      </c>
      <c r="AU958" s="2">
        <v>162</v>
      </c>
      <c r="AV958" s="2">
        <v>9.1</v>
      </c>
      <c r="AW958" s="2">
        <v>9.1999999999999993</v>
      </c>
      <c r="AX958" s="2">
        <v>18.3</v>
      </c>
      <c r="AY958" s="2">
        <v>0.34</v>
      </c>
      <c r="AZ958" s="2">
        <v>7.3</v>
      </c>
      <c r="BA958" s="2">
        <v>0.9</v>
      </c>
      <c r="BB958" s="2">
        <v>7.5</v>
      </c>
      <c r="BC958" s="2">
        <v>2.9</v>
      </c>
      <c r="BD958" s="2">
        <f>+AN958*EXP(-0.0495*Y958)</f>
        <v>6.3268709823145741</v>
      </c>
      <c r="BE958" s="2">
        <f>+AO958*EXP(-0.024*Y958)</f>
        <v>19.216206351645251</v>
      </c>
    </row>
    <row r="959" spans="1:57" x14ac:dyDescent="0.2">
      <c r="A959" s="2" t="s">
        <v>1740</v>
      </c>
      <c r="B959" s="2" t="s">
        <v>19</v>
      </c>
      <c r="C959" s="2" t="s">
        <v>20</v>
      </c>
      <c r="D959" s="2" t="s">
        <v>21</v>
      </c>
      <c r="E959" s="2" t="s">
        <v>1741</v>
      </c>
      <c r="F959" s="2">
        <v>5</v>
      </c>
      <c r="G959" s="2">
        <v>64</v>
      </c>
      <c r="H959" s="2">
        <v>1</v>
      </c>
      <c r="I959" s="2">
        <v>2</v>
      </c>
      <c r="J959" s="2">
        <v>1</v>
      </c>
      <c r="K959" s="2" t="s">
        <v>61</v>
      </c>
      <c r="L959" s="6" t="s">
        <v>62</v>
      </c>
      <c r="M959" s="5">
        <v>890000000</v>
      </c>
      <c r="N959" s="2">
        <v>0</v>
      </c>
      <c r="O959" s="2">
        <v>4.6739487999999998</v>
      </c>
      <c r="P959" s="2">
        <v>-74.058205400000006</v>
      </c>
      <c r="Q959" s="2" t="s">
        <v>1742</v>
      </c>
      <c r="R959" s="2">
        <v>13906250</v>
      </c>
      <c r="S959" s="2">
        <v>0</v>
      </c>
      <c r="T959" s="2" t="s">
        <v>26</v>
      </c>
      <c r="U959" s="2" t="s">
        <v>27</v>
      </c>
      <c r="V959" s="2" t="s">
        <v>28</v>
      </c>
      <c r="W959" s="2" t="s">
        <v>29</v>
      </c>
      <c r="X959" s="2" t="s">
        <v>30</v>
      </c>
      <c r="Y959" s="2">
        <v>3.3376311694991498</v>
      </c>
      <c r="Z959" s="2">
        <v>4.6584666666666701</v>
      </c>
      <c r="AA959" s="2">
        <v>-74.083966666666697</v>
      </c>
      <c r="AB959" s="2">
        <v>2552</v>
      </c>
      <c r="AC959" s="2" t="s">
        <v>31</v>
      </c>
      <c r="AD959" s="2" t="s">
        <v>32</v>
      </c>
      <c r="AE959" s="2" t="s">
        <v>33</v>
      </c>
      <c r="AF959" s="2" t="s">
        <v>34</v>
      </c>
      <c r="AG959" s="2" t="s">
        <v>81</v>
      </c>
      <c r="AH959" s="2">
        <v>0.24108155478544499</v>
      </c>
      <c r="AI959" s="2">
        <v>1.7724358611106801</v>
      </c>
      <c r="AJ959" s="2">
        <v>0.67363969124038303</v>
      </c>
      <c r="AK959" s="2">
        <v>9.3748090325472405E-2</v>
      </c>
      <c r="AL959" s="2">
        <v>0.70866592415843499</v>
      </c>
      <c r="AN959" s="2">
        <v>6.8</v>
      </c>
      <c r="AO959" s="2">
        <v>19.899999999999999</v>
      </c>
      <c r="AP959" s="2">
        <v>564</v>
      </c>
      <c r="AQ959" s="2">
        <v>68</v>
      </c>
      <c r="AR959" s="2">
        <v>1.5</v>
      </c>
      <c r="AS959" s="2">
        <v>135</v>
      </c>
      <c r="AT959" s="2">
        <v>0.8</v>
      </c>
      <c r="AU959" s="2">
        <v>162</v>
      </c>
      <c r="AV959" s="2">
        <v>9.1</v>
      </c>
      <c r="AW959" s="2">
        <v>9.1999999999999993</v>
      </c>
      <c r="AX959" s="2">
        <v>18.3</v>
      </c>
      <c r="AY959" s="2">
        <v>0.34</v>
      </c>
      <c r="AZ959" s="2">
        <v>7.3</v>
      </c>
      <c r="BA959" s="2">
        <v>0.9</v>
      </c>
      <c r="BB959" s="2">
        <v>7.5</v>
      </c>
      <c r="BC959" s="2">
        <v>2.9</v>
      </c>
      <c r="BD959" s="2">
        <f>+AN959*EXP(-0.0495*Y959)</f>
        <v>5.7644507114355781</v>
      </c>
      <c r="BE959" s="2">
        <f>+AO959*EXP(-0.024*Y959)</f>
        <v>18.368120559228561</v>
      </c>
    </row>
    <row r="960" spans="1:57" x14ac:dyDescent="0.2">
      <c r="A960" s="2" t="s">
        <v>1470</v>
      </c>
      <c r="B960" s="2" t="s">
        <v>19</v>
      </c>
      <c r="C960" s="2" t="s">
        <v>20</v>
      </c>
      <c r="D960" s="2" t="s">
        <v>21</v>
      </c>
      <c r="E960" s="2" t="s">
        <v>578</v>
      </c>
      <c r="F960" s="2">
        <v>4</v>
      </c>
      <c r="G960" s="2">
        <v>64</v>
      </c>
      <c r="H960" s="2">
        <v>3</v>
      </c>
      <c r="I960" s="2">
        <v>2</v>
      </c>
      <c r="J960" s="2">
        <v>1</v>
      </c>
      <c r="K960" s="2" t="s">
        <v>61</v>
      </c>
      <c r="L960" s="6" t="s">
        <v>62</v>
      </c>
      <c r="M960" s="5">
        <v>375000000</v>
      </c>
      <c r="N960" s="2">
        <v>0</v>
      </c>
      <c r="O960" s="2">
        <v>4.7253540000000003</v>
      </c>
      <c r="P960" s="2">
        <v>-74.136920000000003</v>
      </c>
      <c r="Q960" s="2" t="s">
        <v>1471</v>
      </c>
      <c r="R960" s="2">
        <v>5859375</v>
      </c>
      <c r="S960" s="2">
        <v>0</v>
      </c>
      <c r="T960" s="2" t="s">
        <v>370</v>
      </c>
      <c r="U960" s="2" t="s">
        <v>371</v>
      </c>
      <c r="V960" s="2" t="s">
        <v>28</v>
      </c>
      <c r="W960" s="2" t="s">
        <v>29</v>
      </c>
      <c r="X960" s="2" t="s">
        <v>372</v>
      </c>
      <c r="Y960" s="2">
        <v>1.6885842094722301</v>
      </c>
      <c r="Z960" s="2">
        <v>4.7358055555555598</v>
      </c>
      <c r="AA960" s="2">
        <v>-74.125888888888895</v>
      </c>
      <c r="AB960" s="2">
        <v>2574</v>
      </c>
      <c r="AC960" s="2" t="s">
        <v>105</v>
      </c>
      <c r="AD960" s="2" t="s">
        <v>58</v>
      </c>
      <c r="AE960" s="2" t="s">
        <v>33</v>
      </c>
      <c r="AF960" s="2" t="s">
        <v>34</v>
      </c>
      <c r="AG960" s="2" t="s">
        <v>363</v>
      </c>
      <c r="AH960" s="2">
        <v>3.3942276207154198</v>
      </c>
      <c r="AI960" s="2">
        <v>1.9637720961395699E-4</v>
      </c>
      <c r="AJ960" s="2">
        <v>4.8029493932282996</v>
      </c>
      <c r="AK960" s="2">
        <v>1.1775496887764301</v>
      </c>
      <c r="AL960" s="2">
        <v>0.20224583027502699</v>
      </c>
      <c r="AN960" s="2">
        <v>6.8</v>
      </c>
      <c r="AO960" s="2">
        <v>19.899999999999999</v>
      </c>
      <c r="AP960" s="2">
        <v>564</v>
      </c>
      <c r="AQ960" s="2">
        <v>68</v>
      </c>
      <c r="AR960" s="2">
        <v>1.5</v>
      </c>
      <c r="AS960" s="2">
        <v>135</v>
      </c>
      <c r="AT960" s="2">
        <v>0.8</v>
      </c>
      <c r="AU960" s="2">
        <v>162</v>
      </c>
      <c r="AV960" s="2">
        <v>9.1</v>
      </c>
      <c r="AW960" s="2">
        <v>9.1999999999999993</v>
      </c>
      <c r="AX960" s="2">
        <v>18.3</v>
      </c>
      <c r="AY960" s="2">
        <v>0.34</v>
      </c>
      <c r="AZ960" s="2">
        <v>7.3</v>
      </c>
      <c r="BA960" s="2">
        <v>0.9</v>
      </c>
      <c r="BB960" s="2">
        <v>7.5</v>
      </c>
      <c r="BC960" s="2">
        <v>2.9</v>
      </c>
      <c r="BD960" s="2">
        <f>+AN960*EXP(-0.0495*Y960)</f>
        <v>6.2547282254932748</v>
      </c>
      <c r="BE960" s="2">
        <f>+AO960*EXP(-0.024*Y960)</f>
        <v>19.109655114449478</v>
      </c>
    </row>
    <row r="961" spans="1:57" x14ac:dyDescent="0.2">
      <c r="A961" s="2" t="s">
        <v>829</v>
      </c>
      <c r="B961" s="2" t="s">
        <v>19</v>
      </c>
      <c r="C961" s="2" t="s">
        <v>20</v>
      </c>
      <c r="D961" s="2" t="s">
        <v>21</v>
      </c>
      <c r="E961" s="2" t="s">
        <v>830</v>
      </c>
      <c r="F961" s="2">
        <v>3</v>
      </c>
      <c r="G961" s="2">
        <v>63</v>
      </c>
      <c r="H961" s="2">
        <v>2</v>
      </c>
      <c r="I961" s="2">
        <v>2</v>
      </c>
      <c r="J961" s="2">
        <v>0</v>
      </c>
      <c r="K961" s="2" t="s">
        <v>61</v>
      </c>
      <c r="L961" s="6" t="s">
        <v>62</v>
      </c>
      <c r="M961" s="5">
        <v>350000000</v>
      </c>
      <c r="N961" s="2">
        <v>0</v>
      </c>
      <c r="O961" s="2">
        <v>4.6086499999999999</v>
      </c>
      <c r="P961" s="2">
        <v>-74.081680000000006</v>
      </c>
      <c r="Q961" s="2" t="s">
        <v>831</v>
      </c>
      <c r="R961" s="2">
        <v>5555555.5559999999</v>
      </c>
      <c r="S961" s="2">
        <v>0</v>
      </c>
      <c r="T961" s="2" t="s">
        <v>77</v>
      </c>
      <c r="U961" s="2" t="s">
        <v>78</v>
      </c>
      <c r="V961" s="2" t="s">
        <v>28</v>
      </c>
      <c r="W961" s="2" t="s">
        <v>79</v>
      </c>
      <c r="X961" s="2" t="s">
        <v>80</v>
      </c>
      <c r="Y961" s="2">
        <v>2.48451596007197</v>
      </c>
      <c r="Z961" s="2">
        <v>4.6254861111111101</v>
      </c>
      <c r="AA961" s="2">
        <v>-74.066980555555503</v>
      </c>
      <c r="AB961" s="2">
        <v>2621</v>
      </c>
      <c r="AC961" s="2" t="s">
        <v>31</v>
      </c>
      <c r="AD961" s="2" t="s">
        <v>32</v>
      </c>
      <c r="AE961" s="2" t="s">
        <v>33</v>
      </c>
      <c r="AF961" s="2" t="s">
        <v>34</v>
      </c>
      <c r="AG961" s="2" t="s">
        <v>259</v>
      </c>
      <c r="AH961" s="2">
        <v>0.35762459129743401</v>
      </c>
      <c r="AI961" s="2">
        <v>1.8642664305018499</v>
      </c>
      <c r="AJ961" s="2">
        <v>0.32271100014502002</v>
      </c>
      <c r="AK961" s="2">
        <v>0.16582221493598401</v>
      </c>
      <c r="AL961" s="2">
        <v>0.38297430926319898</v>
      </c>
      <c r="AN961" s="2">
        <v>6.8</v>
      </c>
      <c r="AO961" s="2">
        <v>19.899999999999999</v>
      </c>
      <c r="AP961" s="2">
        <v>564</v>
      </c>
      <c r="AQ961" s="2">
        <v>68</v>
      </c>
      <c r="AR961" s="2">
        <v>1.5</v>
      </c>
      <c r="AS961" s="2">
        <v>135</v>
      </c>
      <c r="AT961" s="2">
        <v>0.8</v>
      </c>
      <c r="AU961" s="2">
        <v>162</v>
      </c>
      <c r="AV961" s="2">
        <v>9.1</v>
      </c>
      <c r="AW961" s="2">
        <v>9.1999999999999993</v>
      </c>
      <c r="AX961" s="2">
        <v>18.3</v>
      </c>
      <c r="AY961" s="2">
        <v>0.34</v>
      </c>
      <c r="AZ961" s="2">
        <v>7.3</v>
      </c>
      <c r="BA961" s="2">
        <v>0.9</v>
      </c>
      <c r="BB961" s="2">
        <v>7.5</v>
      </c>
      <c r="BC961" s="2">
        <v>2.9</v>
      </c>
      <c r="BD961" s="2">
        <f>+AN961*EXP(-0.0495*Y961)</f>
        <v>6.0130918799496804</v>
      </c>
      <c r="BE961" s="2">
        <f>+AO961*EXP(-0.024*Y961)</f>
        <v>18.748080028413419</v>
      </c>
    </row>
    <row r="962" spans="1:57" x14ac:dyDescent="0.2">
      <c r="A962" s="2" t="s">
        <v>589</v>
      </c>
      <c r="B962" s="2" t="s">
        <v>19</v>
      </c>
      <c r="C962" s="2" t="s">
        <v>20</v>
      </c>
      <c r="D962" s="2" t="s">
        <v>21</v>
      </c>
      <c r="E962" s="2" t="s">
        <v>590</v>
      </c>
      <c r="F962" s="2">
        <v>4</v>
      </c>
      <c r="G962" s="2">
        <v>62.11</v>
      </c>
      <c r="H962" s="2">
        <v>2</v>
      </c>
      <c r="I962" s="2">
        <v>2</v>
      </c>
      <c r="J962" s="2">
        <v>1</v>
      </c>
      <c r="K962" s="2" t="s">
        <v>23</v>
      </c>
      <c r="L962" s="6" t="s">
        <v>24</v>
      </c>
      <c r="M962" s="5">
        <v>653742000</v>
      </c>
      <c r="N962" s="2">
        <v>0</v>
      </c>
      <c r="O962" s="2">
        <v>4.6610316999999997</v>
      </c>
      <c r="P962" s="2">
        <v>-74.079445000000007</v>
      </c>
      <c r="Q962" s="2" t="s">
        <v>591</v>
      </c>
      <c r="R962" s="2">
        <v>10525551.439999999</v>
      </c>
      <c r="S962" s="2">
        <v>0</v>
      </c>
      <c r="T962" s="2" t="s">
        <v>26</v>
      </c>
      <c r="U962" s="2" t="s">
        <v>27</v>
      </c>
      <c r="V962" s="2" t="s">
        <v>28</v>
      </c>
      <c r="W962" s="2" t="s">
        <v>29</v>
      </c>
      <c r="X962" s="2" t="s">
        <v>30</v>
      </c>
      <c r="Y962" s="2">
        <v>0.57725282118917798</v>
      </c>
      <c r="Z962" s="2">
        <v>4.6584666666666701</v>
      </c>
      <c r="AA962" s="2">
        <v>-74.083966666666697</v>
      </c>
      <c r="AB962" s="2">
        <v>2552</v>
      </c>
      <c r="AC962" s="2" t="s">
        <v>31</v>
      </c>
      <c r="AD962" s="2" t="s">
        <v>32</v>
      </c>
      <c r="AE962" s="2" t="s">
        <v>33</v>
      </c>
      <c r="AF962" s="2" t="s">
        <v>34</v>
      </c>
      <c r="AG962" s="2" t="s">
        <v>293</v>
      </c>
      <c r="AH962" s="2">
        <v>0.45664851021150199</v>
      </c>
      <c r="AI962" s="2">
        <v>3.2906681362303898</v>
      </c>
      <c r="AJ962" s="2">
        <v>1.2641850056572299</v>
      </c>
      <c r="AK962" s="2">
        <v>0.10222706298203101</v>
      </c>
      <c r="AL962" s="2">
        <v>0.20029136224211999</v>
      </c>
      <c r="AN962" s="2">
        <v>6.8</v>
      </c>
      <c r="AO962" s="2">
        <v>19.899999999999999</v>
      </c>
      <c r="AP962" s="2">
        <v>564</v>
      </c>
      <c r="AQ962" s="2">
        <v>68</v>
      </c>
      <c r="AR962" s="2">
        <v>1.5</v>
      </c>
      <c r="AS962" s="2">
        <v>135</v>
      </c>
      <c r="AT962" s="2">
        <v>0.8</v>
      </c>
      <c r="AU962" s="2">
        <v>162</v>
      </c>
      <c r="AV962" s="2">
        <v>9.1</v>
      </c>
      <c r="AW962" s="2">
        <v>9.1999999999999993</v>
      </c>
      <c r="AX962" s="2">
        <v>18.3</v>
      </c>
      <c r="AY962" s="2">
        <v>0.34</v>
      </c>
      <c r="AZ962" s="2">
        <v>7.3</v>
      </c>
      <c r="BA962" s="2">
        <v>0.9</v>
      </c>
      <c r="BB962" s="2">
        <v>7.5</v>
      </c>
      <c r="BC962" s="2">
        <v>2.9</v>
      </c>
      <c r="BD962" s="2">
        <f>+AN962*EXP(-0.0495*Y962)</f>
        <v>6.6084464602478965</v>
      </c>
      <c r="BE962" s="2">
        <f>+AO962*EXP(-0.024*Y962)</f>
        <v>19.626205018930062</v>
      </c>
    </row>
    <row r="963" spans="1:57" x14ac:dyDescent="0.2">
      <c r="A963" s="2" t="s">
        <v>2059</v>
      </c>
      <c r="B963" s="2" t="s">
        <v>19</v>
      </c>
      <c r="C963" s="2" t="s">
        <v>1907</v>
      </c>
      <c r="D963" s="2" t="s">
        <v>21</v>
      </c>
      <c r="E963" s="2" t="s">
        <v>2060</v>
      </c>
      <c r="F963" s="2">
        <v>2</v>
      </c>
      <c r="G963" s="2">
        <v>62</v>
      </c>
      <c r="H963" s="2">
        <v>3</v>
      </c>
      <c r="I963" s="2">
        <v>1</v>
      </c>
      <c r="J963" s="2">
        <v>1</v>
      </c>
      <c r="K963" s="2" t="s">
        <v>61</v>
      </c>
      <c r="L963" s="6" t="s">
        <v>66</v>
      </c>
      <c r="M963" s="5">
        <v>217500000</v>
      </c>
      <c r="N963" s="2">
        <v>0</v>
      </c>
      <c r="O963" s="2">
        <v>4.6370797159999997</v>
      </c>
      <c r="P963" s="2">
        <v>-74.203933719999995</v>
      </c>
      <c r="Q963" s="2" t="s">
        <v>2061</v>
      </c>
      <c r="R963" s="2">
        <v>3508064.5159999998</v>
      </c>
      <c r="S963" s="2">
        <v>0</v>
      </c>
      <c r="T963" s="2" t="s">
        <v>316</v>
      </c>
      <c r="U963" s="2" t="s">
        <v>317</v>
      </c>
      <c r="V963" s="2" t="s">
        <v>28</v>
      </c>
      <c r="W963" s="2" t="s">
        <v>316</v>
      </c>
      <c r="X963" s="2" t="s">
        <v>318</v>
      </c>
      <c r="Y963" s="2">
        <v>3.5030951566597901</v>
      </c>
      <c r="Z963" s="2">
        <v>4.6056111111111102</v>
      </c>
      <c r="AA963" s="2">
        <v>-74.204055555555598</v>
      </c>
      <c r="AB963" s="2">
        <v>2546</v>
      </c>
      <c r="AC963" s="2" t="s">
        <v>31</v>
      </c>
      <c r="AD963" s="2" t="s">
        <v>58</v>
      </c>
      <c r="AE963" s="2" t="s">
        <v>33</v>
      </c>
      <c r="AF963" s="2" t="s">
        <v>34</v>
      </c>
      <c r="AG963" s="2" t="s">
        <v>319</v>
      </c>
      <c r="AH963" s="2">
        <v>3.52798299806516</v>
      </c>
      <c r="AI963" s="2">
        <v>0.40399609428759398</v>
      </c>
      <c r="AJ963" s="2">
        <v>8.7301386221269794</v>
      </c>
      <c r="AK963" s="2">
        <v>1.3687663392293099</v>
      </c>
      <c r="AL963" s="2">
        <v>0.21039229314439101</v>
      </c>
      <c r="AN963" s="2">
        <v>6.8</v>
      </c>
      <c r="AO963" s="2">
        <v>19.899999999999999</v>
      </c>
      <c r="AP963" s="2">
        <v>564</v>
      </c>
      <c r="AQ963" s="2">
        <v>68</v>
      </c>
      <c r="AR963" s="2">
        <v>1.5</v>
      </c>
      <c r="AS963" s="2">
        <v>135</v>
      </c>
      <c r="AT963" s="2">
        <v>0.8</v>
      </c>
      <c r="AU963" s="2">
        <v>162</v>
      </c>
      <c r="AV963" s="2">
        <v>9.1</v>
      </c>
      <c r="AW963" s="2">
        <v>9.1999999999999993</v>
      </c>
      <c r="AX963" s="2">
        <v>18.3</v>
      </c>
      <c r="AY963" s="2">
        <v>0.34</v>
      </c>
      <c r="AZ963" s="2">
        <v>7.3</v>
      </c>
      <c r="BA963" s="2">
        <v>0.9</v>
      </c>
      <c r="BB963" s="2">
        <v>7.5</v>
      </c>
      <c r="BC963" s="2">
        <v>2.9</v>
      </c>
      <c r="BD963" s="2">
        <f>+AN963*EXP(-0.0495*Y963)</f>
        <v>5.7174299897131915</v>
      </c>
      <c r="BE963" s="2">
        <f>+AO963*EXP(-0.024*Y963)</f>
        <v>18.295322900441789</v>
      </c>
    </row>
    <row r="964" spans="1:57" x14ac:dyDescent="0.2">
      <c r="A964" s="2" t="s">
        <v>1896</v>
      </c>
      <c r="B964" s="2" t="s">
        <v>19</v>
      </c>
      <c r="C964" s="2" t="s">
        <v>20</v>
      </c>
      <c r="D964" s="2" t="s">
        <v>21</v>
      </c>
      <c r="E964" s="2" t="s">
        <v>1897</v>
      </c>
      <c r="F964" s="2">
        <v>3</v>
      </c>
      <c r="G964" s="2">
        <v>61.1</v>
      </c>
      <c r="H964" s="2">
        <v>3</v>
      </c>
      <c r="I964" s="2">
        <v>2</v>
      </c>
      <c r="J964" s="2">
        <v>1</v>
      </c>
      <c r="K964" s="2" t="s">
        <v>61</v>
      </c>
      <c r="L964" s="6" t="s">
        <v>84</v>
      </c>
      <c r="M964" s="5">
        <v>450000000</v>
      </c>
      <c r="N964" s="2">
        <v>0</v>
      </c>
      <c r="O964" s="2">
        <v>4.5830317000000003</v>
      </c>
      <c r="P964" s="2">
        <v>-74.106765999999993</v>
      </c>
      <c r="Q964" s="2" t="s">
        <v>1898</v>
      </c>
      <c r="R964" s="2">
        <v>7364975.4500000002</v>
      </c>
      <c r="S964" s="2">
        <v>0</v>
      </c>
      <c r="T964" s="2" t="s">
        <v>1794</v>
      </c>
      <c r="U964" s="2" t="s">
        <v>1795</v>
      </c>
      <c r="V964" s="2" t="s">
        <v>28</v>
      </c>
      <c r="W964" s="2" t="s">
        <v>1796</v>
      </c>
      <c r="X964" s="2" t="s">
        <v>1797</v>
      </c>
      <c r="Y964" s="2">
        <v>2.7890707843126599</v>
      </c>
      <c r="Z964" s="2">
        <v>4.576225</v>
      </c>
      <c r="AA964" s="2">
        <v>-74.130955555555502</v>
      </c>
      <c r="AB964" s="2">
        <v>2589</v>
      </c>
      <c r="AC964" s="2" t="s">
        <v>31</v>
      </c>
      <c r="AD964" s="2" t="s">
        <v>58</v>
      </c>
      <c r="AE964" s="2" t="s">
        <v>33</v>
      </c>
      <c r="AF964" s="2" t="s">
        <v>34</v>
      </c>
      <c r="AG964" s="2" t="s">
        <v>1798</v>
      </c>
      <c r="AH964" s="2">
        <v>0.45973561100576399</v>
      </c>
      <c r="AI964" s="2">
        <v>3.6811992342224</v>
      </c>
      <c r="AJ964" s="2">
        <v>1.1017488822404999</v>
      </c>
      <c r="AK964" s="2">
        <v>2.7552197718070499E-2</v>
      </c>
      <c r="AL964" s="2">
        <v>0.212413813968967</v>
      </c>
      <c r="AN964" s="2">
        <v>6.8</v>
      </c>
      <c r="AO964" s="2">
        <v>19.899999999999999</v>
      </c>
      <c r="AP964" s="2">
        <v>564</v>
      </c>
      <c r="AQ964" s="2">
        <v>68</v>
      </c>
      <c r="AR964" s="2">
        <v>1.5</v>
      </c>
      <c r="AS964" s="2">
        <v>135</v>
      </c>
      <c r="AT964" s="2">
        <v>0.8</v>
      </c>
      <c r="AU964" s="2">
        <v>162</v>
      </c>
      <c r="AV964" s="2">
        <v>9.1</v>
      </c>
      <c r="AW964" s="2">
        <v>9.1999999999999993</v>
      </c>
      <c r="AX964" s="2">
        <v>18.3</v>
      </c>
      <c r="AY964" s="2">
        <v>0.34</v>
      </c>
      <c r="AZ964" s="2">
        <v>7.3</v>
      </c>
      <c r="BA964" s="2">
        <v>0.9</v>
      </c>
      <c r="BB964" s="2">
        <v>7.5</v>
      </c>
      <c r="BC964" s="2">
        <v>2.9</v>
      </c>
      <c r="BD964" s="2">
        <f>+AN964*EXP(-0.0495*Y964)</f>
        <v>5.9231216067389809</v>
      </c>
      <c r="BE964" s="2">
        <f>+AO964*EXP(-0.024*Y964)</f>
        <v>18.611543991569924</v>
      </c>
    </row>
    <row r="965" spans="1:57" x14ac:dyDescent="0.2">
      <c r="A965" s="2" t="s">
        <v>1519</v>
      </c>
      <c r="B965" s="2" t="s">
        <v>19</v>
      </c>
      <c r="C965" s="2" t="s">
        <v>20</v>
      </c>
      <c r="D965" s="2" t="s">
        <v>21</v>
      </c>
      <c r="E965" s="2" t="s">
        <v>1520</v>
      </c>
      <c r="F965" s="2">
        <v>3</v>
      </c>
      <c r="G965" s="2">
        <v>61</v>
      </c>
      <c r="H965" s="2">
        <v>3</v>
      </c>
      <c r="I965" s="2">
        <v>1</v>
      </c>
      <c r="J965" s="2">
        <v>0</v>
      </c>
      <c r="K965" s="2" t="s">
        <v>61</v>
      </c>
      <c r="L965" s="6" t="s">
        <v>113</v>
      </c>
      <c r="M965" s="5">
        <v>252000000</v>
      </c>
      <c r="N965" s="2">
        <v>0</v>
      </c>
      <c r="O965" s="2">
        <v>4.7004346999999997</v>
      </c>
      <c r="P965" s="2">
        <v>-74.103510700000001</v>
      </c>
      <c r="Q965" s="2" t="s">
        <v>1521</v>
      </c>
      <c r="R965" s="2">
        <v>4131147.5410000002</v>
      </c>
      <c r="S965" s="2">
        <v>0</v>
      </c>
      <c r="T965" s="2" t="s">
        <v>370</v>
      </c>
      <c r="U965" s="2" t="s">
        <v>371</v>
      </c>
      <c r="V965" s="2" t="s">
        <v>28</v>
      </c>
      <c r="W965" s="2" t="s">
        <v>29</v>
      </c>
      <c r="X965" s="2" t="s">
        <v>372</v>
      </c>
      <c r="Y965" s="2">
        <v>4.6548223569720104</v>
      </c>
      <c r="Z965" s="2">
        <v>4.7358055555555598</v>
      </c>
      <c r="AA965" s="2">
        <v>-74.125888888888895</v>
      </c>
      <c r="AB965" s="2">
        <v>2574</v>
      </c>
      <c r="AC965" s="2" t="s">
        <v>105</v>
      </c>
      <c r="AD965" s="2" t="s">
        <v>58</v>
      </c>
      <c r="AE965" s="2" t="s">
        <v>33</v>
      </c>
      <c r="AF965" s="2" t="s">
        <v>34</v>
      </c>
      <c r="AG965" s="2" t="s">
        <v>363</v>
      </c>
      <c r="AH965" s="2">
        <v>0.42283370627616101</v>
      </c>
      <c r="AI965" s="2">
        <v>3.6984265297315</v>
      </c>
      <c r="AJ965" s="2">
        <v>1.00567422158655</v>
      </c>
      <c r="AK965" s="2">
        <v>0.16941719561217</v>
      </c>
      <c r="AL965" s="2">
        <v>9.9334717059814295E-2</v>
      </c>
      <c r="AN965" s="2">
        <v>6.8</v>
      </c>
      <c r="AO965" s="2">
        <v>19.899999999999999</v>
      </c>
      <c r="AP965" s="2">
        <v>564</v>
      </c>
      <c r="AQ965" s="2">
        <v>68</v>
      </c>
      <c r="AR965" s="2">
        <v>1.5</v>
      </c>
      <c r="AS965" s="2">
        <v>135</v>
      </c>
      <c r="AT965" s="2">
        <v>0.8</v>
      </c>
      <c r="AU965" s="2">
        <v>162</v>
      </c>
      <c r="AV965" s="2">
        <v>9.1</v>
      </c>
      <c r="AW965" s="2">
        <v>9.1999999999999993</v>
      </c>
      <c r="AX965" s="2">
        <v>18.3</v>
      </c>
      <c r="AY965" s="2">
        <v>0.34</v>
      </c>
      <c r="AZ965" s="2">
        <v>7.3</v>
      </c>
      <c r="BA965" s="2">
        <v>0.9</v>
      </c>
      <c r="BB965" s="2">
        <v>7.5</v>
      </c>
      <c r="BC965" s="2">
        <v>2.9</v>
      </c>
      <c r="BD965" s="2">
        <f>+AN965*EXP(-0.0495*Y965)</f>
        <v>5.4005937731279321</v>
      </c>
      <c r="BE965" s="2">
        <f>+AO965*EXP(-0.024*Y965)</f>
        <v>17.796538910534736</v>
      </c>
    </row>
    <row r="966" spans="1:57" x14ac:dyDescent="0.2">
      <c r="A966" s="2" t="s">
        <v>733</v>
      </c>
      <c r="B966" s="2" t="s">
        <v>19</v>
      </c>
      <c r="C966" s="2" t="s">
        <v>20</v>
      </c>
      <c r="D966" s="2" t="s">
        <v>21</v>
      </c>
      <c r="E966" s="2" t="s">
        <v>578</v>
      </c>
      <c r="F966" s="2">
        <v>4</v>
      </c>
      <c r="G966" s="2">
        <v>60</v>
      </c>
      <c r="H966" s="2">
        <v>3</v>
      </c>
      <c r="I966" s="2">
        <v>2</v>
      </c>
      <c r="J966" s="2">
        <v>1</v>
      </c>
      <c r="K966" s="2" t="s">
        <v>61</v>
      </c>
      <c r="L966" s="6" t="s">
        <v>75</v>
      </c>
      <c r="M966" s="5">
        <v>365000000</v>
      </c>
      <c r="N966" s="2">
        <v>0</v>
      </c>
      <c r="O966" s="2">
        <v>4.7238850000000001</v>
      </c>
      <c r="P966" s="2">
        <v>-74.135409999999993</v>
      </c>
      <c r="Q966" s="2" t="s">
        <v>734</v>
      </c>
      <c r="R966" s="2">
        <v>6083333.3329999996</v>
      </c>
      <c r="S966" s="2">
        <v>0</v>
      </c>
      <c r="T966" s="2" t="s">
        <v>370</v>
      </c>
      <c r="U966" s="2" t="s">
        <v>371</v>
      </c>
      <c r="V966" s="2" t="s">
        <v>28</v>
      </c>
      <c r="W966" s="2" t="s">
        <v>29</v>
      </c>
      <c r="X966" s="2" t="s">
        <v>372</v>
      </c>
      <c r="Y966" s="2">
        <v>1.6960606252019801</v>
      </c>
      <c r="Z966" s="2">
        <v>4.7358055555555598</v>
      </c>
      <c r="AA966" s="2">
        <v>-74.125888888888895</v>
      </c>
      <c r="AB966" s="2">
        <v>2574</v>
      </c>
      <c r="AC966" s="2" t="s">
        <v>105</v>
      </c>
      <c r="AD966" s="2" t="s">
        <v>58</v>
      </c>
      <c r="AE966" s="2" t="s">
        <v>33</v>
      </c>
      <c r="AF966" s="2" t="s">
        <v>34</v>
      </c>
      <c r="AG966" s="2" t="s">
        <v>363</v>
      </c>
      <c r="AH966" s="2">
        <v>3.1681919057910002</v>
      </c>
      <c r="AI966" s="2">
        <v>0.14952021408591001</v>
      </c>
      <c r="AJ966" s="2">
        <v>4.6187367411590401</v>
      </c>
      <c r="AK966" s="2">
        <v>1.10034249273394</v>
      </c>
      <c r="AL966" s="2">
        <v>2.8256375527836502E-4</v>
      </c>
      <c r="AN966" s="2">
        <v>6.8</v>
      </c>
      <c r="AO966" s="2">
        <v>19.899999999999999</v>
      </c>
      <c r="AP966" s="2">
        <v>564</v>
      </c>
      <c r="AQ966" s="2">
        <v>68</v>
      </c>
      <c r="AR966" s="2">
        <v>1.5</v>
      </c>
      <c r="AS966" s="2">
        <v>135</v>
      </c>
      <c r="AT966" s="2">
        <v>0.8</v>
      </c>
      <c r="AU966" s="2">
        <v>162</v>
      </c>
      <c r="AV966" s="2">
        <v>9.1</v>
      </c>
      <c r="AW966" s="2">
        <v>9.1999999999999993</v>
      </c>
      <c r="AX966" s="2">
        <v>18.3</v>
      </c>
      <c r="AY966" s="2">
        <v>0.34</v>
      </c>
      <c r="AZ966" s="2">
        <v>7.3</v>
      </c>
      <c r="BA966" s="2">
        <v>0.9</v>
      </c>
      <c r="BB966" s="2">
        <v>7.5</v>
      </c>
      <c r="BC966" s="2">
        <v>2.9</v>
      </c>
      <c r="BD966" s="2">
        <f>+AN966*EXP(-0.0495*Y966)</f>
        <v>6.2524138878174425</v>
      </c>
      <c r="BE966" s="2">
        <f>+AO966*EXP(-0.024*Y966)</f>
        <v>19.106226500637479</v>
      </c>
    </row>
    <row r="967" spans="1:57" x14ac:dyDescent="0.2">
      <c r="A967" s="2" t="s">
        <v>3726</v>
      </c>
      <c r="B967" s="2" t="s">
        <v>19</v>
      </c>
      <c r="C967" s="2" t="s">
        <v>3245</v>
      </c>
      <c r="D967" s="2" t="s">
        <v>21</v>
      </c>
      <c r="E967" s="2" t="s">
        <v>3727</v>
      </c>
      <c r="F967" s="2">
        <v>4</v>
      </c>
      <c r="G967" s="2">
        <v>60</v>
      </c>
      <c r="H967" s="2">
        <v>1</v>
      </c>
      <c r="I967" s="2">
        <v>1</v>
      </c>
      <c r="J967" s="2">
        <v>1</v>
      </c>
      <c r="K967" s="2" t="s">
        <v>61</v>
      </c>
      <c r="L967" s="6" t="s">
        <v>62</v>
      </c>
      <c r="M967" s="5">
        <v>460000000</v>
      </c>
      <c r="N967" s="2">
        <v>0</v>
      </c>
      <c r="O967" s="2">
        <v>4.6175572540000003</v>
      </c>
      <c r="P967" s="2">
        <v>-74.071901909999994</v>
      </c>
      <c r="Q967" s="2" t="s">
        <v>3728</v>
      </c>
      <c r="R967" s="2">
        <v>7666666.6670000004</v>
      </c>
      <c r="S967" s="2">
        <v>0</v>
      </c>
      <c r="T967" s="2" t="s">
        <v>77</v>
      </c>
      <c r="U967" s="2" t="s">
        <v>78</v>
      </c>
      <c r="V967" s="2" t="s">
        <v>28</v>
      </c>
      <c r="W967" s="2" t="s">
        <v>79</v>
      </c>
      <c r="X967" s="2" t="s">
        <v>80</v>
      </c>
      <c r="Y967" s="2">
        <v>1.0378969218954901</v>
      </c>
      <c r="Z967" s="2">
        <v>4.6254861111111101</v>
      </c>
      <c r="AA967" s="2">
        <v>-74.066980555555503</v>
      </c>
      <c r="AB967" s="2">
        <v>2621</v>
      </c>
      <c r="AC967" s="2" t="s">
        <v>31</v>
      </c>
      <c r="AD967" s="2" t="s">
        <v>32</v>
      </c>
      <c r="AE967" s="2" t="s">
        <v>33</v>
      </c>
      <c r="AF967" s="2" t="s">
        <v>34</v>
      </c>
      <c r="AG967" s="2" t="s">
        <v>35</v>
      </c>
      <c r="AH967" s="2">
        <v>0.104056147026878</v>
      </c>
      <c r="AI967" s="2">
        <v>0.94633565444950896</v>
      </c>
      <c r="AJ967" s="2">
        <v>0.37694739972798702</v>
      </c>
      <c r="AK967" s="2">
        <v>9.9083696830319701E-2</v>
      </c>
      <c r="AL967" s="2">
        <v>0.32359837421005899</v>
      </c>
      <c r="AN967" s="2">
        <v>6.8</v>
      </c>
      <c r="AO967" s="2">
        <v>19.899999999999999</v>
      </c>
      <c r="AP967" s="2">
        <v>564</v>
      </c>
      <c r="AQ967" s="2">
        <v>68</v>
      </c>
      <c r="AR967" s="2">
        <v>1.5</v>
      </c>
      <c r="AS967" s="2">
        <v>135</v>
      </c>
      <c r="AT967" s="2">
        <v>0.8</v>
      </c>
      <c r="AU967" s="2">
        <v>162</v>
      </c>
      <c r="AV967" s="2">
        <v>9.1</v>
      </c>
      <c r="AW967" s="2">
        <v>9.1999999999999993</v>
      </c>
      <c r="AX967" s="2">
        <v>18.3</v>
      </c>
      <c r="AY967" s="2">
        <v>0.34</v>
      </c>
      <c r="AZ967" s="2">
        <v>7.3</v>
      </c>
      <c r="BA967" s="2">
        <v>0.9</v>
      </c>
      <c r="BB967" s="2">
        <v>7.5</v>
      </c>
      <c r="BC967" s="2">
        <v>2.9</v>
      </c>
      <c r="BD967" s="2">
        <f>+AN967*EXP(-0.0495*Y967)</f>
        <v>6.4594664050676958</v>
      </c>
      <c r="BE967" s="2">
        <f>+AO967*EXP(-0.024*Y967)</f>
        <v>19.41042330612634</v>
      </c>
    </row>
    <row r="968" spans="1:57" x14ac:dyDescent="0.2">
      <c r="A968" s="2" t="s">
        <v>2749</v>
      </c>
      <c r="B968" s="2" t="s">
        <v>19</v>
      </c>
      <c r="C968" s="2" t="s">
        <v>1907</v>
      </c>
      <c r="D968" s="2" t="s">
        <v>21</v>
      </c>
      <c r="E968" s="2" t="s">
        <v>2750</v>
      </c>
      <c r="F968" s="2">
        <v>2</v>
      </c>
      <c r="G968" s="2">
        <v>60</v>
      </c>
      <c r="H968" s="2">
        <v>4</v>
      </c>
      <c r="I968" s="2">
        <v>2</v>
      </c>
      <c r="J968" s="2">
        <v>0</v>
      </c>
      <c r="K968" s="2" t="s">
        <v>61</v>
      </c>
      <c r="L968" s="6" t="s">
        <v>66</v>
      </c>
      <c r="M968" s="5">
        <v>205000000</v>
      </c>
      <c r="N968" s="2">
        <v>0</v>
      </c>
      <c r="O968" s="2">
        <v>4.6355040000000001</v>
      </c>
      <c r="P968" s="2">
        <v>-74.201589999999996</v>
      </c>
      <c r="Q968" s="2" t="s">
        <v>2751</v>
      </c>
      <c r="R968" s="2">
        <v>3416666.6669999999</v>
      </c>
      <c r="S968" s="2">
        <v>0</v>
      </c>
      <c r="T968" s="2" t="s">
        <v>316</v>
      </c>
      <c r="U968" s="2" t="s">
        <v>317</v>
      </c>
      <c r="V968" s="2" t="s">
        <v>28</v>
      </c>
      <c r="W968" s="2" t="s">
        <v>316</v>
      </c>
      <c r="X968" s="2" t="s">
        <v>318</v>
      </c>
      <c r="Y968" s="2">
        <v>3.3388876455728398</v>
      </c>
      <c r="Z968" s="2">
        <v>4.6056111111111102</v>
      </c>
      <c r="AA968" s="2">
        <v>-74.204055555555598</v>
      </c>
      <c r="AB968" s="2">
        <v>2546</v>
      </c>
      <c r="AC968" s="2" t="s">
        <v>31</v>
      </c>
      <c r="AD968" s="2" t="s">
        <v>58</v>
      </c>
      <c r="AE968" s="2" t="s">
        <v>33</v>
      </c>
      <c r="AF968" s="2" t="s">
        <v>34</v>
      </c>
      <c r="AG968" s="2" t="s">
        <v>319</v>
      </c>
      <c r="AH968" s="2">
        <v>3.2355045854545801</v>
      </c>
      <c r="AI968" s="2">
        <v>0.68622690248794005</v>
      </c>
      <c r="AJ968" s="2">
        <v>8.4172963333119704</v>
      </c>
      <c r="AK968" s="2">
        <v>1.05592169966198</v>
      </c>
      <c r="AL968" s="2">
        <v>6.1786375415830701E-2</v>
      </c>
      <c r="AN968" s="2">
        <v>6.8</v>
      </c>
      <c r="AO968" s="2">
        <v>19.899999999999999</v>
      </c>
      <c r="AP968" s="2">
        <v>564</v>
      </c>
      <c r="AQ968" s="2">
        <v>68</v>
      </c>
      <c r="AR968" s="2">
        <v>1.5</v>
      </c>
      <c r="AS968" s="2">
        <v>135</v>
      </c>
      <c r="AT968" s="2">
        <v>0.8</v>
      </c>
      <c r="AU968" s="2">
        <v>162</v>
      </c>
      <c r="AV968" s="2">
        <v>9.1</v>
      </c>
      <c r="AW968" s="2">
        <v>9.1999999999999993</v>
      </c>
      <c r="AX968" s="2">
        <v>18.3</v>
      </c>
      <c r="AY968" s="2">
        <v>0.34</v>
      </c>
      <c r="AZ968" s="2">
        <v>7.3</v>
      </c>
      <c r="BA968" s="2">
        <v>0.9</v>
      </c>
      <c r="BB968" s="2">
        <v>7.5</v>
      </c>
      <c r="BC968" s="2">
        <v>2.9</v>
      </c>
      <c r="BD968" s="2">
        <f>+AN968*EXP(-0.0495*Y968)</f>
        <v>5.7640921993119809</v>
      </c>
      <c r="BE968" s="2">
        <f>+AO968*EXP(-0.024*Y968)</f>
        <v>18.367566669083967</v>
      </c>
    </row>
    <row r="969" spans="1:57" x14ac:dyDescent="0.2">
      <c r="A969" s="2" t="s">
        <v>577</v>
      </c>
      <c r="B969" s="2" t="s">
        <v>19</v>
      </c>
      <c r="C969" s="2" t="s">
        <v>20</v>
      </c>
      <c r="D969" s="2" t="s">
        <v>21</v>
      </c>
      <c r="E969" s="2" t="s">
        <v>578</v>
      </c>
      <c r="F969" s="2">
        <v>4</v>
      </c>
      <c r="G969" s="2">
        <v>59</v>
      </c>
      <c r="H969" s="2">
        <v>3</v>
      </c>
      <c r="I969" s="2">
        <v>2</v>
      </c>
      <c r="J969" s="2">
        <v>1</v>
      </c>
      <c r="K969" s="2" t="s">
        <v>61</v>
      </c>
      <c r="L969" s="6" t="s">
        <v>75</v>
      </c>
      <c r="M969" s="5">
        <v>330000000</v>
      </c>
      <c r="N969" s="2">
        <v>0</v>
      </c>
      <c r="O969" s="2">
        <v>4.7226195000000004</v>
      </c>
      <c r="P969" s="2">
        <v>-74.132869999999997</v>
      </c>
      <c r="Q969" s="2" t="s">
        <v>579</v>
      </c>
      <c r="R969" s="2">
        <v>5593220.3389999997</v>
      </c>
      <c r="S969" s="2">
        <v>0</v>
      </c>
      <c r="T969" s="2" t="s">
        <v>370</v>
      </c>
      <c r="U969" s="2" t="s">
        <v>371</v>
      </c>
      <c r="V969" s="2" t="s">
        <v>28</v>
      </c>
      <c r="W969" s="2" t="s">
        <v>29</v>
      </c>
      <c r="X969" s="2" t="s">
        <v>372</v>
      </c>
      <c r="Y969" s="2">
        <v>1.6596563612541799</v>
      </c>
      <c r="Z969" s="2">
        <v>4.7358055555555598</v>
      </c>
      <c r="AA969" s="2">
        <v>-74.125888888888895</v>
      </c>
      <c r="AB969" s="2">
        <v>2574</v>
      </c>
      <c r="AC969" s="2" t="s">
        <v>105</v>
      </c>
      <c r="AD969" s="2" t="s">
        <v>58</v>
      </c>
      <c r="AE969" s="2" t="s">
        <v>33</v>
      </c>
      <c r="AF969" s="2" t="s">
        <v>34</v>
      </c>
      <c r="AG969" s="2" t="s">
        <v>363</v>
      </c>
      <c r="AH969" s="2">
        <v>2.8542121460523</v>
      </c>
      <c r="AI969" s="2">
        <v>0.29908433970822101</v>
      </c>
      <c r="AJ969" s="2">
        <v>4.3294515798930897</v>
      </c>
      <c r="AK969" s="2">
        <v>0.96282916442942101</v>
      </c>
      <c r="AL969" s="2">
        <v>0.20011673100122301</v>
      </c>
      <c r="AN969" s="2">
        <v>6.8</v>
      </c>
      <c r="AO969" s="2">
        <v>19.899999999999999</v>
      </c>
      <c r="AP969" s="2">
        <v>564</v>
      </c>
      <c r="AQ969" s="2">
        <v>68</v>
      </c>
      <c r="AR969" s="2">
        <v>1.5</v>
      </c>
      <c r="AS969" s="2">
        <v>135</v>
      </c>
      <c r="AT969" s="2">
        <v>0.8</v>
      </c>
      <c r="AU969" s="2">
        <v>162</v>
      </c>
      <c r="AV969" s="2">
        <v>9.1</v>
      </c>
      <c r="AW969" s="2">
        <v>9.1999999999999993</v>
      </c>
      <c r="AX969" s="2">
        <v>18.3</v>
      </c>
      <c r="AY969" s="2">
        <v>0.34</v>
      </c>
      <c r="AZ969" s="2">
        <v>7.3</v>
      </c>
      <c r="BA969" s="2">
        <v>0.9</v>
      </c>
      <c r="BB969" s="2">
        <v>7.5</v>
      </c>
      <c r="BC969" s="2">
        <v>2.9</v>
      </c>
      <c r="BD969" s="2">
        <f>+AN969*EXP(-0.0495*Y969)</f>
        <v>6.2636909644857033</v>
      </c>
      <c r="BE969" s="2">
        <f>+AO969*EXP(-0.024*Y969)</f>
        <v>19.122926949887681</v>
      </c>
    </row>
    <row r="970" spans="1:57" x14ac:dyDescent="0.2">
      <c r="A970" s="2" t="s">
        <v>3796</v>
      </c>
      <c r="B970" s="2" t="s">
        <v>19</v>
      </c>
      <c r="C970" s="2" t="s">
        <v>3245</v>
      </c>
      <c r="D970" s="2" t="s">
        <v>21</v>
      </c>
      <c r="E970" s="2" t="s">
        <v>138</v>
      </c>
      <c r="F970" s="2">
        <v>6</v>
      </c>
      <c r="G970" s="2">
        <v>58</v>
      </c>
      <c r="H970" s="2">
        <v>1</v>
      </c>
      <c r="I970" s="2">
        <v>1</v>
      </c>
      <c r="J970" s="2">
        <v>1</v>
      </c>
      <c r="K970" s="2" t="s">
        <v>61</v>
      </c>
      <c r="L970" s="6" t="s">
        <v>62</v>
      </c>
      <c r="M970" s="5">
        <v>650883000</v>
      </c>
      <c r="N970" s="2">
        <v>0</v>
      </c>
      <c r="O970" s="2">
        <v>4.6676799999999998</v>
      </c>
      <c r="P970" s="2">
        <v>-74.044600000000003</v>
      </c>
      <c r="Q970" s="2" t="s">
        <v>3797</v>
      </c>
      <c r="R970" s="2">
        <v>11222120.689999999</v>
      </c>
      <c r="S970" s="2">
        <v>0</v>
      </c>
      <c r="T970" s="2" t="s">
        <v>26</v>
      </c>
      <c r="U970" s="2" t="s">
        <v>27</v>
      </c>
      <c r="V970" s="2" t="s">
        <v>28</v>
      </c>
      <c r="W970" s="2" t="s">
        <v>29</v>
      </c>
      <c r="X970" s="2" t="s">
        <v>30</v>
      </c>
      <c r="Y970" s="2">
        <v>4.4865727495571299</v>
      </c>
      <c r="Z970" s="2">
        <v>4.6584666666666701</v>
      </c>
      <c r="AA970" s="2">
        <v>-74.083966666666697</v>
      </c>
      <c r="AB970" s="2">
        <v>2552</v>
      </c>
      <c r="AC970" s="2" t="s">
        <v>31</v>
      </c>
      <c r="AD970" s="2" t="s">
        <v>32</v>
      </c>
      <c r="AE970" s="2" t="s">
        <v>33</v>
      </c>
      <c r="AF970" s="2" t="s">
        <v>34</v>
      </c>
      <c r="AG970" s="2" t="s">
        <v>81</v>
      </c>
      <c r="AH970" s="2">
        <v>1.74269009190596</v>
      </c>
      <c r="AI970" s="2">
        <v>0.17407173329928999</v>
      </c>
      <c r="AJ970" s="2">
        <v>1.05396755986117</v>
      </c>
      <c r="AK970" s="2">
        <v>0.34922092699666601</v>
      </c>
      <c r="AL970" s="2">
        <v>0.51969246573692296</v>
      </c>
      <c r="AN970" s="2">
        <v>6.8</v>
      </c>
      <c r="AO970" s="2">
        <v>19.899999999999999</v>
      </c>
      <c r="AP970" s="2">
        <v>564</v>
      </c>
      <c r="AQ970" s="2">
        <v>68</v>
      </c>
      <c r="AR970" s="2">
        <v>1.5</v>
      </c>
      <c r="AS970" s="2">
        <v>135</v>
      </c>
      <c r="AT970" s="2">
        <v>0.8</v>
      </c>
      <c r="AU970" s="2">
        <v>162</v>
      </c>
      <c r="AV970" s="2">
        <v>9.1</v>
      </c>
      <c r="AW970" s="2">
        <v>9.1999999999999993</v>
      </c>
      <c r="AX970" s="2">
        <v>18.3</v>
      </c>
      <c r="AY970" s="2">
        <v>0.34</v>
      </c>
      <c r="AZ970" s="2">
        <v>7.3</v>
      </c>
      <c r="BA970" s="2">
        <v>0.9</v>
      </c>
      <c r="BB970" s="2">
        <v>7.5</v>
      </c>
      <c r="BC970" s="2">
        <v>2.9</v>
      </c>
      <c r="BD970" s="2">
        <f>+AN970*EXP(-0.0495*Y970)</f>
        <v>5.4457596560457127</v>
      </c>
      <c r="BE970" s="2">
        <f>+AO970*EXP(-0.024*Y970)</f>
        <v>17.868546452020325</v>
      </c>
    </row>
    <row r="971" spans="1:57" x14ac:dyDescent="0.2">
      <c r="A971" s="2" t="s">
        <v>2701</v>
      </c>
      <c r="B971" s="2" t="s">
        <v>19</v>
      </c>
      <c r="C971" s="2" t="s">
        <v>1907</v>
      </c>
      <c r="D971" s="2" t="s">
        <v>21</v>
      </c>
      <c r="E971" s="2" t="s">
        <v>1678</v>
      </c>
      <c r="F971" s="2">
        <v>2</v>
      </c>
      <c r="G971" s="2">
        <v>58</v>
      </c>
      <c r="H971" s="2">
        <v>3</v>
      </c>
      <c r="I971" s="2">
        <v>1</v>
      </c>
      <c r="J971" s="2">
        <v>0</v>
      </c>
      <c r="K971" s="2" t="s">
        <v>61</v>
      </c>
      <c r="L971" s="6" t="s">
        <v>75</v>
      </c>
      <c r="M971" s="5">
        <v>265000000</v>
      </c>
      <c r="N971" s="2">
        <v>0</v>
      </c>
      <c r="O971" s="2">
        <v>4.7193199999999997</v>
      </c>
      <c r="P971" s="2">
        <v>-74.125690000000006</v>
      </c>
      <c r="Q971" s="2" t="s">
        <v>2702</v>
      </c>
      <c r="R971" s="2">
        <v>4568965.517</v>
      </c>
      <c r="S971" s="2">
        <v>0</v>
      </c>
      <c r="T971" s="2" t="s">
        <v>370</v>
      </c>
      <c r="U971" s="2" t="s">
        <v>371</v>
      </c>
      <c r="V971" s="2" t="s">
        <v>28</v>
      </c>
      <c r="W971" s="2" t="s">
        <v>29</v>
      </c>
      <c r="X971" s="2" t="s">
        <v>372</v>
      </c>
      <c r="Y971" s="2">
        <v>1.8352962924406799</v>
      </c>
      <c r="Z971" s="2">
        <v>4.7358055555555598</v>
      </c>
      <c r="AA971" s="2">
        <v>-74.125888888888895</v>
      </c>
      <c r="AB971" s="2">
        <v>2574</v>
      </c>
      <c r="AC971" s="2" t="s">
        <v>105</v>
      </c>
      <c r="AD971" s="2" t="s">
        <v>58</v>
      </c>
      <c r="AE971" s="2" t="s">
        <v>33</v>
      </c>
      <c r="AF971" s="2" t="s">
        <v>34</v>
      </c>
      <c r="AG971" s="2" t="s">
        <v>363</v>
      </c>
      <c r="AH971" s="2">
        <v>1.98352171304891</v>
      </c>
      <c r="AI971" s="2">
        <v>0.55762965954878296</v>
      </c>
      <c r="AJ971" s="2">
        <v>3.5605566814218301</v>
      </c>
      <c r="AK971" s="2">
        <v>0.52452122772684995</v>
      </c>
      <c r="AL971" s="2">
        <v>0.14365592268285701</v>
      </c>
      <c r="AN971" s="2">
        <v>6.8</v>
      </c>
      <c r="AO971" s="2">
        <v>19.899999999999999</v>
      </c>
      <c r="AP971" s="2">
        <v>564</v>
      </c>
      <c r="AQ971" s="2">
        <v>68</v>
      </c>
      <c r="AR971" s="2">
        <v>1.5</v>
      </c>
      <c r="AS971" s="2">
        <v>135</v>
      </c>
      <c r="AT971" s="2">
        <v>0.8</v>
      </c>
      <c r="AU971" s="2">
        <v>162</v>
      </c>
      <c r="AV971" s="2">
        <v>9.1</v>
      </c>
      <c r="AW971" s="2">
        <v>9.1999999999999993</v>
      </c>
      <c r="AX971" s="2">
        <v>18.3</v>
      </c>
      <c r="AY971" s="2">
        <v>0.34</v>
      </c>
      <c r="AZ971" s="2">
        <v>7.3</v>
      </c>
      <c r="BA971" s="2">
        <v>0.9</v>
      </c>
      <c r="BB971" s="2">
        <v>7.5</v>
      </c>
      <c r="BC971" s="2">
        <v>2.9</v>
      </c>
      <c r="BD971" s="2">
        <f>+AN971*EXP(-0.0495*Y971)</f>
        <v>6.2094693766862079</v>
      </c>
      <c r="BE971" s="2">
        <f>+AO971*EXP(-0.024*Y971)</f>
        <v>19.042486621640418</v>
      </c>
    </row>
    <row r="972" spans="1:57" x14ac:dyDescent="0.2">
      <c r="A972" s="2" t="s">
        <v>1791</v>
      </c>
      <c r="B972" s="2" t="s">
        <v>19</v>
      </c>
      <c r="C972" s="2" t="s">
        <v>20</v>
      </c>
      <c r="D972" s="2" t="s">
        <v>21</v>
      </c>
      <c r="E972" s="2" t="s">
        <v>1792</v>
      </c>
      <c r="F972" s="2">
        <v>3</v>
      </c>
      <c r="G972" s="2">
        <v>58</v>
      </c>
      <c r="H972" s="2">
        <v>3</v>
      </c>
      <c r="I972" s="2">
        <v>2</v>
      </c>
      <c r="J972" s="2">
        <v>1</v>
      </c>
      <c r="K972" s="2" t="s">
        <v>61</v>
      </c>
      <c r="L972" s="6" t="s">
        <v>84</v>
      </c>
      <c r="M972" s="5">
        <v>290000000</v>
      </c>
      <c r="N972" s="2">
        <v>0</v>
      </c>
      <c r="O972" s="2">
        <v>4.5830931660000003</v>
      </c>
      <c r="P972" s="2">
        <v>-74.112419130000006</v>
      </c>
      <c r="Q972" s="2" t="s">
        <v>1793</v>
      </c>
      <c r="R972" s="2">
        <v>5000000</v>
      </c>
      <c r="S972" s="2">
        <v>0</v>
      </c>
      <c r="T972" s="2" t="s">
        <v>1794</v>
      </c>
      <c r="U972" s="2" t="s">
        <v>1795</v>
      </c>
      <c r="V972" s="2" t="s">
        <v>28</v>
      </c>
      <c r="W972" s="2" t="s">
        <v>1796</v>
      </c>
      <c r="X972" s="2" t="s">
        <v>1797</v>
      </c>
      <c r="Y972" s="2">
        <v>2.19437867511289</v>
      </c>
      <c r="Z972" s="2">
        <v>4.576225</v>
      </c>
      <c r="AA972" s="2">
        <v>-74.130955555555502</v>
      </c>
      <c r="AB972" s="2">
        <v>2589</v>
      </c>
      <c r="AC972" s="2" t="s">
        <v>31</v>
      </c>
      <c r="AD972" s="2" t="s">
        <v>58</v>
      </c>
      <c r="AE972" s="2" t="s">
        <v>33</v>
      </c>
      <c r="AF972" s="2" t="s">
        <v>34</v>
      </c>
      <c r="AG972" s="2" t="s">
        <v>1798</v>
      </c>
      <c r="AH972" s="2">
        <v>0.72628407981694898</v>
      </c>
      <c r="AI972" s="2">
        <v>4.2911730632456999</v>
      </c>
      <c r="AJ972" s="2">
        <v>1.7191839108123901</v>
      </c>
      <c r="AK972" s="2">
        <v>0.36256384074121101</v>
      </c>
      <c r="AL972" s="2">
        <v>5.7812843597656399E-2</v>
      </c>
      <c r="AN972" s="2">
        <v>6.8</v>
      </c>
      <c r="AO972" s="2">
        <v>19.899999999999999</v>
      </c>
      <c r="AP972" s="2">
        <v>564</v>
      </c>
      <c r="AQ972" s="2">
        <v>68</v>
      </c>
      <c r="AR972" s="2">
        <v>1.5</v>
      </c>
      <c r="AS972" s="2">
        <v>135</v>
      </c>
      <c r="AT972" s="2">
        <v>0.8</v>
      </c>
      <c r="AU972" s="2">
        <v>162</v>
      </c>
      <c r="AV972" s="2">
        <v>9.1</v>
      </c>
      <c r="AW972" s="2">
        <v>9.1999999999999993</v>
      </c>
      <c r="AX972" s="2">
        <v>18.3</v>
      </c>
      <c r="AY972" s="2">
        <v>0.34</v>
      </c>
      <c r="AZ972" s="2">
        <v>7.3</v>
      </c>
      <c r="BA972" s="2">
        <v>0.9</v>
      </c>
      <c r="BB972" s="2">
        <v>7.5</v>
      </c>
      <c r="BC972" s="2">
        <v>2.9</v>
      </c>
      <c r="BD972" s="2">
        <f>+AN972*EXP(-0.0495*Y972)</f>
        <v>6.1000737896130151</v>
      </c>
      <c r="BE972" s="2">
        <f>+AO972*EXP(-0.024*Y972)</f>
        <v>18.879084017680647</v>
      </c>
    </row>
    <row r="973" spans="1:57" x14ac:dyDescent="0.2">
      <c r="A973" s="2" t="s">
        <v>626</v>
      </c>
      <c r="B973" s="2" t="s">
        <v>19</v>
      </c>
      <c r="C973" s="2" t="s">
        <v>20</v>
      </c>
      <c r="D973" s="2" t="s">
        <v>21</v>
      </c>
      <c r="E973" s="2" t="s">
        <v>627</v>
      </c>
      <c r="F973" s="2">
        <v>3</v>
      </c>
      <c r="G973" s="2">
        <v>56.61</v>
      </c>
      <c r="H973" s="2">
        <v>3</v>
      </c>
      <c r="I973" s="2">
        <v>2</v>
      </c>
      <c r="J973" s="2">
        <v>1</v>
      </c>
      <c r="K973" s="2" t="s">
        <v>61</v>
      </c>
      <c r="L973" s="6" t="s">
        <v>113</v>
      </c>
      <c r="M973" s="5">
        <v>200000000</v>
      </c>
      <c r="N973" s="2">
        <v>0</v>
      </c>
      <c r="O973" s="2">
        <v>4.7203336</v>
      </c>
      <c r="P973" s="2">
        <v>-74.124049999999997</v>
      </c>
      <c r="Q973" s="2" t="s">
        <v>628</v>
      </c>
      <c r="R973" s="2">
        <v>3532944.7089999998</v>
      </c>
      <c r="S973" s="2">
        <v>0</v>
      </c>
      <c r="T973" s="2" t="s">
        <v>370</v>
      </c>
      <c r="U973" s="2" t="s">
        <v>371</v>
      </c>
      <c r="V973" s="2" t="s">
        <v>28</v>
      </c>
      <c r="W973" s="2" t="s">
        <v>29</v>
      </c>
      <c r="X973" s="2" t="s">
        <v>372</v>
      </c>
      <c r="Y973" s="2">
        <v>1.73437033630977</v>
      </c>
      <c r="Z973" s="2">
        <v>4.7358055555555598</v>
      </c>
      <c r="AA973" s="2">
        <v>-74.125888888888895</v>
      </c>
      <c r="AB973" s="2">
        <v>2574</v>
      </c>
      <c r="AC973" s="2" t="s">
        <v>105</v>
      </c>
      <c r="AD973" s="2" t="s">
        <v>58</v>
      </c>
      <c r="AE973" s="2" t="s">
        <v>33</v>
      </c>
      <c r="AF973" s="2" t="s">
        <v>34</v>
      </c>
      <c r="AG973" s="2" t="s">
        <v>363</v>
      </c>
      <c r="AH973" s="2">
        <v>1.8980715819960901</v>
      </c>
      <c r="AI973" s="2">
        <v>0.54886803867486</v>
      </c>
      <c r="AJ973" s="2">
        <v>3.5596504736079</v>
      </c>
      <c r="AK973" s="2">
        <v>0.40232040375322597</v>
      </c>
      <c r="AL973" s="2">
        <v>4.3904340306970803E-2</v>
      </c>
      <c r="AN973" s="2">
        <v>6.8</v>
      </c>
      <c r="AO973" s="2">
        <v>19.899999999999999</v>
      </c>
      <c r="AP973" s="2">
        <v>564</v>
      </c>
      <c r="AQ973" s="2">
        <v>68</v>
      </c>
      <c r="AR973" s="2">
        <v>1.5</v>
      </c>
      <c r="AS973" s="2">
        <v>135</v>
      </c>
      <c r="AT973" s="2">
        <v>0.8</v>
      </c>
      <c r="AU973" s="2">
        <v>162</v>
      </c>
      <c r="AV973" s="2">
        <v>9.1</v>
      </c>
      <c r="AW973" s="2">
        <v>9.1999999999999993</v>
      </c>
      <c r="AX973" s="2">
        <v>18.3</v>
      </c>
      <c r="AY973" s="2">
        <v>0.34</v>
      </c>
      <c r="AZ973" s="2">
        <v>7.3</v>
      </c>
      <c r="BA973" s="2">
        <v>0.9</v>
      </c>
      <c r="BB973" s="2">
        <v>7.5</v>
      </c>
      <c r="BC973" s="2">
        <v>2.9</v>
      </c>
      <c r="BD973" s="2">
        <f>+AN973*EXP(-0.0495*Y973)</f>
        <v>6.2405684783704327</v>
      </c>
      <c r="BE973" s="2">
        <f>+AO973*EXP(-0.024*Y973)</f>
        <v>19.088667677533337</v>
      </c>
    </row>
    <row r="974" spans="1:57" x14ac:dyDescent="0.2">
      <c r="A974" s="2" t="s">
        <v>4004</v>
      </c>
      <c r="B974" s="2" t="s">
        <v>19</v>
      </c>
      <c r="C974" s="2" t="s">
        <v>3245</v>
      </c>
      <c r="D974" s="2" t="s">
        <v>21</v>
      </c>
      <c r="E974" s="2" t="s">
        <v>460</v>
      </c>
      <c r="F974" s="2">
        <v>6</v>
      </c>
      <c r="G974" s="2">
        <v>56</v>
      </c>
      <c r="H974" s="2">
        <v>1</v>
      </c>
      <c r="I974" s="2">
        <v>2</v>
      </c>
      <c r="J974" s="2">
        <v>1</v>
      </c>
      <c r="K974" s="2" t="s">
        <v>61</v>
      </c>
      <c r="L974" s="6" t="s">
        <v>62</v>
      </c>
      <c r="M974" s="5">
        <v>605000000</v>
      </c>
      <c r="N974" s="2">
        <v>0</v>
      </c>
      <c r="O974" s="2">
        <v>4.6410303900000001</v>
      </c>
      <c r="P974" s="2">
        <v>-74.061051469999995</v>
      </c>
      <c r="Q974" s="2" t="s">
        <v>4005</v>
      </c>
      <c r="R974" s="2">
        <v>10803571.43</v>
      </c>
      <c r="S974" s="2">
        <v>0</v>
      </c>
      <c r="T974" s="2" t="s">
        <v>77</v>
      </c>
      <c r="U974" s="2" t="s">
        <v>78</v>
      </c>
      <c r="V974" s="2" t="s">
        <v>28</v>
      </c>
      <c r="W974" s="2" t="s">
        <v>79</v>
      </c>
      <c r="X974" s="2" t="s">
        <v>80</v>
      </c>
      <c r="Y974" s="2">
        <v>1.8512176315583</v>
      </c>
      <c r="Z974" s="2">
        <v>4.6254861111111101</v>
      </c>
      <c r="AA974" s="2">
        <v>-74.066980555555503</v>
      </c>
      <c r="AB974" s="2">
        <v>2621</v>
      </c>
      <c r="AC974" s="2" t="s">
        <v>31</v>
      </c>
      <c r="AD974" s="2" t="s">
        <v>32</v>
      </c>
      <c r="AE974" s="2" t="s">
        <v>33</v>
      </c>
      <c r="AF974" s="2" t="s">
        <v>34</v>
      </c>
      <c r="AG974" s="2" t="s">
        <v>81</v>
      </c>
      <c r="AH974" s="2">
        <v>0.57189489510703795</v>
      </c>
      <c r="AI974" s="2">
        <v>0.380734088252979</v>
      </c>
      <c r="AJ974" s="2">
        <v>0.42356107615304001</v>
      </c>
      <c r="AK974" s="2">
        <v>9.2075674111630507E-2</v>
      </c>
      <c r="AL974" s="2">
        <v>5.7471919321069001E-2</v>
      </c>
      <c r="AN974" s="2">
        <v>6.8</v>
      </c>
      <c r="AO974" s="2">
        <v>19.899999999999999</v>
      </c>
      <c r="AP974" s="2">
        <v>564</v>
      </c>
      <c r="AQ974" s="2">
        <v>68</v>
      </c>
      <c r="AR974" s="2">
        <v>1.5</v>
      </c>
      <c r="AS974" s="2">
        <v>135</v>
      </c>
      <c r="AT974" s="2">
        <v>0.8</v>
      </c>
      <c r="AU974" s="2">
        <v>162</v>
      </c>
      <c r="AV974" s="2">
        <v>9.1</v>
      </c>
      <c r="AW974" s="2">
        <v>9.1999999999999993</v>
      </c>
      <c r="AX974" s="2">
        <v>18.3</v>
      </c>
      <c r="AY974" s="2">
        <v>0.34</v>
      </c>
      <c r="AZ974" s="2">
        <v>7.3</v>
      </c>
      <c r="BA974" s="2">
        <v>0.9</v>
      </c>
      <c r="BB974" s="2">
        <v>7.5</v>
      </c>
      <c r="BC974" s="2">
        <v>2.9</v>
      </c>
      <c r="BD974" s="2">
        <f>+AN974*EXP(-0.0495*Y974)</f>
        <v>6.204577582715701</v>
      </c>
      <c r="BE974" s="2">
        <f>+AO974*EXP(-0.024*Y974)</f>
        <v>19.035211646365617</v>
      </c>
    </row>
    <row r="975" spans="1:57" x14ac:dyDescent="0.2">
      <c r="A975" s="2" t="s">
        <v>86</v>
      </c>
      <c r="B975" s="2" t="s">
        <v>19</v>
      </c>
      <c r="C975" s="2" t="s">
        <v>20</v>
      </c>
      <c r="D975" s="2" t="s">
        <v>21</v>
      </c>
      <c r="E975" s="2" t="s">
        <v>87</v>
      </c>
      <c r="F975" s="2">
        <v>4</v>
      </c>
      <c r="G975" s="2">
        <v>56</v>
      </c>
      <c r="H975" s="2">
        <v>1</v>
      </c>
      <c r="I975" s="2">
        <v>2</v>
      </c>
      <c r="J975" s="2">
        <v>1</v>
      </c>
      <c r="K975" s="2" t="s">
        <v>61</v>
      </c>
      <c r="L975" s="6" t="s">
        <v>75</v>
      </c>
      <c r="M975" s="5">
        <v>460000000</v>
      </c>
      <c r="N975" s="2">
        <v>0</v>
      </c>
      <c r="O975" s="2">
        <v>4.6184482999999998</v>
      </c>
      <c r="P975" s="2">
        <v>-74.068969999999993</v>
      </c>
      <c r="Q975" s="2" t="s">
        <v>88</v>
      </c>
      <c r="R975" s="2">
        <v>8214285.7139999997</v>
      </c>
      <c r="S975" s="2">
        <v>0</v>
      </c>
      <c r="T975" s="2" t="s">
        <v>77</v>
      </c>
      <c r="U975" s="2" t="s">
        <v>78</v>
      </c>
      <c r="V975" s="2" t="s">
        <v>28</v>
      </c>
      <c r="W975" s="2" t="s">
        <v>79</v>
      </c>
      <c r="X975" s="2" t="s">
        <v>80</v>
      </c>
      <c r="Y975" s="2">
        <v>0.81395008052073803</v>
      </c>
      <c r="Z975" s="2">
        <v>4.6254861111111101</v>
      </c>
      <c r="AA975" s="2">
        <v>-74.066980555555503</v>
      </c>
      <c r="AB975" s="2">
        <v>2621</v>
      </c>
      <c r="AC975" s="2" t="s">
        <v>31</v>
      </c>
      <c r="AD975" s="2" t="s">
        <v>32</v>
      </c>
      <c r="AE975" s="2" t="s">
        <v>33</v>
      </c>
      <c r="AF975" s="2" t="s">
        <v>34</v>
      </c>
      <c r="AG975" s="2" t="s">
        <v>89</v>
      </c>
      <c r="AH975" s="2">
        <v>0.35490998397742901</v>
      </c>
      <c r="AI975" s="2">
        <v>0.69401190913008903</v>
      </c>
      <c r="AJ975" s="2">
        <v>0.36245998093131199</v>
      </c>
      <c r="AK975" s="2">
        <v>8.1802057135610895E-2</v>
      </c>
      <c r="AL975" s="2">
        <v>4.48017216131384E-3</v>
      </c>
      <c r="AN975" s="2">
        <v>6.8</v>
      </c>
      <c r="AO975" s="2">
        <v>19.899999999999999</v>
      </c>
      <c r="AP975" s="2">
        <v>564</v>
      </c>
      <c r="AQ975" s="2">
        <v>68</v>
      </c>
      <c r="AR975" s="2">
        <v>1.5</v>
      </c>
      <c r="AS975" s="2">
        <v>135</v>
      </c>
      <c r="AT975" s="2">
        <v>0.8</v>
      </c>
      <c r="AU975" s="2">
        <v>162</v>
      </c>
      <c r="AV975" s="2">
        <v>9.1</v>
      </c>
      <c r="AW975" s="2">
        <v>9.1999999999999993</v>
      </c>
      <c r="AX975" s="2">
        <v>18.3</v>
      </c>
      <c r="AY975" s="2">
        <v>0.34</v>
      </c>
      <c r="AZ975" s="2">
        <v>7.3</v>
      </c>
      <c r="BA975" s="2">
        <v>0.9</v>
      </c>
      <c r="BB975" s="2">
        <v>7.5</v>
      </c>
      <c r="BC975" s="2">
        <v>2.9</v>
      </c>
      <c r="BD975" s="2">
        <f>+AN975*EXP(-0.0495*Y975)</f>
        <v>6.5314703291075489</v>
      </c>
      <c r="BE975" s="2">
        <f>+AO975*EXP(-0.024*Y975)</f>
        <v>19.515029841685024</v>
      </c>
    </row>
    <row r="976" spans="1:57" x14ac:dyDescent="0.2">
      <c r="A976" s="2" t="s">
        <v>2352</v>
      </c>
      <c r="B976" s="2" t="s">
        <v>19</v>
      </c>
      <c r="C976" s="2" t="s">
        <v>1907</v>
      </c>
      <c r="D976" s="2" t="s">
        <v>21</v>
      </c>
      <c r="E976" s="2" t="s">
        <v>2353</v>
      </c>
      <c r="F976" s="2">
        <v>3</v>
      </c>
      <c r="G976" s="2">
        <v>56</v>
      </c>
      <c r="H976" s="2">
        <v>4</v>
      </c>
      <c r="I976" s="2">
        <v>2</v>
      </c>
      <c r="J976" s="2">
        <v>1</v>
      </c>
      <c r="K976" s="2" t="s">
        <v>61</v>
      </c>
      <c r="L976" s="6" t="s">
        <v>113</v>
      </c>
      <c r="M976" s="5">
        <v>305000000</v>
      </c>
      <c r="N976" s="2">
        <v>0</v>
      </c>
      <c r="O976" s="2">
        <v>4.7151436809999998</v>
      </c>
      <c r="P976" s="2">
        <v>-74.127044679999997</v>
      </c>
      <c r="Q976" s="2" t="s">
        <v>2354</v>
      </c>
      <c r="R976" s="2">
        <v>5446428.5710000005</v>
      </c>
      <c r="S976" s="2">
        <v>0</v>
      </c>
      <c r="T976" s="2" t="s">
        <v>370</v>
      </c>
      <c r="U976" s="2" t="s">
        <v>371</v>
      </c>
      <c r="V976" s="2" t="s">
        <v>28</v>
      </c>
      <c r="W976" s="2" t="s">
        <v>29</v>
      </c>
      <c r="X976" s="2" t="s">
        <v>372</v>
      </c>
      <c r="Y976" s="2">
        <v>2.3036407310823401</v>
      </c>
      <c r="Z976" s="2">
        <v>4.7358055555555598</v>
      </c>
      <c r="AA976" s="2">
        <v>-74.125888888888895</v>
      </c>
      <c r="AB976" s="2">
        <v>2574</v>
      </c>
      <c r="AC976" s="2" t="s">
        <v>105</v>
      </c>
      <c r="AD976" s="2" t="s">
        <v>58</v>
      </c>
      <c r="AE976" s="2" t="s">
        <v>33</v>
      </c>
      <c r="AF976" s="2" t="s">
        <v>34</v>
      </c>
      <c r="AG976" s="2" t="s">
        <v>363</v>
      </c>
      <c r="AH976" s="2">
        <v>1.9254981152845401</v>
      </c>
      <c r="AI976" s="2">
        <v>0.96276448480495602</v>
      </c>
      <c r="AJ976" s="2">
        <v>3.28135832484802</v>
      </c>
      <c r="AK976" s="2">
        <v>0.743992114658235</v>
      </c>
      <c r="AL976" s="2">
        <v>6.0087503186028297E-2</v>
      </c>
      <c r="AN976" s="2">
        <v>6.8</v>
      </c>
      <c r="AO976" s="2">
        <v>19.899999999999999</v>
      </c>
      <c r="AP976" s="2">
        <v>564</v>
      </c>
      <c r="AQ976" s="2">
        <v>68</v>
      </c>
      <c r="AR976" s="2">
        <v>1.5</v>
      </c>
      <c r="AS976" s="2">
        <v>135</v>
      </c>
      <c r="AT976" s="2">
        <v>0.8</v>
      </c>
      <c r="AU976" s="2">
        <v>162</v>
      </c>
      <c r="AV976" s="2">
        <v>9.1</v>
      </c>
      <c r="AW976" s="2">
        <v>9.1999999999999993</v>
      </c>
      <c r="AX976" s="2">
        <v>18.3</v>
      </c>
      <c r="AY976" s="2">
        <v>0.34</v>
      </c>
      <c r="AZ976" s="2">
        <v>7.3</v>
      </c>
      <c r="BA976" s="2">
        <v>0.9</v>
      </c>
      <c r="BB976" s="2">
        <v>7.5</v>
      </c>
      <c r="BC976" s="2">
        <v>2.9</v>
      </c>
      <c r="BD976" s="2">
        <f>+AN976*EXP(-0.0495*Y976)</f>
        <v>6.0671707704545081</v>
      </c>
      <c r="BE976" s="2">
        <f>+AO976*EXP(-0.024*Y976)</f>
        <v>18.829642450229834</v>
      </c>
    </row>
    <row r="977" spans="1:57" x14ac:dyDescent="0.2">
      <c r="A977" s="2" t="s">
        <v>4140</v>
      </c>
      <c r="B977" s="2" t="s">
        <v>19</v>
      </c>
      <c r="C977" s="2" t="s">
        <v>3245</v>
      </c>
      <c r="D977" s="2" t="s">
        <v>21</v>
      </c>
      <c r="E977" s="2" t="s">
        <v>4141</v>
      </c>
      <c r="F977" s="2">
        <v>3</v>
      </c>
      <c r="G977" s="2">
        <v>56</v>
      </c>
      <c r="H977" s="2">
        <v>1</v>
      </c>
      <c r="I977" s="2">
        <v>1</v>
      </c>
      <c r="J977" s="2">
        <v>0</v>
      </c>
      <c r="K977" s="2" t="s">
        <v>61</v>
      </c>
      <c r="L977" s="6" t="s">
        <v>113</v>
      </c>
      <c r="M977" s="5">
        <v>335000000</v>
      </c>
      <c r="N977" s="2">
        <v>0</v>
      </c>
      <c r="O977" s="2">
        <v>4.6263318059999996</v>
      </c>
      <c r="P977" s="2">
        <v>-74.066650390000007</v>
      </c>
      <c r="Q977" s="2" t="s">
        <v>4142</v>
      </c>
      <c r="R977" s="2">
        <v>5982142.8569999998</v>
      </c>
      <c r="S977" s="2">
        <v>0</v>
      </c>
      <c r="T977" s="2" t="s">
        <v>77</v>
      </c>
      <c r="U977" s="2" t="s">
        <v>78</v>
      </c>
      <c r="V977" s="2" t="s">
        <v>28</v>
      </c>
      <c r="W977" s="2" t="s">
        <v>79</v>
      </c>
      <c r="X977" s="2" t="s">
        <v>80</v>
      </c>
      <c r="Y977" s="2">
        <v>0.10101899415042</v>
      </c>
      <c r="Z977" s="2">
        <v>4.6254861111111101</v>
      </c>
      <c r="AA977" s="2">
        <v>-74.066980555555503</v>
      </c>
      <c r="AB977" s="2">
        <v>2621</v>
      </c>
      <c r="AC977" s="2" t="s">
        <v>31</v>
      </c>
      <c r="AD977" s="2" t="s">
        <v>32</v>
      </c>
      <c r="AE977" s="2" t="s">
        <v>33</v>
      </c>
      <c r="AF977" s="2" t="s">
        <v>34</v>
      </c>
      <c r="AG977" s="2" t="s">
        <v>89</v>
      </c>
      <c r="AH977" s="2">
        <v>0.235369038926351</v>
      </c>
      <c r="AI977" s="2">
        <v>0.63044512932656604</v>
      </c>
      <c r="AJ977" s="2">
        <v>0.22142972033303199</v>
      </c>
      <c r="AK977" s="2">
        <v>3.7917159202187203E-2</v>
      </c>
      <c r="AL977" s="2">
        <v>2.7258561884809601E-2</v>
      </c>
      <c r="AN977" s="2">
        <v>6.8</v>
      </c>
      <c r="AO977" s="2">
        <v>19.899999999999999</v>
      </c>
      <c r="AP977" s="2">
        <v>564</v>
      </c>
      <c r="AQ977" s="2">
        <v>68</v>
      </c>
      <c r="AR977" s="2">
        <v>1.5</v>
      </c>
      <c r="AS977" s="2">
        <v>135</v>
      </c>
      <c r="AT977" s="2">
        <v>0.8</v>
      </c>
      <c r="AU977" s="2">
        <v>162</v>
      </c>
      <c r="AV977" s="2">
        <v>9.1</v>
      </c>
      <c r="AW977" s="2">
        <v>9.1999999999999993</v>
      </c>
      <c r="AX977" s="2">
        <v>18.3</v>
      </c>
      <c r="AY977" s="2">
        <v>0.34</v>
      </c>
      <c r="AZ977" s="2">
        <v>7.3</v>
      </c>
      <c r="BA977" s="2">
        <v>0.9</v>
      </c>
      <c r="BB977" s="2">
        <v>7.5</v>
      </c>
      <c r="BC977" s="2">
        <v>2.9</v>
      </c>
      <c r="BD977" s="2">
        <f>+AN977*EXP(-0.0495*Y977)</f>
        <v>6.7660818800096632</v>
      </c>
      <c r="BE977" s="2">
        <f>+AO977*EXP(-0.024*Y977)</f>
        <v>19.851811767119688</v>
      </c>
    </row>
    <row r="978" spans="1:57" x14ac:dyDescent="0.2">
      <c r="A978" s="2" t="s">
        <v>4279</v>
      </c>
      <c r="B978" s="2" t="s">
        <v>19</v>
      </c>
      <c r="C978" s="2" t="s">
        <v>3245</v>
      </c>
      <c r="D978" s="2" t="s">
        <v>21</v>
      </c>
      <c r="E978" s="2" t="s">
        <v>355</v>
      </c>
      <c r="F978" s="2">
        <v>5</v>
      </c>
      <c r="G978" s="2">
        <v>55.4</v>
      </c>
      <c r="H978" s="2">
        <v>1</v>
      </c>
      <c r="I978" s="2">
        <v>1</v>
      </c>
      <c r="J978" s="2">
        <v>1</v>
      </c>
      <c r="K978" s="2" t="s">
        <v>61</v>
      </c>
      <c r="L978" s="6" t="s">
        <v>62</v>
      </c>
      <c r="M978" s="5">
        <v>735448800</v>
      </c>
      <c r="N978" s="2">
        <v>0</v>
      </c>
      <c r="O978" s="2">
        <v>4.6739499999999996</v>
      </c>
      <c r="P978" s="2">
        <v>-74.058099999999996</v>
      </c>
      <c r="Q978" s="2" t="s">
        <v>4280</v>
      </c>
      <c r="R978" s="2">
        <v>13275249.1</v>
      </c>
      <c r="S978" s="2">
        <v>0</v>
      </c>
      <c r="T978" s="2" t="s">
        <v>26</v>
      </c>
      <c r="U978" s="2" t="s">
        <v>27</v>
      </c>
      <c r="V978" s="2" t="s">
        <v>28</v>
      </c>
      <c r="W978" s="2" t="s">
        <v>29</v>
      </c>
      <c r="X978" s="2" t="s">
        <v>30</v>
      </c>
      <c r="Y978" s="2">
        <v>3.3477198636880501</v>
      </c>
      <c r="Z978" s="2">
        <v>4.6584666666666701</v>
      </c>
      <c r="AA978" s="2">
        <v>-74.083966666666697</v>
      </c>
      <c r="AB978" s="2">
        <v>2552</v>
      </c>
      <c r="AC978" s="2" t="s">
        <v>31</v>
      </c>
      <c r="AD978" s="2" t="s">
        <v>32</v>
      </c>
      <c r="AE978" s="2" t="s">
        <v>33</v>
      </c>
      <c r="AF978" s="2" t="s">
        <v>34</v>
      </c>
      <c r="AG978" s="2" t="s">
        <v>81</v>
      </c>
      <c r="AH978" s="2">
        <v>0.248170445441947</v>
      </c>
      <c r="AI978" s="2">
        <v>1.76298316640325</v>
      </c>
      <c r="AJ978" s="2">
        <v>0.67437301166401897</v>
      </c>
      <c r="AK978" s="2">
        <v>9.5733082391418298E-2</v>
      </c>
      <c r="AL978" s="2">
        <v>0.70970513187888695</v>
      </c>
      <c r="AN978" s="2">
        <v>6.8</v>
      </c>
      <c r="AO978" s="2">
        <v>19.899999999999999</v>
      </c>
      <c r="AP978" s="2">
        <v>564</v>
      </c>
      <c r="AQ978" s="2">
        <v>68</v>
      </c>
      <c r="AR978" s="2">
        <v>1.5</v>
      </c>
      <c r="AS978" s="2">
        <v>135</v>
      </c>
      <c r="AT978" s="2">
        <v>0.8</v>
      </c>
      <c r="AU978" s="2">
        <v>162</v>
      </c>
      <c r="AV978" s="2">
        <v>9.1</v>
      </c>
      <c r="AW978" s="2">
        <v>9.1999999999999993</v>
      </c>
      <c r="AX978" s="2">
        <v>18.3</v>
      </c>
      <c r="AY978" s="2">
        <v>0.34</v>
      </c>
      <c r="AZ978" s="2">
        <v>7.3</v>
      </c>
      <c r="BA978" s="2">
        <v>0.9</v>
      </c>
      <c r="BB978" s="2">
        <v>7.5</v>
      </c>
      <c r="BC978" s="2">
        <v>2.9</v>
      </c>
      <c r="BD978" s="2">
        <f>+AN978*EXP(-0.0495*Y978)</f>
        <v>5.7615727189867005</v>
      </c>
      <c r="BE978" s="2">
        <f>+AO978*EXP(-0.024*Y978)</f>
        <v>18.363673649184946</v>
      </c>
    </row>
    <row r="979" spans="1:57" x14ac:dyDescent="0.2">
      <c r="A979" s="2" t="s">
        <v>583</v>
      </c>
      <c r="B979" s="2" t="s">
        <v>19</v>
      </c>
      <c r="C979" s="2" t="s">
        <v>20</v>
      </c>
      <c r="D979" s="2" t="s">
        <v>21</v>
      </c>
      <c r="E979" s="2" t="s">
        <v>584</v>
      </c>
      <c r="F979" s="2">
        <v>4</v>
      </c>
      <c r="G979" s="2">
        <v>55.21</v>
      </c>
      <c r="H979" s="2">
        <v>2</v>
      </c>
      <c r="I979" s="2">
        <v>2</v>
      </c>
      <c r="J979" s="2">
        <v>1</v>
      </c>
      <c r="K979" s="2" t="s">
        <v>61</v>
      </c>
      <c r="L979" s="6" t="s">
        <v>62</v>
      </c>
      <c r="M979" s="5">
        <v>585000000</v>
      </c>
      <c r="N979" s="2">
        <v>0</v>
      </c>
      <c r="O979" s="2">
        <v>4.6280270000000003</v>
      </c>
      <c r="P979" s="2">
        <v>-74.075059999999993</v>
      </c>
      <c r="Q979" s="2" t="s">
        <v>585</v>
      </c>
      <c r="R979" s="2">
        <v>10595906.539999999</v>
      </c>
      <c r="S979" s="2">
        <v>0</v>
      </c>
      <c r="T979" s="2" t="s">
        <v>77</v>
      </c>
      <c r="U979" s="2" t="s">
        <v>78</v>
      </c>
      <c r="V979" s="2" t="s">
        <v>28</v>
      </c>
      <c r="W979" s="2" t="s">
        <v>79</v>
      </c>
      <c r="X979" s="2" t="s">
        <v>80</v>
      </c>
      <c r="Y979" s="2">
        <v>0.94003226606589096</v>
      </c>
      <c r="Z979" s="2">
        <v>4.6254861111111101</v>
      </c>
      <c r="AA979" s="2">
        <v>-74.066980555555503</v>
      </c>
      <c r="AB979" s="2">
        <v>2621</v>
      </c>
      <c r="AC979" s="2" t="s">
        <v>31</v>
      </c>
      <c r="AD979" s="2" t="s">
        <v>32</v>
      </c>
      <c r="AE979" s="2" t="s">
        <v>33</v>
      </c>
      <c r="AF979" s="2" t="s">
        <v>34</v>
      </c>
      <c r="AG979" s="2" t="s">
        <v>35</v>
      </c>
      <c r="AH979" s="2">
        <v>0.60886664580894401</v>
      </c>
      <c r="AI979" s="2">
        <v>1.5682698365180501</v>
      </c>
      <c r="AJ979" s="2">
        <v>0.18674591515112199</v>
      </c>
      <c r="AK979" s="2">
        <v>0.157123143369723</v>
      </c>
      <c r="AL979" s="2">
        <v>9.2600943883735694E-3</v>
      </c>
      <c r="AN979" s="2">
        <v>6.8</v>
      </c>
      <c r="AO979" s="2">
        <v>19.899999999999999</v>
      </c>
      <c r="AP979" s="2">
        <v>564</v>
      </c>
      <c r="AQ979" s="2">
        <v>68</v>
      </c>
      <c r="AR979" s="2">
        <v>1.5</v>
      </c>
      <c r="AS979" s="2">
        <v>135</v>
      </c>
      <c r="AT979" s="2">
        <v>0.8</v>
      </c>
      <c r="AU979" s="2">
        <v>162</v>
      </c>
      <c r="AV979" s="2">
        <v>9.1</v>
      </c>
      <c r="AW979" s="2">
        <v>9.1999999999999993</v>
      </c>
      <c r="AX979" s="2">
        <v>18.3</v>
      </c>
      <c r="AY979" s="2">
        <v>0.34</v>
      </c>
      <c r="AZ979" s="2">
        <v>7.3</v>
      </c>
      <c r="BA979" s="2">
        <v>0.9</v>
      </c>
      <c r="BB979" s="2">
        <v>7.5</v>
      </c>
      <c r="BC979" s="2">
        <v>2.9</v>
      </c>
      <c r="BD979" s="2">
        <f>+AN979*EXP(-0.0495*Y979)</f>
        <v>6.490833916651197</v>
      </c>
      <c r="BE979" s="2">
        <f>+AO979*EXP(-0.024*Y979)</f>
        <v>19.456067153688824</v>
      </c>
    </row>
    <row r="980" spans="1:57" x14ac:dyDescent="0.2">
      <c r="A980" s="2" t="s">
        <v>3505</v>
      </c>
      <c r="B980" s="2" t="s">
        <v>19</v>
      </c>
      <c r="C980" s="2" t="s">
        <v>3245</v>
      </c>
      <c r="D980" s="2" t="s">
        <v>21</v>
      </c>
      <c r="E980" s="2" t="s">
        <v>822</v>
      </c>
      <c r="F980" s="2">
        <v>5</v>
      </c>
      <c r="G980" s="2">
        <v>55</v>
      </c>
      <c r="H980" s="2">
        <v>1</v>
      </c>
      <c r="I980" s="2">
        <v>2</v>
      </c>
      <c r="J980" s="2">
        <v>1</v>
      </c>
      <c r="K980" s="2" t="s">
        <v>61</v>
      </c>
      <c r="L980" s="6" t="s">
        <v>84</v>
      </c>
      <c r="M980" s="5">
        <v>480000000</v>
      </c>
      <c r="N980" s="2">
        <v>0</v>
      </c>
      <c r="O980" s="2">
        <v>4.6472110750000004</v>
      </c>
      <c r="P980" s="2">
        <v>-74.053184509999994</v>
      </c>
      <c r="Q980" s="2" t="s">
        <v>3506</v>
      </c>
      <c r="R980" s="2">
        <v>8727272.727</v>
      </c>
      <c r="S980" s="2">
        <v>0</v>
      </c>
      <c r="T980" s="2" t="s">
        <v>77</v>
      </c>
      <c r="U980" s="2" t="s">
        <v>78</v>
      </c>
      <c r="V980" s="2" t="s">
        <v>28</v>
      </c>
      <c r="W980" s="2" t="s">
        <v>79</v>
      </c>
      <c r="X980" s="2" t="s">
        <v>80</v>
      </c>
      <c r="Y980" s="2">
        <v>2.8621480746259</v>
      </c>
      <c r="Z980" s="2">
        <v>4.6254861111111101</v>
      </c>
      <c r="AA980" s="2">
        <v>-74.066980555555503</v>
      </c>
      <c r="AB980" s="2">
        <v>2621</v>
      </c>
      <c r="AC980" s="2" t="s">
        <v>31</v>
      </c>
      <c r="AD980" s="2" t="s">
        <v>32</v>
      </c>
      <c r="AE980" s="2" t="s">
        <v>33</v>
      </c>
      <c r="AF980" s="2" t="s">
        <v>34</v>
      </c>
      <c r="AG980" s="2" t="s">
        <v>81</v>
      </c>
      <c r="AH980" s="2">
        <v>1.30250560817994</v>
      </c>
      <c r="AI980" s="2">
        <v>0.129669058086437</v>
      </c>
      <c r="AJ980" s="2">
        <v>0.52952353264949503</v>
      </c>
      <c r="AK980" s="2">
        <v>0.50182869914956496</v>
      </c>
      <c r="AL980" s="2">
        <v>0.37492593072857799</v>
      </c>
      <c r="AN980" s="2">
        <v>6.8</v>
      </c>
      <c r="AO980" s="2">
        <v>19.899999999999999</v>
      </c>
      <c r="AP980" s="2">
        <v>564</v>
      </c>
      <c r="AQ980" s="2">
        <v>68</v>
      </c>
      <c r="AR980" s="2">
        <v>1.5</v>
      </c>
      <c r="AS980" s="2">
        <v>135</v>
      </c>
      <c r="AT980" s="2">
        <v>0.8</v>
      </c>
      <c r="AU980" s="2">
        <v>162</v>
      </c>
      <c r="AV980" s="2">
        <v>9.1</v>
      </c>
      <c r="AW980" s="2">
        <v>9.1999999999999993</v>
      </c>
      <c r="AX980" s="2">
        <v>18.3</v>
      </c>
      <c r="AY980" s="2">
        <v>0.34</v>
      </c>
      <c r="AZ980" s="2">
        <v>7.3</v>
      </c>
      <c r="BA980" s="2">
        <v>0.9</v>
      </c>
      <c r="BB980" s="2">
        <v>7.5</v>
      </c>
      <c r="BC980" s="2">
        <v>2.9</v>
      </c>
      <c r="BD980" s="2">
        <f>+AN980*EXP(-0.0495*Y980)</f>
        <v>5.9017344511932901</v>
      </c>
      <c r="BE980" s="2">
        <f>+AO980*EXP(-0.024*Y980)</f>
        <v>18.578930650582087</v>
      </c>
    </row>
    <row r="981" spans="1:57" x14ac:dyDescent="0.2">
      <c r="A981" s="2" t="s">
        <v>3853</v>
      </c>
      <c r="B981" s="2" t="s">
        <v>19</v>
      </c>
      <c r="C981" s="2" t="s">
        <v>3245</v>
      </c>
      <c r="D981" s="2" t="s">
        <v>21</v>
      </c>
      <c r="E981" s="2" t="s">
        <v>81</v>
      </c>
      <c r="F981" s="2">
        <v>4</v>
      </c>
      <c r="G981" s="2">
        <v>55</v>
      </c>
      <c r="H981" s="2">
        <v>1</v>
      </c>
      <c r="I981" s="2">
        <v>2</v>
      </c>
      <c r="J981" s="2">
        <v>1</v>
      </c>
      <c r="K981" s="2" t="s">
        <v>61</v>
      </c>
      <c r="L981" s="6" t="s">
        <v>75</v>
      </c>
      <c r="M981" s="5">
        <v>430000000</v>
      </c>
      <c r="N981" s="2">
        <v>0</v>
      </c>
      <c r="O981" s="2">
        <v>4.6474010000000003</v>
      </c>
      <c r="P981" s="2">
        <v>-74.0530227</v>
      </c>
      <c r="Q981" s="2" t="s">
        <v>3854</v>
      </c>
      <c r="R981" s="2">
        <v>7818181.818</v>
      </c>
      <c r="S981" s="2">
        <v>0</v>
      </c>
      <c r="T981" s="2" t="s">
        <v>77</v>
      </c>
      <c r="U981" s="2" t="s">
        <v>78</v>
      </c>
      <c r="V981" s="2" t="s">
        <v>28</v>
      </c>
      <c r="W981" s="2" t="s">
        <v>79</v>
      </c>
      <c r="X981" s="2" t="s">
        <v>80</v>
      </c>
      <c r="Y981" s="2">
        <v>2.8896171102183099</v>
      </c>
      <c r="Z981" s="2">
        <v>4.6254861111111101</v>
      </c>
      <c r="AA981" s="2">
        <v>-74.066980555555503</v>
      </c>
      <c r="AB981" s="2">
        <v>2621</v>
      </c>
      <c r="AC981" s="2" t="s">
        <v>31</v>
      </c>
      <c r="AD981" s="2" t="s">
        <v>32</v>
      </c>
      <c r="AE981" s="2" t="s">
        <v>33</v>
      </c>
      <c r="AF981" s="2" t="s">
        <v>34</v>
      </c>
      <c r="AG981" s="2" t="s">
        <v>81</v>
      </c>
      <c r="AH981" s="2">
        <v>1.3184267805704499</v>
      </c>
      <c r="AI981" s="2">
        <v>0.117274598796046</v>
      </c>
      <c r="AJ981" s="2">
        <v>0.539735733090699</v>
      </c>
      <c r="AK981" s="2">
        <v>0.51254981589682702</v>
      </c>
      <c r="AL981" s="2">
        <v>0.39185680193917899</v>
      </c>
      <c r="AN981" s="2">
        <v>6.8</v>
      </c>
      <c r="AO981" s="2">
        <v>19.899999999999999</v>
      </c>
      <c r="AP981" s="2">
        <v>564</v>
      </c>
      <c r="AQ981" s="2">
        <v>68</v>
      </c>
      <c r="AR981" s="2">
        <v>1.5</v>
      </c>
      <c r="AS981" s="2">
        <v>135</v>
      </c>
      <c r="AT981" s="2">
        <v>0.8</v>
      </c>
      <c r="AU981" s="2">
        <v>162</v>
      </c>
      <c r="AV981" s="2">
        <v>9.1</v>
      </c>
      <c r="AW981" s="2">
        <v>9.1999999999999993</v>
      </c>
      <c r="AX981" s="2">
        <v>18.3</v>
      </c>
      <c r="AY981" s="2">
        <v>0.34</v>
      </c>
      <c r="AZ981" s="2">
        <v>7.3</v>
      </c>
      <c r="BA981" s="2">
        <v>0.9</v>
      </c>
      <c r="BB981" s="2">
        <v>7.5</v>
      </c>
      <c r="BC981" s="2">
        <v>2.9</v>
      </c>
      <c r="BD981" s="2">
        <f>+AN981*EXP(-0.0495*Y981)</f>
        <v>5.8937152141683216</v>
      </c>
      <c r="BE981" s="2">
        <f>+AO981*EXP(-0.024*Y981)</f>
        <v>18.566686399703276</v>
      </c>
    </row>
    <row r="982" spans="1:57" x14ac:dyDescent="0.2">
      <c r="A982" s="2" t="s">
        <v>4000</v>
      </c>
      <c r="B982" s="2" t="s">
        <v>19</v>
      </c>
      <c r="C982" s="2" t="s">
        <v>3245</v>
      </c>
      <c r="D982" s="2" t="s">
        <v>21</v>
      </c>
      <c r="E982" s="2" t="s">
        <v>3749</v>
      </c>
      <c r="F982" s="2">
        <v>4</v>
      </c>
      <c r="G982" s="2">
        <v>55</v>
      </c>
      <c r="H982" s="2">
        <v>1</v>
      </c>
      <c r="I982" s="2">
        <v>2</v>
      </c>
      <c r="J982" s="2">
        <v>1</v>
      </c>
      <c r="K982" s="2" t="s">
        <v>61</v>
      </c>
      <c r="L982" s="6" t="s">
        <v>75</v>
      </c>
      <c r="M982" s="5">
        <v>390000000</v>
      </c>
      <c r="N982" s="2">
        <v>0</v>
      </c>
      <c r="O982" s="2">
        <v>4.6380949999999999</v>
      </c>
      <c r="P982" s="2">
        <v>-74.078384</v>
      </c>
      <c r="Q982" s="2" t="s">
        <v>4001</v>
      </c>
      <c r="R982" s="2">
        <v>7090909.091</v>
      </c>
      <c r="S982" s="2">
        <v>0</v>
      </c>
      <c r="T982" s="2" t="s">
        <v>77</v>
      </c>
      <c r="U982" s="2" t="s">
        <v>78</v>
      </c>
      <c r="V982" s="2" t="s">
        <v>28</v>
      </c>
      <c r="W982" s="2" t="s">
        <v>79</v>
      </c>
      <c r="X982" s="2" t="s">
        <v>80</v>
      </c>
      <c r="Y982" s="2">
        <v>1.8897271561331901</v>
      </c>
      <c r="Z982" s="2">
        <v>4.6254861111111101</v>
      </c>
      <c r="AA982" s="2">
        <v>-74.066980555555503</v>
      </c>
      <c r="AB982" s="2">
        <v>2621</v>
      </c>
      <c r="AC982" s="2" t="s">
        <v>31</v>
      </c>
      <c r="AD982" s="2" t="s">
        <v>32</v>
      </c>
      <c r="AE982" s="2" t="s">
        <v>33</v>
      </c>
      <c r="AF982" s="2" t="s">
        <v>34</v>
      </c>
      <c r="AG982" s="2" t="s">
        <v>35</v>
      </c>
      <c r="AH982" s="2">
        <v>0.15000161370454701</v>
      </c>
      <c r="AI982" s="2">
        <v>2.1013795210903701</v>
      </c>
      <c r="AJ982" s="2">
        <v>0.22441009641596299</v>
      </c>
      <c r="AK982" s="2">
        <v>1.7120924186914601E-2</v>
      </c>
      <c r="AL982" s="2">
        <v>0.57466715507520905</v>
      </c>
      <c r="AN982" s="2">
        <v>6.8</v>
      </c>
      <c r="AO982" s="2">
        <v>19.899999999999999</v>
      </c>
      <c r="AP982" s="2">
        <v>564</v>
      </c>
      <c r="AQ982" s="2">
        <v>68</v>
      </c>
      <c r="AR982" s="2">
        <v>1.5</v>
      </c>
      <c r="AS982" s="2">
        <v>135</v>
      </c>
      <c r="AT982" s="2">
        <v>0.8</v>
      </c>
      <c r="AU982" s="2">
        <v>162</v>
      </c>
      <c r="AV982" s="2">
        <v>9.1</v>
      </c>
      <c r="AW982" s="2">
        <v>9.1999999999999993</v>
      </c>
      <c r="AX982" s="2">
        <v>18.3</v>
      </c>
      <c r="AY982" s="2">
        <v>0.34</v>
      </c>
      <c r="AZ982" s="2">
        <v>7.3</v>
      </c>
      <c r="BA982" s="2">
        <v>0.9</v>
      </c>
      <c r="BB982" s="2">
        <v>7.5</v>
      </c>
      <c r="BC982" s="2">
        <v>2.9</v>
      </c>
      <c r="BD982" s="2">
        <f>+AN982*EXP(-0.0495*Y982)</f>
        <v>6.1927615493034738</v>
      </c>
      <c r="BE982" s="2">
        <f>+AO982*EXP(-0.024*Y982)</f>
        <v>19.017626886969634</v>
      </c>
    </row>
    <row r="983" spans="1:57" x14ac:dyDescent="0.2">
      <c r="A983" s="2" t="s">
        <v>623</v>
      </c>
      <c r="B983" s="2" t="s">
        <v>19</v>
      </c>
      <c r="C983" s="2" t="s">
        <v>20</v>
      </c>
      <c r="D983" s="2" t="s">
        <v>21</v>
      </c>
      <c r="E983" s="2" t="s">
        <v>624</v>
      </c>
      <c r="F983" s="2">
        <v>3</v>
      </c>
      <c r="G983" s="2">
        <v>55</v>
      </c>
      <c r="H983" s="2">
        <v>3</v>
      </c>
      <c r="I983" s="2">
        <v>2</v>
      </c>
      <c r="J983" s="2">
        <v>1</v>
      </c>
      <c r="K983" s="2" t="s">
        <v>61</v>
      </c>
      <c r="L983" s="6" t="s">
        <v>62</v>
      </c>
      <c r="M983" s="5">
        <v>345000000</v>
      </c>
      <c r="N983" s="2">
        <v>0</v>
      </c>
      <c r="O983" s="2">
        <v>4.6770420000000001</v>
      </c>
      <c r="P983" s="2">
        <v>-74.076849999999993</v>
      </c>
      <c r="Q983" s="2" t="s">
        <v>625</v>
      </c>
      <c r="R983" s="2">
        <v>6272727.273</v>
      </c>
      <c r="S983" s="2">
        <v>0</v>
      </c>
      <c r="T983" s="2" t="s">
        <v>26</v>
      </c>
      <c r="U983" s="2" t="s">
        <v>27</v>
      </c>
      <c r="V983" s="2" t="s">
        <v>28</v>
      </c>
      <c r="W983" s="2" t="s">
        <v>29</v>
      </c>
      <c r="X983" s="2" t="s">
        <v>30</v>
      </c>
      <c r="Y983" s="2">
        <v>2.2134238392532399</v>
      </c>
      <c r="Z983" s="2">
        <v>4.6584666666666701</v>
      </c>
      <c r="AA983" s="2">
        <v>-74.083966666666697</v>
      </c>
      <c r="AB983" s="2">
        <v>2552</v>
      </c>
      <c r="AC983" s="2" t="s">
        <v>31</v>
      </c>
      <c r="AD983" s="2" t="s">
        <v>32</v>
      </c>
      <c r="AE983" s="2" t="s">
        <v>33</v>
      </c>
      <c r="AF983" s="2" t="s">
        <v>34</v>
      </c>
      <c r="AG983" s="2" t="s">
        <v>293</v>
      </c>
      <c r="AH983" s="2">
        <v>0.406375873866338</v>
      </c>
      <c r="AI983" s="2">
        <v>3.76894591210741</v>
      </c>
      <c r="AJ983" s="2">
        <v>1.0894751786660299</v>
      </c>
      <c r="AK983" s="2">
        <v>7.9422478938128899E-2</v>
      </c>
      <c r="AL983" s="2">
        <v>3.4119630507472798E-2</v>
      </c>
      <c r="AN983" s="2">
        <v>6.8</v>
      </c>
      <c r="AO983" s="2">
        <v>19.899999999999999</v>
      </c>
      <c r="AP983" s="2">
        <v>564</v>
      </c>
      <c r="AQ983" s="2">
        <v>68</v>
      </c>
      <c r="AR983" s="2">
        <v>1.5</v>
      </c>
      <c r="AS983" s="2">
        <v>135</v>
      </c>
      <c r="AT983" s="2">
        <v>0.8</v>
      </c>
      <c r="AU983" s="2">
        <v>162</v>
      </c>
      <c r="AV983" s="2">
        <v>9.1</v>
      </c>
      <c r="AW983" s="2">
        <v>9.1999999999999993</v>
      </c>
      <c r="AX983" s="2">
        <v>18.3</v>
      </c>
      <c r="AY983" s="2">
        <v>0.34</v>
      </c>
      <c r="AZ983" s="2">
        <v>7.3</v>
      </c>
      <c r="BA983" s="2">
        <v>0.9</v>
      </c>
      <c r="BB983" s="2">
        <v>7.5</v>
      </c>
      <c r="BC983" s="2">
        <v>2.9</v>
      </c>
      <c r="BD983" s="2">
        <f>+AN983*EXP(-0.0495*Y983)</f>
        <v>6.0943257426067978</v>
      </c>
      <c r="BE983" s="2">
        <f>+AO983*EXP(-0.024*Y983)</f>
        <v>18.870456663448916</v>
      </c>
    </row>
    <row r="984" spans="1:57" x14ac:dyDescent="0.2">
      <c r="A984" s="2" t="s">
        <v>744</v>
      </c>
      <c r="B984" s="2" t="s">
        <v>19</v>
      </c>
      <c r="C984" s="2" t="s">
        <v>20</v>
      </c>
      <c r="D984" s="2" t="s">
        <v>21</v>
      </c>
      <c r="E984" s="2" t="s">
        <v>745</v>
      </c>
      <c r="F984" s="2">
        <v>2</v>
      </c>
      <c r="G984" s="2">
        <v>54.9</v>
      </c>
      <c r="H984" s="2">
        <v>3</v>
      </c>
      <c r="I984" s="2">
        <v>2</v>
      </c>
      <c r="J984" s="2">
        <v>0</v>
      </c>
      <c r="K984" s="2" t="s">
        <v>23</v>
      </c>
      <c r="L984" s="6" t="s">
        <v>24</v>
      </c>
      <c r="M984" s="5">
        <v>234110000</v>
      </c>
      <c r="N984" s="2">
        <v>0</v>
      </c>
      <c r="O984" s="2">
        <v>4.6293844999999996</v>
      </c>
      <c r="P984" s="2">
        <v>-74.207579999999993</v>
      </c>
      <c r="Q984" s="2" t="s">
        <v>746</v>
      </c>
      <c r="R984" s="2">
        <v>4264298.7249999996</v>
      </c>
      <c r="S984" s="2">
        <v>0</v>
      </c>
      <c r="T984" s="2" t="s">
        <v>316</v>
      </c>
      <c r="U984" s="2" t="s">
        <v>317</v>
      </c>
      <c r="V984" s="2" t="s">
        <v>28</v>
      </c>
      <c r="W984" s="2" t="s">
        <v>316</v>
      </c>
      <c r="X984" s="2" t="s">
        <v>318</v>
      </c>
      <c r="Y984" s="2">
        <v>2.6751795149599298</v>
      </c>
      <c r="Z984" s="2">
        <v>4.6056111111111102</v>
      </c>
      <c r="AA984" s="2">
        <v>-74.204055555555598</v>
      </c>
      <c r="AB984" s="2">
        <v>2546</v>
      </c>
      <c r="AC984" s="2" t="s">
        <v>31</v>
      </c>
      <c r="AD984" s="2" t="s">
        <v>58</v>
      </c>
      <c r="AE984" s="2" t="s">
        <v>33</v>
      </c>
      <c r="AF984" s="2" t="s">
        <v>34</v>
      </c>
      <c r="AG984" s="2" t="s">
        <v>319</v>
      </c>
      <c r="AH984" s="2">
        <v>3.82822816552018</v>
      </c>
      <c r="AI984" s="2">
        <v>0.61157518878163797</v>
      </c>
      <c r="AJ984" s="2">
        <v>8.6361610867448295</v>
      </c>
      <c r="AK984" s="2">
        <v>1.38699368470878</v>
      </c>
      <c r="AL984" s="2">
        <v>0.19560391940189301</v>
      </c>
      <c r="AN984" s="2">
        <v>6.8</v>
      </c>
      <c r="AO984" s="2">
        <v>19.899999999999999</v>
      </c>
      <c r="AP984" s="2">
        <v>564</v>
      </c>
      <c r="AQ984" s="2">
        <v>68</v>
      </c>
      <c r="AR984" s="2">
        <v>1.5</v>
      </c>
      <c r="AS984" s="2">
        <v>135</v>
      </c>
      <c r="AT984" s="2">
        <v>0.8</v>
      </c>
      <c r="AU984" s="2">
        <v>162</v>
      </c>
      <c r="AV984" s="2">
        <v>9.1</v>
      </c>
      <c r="AW984" s="2">
        <v>9.1999999999999993</v>
      </c>
      <c r="AX984" s="2">
        <v>18.3</v>
      </c>
      <c r="AY984" s="2">
        <v>0.34</v>
      </c>
      <c r="AZ984" s="2">
        <v>7.3</v>
      </c>
      <c r="BA984" s="2">
        <v>0.9</v>
      </c>
      <c r="BB984" s="2">
        <v>7.5</v>
      </c>
      <c r="BC984" s="2">
        <v>2.9</v>
      </c>
      <c r="BD984" s="2">
        <f>+AN984*EXP(-0.0495*Y984)</f>
        <v>5.9566082063702854</v>
      </c>
      <c r="BE984" s="2">
        <f>+AO984*EXP(-0.024*Y984)</f>
        <v>18.662486199200185</v>
      </c>
    </row>
    <row r="985" spans="1:57" x14ac:dyDescent="0.2">
      <c r="A985" s="2" t="s">
        <v>1581</v>
      </c>
      <c r="B985" s="2" t="s">
        <v>19</v>
      </c>
      <c r="C985" s="2" t="s">
        <v>20</v>
      </c>
      <c r="D985" s="2" t="s">
        <v>21</v>
      </c>
      <c r="E985" s="2" t="s">
        <v>578</v>
      </c>
      <c r="F985" s="2">
        <v>4</v>
      </c>
      <c r="G985" s="2">
        <v>54.36</v>
      </c>
      <c r="H985" s="2">
        <v>2</v>
      </c>
      <c r="I985" s="2">
        <v>2</v>
      </c>
      <c r="J985" s="2">
        <v>1</v>
      </c>
      <c r="K985" s="2" t="s">
        <v>61</v>
      </c>
      <c r="L985" s="6" t="s">
        <v>84</v>
      </c>
      <c r="M985" s="5">
        <v>370000000</v>
      </c>
      <c r="N985" s="2">
        <v>0</v>
      </c>
      <c r="O985" s="2">
        <v>4.7232019999999997</v>
      </c>
      <c r="P985" s="2">
        <v>-74.126239999999996</v>
      </c>
      <c r="Q985" s="2" t="s">
        <v>1582</v>
      </c>
      <c r="R985" s="2">
        <v>6806475.3499999996</v>
      </c>
      <c r="S985" s="2">
        <v>0</v>
      </c>
      <c r="T985" s="2" t="s">
        <v>370</v>
      </c>
      <c r="U985" s="2" t="s">
        <v>371</v>
      </c>
      <c r="V985" s="2" t="s">
        <v>28</v>
      </c>
      <c r="W985" s="2" t="s">
        <v>29</v>
      </c>
      <c r="X985" s="2" t="s">
        <v>372</v>
      </c>
      <c r="Y985" s="2">
        <v>1.4035620053458999</v>
      </c>
      <c r="Z985" s="2">
        <v>4.7358055555555598</v>
      </c>
      <c r="AA985" s="2">
        <v>-74.125888888888895</v>
      </c>
      <c r="AB985" s="2">
        <v>2574</v>
      </c>
      <c r="AC985" s="2" t="s">
        <v>105</v>
      </c>
      <c r="AD985" s="2" t="s">
        <v>58</v>
      </c>
      <c r="AE985" s="2" t="s">
        <v>33</v>
      </c>
      <c r="AF985" s="2" t="s">
        <v>34</v>
      </c>
      <c r="AG985" s="2" t="s">
        <v>363</v>
      </c>
      <c r="AH985" s="2">
        <v>2.2863482310510999</v>
      </c>
      <c r="AI985" s="2">
        <v>0.15029786043335</v>
      </c>
      <c r="AJ985" s="2">
        <v>3.9560573403333601</v>
      </c>
      <c r="AK985" s="2">
        <v>0.255207974049179</v>
      </c>
      <c r="AL985" s="2">
        <v>4.92918903147268E-3</v>
      </c>
      <c r="AN985" s="2">
        <v>6.8</v>
      </c>
      <c r="AO985" s="2">
        <v>19.899999999999999</v>
      </c>
      <c r="AP985" s="2">
        <v>564</v>
      </c>
      <c r="AQ985" s="2">
        <v>68</v>
      </c>
      <c r="AR985" s="2">
        <v>1.5</v>
      </c>
      <c r="AS985" s="2">
        <v>135</v>
      </c>
      <c r="AT985" s="2">
        <v>0.8</v>
      </c>
      <c r="AU985" s="2">
        <v>162</v>
      </c>
      <c r="AV985" s="2">
        <v>9.1</v>
      </c>
      <c r="AW985" s="2">
        <v>9.1999999999999993</v>
      </c>
      <c r="AX985" s="2">
        <v>18.3</v>
      </c>
      <c r="AY985" s="2">
        <v>0.34</v>
      </c>
      <c r="AZ985" s="2">
        <v>7.3</v>
      </c>
      <c r="BA985" s="2">
        <v>0.9</v>
      </c>
      <c r="BB985" s="2">
        <v>7.5</v>
      </c>
      <c r="BC985" s="2">
        <v>2.9</v>
      </c>
      <c r="BD985" s="2">
        <f>+AN985*EXP(-0.0495*Y985)</f>
        <v>6.3435991263285763</v>
      </c>
      <c r="BE985" s="2">
        <f>+AO985*EXP(-0.024*Y985)</f>
        <v>19.240823458155813</v>
      </c>
    </row>
    <row r="986" spans="1:57" x14ac:dyDescent="0.2">
      <c r="A986" s="2" t="s">
        <v>4169</v>
      </c>
      <c r="B986" s="2" t="s">
        <v>19</v>
      </c>
      <c r="C986" s="2" t="s">
        <v>3245</v>
      </c>
      <c r="D986" s="2" t="s">
        <v>21</v>
      </c>
      <c r="E986" s="2" t="s">
        <v>1481</v>
      </c>
      <c r="F986" s="2">
        <v>3</v>
      </c>
      <c r="G986" s="2">
        <v>54</v>
      </c>
      <c r="H986" s="2">
        <v>1</v>
      </c>
      <c r="I986" s="2">
        <v>1</v>
      </c>
      <c r="J986" s="2">
        <v>1</v>
      </c>
      <c r="K986" s="2" t="s">
        <v>61</v>
      </c>
      <c r="L986" s="6" t="s">
        <v>62</v>
      </c>
      <c r="M986" s="5">
        <v>660000000</v>
      </c>
      <c r="N986" s="2">
        <v>0</v>
      </c>
      <c r="O986" s="2">
        <v>4.6182479860000001</v>
      </c>
      <c r="P986" s="2">
        <v>-74.067604059999994</v>
      </c>
      <c r="Q986" s="2" t="s">
        <v>4170</v>
      </c>
      <c r="R986" s="2">
        <v>12222222.220000001</v>
      </c>
      <c r="S986" s="2">
        <v>0</v>
      </c>
      <c r="T986" s="2" t="s">
        <v>77</v>
      </c>
      <c r="U986" s="2" t="s">
        <v>78</v>
      </c>
      <c r="V986" s="2" t="s">
        <v>28</v>
      </c>
      <c r="W986" s="2" t="s">
        <v>79</v>
      </c>
      <c r="X986" s="2" t="s">
        <v>80</v>
      </c>
      <c r="Y986" s="2">
        <v>0.80870900730704798</v>
      </c>
      <c r="Z986" s="2">
        <v>4.6254861111111101</v>
      </c>
      <c r="AA986" s="2">
        <v>-74.066980555555503</v>
      </c>
      <c r="AB986" s="2">
        <v>2621</v>
      </c>
      <c r="AC986" s="2" t="s">
        <v>31</v>
      </c>
      <c r="AD986" s="2" t="s">
        <v>32</v>
      </c>
      <c r="AE986" s="2" t="s">
        <v>33</v>
      </c>
      <c r="AF986" s="2" t="s">
        <v>34</v>
      </c>
      <c r="AG986" s="2" t="s">
        <v>89</v>
      </c>
      <c r="AH986" s="2">
        <v>0.37728943586000002</v>
      </c>
      <c r="AI986" s="2">
        <v>0.54814671608964205</v>
      </c>
      <c r="AJ986" s="2">
        <v>0.33706103228955397</v>
      </c>
      <c r="AK986" s="2">
        <v>6.9678573708152197E-2</v>
      </c>
      <c r="AL986" s="2">
        <v>0.14293296740255401</v>
      </c>
      <c r="AN986" s="2">
        <v>6.8</v>
      </c>
      <c r="AO986" s="2">
        <v>19.899999999999999</v>
      </c>
      <c r="AP986" s="2">
        <v>564</v>
      </c>
      <c r="AQ986" s="2">
        <v>68</v>
      </c>
      <c r="AR986" s="2">
        <v>1.5</v>
      </c>
      <c r="AS986" s="2">
        <v>135</v>
      </c>
      <c r="AT986" s="2">
        <v>0.8</v>
      </c>
      <c r="AU986" s="2">
        <v>162</v>
      </c>
      <c r="AV986" s="2">
        <v>9.1</v>
      </c>
      <c r="AW986" s="2">
        <v>9.1999999999999993</v>
      </c>
      <c r="AX986" s="2">
        <v>18.3</v>
      </c>
      <c r="AY986" s="2">
        <v>0.34</v>
      </c>
      <c r="AZ986" s="2">
        <v>7.3</v>
      </c>
      <c r="BA986" s="2">
        <v>0.9</v>
      </c>
      <c r="BB986" s="2">
        <v>7.5</v>
      </c>
      <c r="BC986" s="2">
        <v>2.9</v>
      </c>
      <c r="BD986" s="2">
        <f>+AN986*EXP(-0.0495*Y986)</f>
        <v>6.5331650286809468</v>
      </c>
      <c r="BE986" s="2">
        <f>+AO986*EXP(-0.024*Y986)</f>
        <v>19.517484708879476</v>
      </c>
    </row>
    <row r="987" spans="1:57" x14ac:dyDescent="0.2">
      <c r="A987" s="2" t="s">
        <v>3509</v>
      </c>
      <c r="B987" s="2" t="s">
        <v>19</v>
      </c>
      <c r="C987" s="2" t="s">
        <v>3245</v>
      </c>
      <c r="D987" s="2" t="s">
        <v>21</v>
      </c>
      <c r="E987" s="2" t="s">
        <v>3510</v>
      </c>
      <c r="F987" s="2">
        <v>4</v>
      </c>
      <c r="G987" s="2">
        <v>54</v>
      </c>
      <c r="H987" s="2">
        <v>1</v>
      </c>
      <c r="I987" s="2">
        <v>2</v>
      </c>
      <c r="J987" s="2">
        <v>1</v>
      </c>
      <c r="K987" s="2" t="s">
        <v>61</v>
      </c>
      <c r="L987" s="6" t="s">
        <v>84</v>
      </c>
      <c r="M987" s="5">
        <v>600000000</v>
      </c>
      <c r="N987" s="2">
        <v>0</v>
      </c>
      <c r="O987" s="2">
        <v>4.6192099999999998</v>
      </c>
      <c r="P987" s="2">
        <v>-74.066559999999996</v>
      </c>
      <c r="Q987" s="2" t="s">
        <v>3511</v>
      </c>
      <c r="R987" s="2">
        <v>11111111.109999999</v>
      </c>
      <c r="S987" s="2">
        <v>0</v>
      </c>
      <c r="T987" s="2" t="s">
        <v>77</v>
      </c>
      <c r="U987" s="2" t="s">
        <v>78</v>
      </c>
      <c r="V987" s="2" t="s">
        <v>28</v>
      </c>
      <c r="W987" s="2" t="s">
        <v>79</v>
      </c>
      <c r="X987" s="2" t="s">
        <v>80</v>
      </c>
      <c r="Y987" s="2">
        <v>0.70021011849888604</v>
      </c>
      <c r="Z987" s="2">
        <v>4.6254861111111101</v>
      </c>
      <c r="AA987" s="2">
        <v>-74.066980555555503</v>
      </c>
      <c r="AB987" s="2">
        <v>2621</v>
      </c>
      <c r="AC987" s="2" t="s">
        <v>31</v>
      </c>
      <c r="AD987" s="2" t="s">
        <v>32</v>
      </c>
      <c r="AE987" s="2" t="s">
        <v>33</v>
      </c>
      <c r="AF987" s="2" t="s">
        <v>34</v>
      </c>
      <c r="AG987" s="2" t="s">
        <v>89</v>
      </c>
      <c r="AH987" s="2">
        <v>0.437110709726445</v>
      </c>
      <c r="AI987" s="2">
        <v>0.51822644484147695</v>
      </c>
      <c r="AJ987" s="2">
        <v>0.19519738183201299</v>
      </c>
      <c r="AK987" s="2">
        <v>0.13292359280176899</v>
      </c>
      <c r="AL987" s="2">
        <v>0.10740463668863</v>
      </c>
      <c r="AN987" s="2">
        <v>6.8</v>
      </c>
      <c r="AO987" s="2">
        <v>19.899999999999999</v>
      </c>
      <c r="AP987" s="2">
        <v>564</v>
      </c>
      <c r="AQ987" s="2">
        <v>68</v>
      </c>
      <c r="AR987" s="2">
        <v>1.5</v>
      </c>
      <c r="AS987" s="2">
        <v>135</v>
      </c>
      <c r="AT987" s="2">
        <v>0.8</v>
      </c>
      <c r="AU987" s="2">
        <v>162</v>
      </c>
      <c r="AV987" s="2">
        <v>9.1</v>
      </c>
      <c r="AW987" s="2">
        <v>9.1999999999999993</v>
      </c>
      <c r="AX987" s="2">
        <v>18.3</v>
      </c>
      <c r="AY987" s="2">
        <v>0.34</v>
      </c>
      <c r="AZ987" s="2">
        <v>7.3</v>
      </c>
      <c r="BA987" s="2">
        <v>0.9</v>
      </c>
      <c r="BB987" s="2">
        <v>7.5</v>
      </c>
      <c r="BC987" s="2">
        <v>2.9</v>
      </c>
      <c r="BD987" s="2">
        <f>+AN987*EXP(-0.0495*Y987)</f>
        <v>6.5683470568128737</v>
      </c>
      <c r="BE987" s="2">
        <f>+AO987*EXP(-0.024*Y987)</f>
        <v>19.568373946911382</v>
      </c>
    </row>
    <row r="988" spans="1:57" x14ac:dyDescent="0.2">
      <c r="A988" s="2" t="s">
        <v>4167</v>
      </c>
      <c r="B988" s="2" t="s">
        <v>19</v>
      </c>
      <c r="C988" s="2" t="s">
        <v>3245</v>
      </c>
      <c r="D988" s="2" t="s">
        <v>21</v>
      </c>
      <c r="E988" s="2" t="s">
        <v>59</v>
      </c>
      <c r="F988" s="2">
        <v>6</v>
      </c>
      <c r="G988" s="2">
        <v>54</v>
      </c>
      <c r="H988" s="2">
        <v>1</v>
      </c>
      <c r="I988" s="2">
        <v>2</v>
      </c>
      <c r="J988" s="2">
        <v>1</v>
      </c>
      <c r="K988" s="2" t="s">
        <v>61</v>
      </c>
      <c r="L988" s="6" t="s">
        <v>62</v>
      </c>
      <c r="M988" s="5">
        <v>425000000</v>
      </c>
      <c r="N988" s="2">
        <v>0</v>
      </c>
      <c r="O988" s="2">
        <v>4.6068800000000003</v>
      </c>
      <c r="P988" s="2">
        <v>-74.071839999999995</v>
      </c>
      <c r="Q988" s="2" t="s">
        <v>4168</v>
      </c>
      <c r="R988" s="2">
        <v>7870370.3700000001</v>
      </c>
      <c r="S988" s="2">
        <v>0</v>
      </c>
      <c r="T988" s="2" t="s">
        <v>77</v>
      </c>
      <c r="U988" s="2" t="s">
        <v>78</v>
      </c>
      <c r="V988" s="2" t="s">
        <v>28</v>
      </c>
      <c r="W988" s="2" t="s">
        <v>79</v>
      </c>
      <c r="X988" s="2" t="s">
        <v>80</v>
      </c>
      <c r="Y988" s="2">
        <v>2.1402561574389298</v>
      </c>
      <c r="Z988" s="2">
        <v>4.6254861111111101</v>
      </c>
      <c r="AA988" s="2">
        <v>-74.066980555555503</v>
      </c>
      <c r="AB988" s="2">
        <v>2621</v>
      </c>
      <c r="AC988" s="2" t="s">
        <v>31</v>
      </c>
      <c r="AD988" s="2" t="s">
        <v>32</v>
      </c>
      <c r="AE988" s="2" t="s">
        <v>33</v>
      </c>
      <c r="AF988" s="2" t="s">
        <v>34</v>
      </c>
      <c r="AG988" s="2" t="s">
        <v>89</v>
      </c>
      <c r="AH988" s="2">
        <v>0.29008746862006501</v>
      </c>
      <c r="AI988" s="2">
        <v>0.77934653195057702</v>
      </c>
      <c r="AJ988" s="2">
        <v>0.133869760857704</v>
      </c>
      <c r="AK988" s="2">
        <v>0.14893351680112499</v>
      </c>
      <c r="AL988" s="2">
        <v>0.10054457565418499</v>
      </c>
      <c r="AN988" s="2">
        <v>6.8</v>
      </c>
      <c r="AO988" s="2">
        <v>19.899999999999999</v>
      </c>
      <c r="AP988" s="2">
        <v>564</v>
      </c>
      <c r="AQ988" s="2">
        <v>68</v>
      </c>
      <c r="AR988" s="2">
        <v>1.5</v>
      </c>
      <c r="AS988" s="2">
        <v>135</v>
      </c>
      <c r="AT988" s="2">
        <v>0.8</v>
      </c>
      <c r="AU988" s="2">
        <v>162</v>
      </c>
      <c r="AV988" s="2">
        <v>9.1</v>
      </c>
      <c r="AW988" s="2">
        <v>9.1999999999999993</v>
      </c>
      <c r="AX988" s="2">
        <v>18.3</v>
      </c>
      <c r="AY988" s="2">
        <v>0.34</v>
      </c>
      <c r="AZ988" s="2">
        <v>7.3</v>
      </c>
      <c r="BA988" s="2">
        <v>0.9</v>
      </c>
      <c r="BB988" s="2">
        <v>7.5</v>
      </c>
      <c r="BC988" s="2">
        <v>2.9</v>
      </c>
      <c r="BD988" s="2">
        <f>+AN988*EXP(-0.0495*Y988)</f>
        <v>6.1164381923702731</v>
      </c>
      <c r="BE988" s="2">
        <f>+AO988*EXP(-0.024*Y988)</f>
        <v>18.903622756812478</v>
      </c>
    </row>
    <row r="989" spans="1:57" x14ac:dyDescent="0.2">
      <c r="A989" s="2" t="s">
        <v>4193</v>
      </c>
      <c r="B989" s="2" t="s">
        <v>19</v>
      </c>
      <c r="C989" s="2" t="s">
        <v>3245</v>
      </c>
      <c r="D989" s="2" t="s">
        <v>21</v>
      </c>
      <c r="E989" s="2" t="s">
        <v>762</v>
      </c>
      <c r="F989" s="2">
        <v>3</v>
      </c>
      <c r="G989" s="2">
        <v>54</v>
      </c>
      <c r="H989" s="2">
        <v>1</v>
      </c>
      <c r="I989" s="2">
        <v>2</v>
      </c>
      <c r="J989" s="2">
        <v>1</v>
      </c>
      <c r="K989" s="2" t="s">
        <v>61</v>
      </c>
      <c r="L989" s="6" t="s">
        <v>75</v>
      </c>
      <c r="M989" s="5">
        <v>380000000</v>
      </c>
      <c r="N989" s="2">
        <v>0</v>
      </c>
      <c r="O989" s="2">
        <v>4.647738457</v>
      </c>
      <c r="P989" s="2">
        <v>-74.060745240000003</v>
      </c>
      <c r="Q989" s="2" t="s">
        <v>4194</v>
      </c>
      <c r="R989" s="2">
        <v>7037037.0369999995</v>
      </c>
      <c r="S989" s="2">
        <v>0</v>
      </c>
      <c r="T989" s="2" t="s">
        <v>77</v>
      </c>
      <c r="U989" s="2" t="s">
        <v>78</v>
      </c>
      <c r="V989" s="2" t="s">
        <v>28</v>
      </c>
      <c r="W989" s="2" t="s">
        <v>79</v>
      </c>
      <c r="X989" s="2" t="s">
        <v>80</v>
      </c>
      <c r="Y989" s="2">
        <v>2.5719187403758199</v>
      </c>
      <c r="Z989" s="2">
        <v>4.6254861111111101</v>
      </c>
      <c r="AA989" s="2">
        <v>-74.066980555555503</v>
      </c>
      <c r="AB989" s="2">
        <v>2621</v>
      </c>
      <c r="AC989" s="2" t="s">
        <v>31</v>
      </c>
      <c r="AD989" s="2" t="s">
        <v>32</v>
      </c>
      <c r="AE989" s="2" t="s">
        <v>33</v>
      </c>
      <c r="AF989" s="2" t="s">
        <v>34</v>
      </c>
      <c r="AG989" s="2" t="s">
        <v>81</v>
      </c>
      <c r="AH989" s="2">
        <v>0.46331278925005198</v>
      </c>
      <c r="AI989" s="2">
        <v>0.81395841409107605</v>
      </c>
      <c r="AJ989" s="2">
        <v>9.7119936283234107E-2</v>
      </c>
      <c r="AK989" s="2">
        <v>0.101232668154594</v>
      </c>
      <c r="AL989" s="2">
        <v>0.193257046899343</v>
      </c>
      <c r="AN989" s="2">
        <v>6.8</v>
      </c>
      <c r="AO989" s="2">
        <v>19.899999999999999</v>
      </c>
      <c r="AP989" s="2">
        <v>564</v>
      </c>
      <c r="AQ989" s="2">
        <v>68</v>
      </c>
      <c r="AR989" s="2">
        <v>1.5</v>
      </c>
      <c r="AS989" s="2">
        <v>135</v>
      </c>
      <c r="AT989" s="2">
        <v>0.8</v>
      </c>
      <c r="AU989" s="2">
        <v>162</v>
      </c>
      <c r="AV989" s="2">
        <v>9.1</v>
      </c>
      <c r="AW989" s="2">
        <v>9.1999999999999993</v>
      </c>
      <c r="AX989" s="2">
        <v>18.3</v>
      </c>
      <c r="AY989" s="2">
        <v>0.34</v>
      </c>
      <c r="AZ989" s="2">
        <v>7.3</v>
      </c>
      <c r="BA989" s="2">
        <v>0.9</v>
      </c>
      <c r="BB989" s="2">
        <v>7.5</v>
      </c>
      <c r="BC989" s="2">
        <v>2.9</v>
      </c>
      <c r="BD989" s="2">
        <f>+AN989*EXP(-0.0495*Y989)</f>
        <v>5.9871328086407987</v>
      </c>
      <c r="BE989" s="2">
        <f>+AO989*EXP(-0.024*Y989)</f>
        <v>18.708794023615297</v>
      </c>
    </row>
    <row r="990" spans="1:57" x14ac:dyDescent="0.2">
      <c r="A990" s="2" t="s">
        <v>4313</v>
      </c>
      <c r="B990" s="2" t="s">
        <v>19</v>
      </c>
      <c r="C990" s="2" t="s">
        <v>3245</v>
      </c>
      <c r="D990" s="2" t="s">
        <v>21</v>
      </c>
      <c r="E990" s="2" t="s">
        <v>1481</v>
      </c>
      <c r="F990" s="2">
        <v>4</v>
      </c>
      <c r="G990" s="2">
        <v>53.86</v>
      </c>
      <c r="H990" s="2">
        <v>1</v>
      </c>
      <c r="I990" s="2">
        <v>2</v>
      </c>
      <c r="J990" s="2">
        <v>1</v>
      </c>
      <c r="K990" s="2" t="s">
        <v>61</v>
      </c>
      <c r="L990" s="6" t="s">
        <v>84</v>
      </c>
      <c r="M990" s="5">
        <v>460000000</v>
      </c>
      <c r="N990" s="2">
        <v>0</v>
      </c>
      <c r="O990" s="2">
        <v>4.6182499999999997</v>
      </c>
      <c r="P990" s="2">
        <v>-74.067599999999999</v>
      </c>
      <c r="Q990" s="2" t="s">
        <v>4314</v>
      </c>
      <c r="R990" s="2">
        <v>8540660.9729999993</v>
      </c>
      <c r="S990" s="2">
        <v>0</v>
      </c>
      <c r="T990" s="2" t="s">
        <v>77</v>
      </c>
      <c r="U990" s="2" t="s">
        <v>78</v>
      </c>
      <c r="V990" s="2" t="s">
        <v>28</v>
      </c>
      <c r="W990" s="2" t="s">
        <v>79</v>
      </c>
      <c r="X990" s="2" t="s">
        <v>80</v>
      </c>
      <c r="Y990" s="2">
        <v>0.80844720811516801</v>
      </c>
      <c r="Z990" s="2">
        <v>4.6254861111111101</v>
      </c>
      <c r="AA990" s="2">
        <v>-74.066980555555503</v>
      </c>
      <c r="AB990" s="2">
        <v>2621</v>
      </c>
      <c r="AC990" s="2" t="s">
        <v>31</v>
      </c>
      <c r="AD990" s="2" t="s">
        <v>32</v>
      </c>
      <c r="AE990" s="2" t="s">
        <v>33</v>
      </c>
      <c r="AF990" s="2" t="s">
        <v>34</v>
      </c>
      <c r="AG990" s="2" t="s">
        <v>89</v>
      </c>
      <c r="AH990" s="2">
        <v>0.377699870530816</v>
      </c>
      <c r="AI990" s="2">
        <v>0.54785569422110103</v>
      </c>
      <c r="AJ990" s="2">
        <v>0.33665081448388201</v>
      </c>
      <c r="AK990" s="2">
        <v>6.9536496757347702E-2</v>
      </c>
      <c r="AL990" s="2">
        <v>0.14341419106511899</v>
      </c>
      <c r="AN990" s="2">
        <v>6.8</v>
      </c>
      <c r="AO990" s="2">
        <v>19.899999999999999</v>
      </c>
      <c r="AP990" s="2">
        <v>564</v>
      </c>
      <c r="AQ990" s="2">
        <v>68</v>
      </c>
      <c r="AR990" s="2">
        <v>1.5</v>
      </c>
      <c r="AS990" s="2">
        <v>135</v>
      </c>
      <c r="AT990" s="2">
        <v>0.8</v>
      </c>
      <c r="AU990" s="2">
        <v>162</v>
      </c>
      <c r="AV990" s="2">
        <v>9.1</v>
      </c>
      <c r="AW990" s="2">
        <v>9.1999999999999993</v>
      </c>
      <c r="AX990" s="2">
        <v>18.3</v>
      </c>
      <c r="AY990" s="2">
        <v>0.34</v>
      </c>
      <c r="AZ990" s="2">
        <v>7.3</v>
      </c>
      <c r="BA990" s="2">
        <v>0.9</v>
      </c>
      <c r="BB990" s="2">
        <v>7.5</v>
      </c>
      <c r="BC990" s="2">
        <v>2.9</v>
      </c>
      <c r="BD990" s="2">
        <f>+AN990*EXP(-0.0495*Y990)</f>
        <v>6.5332496929071135</v>
      </c>
      <c r="BE990" s="2">
        <f>+AO990*EXP(-0.024*Y990)</f>
        <v>19.517607341146118</v>
      </c>
    </row>
    <row r="991" spans="1:57" x14ac:dyDescent="0.2">
      <c r="A991" s="2" t="s">
        <v>3277</v>
      </c>
      <c r="B991" s="2" t="s">
        <v>19</v>
      </c>
      <c r="C991" s="2" t="s">
        <v>3245</v>
      </c>
      <c r="D991" s="2" t="s">
        <v>21</v>
      </c>
      <c r="E991" s="2" t="s">
        <v>2472</v>
      </c>
      <c r="F991" s="2">
        <v>4</v>
      </c>
      <c r="G991" s="2">
        <v>53.17</v>
      </c>
      <c r="H991" s="2">
        <v>1</v>
      </c>
      <c r="I991" s="2">
        <v>1</v>
      </c>
      <c r="J991" s="2">
        <v>1</v>
      </c>
      <c r="K991" s="2" t="s">
        <v>61</v>
      </c>
      <c r="L991" s="6" t="s">
        <v>62</v>
      </c>
      <c r="M991" s="5">
        <v>650000000</v>
      </c>
      <c r="N991" s="2">
        <v>0</v>
      </c>
      <c r="O991" s="2">
        <v>4.6712499999999997</v>
      </c>
      <c r="P991" s="2">
        <v>-74.064930000000004</v>
      </c>
      <c r="Q991" s="2" t="s">
        <v>3278</v>
      </c>
      <c r="R991" s="2">
        <v>12224938.880000001</v>
      </c>
      <c r="S991" s="2">
        <v>0</v>
      </c>
      <c r="T991" s="2" t="s">
        <v>26</v>
      </c>
      <c r="U991" s="2" t="s">
        <v>27</v>
      </c>
      <c r="V991" s="2" t="s">
        <v>28</v>
      </c>
      <c r="W991" s="2" t="s">
        <v>29</v>
      </c>
      <c r="X991" s="2" t="s">
        <v>30</v>
      </c>
      <c r="Y991" s="2">
        <v>2.5467879479722999</v>
      </c>
      <c r="Z991" s="2">
        <v>4.6584666666666701</v>
      </c>
      <c r="AA991" s="2">
        <v>-74.083966666666697</v>
      </c>
      <c r="AB991" s="2">
        <v>2552</v>
      </c>
      <c r="AC991" s="2" t="s">
        <v>31</v>
      </c>
      <c r="AD991" s="2" t="s">
        <v>32</v>
      </c>
      <c r="AE991" s="2" t="s">
        <v>33</v>
      </c>
      <c r="AF991" s="2" t="s">
        <v>34</v>
      </c>
      <c r="AG991" s="2" t="s">
        <v>293</v>
      </c>
      <c r="AH991" s="2">
        <v>0.136890712308541</v>
      </c>
      <c r="AI991" s="2">
        <v>2.3076183359975002</v>
      </c>
      <c r="AJ991" s="2">
        <v>0.80888925508398402</v>
      </c>
      <c r="AK991" s="2">
        <v>0.12815544697217901</v>
      </c>
      <c r="AL991" s="2">
        <v>4.7779363435587897E-2</v>
      </c>
      <c r="AN991" s="2">
        <v>6.8</v>
      </c>
      <c r="AO991" s="2">
        <v>19.899999999999999</v>
      </c>
      <c r="AP991" s="2">
        <v>564</v>
      </c>
      <c r="AQ991" s="2">
        <v>68</v>
      </c>
      <c r="AR991" s="2">
        <v>1.5</v>
      </c>
      <c r="AS991" s="2">
        <v>135</v>
      </c>
      <c r="AT991" s="2">
        <v>0.8</v>
      </c>
      <c r="AU991" s="2">
        <v>162</v>
      </c>
      <c r="AV991" s="2">
        <v>9.1</v>
      </c>
      <c r="AW991" s="2">
        <v>9.1999999999999993</v>
      </c>
      <c r="AX991" s="2">
        <v>18.3</v>
      </c>
      <c r="AY991" s="2">
        <v>0.34</v>
      </c>
      <c r="AZ991" s="2">
        <v>7.3</v>
      </c>
      <c r="BA991" s="2">
        <v>0.9</v>
      </c>
      <c r="BB991" s="2">
        <v>7.5</v>
      </c>
      <c r="BC991" s="2">
        <v>2.9</v>
      </c>
      <c r="BD991" s="2">
        <f>+AN991*EXP(-0.0495*Y991)</f>
        <v>5.9945852819115446</v>
      </c>
      <c r="BE991" s="2">
        <f>+AO991*EXP(-0.024*Y991)</f>
        <v>18.720081430860446</v>
      </c>
    </row>
    <row r="992" spans="1:57" x14ac:dyDescent="0.2">
      <c r="A992" s="2" t="s">
        <v>1122</v>
      </c>
      <c r="B992" s="2" t="s">
        <v>19</v>
      </c>
      <c r="C992" s="2" t="s">
        <v>20</v>
      </c>
      <c r="D992" s="2" t="s">
        <v>21</v>
      </c>
      <c r="E992" s="2" t="s">
        <v>81</v>
      </c>
      <c r="F992" s="2">
        <v>6</v>
      </c>
      <c r="G992" s="2">
        <v>53</v>
      </c>
      <c r="H992" s="2">
        <v>2</v>
      </c>
      <c r="I992" s="2">
        <v>2</v>
      </c>
      <c r="J992" s="2">
        <v>0</v>
      </c>
      <c r="K992" s="2" t="s">
        <v>61</v>
      </c>
      <c r="L992" s="6" t="s">
        <v>62</v>
      </c>
      <c r="M992" s="5">
        <v>745000000</v>
      </c>
      <c r="N992" s="2">
        <v>0</v>
      </c>
      <c r="O992" s="2">
        <v>4.6567067</v>
      </c>
      <c r="P992" s="2">
        <v>-74.067803400000003</v>
      </c>
      <c r="Q992" s="2" t="s">
        <v>1123</v>
      </c>
      <c r="R992" s="2">
        <v>14056603.77</v>
      </c>
      <c r="S992" s="2">
        <v>0</v>
      </c>
      <c r="T992" s="2" t="s">
        <v>26</v>
      </c>
      <c r="U992" s="2" t="s">
        <v>27</v>
      </c>
      <c r="V992" s="2" t="s">
        <v>28</v>
      </c>
      <c r="W992" s="2" t="s">
        <v>29</v>
      </c>
      <c r="X992" s="2" t="s">
        <v>30</v>
      </c>
      <c r="Y992" s="2">
        <v>1.80401502797222</v>
      </c>
      <c r="Z992" s="2">
        <v>4.6584666666666701</v>
      </c>
      <c r="AA992" s="2">
        <v>-74.083966666666697</v>
      </c>
      <c r="AB992" s="2">
        <v>2552</v>
      </c>
      <c r="AC992" s="2" t="s">
        <v>31</v>
      </c>
      <c r="AD992" s="2" t="s">
        <v>32</v>
      </c>
      <c r="AE992" s="2" t="s">
        <v>33</v>
      </c>
      <c r="AF992" s="2" t="s">
        <v>34</v>
      </c>
      <c r="AG992" s="2" t="s">
        <v>293</v>
      </c>
      <c r="AH992" s="2">
        <v>0.56775429968900604</v>
      </c>
      <c r="AI992" s="2">
        <v>2.0368457879939998</v>
      </c>
      <c r="AJ992" s="2">
        <v>0.44985068286999103</v>
      </c>
      <c r="AK992" s="2">
        <v>0.27898090070738901</v>
      </c>
      <c r="AL992" s="2">
        <v>0.109060400395645</v>
      </c>
      <c r="AN992" s="2">
        <v>6.8</v>
      </c>
      <c r="AO992" s="2">
        <v>19.899999999999999</v>
      </c>
      <c r="AP992" s="2">
        <v>564</v>
      </c>
      <c r="AQ992" s="2">
        <v>68</v>
      </c>
      <c r="AR992" s="2">
        <v>1.5</v>
      </c>
      <c r="AS992" s="2">
        <v>135</v>
      </c>
      <c r="AT992" s="2">
        <v>0.8</v>
      </c>
      <c r="AU992" s="2">
        <v>162</v>
      </c>
      <c r="AV992" s="2">
        <v>9.1</v>
      </c>
      <c r="AW992" s="2">
        <v>9.1999999999999993</v>
      </c>
      <c r="AX992" s="2">
        <v>18.3</v>
      </c>
      <c r="AY992" s="2">
        <v>0.34</v>
      </c>
      <c r="AZ992" s="2">
        <v>7.3</v>
      </c>
      <c r="BA992" s="2">
        <v>0.9</v>
      </c>
      <c r="BB992" s="2">
        <v>7.5</v>
      </c>
      <c r="BC992" s="2">
        <v>2.9</v>
      </c>
      <c r="BD992" s="2">
        <f>+AN992*EXP(-0.0495*Y992)</f>
        <v>6.2190917071427414</v>
      </c>
      <c r="BE992" s="2">
        <f>+AO992*EXP(-0.024*Y992)</f>
        <v>19.056788142848266</v>
      </c>
    </row>
    <row r="993" spans="1:57" x14ac:dyDescent="0.2">
      <c r="A993" s="2" t="s">
        <v>3949</v>
      </c>
      <c r="B993" s="2" t="s">
        <v>19</v>
      </c>
      <c r="C993" s="2" t="s">
        <v>3245</v>
      </c>
      <c r="D993" s="2" t="s">
        <v>21</v>
      </c>
      <c r="E993" s="2" t="s">
        <v>1197</v>
      </c>
      <c r="F993" s="2">
        <v>6</v>
      </c>
      <c r="G993" s="2">
        <v>53</v>
      </c>
      <c r="H993" s="2">
        <v>1</v>
      </c>
      <c r="I993" s="2">
        <v>2</v>
      </c>
      <c r="J993" s="2">
        <v>2</v>
      </c>
      <c r="K993" s="2" t="s">
        <v>61</v>
      </c>
      <c r="L993" s="6" t="s">
        <v>62</v>
      </c>
      <c r="M993" s="5">
        <v>720000000</v>
      </c>
      <c r="N993" s="2">
        <v>0</v>
      </c>
      <c r="O993" s="2">
        <v>4.6740399999999998</v>
      </c>
      <c r="P993" s="2">
        <v>-74.05829</v>
      </c>
      <c r="Q993" s="2" t="s">
        <v>3950</v>
      </c>
      <c r="R993" s="2">
        <v>13584905.66</v>
      </c>
      <c r="S993" s="2">
        <v>0</v>
      </c>
      <c r="T993" s="2" t="s">
        <v>26</v>
      </c>
      <c r="U993" s="2" t="s">
        <v>27</v>
      </c>
      <c r="V993" s="2" t="s">
        <v>28</v>
      </c>
      <c r="W993" s="2" t="s">
        <v>29</v>
      </c>
      <c r="X993" s="2" t="s">
        <v>30</v>
      </c>
      <c r="Y993" s="2">
        <v>3.33486271287271</v>
      </c>
      <c r="Z993" s="2">
        <v>4.6584666666666701</v>
      </c>
      <c r="AA993" s="2">
        <v>-74.083966666666697</v>
      </c>
      <c r="AB993" s="2">
        <v>2552</v>
      </c>
      <c r="AC993" s="2" t="s">
        <v>31</v>
      </c>
      <c r="AD993" s="2" t="s">
        <v>32</v>
      </c>
      <c r="AE993" s="2" t="s">
        <v>33</v>
      </c>
      <c r="AF993" s="2" t="s">
        <v>34</v>
      </c>
      <c r="AG993" s="2" t="s">
        <v>81</v>
      </c>
      <c r="AH993" s="2">
        <v>0.230942760932661</v>
      </c>
      <c r="AI993" s="2">
        <v>1.7859161571359401</v>
      </c>
      <c r="AJ993" s="2">
        <v>0.67336818115696895</v>
      </c>
      <c r="AK993" s="2">
        <v>0.103375586257374</v>
      </c>
      <c r="AL993" s="2">
        <v>0.69781735207537499</v>
      </c>
      <c r="AN993" s="2">
        <v>6.8</v>
      </c>
      <c r="AO993" s="2">
        <v>19.899999999999999</v>
      </c>
      <c r="AP993" s="2">
        <v>564</v>
      </c>
      <c r="AQ993" s="2">
        <v>68</v>
      </c>
      <c r="AR993" s="2">
        <v>1.5</v>
      </c>
      <c r="AS993" s="2">
        <v>135</v>
      </c>
      <c r="AT993" s="2">
        <v>0.8</v>
      </c>
      <c r="AU993" s="2">
        <v>162</v>
      </c>
      <c r="AV993" s="2">
        <v>9.1</v>
      </c>
      <c r="AW993" s="2">
        <v>9.1999999999999993</v>
      </c>
      <c r="AX993" s="2">
        <v>18.3</v>
      </c>
      <c r="AY993" s="2">
        <v>0.34</v>
      </c>
      <c r="AZ993" s="2">
        <v>7.3</v>
      </c>
      <c r="BA993" s="2">
        <v>0.9</v>
      </c>
      <c r="BB993" s="2">
        <v>7.5</v>
      </c>
      <c r="BC993" s="2">
        <v>2.9</v>
      </c>
      <c r="BD993" s="2">
        <f>+AN993*EXP(-0.0495*Y993)</f>
        <v>5.7652407178376368</v>
      </c>
      <c r="BE993" s="2">
        <f>+AO993*EXP(-0.024*Y993)</f>
        <v>18.369341032055885</v>
      </c>
    </row>
    <row r="994" spans="1:57" x14ac:dyDescent="0.2">
      <c r="A994" s="2" t="s">
        <v>3620</v>
      </c>
      <c r="B994" s="2" t="s">
        <v>19</v>
      </c>
      <c r="C994" s="2" t="s">
        <v>3245</v>
      </c>
      <c r="D994" s="2" t="s">
        <v>21</v>
      </c>
      <c r="E994" s="2" t="s">
        <v>3510</v>
      </c>
      <c r="F994" s="2">
        <v>4</v>
      </c>
      <c r="G994" s="2">
        <v>53</v>
      </c>
      <c r="H994" s="2">
        <v>1</v>
      </c>
      <c r="I994" s="2">
        <v>2</v>
      </c>
      <c r="J994" s="2">
        <v>0</v>
      </c>
      <c r="K994" s="2" t="s">
        <v>61</v>
      </c>
      <c r="L994" s="6" t="s">
        <v>84</v>
      </c>
      <c r="M994" s="5">
        <v>485000000</v>
      </c>
      <c r="N994" s="2">
        <v>0</v>
      </c>
      <c r="O994" s="2">
        <v>4.6182499999999997</v>
      </c>
      <c r="P994" s="2">
        <v>-74.067359999999994</v>
      </c>
      <c r="Q994" s="2" t="s">
        <v>3621</v>
      </c>
      <c r="R994" s="2">
        <v>9150943.3959999997</v>
      </c>
      <c r="S994" s="2">
        <v>0</v>
      </c>
      <c r="T994" s="2" t="s">
        <v>77</v>
      </c>
      <c r="U994" s="2" t="s">
        <v>78</v>
      </c>
      <c r="V994" s="2" t="s">
        <v>28</v>
      </c>
      <c r="W994" s="2" t="s">
        <v>79</v>
      </c>
      <c r="X994" s="2" t="s">
        <v>80</v>
      </c>
      <c r="Y994" s="2">
        <v>0.806619733998168</v>
      </c>
      <c r="Z994" s="2">
        <v>4.6254861111111101</v>
      </c>
      <c r="AA994" s="2">
        <v>-74.066980555555503</v>
      </c>
      <c r="AB994" s="2">
        <v>2621</v>
      </c>
      <c r="AC994" s="2" t="s">
        <v>31</v>
      </c>
      <c r="AD994" s="2" t="s">
        <v>32</v>
      </c>
      <c r="AE994" s="2" t="s">
        <v>33</v>
      </c>
      <c r="AF994" s="2" t="s">
        <v>34</v>
      </c>
      <c r="AG994" s="2" t="s">
        <v>89</v>
      </c>
      <c r="AH994" s="2">
        <v>0.39110829763132199</v>
      </c>
      <c r="AI994" s="2">
        <v>0.52457518211626197</v>
      </c>
      <c r="AJ994" s="2">
        <v>0.32482276639410301</v>
      </c>
      <c r="AK994" s="2">
        <v>7.8682217236042504E-2</v>
      </c>
      <c r="AL994" s="2">
        <v>0.16324286879373401</v>
      </c>
      <c r="AN994" s="2">
        <v>6.8</v>
      </c>
      <c r="AO994" s="2">
        <v>19.899999999999999</v>
      </c>
      <c r="AP994" s="2">
        <v>564</v>
      </c>
      <c r="AQ994" s="2">
        <v>68</v>
      </c>
      <c r="AR994" s="2">
        <v>1.5</v>
      </c>
      <c r="AS994" s="2">
        <v>135</v>
      </c>
      <c r="AT994" s="2">
        <v>0.8</v>
      </c>
      <c r="AU994" s="2">
        <v>162</v>
      </c>
      <c r="AV994" s="2">
        <v>9.1</v>
      </c>
      <c r="AW994" s="2">
        <v>9.1999999999999993</v>
      </c>
      <c r="AX994" s="2">
        <v>18.3</v>
      </c>
      <c r="AY994" s="2">
        <v>0.34</v>
      </c>
      <c r="AZ994" s="2">
        <v>7.3</v>
      </c>
      <c r="BA994" s="2">
        <v>0.9</v>
      </c>
      <c r="BB994" s="2">
        <v>7.5</v>
      </c>
      <c r="BC994" s="2">
        <v>2.9</v>
      </c>
      <c r="BD994" s="2">
        <f>+AN994*EXP(-0.0495*Y994)</f>
        <v>6.5338407172020583</v>
      </c>
      <c r="BE994" s="2">
        <f>+AO994*EXP(-0.024*Y994)</f>
        <v>19.51846339005267</v>
      </c>
    </row>
    <row r="995" spans="1:57" x14ac:dyDescent="0.2">
      <c r="A995" s="2" t="s">
        <v>3788</v>
      </c>
      <c r="B995" s="2" t="s">
        <v>19</v>
      </c>
      <c r="C995" s="2" t="s">
        <v>3245</v>
      </c>
      <c r="D995" s="2" t="s">
        <v>21</v>
      </c>
      <c r="E995" s="2" t="s">
        <v>1481</v>
      </c>
      <c r="F995" s="2">
        <v>3</v>
      </c>
      <c r="G995" s="2">
        <v>53</v>
      </c>
      <c r="H995" s="2">
        <v>1</v>
      </c>
      <c r="I995" s="2">
        <v>2</v>
      </c>
      <c r="J995" s="2">
        <v>1</v>
      </c>
      <c r="K995" s="2" t="s">
        <v>61</v>
      </c>
      <c r="L995" s="6" t="s">
        <v>62</v>
      </c>
      <c r="M995" s="5">
        <v>480000000</v>
      </c>
      <c r="N995" s="2">
        <v>0</v>
      </c>
      <c r="O995" s="2">
        <v>4.6193656000000001</v>
      </c>
      <c r="P995" s="2">
        <v>-74.066996099999997</v>
      </c>
      <c r="Q995" s="2" t="s">
        <v>3789</v>
      </c>
      <c r="R995" s="2">
        <v>9056603.7740000002</v>
      </c>
      <c r="S995" s="2">
        <v>0</v>
      </c>
      <c r="T995" s="2" t="s">
        <v>77</v>
      </c>
      <c r="U995" s="2" t="s">
        <v>78</v>
      </c>
      <c r="V995" s="2" t="s">
        <v>28</v>
      </c>
      <c r="W995" s="2" t="s">
        <v>79</v>
      </c>
      <c r="X995" s="2" t="s">
        <v>80</v>
      </c>
      <c r="Y995" s="2">
        <v>0.68133436338281295</v>
      </c>
      <c r="Z995" s="2">
        <v>4.6254861111111101</v>
      </c>
      <c r="AA995" s="2">
        <v>-74.066980555555503</v>
      </c>
      <c r="AB995" s="2">
        <v>2621</v>
      </c>
      <c r="AC995" s="2" t="s">
        <v>31</v>
      </c>
      <c r="AD995" s="2" t="s">
        <v>32</v>
      </c>
      <c r="AE995" s="2" t="s">
        <v>33</v>
      </c>
      <c r="AF995" s="2" t="s">
        <v>34</v>
      </c>
      <c r="AG995" s="2" t="s">
        <v>89</v>
      </c>
      <c r="AH995" s="2">
        <v>0.38836413995774</v>
      </c>
      <c r="AI995" s="2">
        <v>0.56504358541099498</v>
      </c>
      <c r="AJ995" s="2">
        <v>0.19635006038478101</v>
      </c>
      <c r="AK995" s="2">
        <v>9.6263434174079093E-2</v>
      </c>
      <c r="AL995" s="2">
        <v>0.15872634713557801</v>
      </c>
      <c r="AN995" s="2">
        <v>6.8</v>
      </c>
      <c r="AO995" s="2">
        <v>19.899999999999999</v>
      </c>
      <c r="AP995" s="2">
        <v>564</v>
      </c>
      <c r="AQ995" s="2">
        <v>68</v>
      </c>
      <c r="AR995" s="2">
        <v>1.5</v>
      </c>
      <c r="AS995" s="2">
        <v>135</v>
      </c>
      <c r="AT995" s="2">
        <v>0.8</v>
      </c>
      <c r="AU995" s="2">
        <v>162</v>
      </c>
      <c r="AV995" s="2">
        <v>9.1</v>
      </c>
      <c r="AW995" s="2">
        <v>9.1999999999999993</v>
      </c>
      <c r="AX995" s="2">
        <v>18.3</v>
      </c>
      <c r="AY995" s="2">
        <v>0.34</v>
      </c>
      <c r="AZ995" s="2">
        <v>7.3</v>
      </c>
      <c r="BA995" s="2">
        <v>0.9</v>
      </c>
      <c r="BB995" s="2">
        <v>7.5</v>
      </c>
      <c r="BC995" s="2">
        <v>2.9</v>
      </c>
      <c r="BD995" s="2">
        <f>+AN995*EXP(-0.0495*Y995)</f>
        <v>6.5744870590941833</v>
      </c>
      <c r="BE995" s="2">
        <f>+AO995*EXP(-0.024*Y995)</f>
        <v>19.577240783209906</v>
      </c>
    </row>
    <row r="996" spans="1:57" x14ac:dyDescent="0.2">
      <c r="A996" s="2" t="s">
        <v>3447</v>
      </c>
      <c r="B996" s="2" t="s">
        <v>19</v>
      </c>
      <c r="C996" s="2" t="s">
        <v>3245</v>
      </c>
      <c r="D996" s="2" t="s">
        <v>21</v>
      </c>
      <c r="E996" s="2" t="s">
        <v>1481</v>
      </c>
      <c r="F996" s="2">
        <v>4</v>
      </c>
      <c r="G996" s="2">
        <v>53</v>
      </c>
      <c r="H996" s="2">
        <v>1</v>
      </c>
      <c r="I996" s="2">
        <v>2</v>
      </c>
      <c r="J996" s="2">
        <v>1</v>
      </c>
      <c r="K996" s="2" t="s">
        <v>61</v>
      </c>
      <c r="L996" s="6" t="s">
        <v>84</v>
      </c>
      <c r="M996" s="5">
        <v>465000000</v>
      </c>
      <c r="N996" s="2">
        <v>0</v>
      </c>
      <c r="O996" s="2">
        <v>4.6182499999999997</v>
      </c>
      <c r="P996" s="2">
        <v>-74.067390000000003</v>
      </c>
      <c r="Q996" s="2" t="s">
        <v>3448</v>
      </c>
      <c r="R996" s="2">
        <v>8773584.9059999995</v>
      </c>
      <c r="S996" s="2">
        <v>0</v>
      </c>
      <c r="T996" s="2" t="s">
        <v>77</v>
      </c>
      <c r="U996" s="2" t="s">
        <v>78</v>
      </c>
      <c r="V996" s="2" t="s">
        <v>28</v>
      </c>
      <c r="W996" s="2" t="s">
        <v>79</v>
      </c>
      <c r="X996" s="2" t="s">
        <v>80</v>
      </c>
      <c r="Y996" s="2">
        <v>0.80680032785786904</v>
      </c>
      <c r="Z996" s="2">
        <v>4.6254861111111101</v>
      </c>
      <c r="AA996" s="2">
        <v>-74.066980555555503</v>
      </c>
      <c r="AB996" s="2">
        <v>2621</v>
      </c>
      <c r="AC996" s="2" t="s">
        <v>31</v>
      </c>
      <c r="AD996" s="2" t="s">
        <v>32</v>
      </c>
      <c r="AE996" s="2" t="s">
        <v>33</v>
      </c>
      <c r="AF996" s="2" t="s">
        <v>34</v>
      </c>
      <c r="AG996" s="2" t="s">
        <v>89</v>
      </c>
      <c r="AH996" s="2">
        <v>0.38935801878852699</v>
      </c>
      <c r="AI996" s="2">
        <v>0.527468002791046</v>
      </c>
      <c r="AJ996" s="2">
        <v>0.32620599722835197</v>
      </c>
      <c r="AK996" s="2">
        <v>7.7097183167618599E-2</v>
      </c>
      <c r="AL996" s="2">
        <v>0.16641429908232599</v>
      </c>
      <c r="AN996" s="2">
        <v>6.8</v>
      </c>
      <c r="AO996" s="2">
        <v>19.899999999999999</v>
      </c>
      <c r="AP996" s="2">
        <v>564</v>
      </c>
      <c r="AQ996" s="2">
        <v>68</v>
      </c>
      <c r="AR996" s="2">
        <v>1.5</v>
      </c>
      <c r="AS996" s="2">
        <v>135</v>
      </c>
      <c r="AT996" s="2">
        <v>0.8</v>
      </c>
      <c r="AU996" s="2">
        <v>162</v>
      </c>
      <c r="AV996" s="2">
        <v>9.1</v>
      </c>
      <c r="AW996" s="2">
        <v>9.1999999999999993</v>
      </c>
      <c r="AX996" s="2">
        <v>18.3</v>
      </c>
      <c r="AY996" s="2">
        <v>0.34</v>
      </c>
      <c r="AZ996" s="2">
        <v>7.3</v>
      </c>
      <c r="BA996" s="2">
        <v>0.9</v>
      </c>
      <c r="BB996" s="2">
        <v>7.5</v>
      </c>
      <c r="BC996" s="2">
        <v>2.9</v>
      </c>
      <c r="BD996" s="2">
        <f>+AN996*EXP(-0.0495*Y996)</f>
        <v>6.5337823088731932</v>
      </c>
      <c r="BE996" s="2">
        <f>+AO996*EXP(-0.024*Y996)</f>
        <v>19.518378792284665</v>
      </c>
    </row>
    <row r="997" spans="1:57" x14ac:dyDescent="0.2">
      <c r="A997" s="2" t="s">
        <v>4614</v>
      </c>
      <c r="B997" s="2" t="s">
        <v>19</v>
      </c>
      <c r="C997" s="2" t="s">
        <v>3245</v>
      </c>
      <c r="D997" s="2" t="s">
        <v>21</v>
      </c>
      <c r="E997" s="2" t="s">
        <v>3510</v>
      </c>
      <c r="F997" s="2">
        <v>4</v>
      </c>
      <c r="G997" s="2">
        <v>53</v>
      </c>
      <c r="H997" s="2">
        <v>1</v>
      </c>
      <c r="I997" s="2">
        <v>1</v>
      </c>
      <c r="J997" s="2">
        <v>1</v>
      </c>
      <c r="K997" s="2" t="s">
        <v>61</v>
      </c>
      <c r="L997" s="6" t="s">
        <v>75</v>
      </c>
      <c r="M997" s="5">
        <v>390000000</v>
      </c>
      <c r="N997" s="2">
        <v>0</v>
      </c>
      <c r="O997" s="2">
        <v>4.6187899999999997</v>
      </c>
      <c r="P997" s="2">
        <v>-74.070340000000002</v>
      </c>
      <c r="Q997" s="2" t="s">
        <v>4615</v>
      </c>
      <c r="R997" s="2">
        <v>7358490.5659999996</v>
      </c>
      <c r="S997" s="2">
        <v>0</v>
      </c>
      <c r="T997" s="2" t="s">
        <v>77</v>
      </c>
      <c r="U997" s="2" t="s">
        <v>78</v>
      </c>
      <c r="V997" s="2" t="s">
        <v>28</v>
      </c>
      <c r="W997" s="2" t="s">
        <v>79</v>
      </c>
      <c r="X997" s="2" t="s">
        <v>80</v>
      </c>
      <c r="Y997" s="2">
        <v>0.83341418968582903</v>
      </c>
      <c r="Z997" s="2">
        <v>4.6254861111111101</v>
      </c>
      <c r="AA997" s="2">
        <v>-74.066980555555503</v>
      </c>
      <c r="AB997" s="2">
        <v>2621</v>
      </c>
      <c r="AC997" s="2" t="s">
        <v>31</v>
      </c>
      <c r="AD997" s="2" t="s">
        <v>32</v>
      </c>
      <c r="AE997" s="2" t="s">
        <v>33</v>
      </c>
      <c r="AF997" s="2" t="s">
        <v>34</v>
      </c>
      <c r="AG997" s="2" t="s">
        <v>89</v>
      </c>
      <c r="AH997" s="2">
        <v>0.31066498588004399</v>
      </c>
      <c r="AI997" s="2">
        <v>0.84636018346515296</v>
      </c>
      <c r="AJ997" s="2">
        <v>0.37336408784969599</v>
      </c>
      <c r="AK997" s="2">
        <v>7.0869034859921895E-2</v>
      </c>
      <c r="AL997" s="2">
        <v>0.112576528901843</v>
      </c>
      <c r="AN997" s="2">
        <v>6.8</v>
      </c>
      <c r="AO997" s="2">
        <v>19.899999999999999</v>
      </c>
      <c r="AP997" s="2">
        <v>564</v>
      </c>
      <c r="AQ997" s="2">
        <v>68</v>
      </c>
      <c r="AR997" s="2">
        <v>1.5</v>
      </c>
      <c r="AS997" s="2">
        <v>135</v>
      </c>
      <c r="AT997" s="2">
        <v>0.8</v>
      </c>
      <c r="AU997" s="2">
        <v>162</v>
      </c>
      <c r="AV997" s="2">
        <v>9.1</v>
      </c>
      <c r="AW997" s="2">
        <v>9.1999999999999993</v>
      </c>
      <c r="AX997" s="2">
        <v>18.3</v>
      </c>
      <c r="AY997" s="2">
        <v>0.34</v>
      </c>
      <c r="AZ997" s="2">
        <v>7.3</v>
      </c>
      <c r="BA997" s="2">
        <v>0.9</v>
      </c>
      <c r="BB997" s="2">
        <v>7.5</v>
      </c>
      <c r="BC997" s="2">
        <v>2.9</v>
      </c>
      <c r="BD997" s="2">
        <f>+AN997*EXP(-0.0495*Y997)</f>
        <v>6.5251804617051219</v>
      </c>
      <c r="BE997" s="2">
        <f>+AO997*EXP(-0.024*Y997)</f>
        <v>19.505915746514919</v>
      </c>
    </row>
    <row r="998" spans="1:57" x14ac:dyDescent="0.2">
      <c r="A998" s="2" t="s">
        <v>367</v>
      </c>
      <c r="B998" s="2" t="s">
        <v>19</v>
      </c>
      <c r="C998" s="2" t="s">
        <v>20</v>
      </c>
      <c r="D998" s="2" t="s">
        <v>21</v>
      </c>
      <c r="E998" s="2" t="s">
        <v>368</v>
      </c>
      <c r="F998" s="2">
        <v>3</v>
      </c>
      <c r="G998" s="2">
        <v>53</v>
      </c>
      <c r="H998" s="2">
        <v>3</v>
      </c>
      <c r="I998" s="2">
        <v>1</v>
      </c>
      <c r="J998" s="2">
        <v>0</v>
      </c>
      <c r="K998" s="2" t="s">
        <v>61</v>
      </c>
      <c r="L998" s="6" t="s">
        <v>66</v>
      </c>
      <c r="M998" s="5">
        <v>260000000</v>
      </c>
      <c r="N998" s="2">
        <v>0</v>
      </c>
      <c r="O998" s="2">
        <v>4.7165236469999998</v>
      </c>
      <c r="P998" s="2">
        <v>-74.107353209999999</v>
      </c>
      <c r="Q998" s="2" t="s">
        <v>369</v>
      </c>
      <c r="R998" s="2">
        <v>4905660.3770000003</v>
      </c>
      <c r="S998" s="2">
        <v>0</v>
      </c>
      <c r="T998" s="2" t="s">
        <v>370</v>
      </c>
      <c r="U998" s="2" t="s">
        <v>371</v>
      </c>
      <c r="V998" s="2" t="s">
        <v>28</v>
      </c>
      <c r="W998" s="2" t="s">
        <v>29</v>
      </c>
      <c r="X998" s="2" t="s">
        <v>372</v>
      </c>
      <c r="Y998" s="2">
        <v>2.97252428118481</v>
      </c>
      <c r="Z998" s="2">
        <v>4.7358055555555598</v>
      </c>
      <c r="AA998" s="2">
        <v>-74.125888888888895</v>
      </c>
      <c r="AB998" s="2">
        <v>2574</v>
      </c>
      <c r="AC998" s="2" t="s">
        <v>105</v>
      </c>
      <c r="AD998" s="2" t="s">
        <v>58</v>
      </c>
      <c r="AE998" s="2" t="s">
        <v>33</v>
      </c>
      <c r="AF998" s="2" t="s">
        <v>34</v>
      </c>
      <c r="AG998" s="2" t="s">
        <v>363</v>
      </c>
      <c r="AH998" s="2">
        <v>0.81824456998741002</v>
      </c>
      <c r="AI998" s="2">
        <v>2.26455493931722</v>
      </c>
      <c r="AJ998" s="2">
        <v>2.5596360358024199</v>
      </c>
      <c r="AK998" s="2">
        <v>0.44314441848896602</v>
      </c>
      <c r="AL998" s="2">
        <v>0.1092699323312</v>
      </c>
      <c r="AN998" s="2">
        <v>6.8</v>
      </c>
      <c r="AO998" s="2">
        <v>19.899999999999999</v>
      </c>
      <c r="AP998" s="2">
        <v>564</v>
      </c>
      <c r="AQ998" s="2">
        <v>68</v>
      </c>
      <c r="AR998" s="2">
        <v>1.5</v>
      </c>
      <c r="AS998" s="2">
        <v>135</v>
      </c>
      <c r="AT998" s="2">
        <v>0.8</v>
      </c>
      <c r="AU998" s="2">
        <v>162</v>
      </c>
      <c r="AV998" s="2">
        <v>9.1</v>
      </c>
      <c r="AW998" s="2">
        <v>9.1999999999999993</v>
      </c>
      <c r="AX998" s="2">
        <v>18.3</v>
      </c>
      <c r="AY998" s="2">
        <v>0.34</v>
      </c>
      <c r="AZ998" s="2">
        <v>7.3</v>
      </c>
      <c r="BA998" s="2">
        <v>0.9</v>
      </c>
      <c r="BB998" s="2">
        <v>7.5</v>
      </c>
      <c r="BC998" s="2">
        <v>2.9</v>
      </c>
      <c r="BD998" s="2">
        <f>+AN998*EXP(-0.0495*Y998)</f>
        <v>5.8695775303089137</v>
      </c>
      <c r="BE998" s="2">
        <f>+AO998*EXP(-0.024*Y998)</f>
        <v>18.529779655238382</v>
      </c>
    </row>
    <row r="999" spans="1:57" x14ac:dyDescent="0.2">
      <c r="A999" s="2" t="s">
        <v>3379</v>
      </c>
      <c r="B999" s="2" t="s">
        <v>19</v>
      </c>
      <c r="C999" s="2" t="s">
        <v>3245</v>
      </c>
      <c r="D999" s="2" t="s">
        <v>21</v>
      </c>
      <c r="E999" s="2" t="s">
        <v>1049</v>
      </c>
      <c r="F999" s="2">
        <v>3</v>
      </c>
      <c r="G999" s="2">
        <v>52.74</v>
      </c>
      <c r="H999" s="2">
        <v>1</v>
      </c>
      <c r="I999" s="2">
        <v>1</v>
      </c>
      <c r="J999" s="2">
        <v>0</v>
      </c>
      <c r="K999" s="2" t="s">
        <v>61</v>
      </c>
      <c r="L999" s="6" t="s">
        <v>62</v>
      </c>
      <c r="M999" s="5">
        <v>478000000</v>
      </c>
      <c r="N999" s="2">
        <v>0</v>
      </c>
      <c r="O999" s="2">
        <v>4.6109518999999999</v>
      </c>
      <c r="P999" s="2">
        <v>-74.071258540000002</v>
      </c>
      <c r="Q999" s="2" t="s">
        <v>3380</v>
      </c>
      <c r="R999" s="2">
        <v>9063329.5409999993</v>
      </c>
      <c r="S999" s="2">
        <v>0</v>
      </c>
      <c r="T999" s="2" t="s">
        <v>77</v>
      </c>
      <c r="U999" s="2" t="s">
        <v>78</v>
      </c>
      <c r="V999" s="2" t="s">
        <v>28</v>
      </c>
      <c r="W999" s="2" t="s">
        <v>79</v>
      </c>
      <c r="X999" s="2" t="s">
        <v>80</v>
      </c>
      <c r="Y999" s="2">
        <v>1.6861349831747201</v>
      </c>
      <c r="Z999" s="2">
        <v>4.6254861111111101</v>
      </c>
      <c r="AA999" s="2">
        <v>-74.066980555555503</v>
      </c>
      <c r="AB999" s="2">
        <v>2621</v>
      </c>
      <c r="AC999" s="2" t="s">
        <v>31</v>
      </c>
      <c r="AD999" s="2" t="s">
        <v>32</v>
      </c>
      <c r="AE999" s="2" t="s">
        <v>33</v>
      </c>
      <c r="AF999" s="2" t="s">
        <v>34</v>
      </c>
      <c r="AG999" s="2" t="s">
        <v>89</v>
      </c>
      <c r="AH999" s="2">
        <v>2.7412834686535398E-2</v>
      </c>
      <c r="AI999" s="2">
        <v>0.75273406931437203</v>
      </c>
      <c r="AJ999" s="2">
        <v>0.15284068796981101</v>
      </c>
      <c r="AK999" s="2">
        <v>0.33604796087546401</v>
      </c>
      <c r="AL999" s="2">
        <v>5.1275955074568502E-2</v>
      </c>
      <c r="AN999" s="2">
        <v>6.8</v>
      </c>
      <c r="AO999" s="2">
        <v>19.899999999999999</v>
      </c>
      <c r="AP999" s="2">
        <v>564</v>
      </c>
      <c r="AQ999" s="2">
        <v>68</v>
      </c>
      <c r="AR999" s="2">
        <v>1.5</v>
      </c>
      <c r="AS999" s="2">
        <v>135</v>
      </c>
      <c r="AT999" s="2">
        <v>0.8</v>
      </c>
      <c r="AU999" s="2">
        <v>162</v>
      </c>
      <c r="AV999" s="2">
        <v>9.1</v>
      </c>
      <c r="AW999" s="2">
        <v>9.1999999999999993</v>
      </c>
      <c r="AX999" s="2">
        <v>18.3</v>
      </c>
      <c r="AY999" s="2">
        <v>0.34</v>
      </c>
      <c r="AZ999" s="2">
        <v>7.3</v>
      </c>
      <c r="BA999" s="2">
        <v>0.9</v>
      </c>
      <c r="BB999" s="2">
        <v>7.5</v>
      </c>
      <c r="BC999" s="2">
        <v>2.9</v>
      </c>
      <c r="BD999" s="2">
        <f>+AN999*EXP(-0.0495*Y999)</f>
        <v>6.2554865740824424</v>
      </c>
      <c r="BE999" s="2">
        <f>+AO999*EXP(-0.024*Y999)</f>
        <v>19.110778440340731</v>
      </c>
    </row>
    <row r="1000" spans="1:57" x14ac:dyDescent="0.2">
      <c r="A1000" s="2" t="s">
        <v>4438</v>
      </c>
      <c r="B1000" s="2" t="s">
        <v>19</v>
      </c>
      <c r="C1000" s="2" t="s">
        <v>3245</v>
      </c>
      <c r="D1000" s="2" t="s">
        <v>21</v>
      </c>
      <c r="E1000" s="2" t="s">
        <v>3361</v>
      </c>
      <c r="F1000" s="2">
        <v>2</v>
      </c>
      <c r="G1000" s="2">
        <v>52.71</v>
      </c>
      <c r="H1000" s="2">
        <v>1</v>
      </c>
      <c r="I1000" s="2">
        <v>2</v>
      </c>
      <c r="J1000" s="2">
        <v>0</v>
      </c>
      <c r="K1000" s="2" t="s">
        <v>61</v>
      </c>
      <c r="L1000" s="6" t="s">
        <v>62</v>
      </c>
      <c r="M1000" s="5">
        <v>325000000</v>
      </c>
      <c r="N1000" s="2">
        <v>0</v>
      </c>
      <c r="O1000" s="2">
        <v>4.6082682999999998</v>
      </c>
      <c r="P1000" s="2">
        <v>-74.081874299999996</v>
      </c>
      <c r="Q1000" s="2" t="s">
        <v>4439</v>
      </c>
      <c r="R1000" s="2">
        <v>6165812.9390000002</v>
      </c>
      <c r="S1000" s="2">
        <v>0</v>
      </c>
      <c r="T1000" s="2" t="s">
        <v>77</v>
      </c>
      <c r="U1000" s="2" t="s">
        <v>78</v>
      </c>
      <c r="V1000" s="2" t="s">
        <v>28</v>
      </c>
      <c r="W1000" s="2" t="s">
        <v>79</v>
      </c>
      <c r="X1000" s="2" t="s">
        <v>80</v>
      </c>
      <c r="Y1000" s="2">
        <v>2.5307487602498502</v>
      </c>
      <c r="Z1000" s="2">
        <v>4.6254861111111101</v>
      </c>
      <c r="AA1000" s="2">
        <v>-74.066980555555503</v>
      </c>
      <c r="AB1000" s="2">
        <v>2621</v>
      </c>
      <c r="AC1000" s="2" t="s">
        <v>31</v>
      </c>
      <c r="AD1000" s="2" t="s">
        <v>32</v>
      </c>
      <c r="AE1000" s="2" t="s">
        <v>33</v>
      </c>
      <c r="AF1000" s="2" t="s">
        <v>34</v>
      </c>
      <c r="AG1000" s="2" t="s">
        <v>259</v>
      </c>
      <c r="AH1000" s="2">
        <v>0.31465946404360901</v>
      </c>
      <c r="AI1000" s="2">
        <v>1.8843992094008299</v>
      </c>
      <c r="AJ1000" s="2">
        <v>0.27948478410285299</v>
      </c>
      <c r="AK1000" s="2">
        <v>0.13141909100610999</v>
      </c>
      <c r="AL1000" s="2">
        <v>0.42645259832767801</v>
      </c>
      <c r="AN1000" s="2">
        <v>6.8</v>
      </c>
      <c r="AO1000" s="2">
        <v>19.899999999999999</v>
      </c>
      <c r="AP1000" s="2">
        <v>564</v>
      </c>
      <c r="AQ1000" s="2">
        <v>68</v>
      </c>
      <c r="AR1000" s="2">
        <v>1.5</v>
      </c>
      <c r="AS1000" s="2">
        <v>135</v>
      </c>
      <c r="AT1000" s="2">
        <v>0.8</v>
      </c>
      <c r="AU1000" s="2">
        <v>162</v>
      </c>
      <c r="AV1000" s="2">
        <v>9.1</v>
      </c>
      <c r="AW1000" s="2">
        <v>9.1999999999999993</v>
      </c>
      <c r="AX1000" s="2">
        <v>18.3</v>
      </c>
      <c r="AY1000" s="2">
        <v>0.34</v>
      </c>
      <c r="AZ1000" s="2">
        <v>7.3</v>
      </c>
      <c r="BA1000" s="2">
        <v>0.9</v>
      </c>
      <c r="BB1000" s="2">
        <v>7.5</v>
      </c>
      <c r="BC1000" s="2">
        <v>2.9</v>
      </c>
      <c r="BD1000" s="2">
        <f>+AN1000*EXP(-0.0495*Y1000)</f>
        <v>5.9993465115196809</v>
      </c>
      <c r="BE1000" s="2">
        <f>+AO1000*EXP(-0.024*Y1000)</f>
        <v>18.727288935607685</v>
      </c>
    </row>
    <row r="1001" spans="1:57" x14ac:dyDescent="0.2">
      <c r="A1001" s="2" t="s">
        <v>4254</v>
      </c>
      <c r="B1001" s="2" t="s">
        <v>19</v>
      </c>
      <c r="C1001" s="2" t="s">
        <v>3245</v>
      </c>
      <c r="D1001" s="2" t="s">
        <v>21</v>
      </c>
      <c r="E1001" s="2" t="s">
        <v>3483</v>
      </c>
      <c r="F1001" s="2">
        <v>2</v>
      </c>
      <c r="G1001" s="2">
        <v>52.71</v>
      </c>
      <c r="H1001" s="2">
        <v>1</v>
      </c>
      <c r="I1001" s="2">
        <v>2</v>
      </c>
      <c r="J1001" s="2">
        <v>0</v>
      </c>
      <c r="K1001" s="2" t="s">
        <v>61</v>
      </c>
      <c r="L1001" s="6" t="s">
        <v>62</v>
      </c>
      <c r="M1001" s="5">
        <v>325000000</v>
      </c>
      <c r="N1001" s="2">
        <v>0</v>
      </c>
      <c r="O1001" s="2">
        <v>4.6082682610000001</v>
      </c>
      <c r="P1001" s="2">
        <v>-74.081871030000002</v>
      </c>
      <c r="Q1001" s="2" t="s">
        <v>4255</v>
      </c>
      <c r="R1001" s="2">
        <v>6165812.9390000002</v>
      </c>
      <c r="S1001" s="2">
        <v>0</v>
      </c>
      <c r="T1001" s="2" t="s">
        <v>77</v>
      </c>
      <c r="U1001" s="2" t="s">
        <v>78</v>
      </c>
      <c r="V1001" s="2" t="s">
        <v>28</v>
      </c>
      <c r="W1001" s="2" t="s">
        <v>79</v>
      </c>
      <c r="X1001" s="2" t="s">
        <v>80</v>
      </c>
      <c r="Y1001" s="2">
        <v>2.5305151324429902</v>
      </c>
      <c r="Z1001" s="2">
        <v>4.6254861111111101</v>
      </c>
      <c r="AA1001" s="2">
        <v>-74.066980555555503</v>
      </c>
      <c r="AB1001" s="2">
        <v>2621</v>
      </c>
      <c r="AC1001" s="2" t="s">
        <v>31</v>
      </c>
      <c r="AD1001" s="2" t="s">
        <v>32</v>
      </c>
      <c r="AE1001" s="2" t="s">
        <v>33</v>
      </c>
      <c r="AF1001" s="2" t="s">
        <v>34</v>
      </c>
      <c r="AG1001" s="2" t="s">
        <v>259</v>
      </c>
      <c r="AH1001" s="2">
        <v>0.31465791517587</v>
      </c>
      <c r="AI1001" s="2">
        <v>1.8840365815287401</v>
      </c>
      <c r="AJ1001" s="2">
        <v>0.27948708758801999</v>
      </c>
      <c r="AK1001" s="2">
        <v>0.131671483442522</v>
      </c>
      <c r="AL1001" s="2">
        <v>0.42618123478023801</v>
      </c>
      <c r="AN1001" s="2">
        <v>6.8</v>
      </c>
      <c r="AO1001" s="2">
        <v>19.899999999999999</v>
      </c>
      <c r="AP1001" s="2">
        <v>564</v>
      </c>
      <c r="AQ1001" s="2">
        <v>68</v>
      </c>
      <c r="AR1001" s="2">
        <v>1.5</v>
      </c>
      <c r="AS1001" s="2">
        <v>135</v>
      </c>
      <c r="AT1001" s="2">
        <v>0.8</v>
      </c>
      <c r="AU1001" s="2">
        <v>162</v>
      </c>
      <c r="AV1001" s="2">
        <v>9.1</v>
      </c>
      <c r="AW1001" s="2">
        <v>9.1999999999999993</v>
      </c>
      <c r="AX1001" s="2">
        <v>18.3</v>
      </c>
      <c r="AY1001" s="2">
        <v>0.34</v>
      </c>
      <c r="AZ1001" s="2">
        <v>7.3</v>
      </c>
      <c r="BA1001" s="2">
        <v>0.9</v>
      </c>
      <c r="BB1001" s="2">
        <v>7.5</v>
      </c>
      <c r="BC1001" s="2">
        <v>2.9</v>
      </c>
      <c r="BD1001" s="2">
        <f>+AN1001*EXP(-0.0495*Y1001)</f>
        <v>5.9994158918221769</v>
      </c>
      <c r="BE1001" s="2">
        <f>+AO1001*EXP(-0.024*Y1001)</f>
        <v>18.727393941072688</v>
      </c>
    </row>
    <row r="1002" spans="1:57" x14ac:dyDescent="0.2">
      <c r="A1002" s="2" t="s">
        <v>761</v>
      </c>
      <c r="B1002" s="2" t="s">
        <v>19</v>
      </c>
      <c r="C1002" s="2" t="s">
        <v>20</v>
      </c>
      <c r="D1002" s="2" t="s">
        <v>21</v>
      </c>
      <c r="E1002" s="2" t="s">
        <v>762</v>
      </c>
      <c r="F1002" s="2">
        <v>3</v>
      </c>
      <c r="G1002" s="2">
        <v>52.66</v>
      </c>
      <c r="H1002" s="2">
        <v>2</v>
      </c>
      <c r="I1002" s="2">
        <v>2</v>
      </c>
      <c r="J1002" s="2">
        <v>0</v>
      </c>
      <c r="K1002" s="2" t="s">
        <v>61</v>
      </c>
      <c r="L1002" s="6" t="s">
        <v>75</v>
      </c>
      <c r="M1002" s="5">
        <v>350000000</v>
      </c>
      <c r="N1002" s="2">
        <v>0</v>
      </c>
      <c r="O1002" s="2">
        <v>4.647742</v>
      </c>
      <c r="P1002" s="2">
        <v>-74.060749999999999</v>
      </c>
      <c r="Q1002" s="2" t="s">
        <v>763</v>
      </c>
      <c r="R1002" s="2">
        <v>6646410.9380000001</v>
      </c>
      <c r="S1002" s="2">
        <v>0</v>
      </c>
      <c r="T1002" s="2" t="s">
        <v>77</v>
      </c>
      <c r="U1002" s="2" t="s">
        <v>78</v>
      </c>
      <c r="V1002" s="2" t="s">
        <v>28</v>
      </c>
      <c r="W1002" s="2" t="s">
        <v>79</v>
      </c>
      <c r="X1002" s="2" t="s">
        <v>80</v>
      </c>
      <c r="Y1002" s="2">
        <v>2.5721566105465699</v>
      </c>
      <c r="Z1002" s="2">
        <v>4.6254861111111101</v>
      </c>
      <c r="AA1002" s="2">
        <v>-74.066980555555503</v>
      </c>
      <c r="AB1002" s="2">
        <v>2621</v>
      </c>
      <c r="AC1002" s="2" t="s">
        <v>31</v>
      </c>
      <c r="AD1002" s="2" t="s">
        <v>32</v>
      </c>
      <c r="AE1002" s="2" t="s">
        <v>33</v>
      </c>
      <c r="AF1002" s="2" t="s">
        <v>34</v>
      </c>
      <c r="AG1002" s="2" t="s">
        <v>81</v>
      </c>
      <c r="AH1002" s="2">
        <v>0.46272960762939602</v>
      </c>
      <c r="AI1002" s="2">
        <v>0.81458544461291804</v>
      </c>
      <c r="AJ1002" s="2">
        <v>9.6477862254055594E-2</v>
      </c>
      <c r="AK1002" s="2">
        <v>0.101212227034029</v>
      </c>
      <c r="AL1002" s="2">
        <v>0.19280166782389399</v>
      </c>
      <c r="AN1002" s="2">
        <v>6.8</v>
      </c>
      <c r="AO1002" s="2">
        <v>19.899999999999999</v>
      </c>
      <c r="AP1002" s="2">
        <v>564</v>
      </c>
      <c r="AQ1002" s="2">
        <v>68</v>
      </c>
      <c r="AR1002" s="2">
        <v>1.5</v>
      </c>
      <c r="AS1002" s="2">
        <v>135</v>
      </c>
      <c r="AT1002" s="2">
        <v>0.8</v>
      </c>
      <c r="AU1002" s="2">
        <v>162</v>
      </c>
      <c r="AV1002" s="2">
        <v>9.1</v>
      </c>
      <c r="AW1002" s="2">
        <v>9.1999999999999993</v>
      </c>
      <c r="AX1002" s="2">
        <v>18.3</v>
      </c>
      <c r="AY1002" s="2">
        <v>0.34</v>
      </c>
      <c r="AZ1002" s="2">
        <v>7.3</v>
      </c>
      <c r="BA1002" s="2">
        <v>0.9</v>
      </c>
      <c r="BB1002" s="2">
        <v>7.5</v>
      </c>
      <c r="BC1002" s="2">
        <v>2.9</v>
      </c>
      <c r="BD1002" s="2">
        <f>+AN1002*EXP(-0.0495*Y1002)</f>
        <v>5.9870623131208038</v>
      </c>
      <c r="BE1002" s="2">
        <f>+AO1002*EXP(-0.024*Y1002)</f>
        <v>18.708687217583474</v>
      </c>
    </row>
    <row r="1003" spans="1:57" x14ac:dyDescent="0.2">
      <c r="A1003" s="2" t="s">
        <v>4244</v>
      </c>
      <c r="B1003" s="2" t="s">
        <v>19</v>
      </c>
      <c r="C1003" s="2" t="s">
        <v>3245</v>
      </c>
      <c r="D1003" s="2" t="s">
        <v>21</v>
      </c>
      <c r="E1003" s="2" t="s">
        <v>180</v>
      </c>
      <c r="F1003" s="2">
        <v>6</v>
      </c>
      <c r="G1003" s="2">
        <v>52</v>
      </c>
      <c r="H1003" s="2">
        <v>1</v>
      </c>
      <c r="I1003" s="2">
        <v>2</v>
      </c>
      <c r="J1003" s="2">
        <v>1</v>
      </c>
      <c r="K1003" s="2" t="s">
        <v>61</v>
      </c>
      <c r="L1003" s="6" t="s">
        <v>84</v>
      </c>
      <c r="M1003" s="5">
        <v>720000000</v>
      </c>
      <c r="N1003" s="2">
        <v>0</v>
      </c>
      <c r="O1003" s="2">
        <v>4.6777149490000003</v>
      </c>
      <c r="P1003" s="2">
        <v>-74.053256309999995</v>
      </c>
      <c r="Q1003" s="2" t="s">
        <v>4245</v>
      </c>
      <c r="R1003" s="2">
        <v>13846153.85</v>
      </c>
      <c r="S1003" s="2">
        <v>0</v>
      </c>
      <c r="T1003" s="2" t="s">
        <v>26</v>
      </c>
      <c r="U1003" s="2" t="s">
        <v>27</v>
      </c>
      <c r="V1003" s="2" t="s">
        <v>28</v>
      </c>
      <c r="W1003" s="2" t="s">
        <v>29</v>
      </c>
      <c r="X1003" s="2" t="s">
        <v>30</v>
      </c>
      <c r="Y1003" s="2">
        <v>4.0250514058645201</v>
      </c>
      <c r="Z1003" s="2">
        <v>4.6584666666666701</v>
      </c>
      <c r="AA1003" s="2">
        <v>-74.083966666666697</v>
      </c>
      <c r="AB1003" s="2">
        <v>2552</v>
      </c>
      <c r="AC1003" s="2" t="s">
        <v>31</v>
      </c>
      <c r="AD1003" s="2" t="s">
        <v>32</v>
      </c>
      <c r="AE1003" s="2" t="s">
        <v>33</v>
      </c>
      <c r="AF1003" s="2" t="s">
        <v>34</v>
      </c>
      <c r="AG1003" s="2" t="s">
        <v>81</v>
      </c>
      <c r="AH1003" s="2">
        <v>0.66662684765760705</v>
      </c>
      <c r="AI1003" s="2">
        <v>1.5190682739930199</v>
      </c>
      <c r="AJ1003" s="2">
        <v>0.890375988684178</v>
      </c>
      <c r="AK1003" s="2">
        <v>3.1366301350245603E-2</v>
      </c>
      <c r="AL1003" s="2">
        <v>0.67879355330723601</v>
      </c>
      <c r="AN1003" s="2">
        <v>6.8</v>
      </c>
      <c r="AO1003" s="2">
        <v>19.899999999999999</v>
      </c>
      <c r="AP1003" s="2">
        <v>564</v>
      </c>
      <c r="AQ1003" s="2">
        <v>68</v>
      </c>
      <c r="AR1003" s="2">
        <v>1.5</v>
      </c>
      <c r="AS1003" s="2">
        <v>135</v>
      </c>
      <c r="AT1003" s="2">
        <v>0.8</v>
      </c>
      <c r="AU1003" s="2">
        <v>162</v>
      </c>
      <c r="AV1003" s="2">
        <v>9.1</v>
      </c>
      <c r="AW1003" s="2">
        <v>9.1999999999999993</v>
      </c>
      <c r="AX1003" s="2">
        <v>18.3</v>
      </c>
      <c r="AY1003" s="2">
        <v>0.34</v>
      </c>
      <c r="AZ1003" s="2">
        <v>7.3</v>
      </c>
      <c r="BA1003" s="2">
        <v>0.9</v>
      </c>
      <c r="BB1003" s="2">
        <v>7.5</v>
      </c>
      <c r="BC1003" s="2">
        <v>2.9</v>
      </c>
      <c r="BD1003" s="2">
        <f>+AN1003*EXP(-0.0495*Y1003)</f>
        <v>5.5716016812864257</v>
      </c>
      <c r="BE1003" s="2">
        <f>+AO1003*EXP(-0.024*Y1003)</f>
        <v>18.067567822174372</v>
      </c>
    </row>
    <row r="1004" spans="1:57" x14ac:dyDescent="0.2">
      <c r="A1004" s="2" t="s">
        <v>3628</v>
      </c>
      <c r="B1004" s="2" t="s">
        <v>19</v>
      </c>
      <c r="C1004" s="2" t="s">
        <v>3245</v>
      </c>
      <c r="D1004" s="2" t="s">
        <v>21</v>
      </c>
      <c r="E1004" s="2" t="s">
        <v>83</v>
      </c>
      <c r="F1004" s="2">
        <v>6</v>
      </c>
      <c r="G1004" s="2">
        <v>52</v>
      </c>
      <c r="H1004" s="2">
        <v>1</v>
      </c>
      <c r="I1004" s="2">
        <v>2</v>
      </c>
      <c r="J1004" s="2">
        <v>1</v>
      </c>
      <c r="K1004" s="2" t="s">
        <v>61</v>
      </c>
      <c r="L1004" s="6" t="s">
        <v>75</v>
      </c>
      <c r="M1004" s="5">
        <v>540000000</v>
      </c>
      <c r="N1004" s="2">
        <v>0</v>
      </c>
      <c r="O1004" s="2">
        <v>4.6797167000000002</v>
      </c>
      <c r="P1004" s="2">
        <v>-74.054786199999995</v>
      </c>
      <c r="Q1004" s="2" t="s">
        <v>3629</v>
      </c>
      <c r="R1004" s="2">
        <v>10384615.380000001</v>
      </c>
      <c r="S1004" s="2">
        <v>0</v>
      </c>
      <c r="T1004" s="2" t="s">
        <v>26</v>
      </c>
      <c r="U1004" s="2" t="s">
        <v>27</v>
      </c>
      <c r="V1004" s="2" t="s">
        <v>28</v>
      </c>
      <c r="W1004" s="2" t="s">
        <v>29</v>
      </c>
      <c r="X1004" s="2" t="s">
        <v>30</v>
      </c>
      <c r="Y1004" s="2">
        <v>4.0096987294562698</v>
      </c>
      <c r="Z1004" s="2">
        <v>4.6584666666666701</v>
      </c>
      <c r="AA1004" s="2">
        <v>-74.083966666666697</v>
      </c>
      <c r="AB1004" s="2">
        <v>2552</v>
      </c>
      <c r="AC1004" s="2" t="s">
        <v>31</v>
      </c>
      <c r="AD1004" s="2" t="s">
        <v>32</v>
      </c>
      <c r="AE1004" s="2" t="s">
        <v>33</v>
      </c>
      <c r="AF1004" s="2" t="s">
        <v>34</v>
      </c>
      <c r="AG1004" s="2" t="s">
        <v>81</v>
      </c>
      <c r="AH1004" s="2">
        <v>0.56927436030247502</v>
      </c>
      <c r="AI1004" s="2">
        <v>1.7944200816471301</v>
      </c>
      <c r="AJ1004" s="2">
        <v>0.702865858828158</v>
      </c>
      <c r="AK1004" s="2">
        <v>0.129275423708753</v>
      </c>
      <c r="AL1004" s="2">
        <v>0.449557493682336</v>
      </c>
      <c r="AN1004" s="2">
        <v>6.8</v>
      </c>
      <c r="AO1004" s="2">
        <v>19.899999999999999</v>
      </c>
      <c r="AP1004" s="2">
        <v>564</v>
      </c>
      <c r="AQ1004" s="2">
        <v>68</v>
      </c>
      <c r="AR1004" s="2">
        <v>1.5</v>
      </c>
      <c r="AS1004" s="2">
        <v>135</v>
      </c>
      <c r="AT1004" s="2">
        <v>0.8</v>
      </c>
      <c r="AU1004" s="2">
        <v>162</v>
      </c>
      <c r="AV1004" s="2">
        <v>9.1</v>
      </c>
      <c r="AW1004" s="2">
        <v>9.1999999999999993</v>
      </c>
      <c r="AX1004" s="2">
        <v>18.3</v>
      </c>
      <c r="AY1004" s="2">
        <v>0.34</v>
      </c>
      <c r="AZ1004" s="2">
        <v>7.3</v>
      </c>
      <c r="BA1004" s="2">
        <v>0.9</v>
      </c>
      <c r="BB1004" s="2">
        <v>7.5</v>
      </c>
      <c r="BC1004" s="2">
        <v>2.9</v>
      </c>
      <c r="BD1004" s="2">
        <f>+AN1004*EXP(-0.0495*Y1004)</f>
        <v>5.5758374709781791</v>
      </c>
      <c r="BE1004" s="2">
        <f>+AO1004*EXP(-0.024*Y1004)</f>
        <v>18.074226301338939</v>
      </c>
    </row>
    <row r="1005" spans="1:57" x14ac:dyDescent="0.2">
      <c r="A1005" s="2" t="s">
        <v>3587</v>
      </c>
      <c r="B1005" s="2" t="s">
        <v>19</v>
      </c>
      <c r="C1005" s="2" t="s">
        <v>3245</v>
      </c>
      <c r="D1005" s="2" t="s">
        <v>21</v>
      </c>
      <c r="E1005" s="2" t="s">
        <v>83</v>
      </c>
      <c r="F1005" s="2">
        <v>6</v>
      </c>
      <c r="G1005" s="2">
        <v>52</v>
      </c>
      <c r="H1005" s="2">
        <v>1</v>
      </c>
      <c r="I1005" s="2">
        <v>2</v>
      </c>
      <c r="J1005" s="2">
        <v>1</v>
      </c>
      <c r="K1005" s="2" t="s">
        <v>61</v>
      </c>
      <c r="L1005" s="6" t="s">
        <v>75</v>
      </c>
      <c r="M1005" s="5">
        <v>530000000</v>
      </c>
      <c r="N1005" s="2">
        <v>0</v>
      </c>
      <c r="O1005" s="2">
        <v>4.6797167000000002</v>
      </c>
      <c r="P1005" s="2">
        <v>-74.054786199999995</v>
      </c>
      <c r="Q1005" s="2" t="s">
        <v>3588</v>
      </c>
      <c r="R1005" s="2">
        <v>10192307.689999999</v>
      </c>
      <c r="S1005" s="2">
        <v>0</v>
      </c>
      <c r="T1005" s="2" t="s">
        <v>26</v>
      </c>
      <c r="U1005" s="2" t="s">
        <v>27</v>
      </c>
      <c r="V1005" s="2" t="s">
        <v>28</v>
      </c>
      <c r="W1005" s="2" t="s">
        <v>29</v>
      </c>
      <c r="X1005" s="2" t="s">
        <v>30</v>
      </c>
      <c r="Y1005" s="2">
        <v>4.0096987294562698</v>
      </c>
      <c r="Z1005" s="2">
        <v>4.6584666666666701</v>
      </c>
      <c r="AA1005" s="2">
        <v>-74.083966666666697</v>
      </c>
      <c r="AB1005" s="2">
        <v>2552</v>
      </c>
      <c r="AC1005" s="2" t="s">
        <v>31</v>
      </c>
      <c r="AD1005" s="2" t="s">
        <v>32</v>
      </c>
      <c r="AE1005" s="2" t="s">
        <v>33</v>
      </c>
      <c r="AF1005" s="2" t="s">
        <v>34</v>
      </c>
      <c r="AG1005" s="2" t="s">
        <v>81</v>
      </c>
      <c r="AH1005" s="2">
        <v>0.56927436030247502</v>
      </c>
      <c r="AI1005" s="2">
        <v>1.7944200816471301</v>
      </c>
      <c r="AJ1005" s="2">
        <v>0.702865858828158</v>
      </c>
      <c r="AK1005" s="2">
        <v>0.129275423708753</v>
      </c>
      <c r="AL1005" s="2">
        <v>0.449557493682336</v>
      </c>
      <c r="AN1005" s="2">
        <v>6.8</v>
      </c>
      <c r="AO1005" s="2">
        <v>19.899999999999999</v>
      </c>
      <c r="AP1005" s="2">
        <v>564</v>
      </c>
      <c r="AQ1005" s="2">
        <v>68</v>
      </c>
      <c r="AR1005" s="2">
        <v>1.5</v>
      </c>
      <c r="AS1005" s="2">
        <v>135</v>
      </c>
      <c r="AT1005" s="2">
        <v>0.8</v>
      </c>
      <c r="AU1005" s="2">
        <v>162</v>
      </c>
      <c r="AV1005" s="2">
        <v>9.1</v>
      </c>
      <c r="AW1005" s="2">
        <v>9.1999999999999993</v>
      </c>
      <c r="AX1005" s="2">
        <v>18.3</v>
      </c>
      <c r="AY1005" s="2">
        <v>0.34</v>
      </c>
      <c r="AZ1005" s="2">
        <v>7.3</v>
      </c>
      <c r="BA1005" s="2">
        <v>0.9</v>
      </c>
      <c r="BB1005" s="2">
        <v>7.5</v>
      </c>
      <c r="BC1005" s="2">
        <v>2.9</v>
      </c>
      <c r="BD1005" s="2">
        <f>+AN1005*EXP(-0.0495*Y1005)</f>
        <v>5.5758374709781791</v>
      </c>
      <c r="BE1005" s="2">
        <f>+AO1005*EXP(-0.024*Y1005)</f>
        <v>18.074226301338939</v>
      </c>
    </row>
    <row r="1006" spans="1:57" x14ac:dyDescent="0.2">
      <c r="A1006" s="2" t="s">
        <v>3595</v>
      </c>
      <c r="B1006" s="2" t="s">
        <v>19</v>
      </c>
      <c r="C1006" s="2" t="s">
        <v>3245</v>
      </c>
      <c r="D1006" s="2" t="s">
        <v>21</v>
      </c>
      <c r="E1006" s="2" t="s">
        <v>1049</v>
      </c>
      <c r="F1006" s="2">
        <v>3</v>
      </c>
      <c r="G1006" s="2">
        <v>52</v>
      </c>
      <c r="H1006" s="2">
        <v>2</v>
      </c>
      <c r="I1006" s="2">
        <v>2</v>
      </c>
      <c r="J1006" s="2">
        <v>0</v>
      </c>
      <c r="K1006" s="2" t="s">
        <v>61</v>
      </c>
      <c r="L1006" s="6" t="s">
        <v>62</v>
      </c>
      <c r="M1006" s="5">
        <v>456000000</v>
      </c>
      <c r="N1006" s="2">
        <v>0</v>
      </c>
      <c r="O1006" s="2">
        <v>4.6109437939999998</v>
      </c>
      <c r="P1006" s="2">
        <v>-74.071281429999999</v>
      </c>
      <c r="Q1006" s="2" t="s">
        <v>3596</v>
      </c>
      <c r="R1006" s="2">
        <v>8769230.7689999994</v>
      </c>
      <c r="S1006" s="2">
        <v>0</v>
      </c>
      <c r="T1006" s="2" t="s">
        <v>77</v>
      </c>
      <c r="U1006" s="2" t="s">
        <v>78</v>
      </c>
      <c r="V1006" s="2" t="s">
        <v>28</v>
      </c>
      <c r="W1006" s="2" t="s">
        <v>79</v>
      </c>
      <c r="X1006" s="2" t="s">
        <v>80</v>
      </c>
      <c r="Y1006" s="2">
        <v>1.6877172640776299</v>
      </c>
      <c r="Z1006" s="2">
        <v>4.6254861111111101</v>
      </c>
      <c r="AA1006" s="2">
        <v>-74.066980555555503</v>
      </c>
      <c r="AB1006" s="2">
        <v>2621</v>
      </c>
      <c r="AC1006" s="2" t="s">
        <v>31</v>
      </c>
      <c r="AD1006" s="2" t="s">
        <v>32</v>
      </c>
      <c r="AE1006" s="2" t="s">
        <v>33</v>
      </c>
      <c r="AF1006" s="2" t="s">
        <v>34</v>
      </c>
      <c r="AG1006" s="2" t="s">
        <v>89</v>
      </c>
      <c r="AH1006" s="2">
        <v>2.4744247384976801E-2</v>
      </c>
      <c r="AI1006" s="2">
        <v>0.75490875673799296</v>
      </c>
      <c r="AJ1006" s="2">
        <v>0.15094825682780899</v>
      </c>
      <c r="AK1006" s="2">
        <v>0.33544475904767301</v>
      </c>
      <c r="AL1006" s="2">
        <v>4.8634005935610798E-2</v>
      </c>
      <c r="AN1006" s="2">
        <v>6.8</v>
      </c>
      <c r="AO1006" s="2">
        <v>19.899999999999999</v>
      </c>
      <c r="AP1006" s="2">
        <v>564</v>
      </c>
      <c r="AQ1006" s="2">
        <v>68</v>
      </c>
      <c r="AR1006" s="2">
        <v>1.5</v>
      </c>
      <c r="AS1006" s="2">
        <v>135</v>
      </c>
      <c r="AT1006" s="2">
        <v>0.8</v>
      </c>
      <c r="AU1006" s="2">
        <v>162</v>
      </c>
      <c r="AV1006" s="2">
        <v>9.1</v>
      </c>
      <c r="AW1006" s="2">
        <v>9.1999999999999993</v>
      </c>
      <c r="AX1006" s="2">
        <v>18.3</v>
      </c>
      <c r="AY1006" s="2">
        <v>0.34</v>
      </c>
      <c r="AZ1006" s="2">
        <v>7.3</v>
      </c>
      <c r="BA1006" s="2">
        <v>0.9</v>
      </c>
      <c r="BB1006" s="2">
        <v>7.5</v>
      </c>
      <c r="BC1006" s="2">
        <v>2.9</v>
      </c>
      <c r="BD1006" s="2">
        <f>+AN1006*EXP(-0.0495*Y1006)</f>
        <v>6.2549966453902552</v>
      </c>
      <c r="BE1006" s="2">
        <f>+AO1006*EXP(-0.024*Y1006)</f>
        <v>19.110052727245819</v>
      </c>
    </row>
    <row r="1007" spans="1:57" x14ac:dyDescent="0.2">
      <c r="A1007" s="2" t="s">
        <v>3636</v>
      </c>
      <c r="B1007" s="2" t="s">
        <v>19</v>
      </c>
      <c r="C1007" s="2" t="s">
        <v>3245</v>
      </c>
      <c r="D1007" s="2" t="s">
        <v>21</v>
      </c>
      <c r="E1007" s="2" t="s">
        <v>1049</v>
      </c>
      <c r="F1007" s="2">
        <v>3</v>
      </c>
      <c r="G1007" s="2">
        <v>51.67</v>
      </c>
      <c r="H1007" s="2">
        <v>1</v>
      </c>
      <c r="I1007" s="2">
        <v>1</v>
      </c>
      <c r="J1007" s="2">
        <v>0</v>
      </c>
      <c r="K1007" s="2" t="s">
        <v>61</v>
      </c>
      <c r="L1007" s="6" t="s">
        <v>113</v>
      </c>
      <c r="M1007" s="5">
        <v>249000000</v>
      </c>
      <c r="N1007" s="2">
        <v>0</v>
      </c>
      <c r="O1007" s="2">
        <v>4.6050910949999997</v>
      </c>
      <c r="P1007" s="2">
        <v>-74.070846560000007</v>
      </c>
      <c r="Q1007" s="2" t="s">
        <v>3637</v>
      </c>
      <c r="R1007" s="2">
        <v>4819043.9330000002</v>
      </c>
      <c r="S1007" s="2">
        <v>0</v>
      </c>
      <c r="T1007" s="2" t="s">
        <v>77</v>
      </c>
      <c r="U1007" s="2" t="s">
        <v>78</v>
      </c>
      <c r="V1007" s="2" t="s">
        <v>28</v>
      </c>
      <c r="W1007" s="2" t="s">
        <v>79</v>
      </c>
      <c r="X1007" s="2" t="s">
        <v>80</v>
      </c>
      <c r="Y1007" s="2">
        <v>2.3105322454666299</v>
      </c>
      <c r="Z1007" s="2">
        <v>4.6254861111111101</v>
      </c>
      <c r="AA1007" s="2">
        <v>-74.066980555555503</v>
      </c>
      <c r="AB1007" s="2">
        <v>2621</v>
      </c>
      <c r="AC1007" s="2" t="s">
        <v>31</v>
      </c>
      <c r="AD1007" s="2" t="s">
        <v>32</v>
      </c>
      <c r="AE1007" s="2" t="s">
        <v>33</v>
      </c>
      <c r="AF1007" s="2" t="s">
        <v>34</v>
      </c>
      <c r="AG1007" s="2" t="s">
        <v>89</v>
      </c>
      <c r="AH1007" s="2">
        <v>0.38800242094740101</v>
      </c>
      <c r="AI1007" s="2">
        <v>0.70685478996705198</v>
      </c>
      <c r="AJ1007" s="2">
        <v>9.2734722915972401E-2</v>
      </c>
      <c r="AK1007" s="2">
        <v>6.9330289867294198E-2</v>
      </c>
      <c r="AL1007" s="2">
        <v>9.7237452896506302E-2</v>
      </c>
      <c r="AN1007" s="2">
        <v>6.8</v>
      </c>
      <c r="AO1007" s="2">
        <v>19.899999999999999</v>
      </c>
      <c r="AP1007" s="2">
        <v>564</v>
      </c>
      <c r="AQ1007" s="2">
        <v>68</v>
      </c>
      <c r="AR1007" s="2">
        <v>1.5</v>
      </c>
      <c r="AS1007" s="2">
        <v>135</v>
      </c>
      <c r="AT1007" s="2">
        <v>0.8</v>
      </c>
      <c r="AU1007" s="2">
        <v>162</v>
      </c>
      <c r="AV1007" s="2">
        <v>9.1</v>
      </c>
      <c r="AW1007" s="2">
        <v>9.1999999999999993</v>
      </c>
      <c r="AX1007" s="2">
        <v>18.3</v>
      </c>
      <c r="AY1007" s="2">
        <v>0.34</v>
      </c>
      <c r="AZ1007" s="2">
        <v>7.3</v>
      </c>
      <c r="BA1007" s="2">
        <v>0.9</v>
      </c>
      <c r="BB1007" s="2">
        <v>7.5</v>
      </c>
      <c r="BC1007" s="2">
        <v>2.9</v>
      </c>
      <c r="BD1007" s="2">
        <f>+AN1007*EXP(-0.0495*Y1007)</f>
        <v>6.0651014296971342</v>
      </c>
      <c r="BE1007" s="2">
        <f>+AO1007*EXP(-0.024*Y1007)</f>
        <v>18.826528353723901</v>
      </c>
    </row>
    <row r="1008" spans="1:57" x14ac:dyDescent="0.2">
      <c r="A1008" s="2" t="s">
        <v>3645</v>
      </c>
      <c r="B1008" s="2" t="s">
        <v>19</v>
      </c>
      <c r="C1008" s="2" t="s">
        <v>3245</v>
      </c>
      <c r="D1008" s="2" t="s">
        <v>21</v>
      </c>
      <c r="E1008" s="2" t="s">
        <v>1049</v>
      </c>
      <c r="F1008" s="2">
        <v>1</v>
      </c>
      <c r="G1008" s="2">
        <v>51.65</v>
      </c>
      <c r="H1008" s="2">
        <v>1</v>
      </c>
      <c r="I1008" s="2">
        <v>2</v>
      </c>
      <c r="J1008" s="2">
        <v>0</v>
      </c>
      <c r="K1008" s="2" t="s">
        <v>61</v>
      </c>
      <c r="L1008" s="6" t="s">
        <v>75</v>
      </c>
      <c r="M1008" s="5">
        <v>353074569</v>
      </c>
      <c r="N1008" s="2">
        <v>0</v>
      </c>
      <c r="O1008" s="2">
        <v>4.6080965999999997</v>
      </c>
      <c r="P1008" s="2">
        <v>-74.068954469999994</v>
      </c>
      <c r="Q1008" s="2" t="s">
        <v>3646</v>
      </c>
      <c r="R1008" s="2">
        <v>6835906.4670000002</v>
      </c>
      <c r="S1008" s="2">
        <v>0</v>
      </c>
      <c r="T1008" s="2" t="s">
        <v>77</v>
      </c>
      <c r="U1008" s="2" t="s">
        <v>78</v>
      </c>
      <c r="V1008" s="2" t="s">
        <v>28</v>
      </c>
      <c r="W1008" s="2" t="s">
        <v>79</v>
      </c>
      <c r="X1008" s="2" t="s">
        <v>80</v>
      </c>
      <c r="Y1008" s="2">
        <v>1.94814258542791</v>
      </c>
      <c r="Z1008" s="2">
        <v>4.6254861111111101</v>
      </c>
      <c r="AA1008" s="2">
        <v>-74.066980555555503</v>
      </c>
      <c r="AB1008" s="2">
        <v>2621</v>
      </c>
      <c r="AC1008" s="2" t="s">
        <v>31</v>
      </c>
      <c r="AD1008" s="2" t="s">
        <v>32</v>
      </c>
      <c r="AE1008" s="2" t="s">
        <v>33</v>
      </c>
      <c r="AF1008" s="2" t="s">
        <v>34</v>
      </c>
      <c r="AG1008" s="2" t="s">
        <v>89</v>
      </c>
      <c r="AH1008" s="2">
        <v>0.41905411955164201</v>
      </c>
      <c r="AI1008" s="2">
        <v>0.45177826857383202</v>
      </c>
      <c r="AJ1008" s="2">
        <v>0.19446416438957201</v>
      </c>
      <c r="AK1008" s="2">
        <v>0.16225223524732299</v>
      </c>
      <c r="AL1008" s="2">
        <v>3.38144449294005E-2</v>
      </c>
      <c r="AN1008" s="2">
        <v>6.8</v>
      </c>
      <c r="AO1008" s="2">
        <v>19.899999999999999</v>
      </c>
      <c r="AP1008" s="2">
        <v>564</v>
      </c>
      <c r="AQ1008" s="2">
        <v>68</v>
      </c>
      <c r="AR1008" s="2">
        <v>1.5</v>
      </c>
      <c r="AS1008" s="2">
        <v>135</v>
      </c>
      <c r="AT1008" s="2">
        <v>0.8</v>
      </c>
      <c r="AU1008" s="2">
        <v>162</v>
      </c>
      <c r="AV1008" s="2">
        <v>9.1</v>
      </c>
      <c r="AW1008" s="2">
        <v>9.1999999999999993</v>
      </c>
      <c r="AX1008" s="2">
        <v>18.3</v>
      </c>
      <c r="AY1008" s="2">
        <v>0.34</v>
      </c>
      <c r="AZ1008" s="2">
        <v>7.3</v>
      </c>
      <c r="BA1008" s="2">
        <v>0.9</v>
      </c>
      <c r="BB1008" s="2">
        <v>7.5</v>
      </c>
      <c r="BC1008" s="2">
        <v>2.9</v>
      </c>
      <c r="BD1008" s="2">
        <f>+AN1008*EXP(-0.0495*Y1008)</f>
        <v>6.1748806488350976</v>
      </c>
      <c r="BE1008" s="2">
        <f>+AO1008*EXP(-0.024*Y1008)</f>
        <v>18.990983419878013</v>
      </c>
    </row>
    <row r="1009" spans="1:57" x14ac:dyDescent="0.2">
      <c r="A1009" s="2" t="s">
        <v>4442</v>
      </c>
      <c r="B1009" s="2" t="s">
        <v>19</v>
      </c>
      <c r="C1009" s="2" t="s">
        <v>3245</v>
      </c>
      <c r="D1009" s="2" t="s">
        <v>21</v>
      </c>
      <c r="E1009" s="2" t="s">
        <v>3510</v>
      </c>
      <c r="F1009" s="2">
        <v>4</v>
      </c>
      <c r="G1009" s="2">
        <v>51</v>
      </c>
      <c r="H1009" s="2">
        <v>1</v>
      </c>
      <c r="I1009" s="2">
        <v>2</v>
      </c>
      <c r="J1009" s="2">
        <v>1</v>
      </c>
      <c r="K1009" s="2" t="s">
        <v>61</v>
      </c>
      <c r="L1009" s="6" t="s">
        <v>84</v>
      </c>
      <c r="M1009" s="5">
        <v>550000000</v>
      </c>
      <c r="N1009" s="2">
        <v>0</v>
      </c>
      <c r="O1009" s="2">
        <v>4.6191599999999999</v>
      </c>
      <c r="P1009" s="2">
        <v>-74.066500000000005</v>
      </c>
      <c r="Q1009" s="2" t="s">
        <v>4443</v>
      </c>
      <c r="R1009" s="2">
        <v>10784313.73</v>
      </c>
      <c r="S1009" s="2">
        <v>0</v>
      </c>
      <c r="T1009" s="2" t="s">
        <v>77</v>
      </c>
      <c r="U1009" s="2" t="s">
        <v>78</v>
      </c>
      <c r="V1009" s="2" t="s">
        <v>28</v>
      </c>
      <c r="W1009" s="2" t="s">
        <v>79</v>
      </c>
      <c r="X1009" s="2" t="s">
        <v>80</v>
      </c>
      <c r="Y1009" s="2">
        <v>0.70623523696166501</v>
      </c>
      <c r="Z1009" s="2">
        <v>4.6254861111111101</v>
      </c>
      <c r="AA1009" s="2">
        <v>-74.066980555555503</v>
      </c>
      <c r="AB1009" s="2">
        <v>2621</v>
      </c>
      <c r="AC1009" s="2" t="s">
        <v>31</v>
      </c>
      <c r="AD1009" s="2" t="s">
        <v>32</v>
      </c>
      <c r="AE1009" s="2" t="s">
        <v>33</v>
      </c>
      <c r="AF1009" s="2" t="s">
        <v>34</v>
      </c>
      <c r="AG1009" s="2" t="s">
        <v>89</v>
      </c>
      <c r="AH1009" s="2">
        <v>0.44574799538938198</v>
      </c>
      <c r="AI1009" s="2">
        <v>0.509613871712011</v>
      </c>
      <c r="AJ1009" s="2">
        <v>0.19919220863237999</v>
      </c>
      <c r="AK1009" s="2">
        <v>0.137927940215649</v>
      </c>
      <c r="AL1009" s="2">
        <v>9.9322316071138297E-2</v>
      </c>
      <c r="AN1009" s="2">
        <v>6.8</v>
      </c>
      <c r="AO1009" s="2">
        <v>19.899999999999999</v>
      </c>
      <c r="AP1009" s="2">
        <v>564</v>
      </c>
      <c r="AQ1009" s="2">
        <v>68</v>
      </c>
      <c r="AR1009" s="2">
        <v>1.5</v>
      </c>
      <c r="AS1009" s="2">
        <v>135</v>
      </c>
      <c r="AT1009" s="2">
        <v>0.8</v>
      </c>
      <c r="AU1009" s="2">
        <v>162</v>
      </c>
      <c r="AV1009" s="2">
        <v>9.1</v>
      </c>
      <c r="AW1009" s="2">
        <v>9.1999999999999993</v>
      </c>
      <c r="AX1009" s="2">
        <v>18.3</v>
      </c>
      <c r="AY1009" s="2">
        <v>0.34</v>
      </c>
      <c r="AZ1009" s="2">
        <v>7.3</v>
      </c>
      <c r="BA1009" s="2">
        <v>0.9</v>
      </c>
      <c r="BB1009" s="2">
        <v>7.5</v>
      </c>
      <c r="BC1009" s="2">
        <v>2.9</v>
      </c>
      <c r="BD1009" s="2">
        <f>+AN1009*EXP(-0.0495*Y1009)</f>
        <v>6.5663883829865917</v>
      </c>
      <c r="BE1009" s="2">
        <f>+AO1009*EXP(-0.024*Y1009)</f>
        <v>19.565544508980999</v>
      </c>
    </row>
    <row r="1010" spans="1:57" x14ac:dyDescent="0.2">
      <c r="A1010" s="2" t="s">
        <v>1632</v>
      </c>
      <c r="B1010" s="2" t="s">
        <v>19</v>
      </c>
      <c r="C1010" s="2" t="s">
        <v>20</v>
      </c>
      <c r="D1010" s="2" t="s">
        <v>21</v>
      </c>
      <c r="E1010" s="2" t="s">
        <v>83</v>
      </c>
      <c r="F1010" s="2">
        <v>6</v>
      </c>
      <c r="G1010" s="2">
        <v>51</v>
      </c>
      <c r="H1010" s="2">
        <v>1</v>
      </c>
      <c r="I1010" s="2">
        <v>1</v>
      </c>
      <c r="J1010" s="2">
        <v>1</v>
      </c>
      <c r="K1010" s="2" t="s">
        <v>61</v>
      </c>
      <c r="L1010" s="6" t="s">
        <v>75</v>
      </c>
      <c r="M1010" s="5">
        <v>520000000</v>
      </c>
      <c r="N1010" s="2">
        <v>0</v>
      </c>
      <c r="O1010" s="2">
        <v>4.6746320719999996</v>
      </c>
      <c r="P1010" s="2">
        <v>-74.055717470000005</v>
      </c>
      <c r="Q1010" s="2" t="s">
        <v>1633</v>
      </c>
      <c r="R1010" s="2">
        <v>10196078.43</v>
      </c>
      <c r="S1010" s="2">
        <v>0</v>
      </c>
      <c r="T1010" s="2" t="s">
        <v>26</v>
      </c>
      <c r="U1010" s="2" t="s">
        <v>27</v>
      </c>
      <c r="V1010" s="2" t="s">
        <v>28</v>
      </c>
      <c r="W1010" s="2" t="s">
        <v>29</v>
      </c>
      <c r="X1010" s="2" t="s">
        <v>30</v>
      </c>
      <c r="Y1010" s="2">
        <v>3.61412307553163</v>
      </c>
      <c r="Z1010" s="2">
        <v>4.6584666666666701</v>
      </c>
      <c r="AA1010" s="2">
        <v>-74.083966666666697</v>
      </c>
      <c r="AB1010" s="2">
        <v>2552</v>
      </c>
      <c r="AC1010" s="2" t="s">
        <v>31</v>
      </c>
      <c r="AD1010" s="2" t="s">
        <v>32</v>
      </c>
      <c r="AE1010" s="2" t="s">
        <v>33</v>
      </c>
      <c r="AF1010" s="2" t="s">
        <v>34</v>
      </c>
      <c r="AG1010" s="2" t="s">
        <v>81</v>
      </c>
      <c r="AH1010" s="2">
        <v>0.39600668473727402</v>
      </c>
      <c r="AI1010" s="2">
        <v>1.5506048490538</v>
      </c>
      <c r="AJ1010" s="2">
        <v>0.80816478051143903</v>
      </c>
      <c r="AK1010" s="2">
        <v>0.119440344157365</v>
      </c>
      <c r="AL1010" s="2">
        <v>0.71653942176523799</v>
      </c>
      <c r="AN1010" s="2">
        <v>6.8</v>
      </c>
      <c r="AO1010" s="2">
        <v>19.899999999999999</v>
      </c>
      <c r="AP1010" s="2">
        <v>564</v>
      </c>
      <c r="AQ1010" s="2">
        <v>68</v>
      </c>
      <c r="AR1010" s="2">
        <v>1.5</v>
      </c>
      <c r="AS1010" s="2">
        <v>135</v>
      </c>
      <c r="AT1010" s="2">
        <v>0.8</v>
      </c>
      <c r="AU1010" s="2">
        <v>162</v>
      </c>
      <c r="AV1010" s="2">
        <v>9.1</v>
      </c>
      <c r="AW1010" s="2">
        <v>9.1999999999999993</v>
      </c>
      <c r="AX1010" s="2">
        <v>18.3</v>
      </c>
      <c r="AY1010" s="2">
        <v>0.34</v>
      </c>
      <c r="AZ1010" s="2">
        <v>7.3</v>
      </c>
      <c r="BA1010" s="2">
        <v>0.9</v>
      </c>
      <c r="BB1010" s="2">
        <v>7.5</v>
      </c>
      <c r="BC1010" s="2">
        <v>2.9</v>
      </c>
      <c r="BD1010" s="2">
        <f>+AN1010*EXP(-0.0495*Y1010)</f>
        <v>5.6860938579529314</v>
      </c>
      <c r="BE1010" s="2">
        <f>+AO1010*EXP(-0.024*Y1010)</f>
        <v>18.246636796409945</v>
      </c>
    </row>
    <row r="1011" spans="1:57" x14ac:dyDescent="0.2">
      <c r="A1011" s="2" t="s">
        <v>1415</v>
      </c>
      <c r="B1011" s="2" t="s">
        <v>19</v>
      </c>
      <c r="C1011" s="2" t="s">
        <v>20</v>
      </c>
      <c r="D1011" s="2" t="s">
        <v>21</v>
      </c>
      <c r="E1011" s="2" t="s">
        <v>465</v>
      </c>
      <c r="F1011" s="2">
        <v>4</v>
      </c>
      <c r="G1011" s="2">
        <v>51</v>
      </c>
      <c r="H1011" s="2">
        <v>2</v>
      </c>
      <c r="I1011" s="2">
        <v>2</v>
      </c>
      <c r="J1011" s="2">
        <v>1</v>
      </c>
      <c r="K1011" s="2" t="s">
        <v>61</v>
      </c>
      <c r="L1011" s="6" t="s">
        <v>113</v>
      </c>
      <c r="M1011" s="5">
        <v>440000000</v>
      </c>
      <c r="N1011" s="2">
        <v>0</v>
      </c>
      <c r="O1011" s="2">
        <v>4.6364316939999997</v>
      </c>
      <c r="P1011" s="2">
        <v>-74.062583919999994</v>
      </c>
      <c r="Q1011" s="2" t="s">
        <v>1416</v>
      </c>
      <c r="R1011" s="2">
        <v>8627450.9800000004</v>
      </c>
      <c r="S1011" s="2">
        <v>0</v>
      </c>
      <c r="T1011" s="2" t="s">
        <v>77</v>
      </c>
      <c r="U1011" s="2" t="s">
        <v>78</v>
      </c>
      <c r="V1011" s="2" t="s">
        <v>28</v>
      </c>
      <c r="W1011" s="2" t="s">
        <v>79</v>
      </c>
      <c r="X1011" s="2" t="s">
        <v>80</v>
      </c>
      <c r="Y1011" s="2">
        <v>1.3124855126778801</v>
      </c>
      <c r="Z1011" s="2">
        <v>4.6254861111111101</v>
      </c>
      <c r="AA1011" s="2">
        <v>-74.066980555555503</v>
      </c>
      <c r="AB1011" s="2">
        <v>2621</v>
      </c>
      <c r="AC1011" s="2" t="s">
        <v>31</v>
      </c>
      <c r="AD1011" s="2" t="s">
        <v>32</v>
      </c>
      <c r="AE1011" s="2" t="s">
        <v>33</v>
      </c>
      <c r="AF1011" s="2" t="s">
        <v>34</v>
      </c>
      <c r="AG1011" s="2" t="s">
        <v>81</v>
      </c>
      <c r="AH1011" s="2">
        <v>0.48253725345044601</v>
      </c>
      <c r="AI1011" s="2">
        <v>0.42642828077251899</v>
      </c>
      <c r="AJ1011" s="2">
        <v>0.25287758446047898</v>
      </c>
      <c r="AK1011" s="2">
        <v>8.9157215103474796E-2</v>
      </c>
      <c r="AL1011" s="2">
        <v>4.6533989976154197E-2</v>
      </c>
      <c r="AN1011" s="2">
        <v>6.8</v>
      </c>
      <c r="AO1011" s="2">
        <v>19.899999999999999</v>
      </c>
      <c r="AP1011" s="2">
        <v>564</v>
      </c>
      <c r="AQ1011" s="2">
        <v>68</v>
      </c>
      <c r="AR1011" s="2">
        <v>1.5</v>
      </c>
      <c r="AS1011" s="2">
        <v>135</v>
      </c>
      <c r="AT1011" s="2">
        <v>0.8</v>
      </c>
      <c r="AU1011" s="2">
        <v>162</v>
      </c>
      <c r="AV1011" s="2">
        <v>9.1</v>
      </c>
      <c r="AW1011" s="2">
        <v>9.1999999999999993</v>
      </c>
      <c r="AX1011" s="2">
        <v>18.3</v>
      </c>
      <c r="AY1011" s="2">
        <v>0.34</v>
      </c>
      <c r="AZ1011" s="2">
        <v>7.3</v>
      </c>
      <c r="BA1011" s="2">
        <v>0.9</v>
      </c>
      <c r="BB1011" s="2">
        <v>7.5</v>
      </c>
      <c r="BC1011" s="2">
        <v>2.9</v>
      </c>
      <c r="BD1011" s="2">
        <f>+AN1011*EXP(-0.0495*Y1011)</f>
        <v>6.3722624506044898</v>
      </c>
      <c r="BE1011" s="2">
        <f>+AO1011*EXP(-0.024*Y1011)</f>
        <v>19.282926738019558</v>
      </c>
    </row>
    <row r="1012" spans="1:57" x14ac:dyDescent="0.2">
      <c r="A1012" s="2" t="s">
        <v>993</v>
      </c>
      <c r="B1012" s="2" t="s">
        <v>19</v>
      </c>
      <c r="C1012" s="2" t="s">
        <v>20</v>
      </c>
      <c r="D1012" s="2" t="s">
        <v>21</v>
      </c>
      <c r="E1012" s="2" t="s">
        <v>994</v>
      </c>
      <c r="F1012" s="2">
        <v>2</v>
      </c>
      <c r="G1012" s="2">
        <v>51</v>
      </c>
      <c r="H1012" s="2">
        <v>3</v>
      </c>
      <c r="I1012" s="2">
        <v>2</v>
      </c>
      <c r="J1012" s="2">
        <v>0</v>
      </c>
      <c r="K1012" s="2" t="s">
        <v>61</v>
      </c>
      <c r="L1012" s="6" t="s">
        <v>84</v>
      </c>
      <c r="M1012" s="5">
        <v>208000000</v>
      </c>
      <c r="N1012" s="2">
        <v>0</v>
      </c>
      <c r="O1012" s="2">
        <v>4.6213480999999996</v>
      </c>
      <c r="P1012" s="2">
        <v>-74.195002599999995</v>
      </c>
      <c r="Q1012" s="2" t="s">
        <v>995</v>
      </c>
      <c r="R1012" s="2">
        <v>4078431.3730000001</v>
      </c>
      <c r="S1012" s="2">
        <v>0</v>
      </c>
      <c r="T1012" s="2" t="s">
        <v>316</v>
      </c>
      <c r="U1012" s="2" t="s">
        <v>317</v>
      </c>
      <c r="V1012" s="2" t="s">
        <v>28</v>
      </c>
      <c r="W1012" s="2" t="s">
        <v>316</v>
      </c>
      <c r="X1012" s="2" t="s">
        <v>318</v>
      </c>
      <c r="Y1012" s="2">
        <v>2.0193938781938199</v>
      </c>
      <c r="Z1012" s="2">
        <v>4.6056111111111102</v>
      </c>
      <c r="AA1012" s="2">
        <v>-74.204055555555598</v>
      </c>
      <c r="AB1012" s="2">
        <v>2546</v>
      </c>
      <c r="AC1012" s="2" t="s">
        <v>31</v>
      </c>
      <c r="AD1012" s="2" t="s">
        <v>58</v>
      </c>
      <c r="AE1012" s="2" t="s">
        <v>33</v>
      </c>
      <c r="AF1012" s="2" t="s">
        <v>34</v>
      </c>
      <c r="AG1012" s="2" t="s">
        <v>319</v>
      </c>
      <c r="AH1012" s="2">
        <v>2.59036984882079</v>
      </c>
      <c r="AI1012" s="2">
        <v>2.20974583013105</v>
      </c>
      <c r="AJ1012" s="2">
        <v>6.9887292040096503</v>
      </c>
      <c r="AK1012" s="2">
        <v>0.62604129332083103</v>
      </c>
      <c r="AL1012" s="2">
        <v>1.27251786144726E-2</v>
      </c>
      <c r="AN1012" s="2">
        <v>6.8</v>
      </c>
      <c r="AO1012" s="2">
        <v>19.899999999999999</v>
      </c>
      <c r="AP1012" s="2">
        <v>564</v>
      </c>
      <c r="AQ1012" s="2">
        <v>68</v>
      </c>
      <c r="AR1012" s="2">
        <v>1.5</v>
      </c>
      <c r="AS1012" s="2">
        <v>135</v>
      </c>
      <c r="AT1012" s="2">
        <v>0.8</v>
      </c>
      <c r="AU1012" s="2">
        <v>162</v>
      </c>
      <c r="AV1012" s="2">
        <v>9.1</v>
      </c>
      <c r="AW1012" s="2">
        <v>9.1999999999999993</v>
      </c>
      <c r="AX1012" s="2">
        <v>18.3</v>
      </c>
      <c r="AY1012" s="2">
        <v>0.34</v>
      </c>
      <c r="AZ1012" s="2">
        <v>7.3</v>
      </c>
      <c r="BA1012" s="2">
        <v>0.9</v>
      </c>
      <c r="BB1012" s="2">
        <v>7.5</v>
      </c>
      <c r="BC1012" s="2">
        <v>2.9</v>
      </c>
      <c r="BD1012" s="2">
        <f>+AN1012*EXP(-0.0495*Y1012)</f>
        <v>6.1531405819849727</v>
      </c>
      <c r="BE1012" s="2">
        <f>+AO1012*EXP(-0.024*Y1012)</f>
        <v>18.95853599996282</v>
      </c>
    </row>
    <row r="1013" spans="1:57" x14ac:dyDescent="0.2">
      <c r="A1013" s="2" t="s">
        <v>967</v>
      </c>
      <c r="B1013" s="2" t="s">
        <v>19</v>
      </c>
      <c r="C1013" s="2" t="s">
        <v>20</v>
      </c>
      <c r="D1013" s="2" t="s">
        <v>21</v>
      </c>
      <c r="E1013" s="2" t="s">
        <v>968</v>
      </c>
      <c r="F1013" s="2">
        <v>2</v>
      </c>
      <c r="G1013" s="2">
        <v>51</v>
      </c>
      <c r="H1013" s="2">
        <v>3</v>
      </c>
      <c r="I1013" s="2">
        <v>2</v>
      </c>
      <c r="J1013" s="2">
        <v>0</v>
      </c>
      <c r="K1013" s="2" t="s">
        <v>61</v>
      </c>
      <c r="L1013" s="6" t="s">
        <v>62</v>
      </c>
      <c r="M1013" s="5">
        <v>198900000</v>
      </c>
      <c r="N1013" s="2">
        <v>0</v>
      </c>
      <c r="O1013" s="2">
        <v>4.6159607490000001</v>
      </c>
      <c r="P1013" s="2">
        <v>-74.194955910000004</v>
      </c>
      <c r="Q1013" s="2" t="s">
        <v>969</v>
      </c>
      <c r="R1013" s="2">
        <v>3900000</v>
      </c>
      <c r="S1013" s="2">
        <v>0</v>
      </c>
      <c r="T1013" s="2" t="s">
        <v>316</v>
      </c>
      <c r="U1013" s="2" t="s">
        <v>317</v>
      </c>
      <c r="V1013" s="2" t="s">
        <v>28</v>
      </c>
      <c r="W1013" s="2" t="s">
        <v>316</v>
      </c>
      <c r="X1013" s="2" t="s">
        <v>318</v>
      </c>
      <c r="Y1013" s="2">
        <v>1.53194175594267</v>
      </c>
      <c r="Z1013" s="2">
        <v>4.6056111111111102</v>
      </c>
      <c r="AA1013" s="2">
        <v>-74.204055555555598</v>
      </c>
      <c r="AB1013" s="2">
        <v>2546</v>
      </c>
      <c r="AC1013" s="2" t="s">
        <v>31</v>
      </c>
      <c r="AD1013" s="2" t="s">
        <v>58</v>
      </c>
      <c r="AE1013" s="2" t="s">
        <v>33</v>
      </c>
      <c r="AF1013" s="2" t="s">
        <v>34</v>
      </c>
      <c r="AG1013" s="2" t="s">
        <v>319</v>
      </c>
      <c r="AH1013" s="2">
        <v>2.48037303074896</v>
      </c>
      <c r="AI1013" s="2">
        <v>2.49925514373155</v>
      </c>
      <c r="AJ1013" s="2">
        <v>6.7344738296522602</v>
      </c>
      <c r="AK1013" s="2">
        <v>0.44793084311094999</v>
      </c>
      <c r="AL1013" s="2">
        <v>3.7276643966385799E-3</v>
      </c>
      <c r="AN1013" s="2">
        <v>6.8</v>
      </c>
      <c r="AO1013" s="2">
        <v>19.899999999999999</v>
      </c>
      <c r="AP1013" s="2">
        <v>564</v>
      </c>
      <c r="AQ1013" s="2">
        <v>68</v>
      </c>
      <c r="AR1013" s="2">
        <v>1.5</v>
      </c>
      <c r="AS1013" s="2">
        <v>135</v>
      </c>
      <c r="AT1013" s="2">
        <v>0.8</v>
      </c>
      <c r="AU1013" s="2">
        <v>162</v>
      </c>
      <c r="AV1013" s="2">
        <v>9.1</v>
      </c>
      <c r="AW1013" s="2">
        <v>9.1999999999999993</v>
      </c>
      <c r="AX1013" s="2">
        <v>18.3</v>
      </c>
      <c r="AY1013" s="2">
        <v>0.34</v>
      </c>
      <c r="AZ1013" s="2">
        <v>7.3</v>
      </c>
      <c r="BA1013" s="2">
        <v>0.9</v>
      </c>
      <c r="BB1013" s="2">
        <v>7.5</v>
      </c>
      <c r="BC1013" s="2">
        <v>2.9</v>
      </c>
      <c r="BD1013" s="2">
        <f>+AN1013*EXP(-0.0495*Y1013)</f>
        <v>6.3034146548041559</v>
      </c>
      <c r="BE1013" s="2">
        <f>+AO1013*EXP(-0.024*Y1013)</f>
        <v>19.18163152272972</v>
      </c>
    </row>
    <row r="1014" spans="1:57" x14ac:dyDescent="0.2">
      <c r="A1014" s="2" t="s">
        <v>3461</v>
      </c>
      <c r="B1014" s="2" t="s">
        <v>19</v>
      </c>
      <c r="C1014" s="2" t="s">
        <v>3245</v>
      </c>
      <c r="D1014" s="2" t="s">
        <v>21</v>
      </c>
      <c r="E1014" s="2" t="s">
        <v>940</v>
      </c>
      <c r="F1014" s="2">
        <v>6</v>
      </c>
      <c r="G1014" s="2">
        <v>50.46</v>
      </c>
      <c r="H1014" s="2">
        <v>1</v>
      </c>
      <c r="I1014" s="2">
        <v>1</v>
      </c>
      <c r="J1014" s="2">
        <v>0</v>
      </c>
      <c r="K1014" s="2" t="s">
        <v>61</v>
      </c>
      <c r="L1014" s="6" t="s">
        <v>113</v>
      </c>
      <c r="M1014" s="5">
        <v>365000000</v>
      </c>
      <c r="N1014" s="2">
        <v>0</v>
      </c>
      <c r="O1014" s="2">
        <v>4.6707220859999996</v>
      </c>
      <c r="P1014" s="2">
        <v>-74.043935610000005</v>
      </c>
      <c r="Q1014" s="2" t="s">
        <v>3462</v>
      </c>
      <c r="R1014" s="2">
        <v>7233452.2390000001</v>
      </c>
      <c r="S1014" s="2">
        <v>0</v>
      </c>
      <c r="T1014" s="2" t="s">
        <v>26</v>
      </c>
      <c r="U1014" s="2" t="s">
        <v>27</v>
      </c>
      <c r="V1014" s="2" t="s">
        <v>28</v>
      </c>
      <c r="W1014" s="2" t="s">
        <v>29</v>
      </c>
      <c r="X1014" s="2" t="s">
        <v>30</v>
      </c>
      <c r="Y1014" s="2">
        <v>4.6462826734795604</v>
      </c>
      <c r="Z1014" s="2">
        <v>4.6584666666666701</v>
      </c>
      <c r="AA1014" s="2">
        <v>-74.083966666666697</v>
      </c>
      <c r="AB1014" s="2">
        <v>2552</v>
      </c>
      <c r="AC1014" s="2" t="s">
        <v>31</v>
      </c>
      <c r="AD1014" s="2" t="s">
        <v>32</v>
      </c>
      <c r="AE1014" s="2" t="s">
        <v>33</v>
      </c>
      <c r="AF1014" s="2" t="s">
        <v>34</v>
      </c>
      <c r="AG1014" s="2" t="s">
        <v>81</v>
      </c>
      <c r="AH1014" s="2">
        <v>1.75058662352066</v>
      </c>
      <c r="AI1014" s="2">
        <v>0.26537259974658101</v>
      </c>
      <c r="AJ1014" s="2">
        <v>1.2610593546992399</v>
      </c>
      <c r="AK1014" s="2">
        <v>0.58235143322426297</v>
      </c>
      <c r="AL1014" s="2">
        <v>0.74030485752568198</v>
      </c>
      <c r="AN1014" s="2">
        <v>6.8</v>
      </c>
      <c r="AO1014" s="2">
        <v>19.899999999999999</v>
      </c>
      <c r="AP1014" s="2">
        <v>564</v>
      </c>
      <c r="AQ1014" s="2">
        <v>68</v>
      </c>
      <c r="AR1014" s="2">
        <v>1.5</v>
      </c>
      <c r="AS1014" s="2">
        <v>135</v>
      </c>
      <c r="AT1014" s="2">
        <v>0.8</v>
      </c>
      <c r="AU1014" s="2">
        <v>162</v>
      </c>
      <c r="AV1014" s="2">
        <v>9.1</v>
      </c>
      <c r="AW1014" s="2">
        <v>9.1999999999999993</v>
      </c>
      <c r="AX1014" s="2">
        <v>18.3</v>
      </c>
      <c r="AY1014" s="2">
        <v>0.34</v>
      </c>
      <c r="AZ1014" s="2">
        <v>7.3</v>
      </c>
      <c r="BA1014" s="2">
        <v>0.9</v>
      </c>
      <c r="BB1014" s="2">
        <v>7.5</v>
      </c>
      <c r="BC1014" s="2">
        <v>2.9</v>
      </c>
      <c r="BD1014" s="2">
        <f>+AN1014*EXP(-0.0495*Y1014)</f>
        <v>5.4028771640989195</v>
      </c>
      <c r="BE1014" s="2">
        <f>+AO1014*EXP(-0.024*Y1014)</f>
        <v>17.800186727765787</v>
      </c>
    </row>
    <row r="1015" spans="1:57" x14ac:dyDescent="0.2">
      <c r="A1015" s="2" t="s">
        <v>3774</v>
      </c>
      <c r="B1015" s="2" t="s">
        <v>19</v>
      </c>
      <c r="C1015" s="2" t="s">
        <v>3245</v>
      </c>
      <c r="D1015" s="2" t="s">
        <v>21</v>
      </c>
      <c r="E1015" s="2" t="s">
        <v>365</v>
      </c>
      <c r="F1015" s="2">
        <v>4</v>
      </c>
      <c r="G1015" s="2">
        <v>50.16</v>
      </c>
      <c r="H1015" s="2">
        <v>1</v>
      </c>
      <c r="I1015" s="2">
        <v>1</v>
      </c>
      <c r="J1015" s="2">
        <v>1</v>
      </c>
      <c r="K1015" s="2" t="s">
        <v>61</v>
      </c>
      <c r="L1015" s="6" t="s">
        <v>62</v>
      </c>
      <c r="M1015" s="5">
        <v>397000000</v>
      </c>
      <c r="N1015" s="2">
        <v>0</v>
      </c>
      <c r="O1015" s="2">
        <v>4.6482400000000004</v>
      </c>
      <c r="P1015" s="2">
        <v>-74.080039999999997</v>
      </c>
      <c r="Q1015" s="2" t="s">
        <v>3775</v>
      </c>
      <c r="R1015" s="2">
        <v>7914673.0460000001</v>
      </c>
      <c r="S1015" s="2">
        <v>0</v>
      </c>
      <c r="T1015" s="2" t="s">
        <v>26</v>
      </c>
      <c r="U1015" s="2" t="s">
        <v>27</v>
      </c>
      <c r="V1015" s="2" t="s">
        <v>28</v>
      </c>
      <c r="W1015" s="2" t="s">
        <v>29</v>
      </c>
      <c r="X1015" s="2" t="s">
        <v>30</v>
      </c>
      <c r="Y1015" s="2">
        <v>1.2189455895544501</v>
      </c>
      <c r="Z1015" s="2">
        <v>4.6584666666666701</v>
      </c>
      <c r="AA1015" s="2">
        <v>-74.083966666666697</v>
      </c>
      <c r="AB1015" s="2">
        <v>2552</v>
      </c>
      <c r="AC1015" s="2" t="s">
        <v>31</v>
      </c>
      <c r="AD1015" s="2" t="s">
        <v>32</v>
      </c>
      <c r="AE1015" s="2" t="s">
        <v>33</v>
      </c>
      <c r="AF1015" s="2" t="s">
        <v>34</v>
      </c>
      <c r="AG1015" s="2" t="s">
        <v>35</v>
      </c>
      <c r="AH1015" s="2">
        <v>0.27233388188228302</v>
      </c>
      <c r="AI1015" s="2">
        <v>2.6220188378115701</v>
      </c>
      <c r="AJ1015" s="2">
        <v>0.34199275419063102</v>
      </c>
      <c r="AK1015" s="2">
        <v>5.4166274894684403E-2</v>
      </c>
      <c r="AL1015" s="2">
        <v>0.17009234299023701</v>
      </c>
      <c r="AN1015" s="2">
        <v>6.8</v>
      </c>
      <c r="AO1015" s="2">
        <v>19.899999999999999</v>
      </c>
      <c r="AP1015" s="2">
        <v>564</v>
      </c>
      <c r="AQ1015" s="2">
        <v>68</v>
      </c>
      <c r="AR1015" s="2">
        <v>1.5</v>
      </c>
      <c r="AS1015" s="2">
        <v>135</v>
      </c>
      <c r="AT1015" s="2">
        <v>0.8</v>
      </c>
      <c r="AU1015" s="2">
        <v>162</v>
      </c>
      <c r="AV1015" s="2">
        <v>9.1</v>
      </c>
      <c r="AW1015" s="2">
        <v>9.1999999999999993</v>
      </c>
      <c r="AX1015" s="2">
        <v>18.3</v>
      </c>
      <c r="AY1015" s="2">
        <v>0.34</v>
      </c>
      <c r="AZ1015" s="2">
        <v>7.3</v>
      </c>
      <c r="BA1015" s="2">
        <v>0.9</v>
      </c>
      <c r="BB1015" s="2">
        <v>7.5</v>
      </c>
      <c r="BC1015" s="2">
        <v>2.9</v>
      </c>
      <c r="BD1015" s="2">
        <f>+AN1015*EXP(-0.0495*Y1015)</f>
        <v>6.4018358801208484</v>
      </c>
      <c r="BE1015" s="2">
        <f>+AO1015*EXP(-0.024*Y1015)</f>
        <v>19.326264729438879</v>
      </c>
    </row>
    <row r="1016" spans="1:57" x14ac:dyDescent="0.2">
      <c r="A1016" s="2" t="s">
        <v>3825</v>
      </c>
      <c r="B1016" s="2" t="s">
        <v>19</v>
      </c>
      <c r="C1016" s="2" t="s">
        <v>3245</v>
      </c>
      <c r="D1016" s="2" t="s">
        <v>21</v>
      </c>
      <c r="E1016" s="2" t="s">
        <v>460</v>
      </c>
      <c r="F1016" s="2">
        <v>4</v>
      </c>
      <c r="G1016" s="2">
        <v>50</v>
      </c>
      <c r="H1016" s="2">
        <v>1</v>
      </c>
      <c r="I1016" s="2">
        <v>2</v>
      </c>
      <c r="J1016" s="2">
        <v>1</v>
      </c>
      <c r="K1016" s="2" t="s">
        <v>61</v>
      </c>
      <c r="L1016" s="6" t="s">
        <v>62</v>
      </c>
      <c r="M1016" s="5">
        <v>470000000</v>
      </c>
      <c r="N1016" s="2">
        <v>0</v>
      </c>
      <c r="O1016" s="2">
        <v>4.6414900000000001</v>
      </c>
      <c r="P1016" s="2">
        <v>-74.060630000000003</v>
      </c>
      <c r="Q1016" s="2" t="s">
        <v>3826</v>
      </c>
      <c r="R1016" s="2">
        <v>9400000</v>
      </c>
      <c r="S1016" s="2">
        <v>0</v>
      </c>
      <c r="T1016" s="2" t="s">
        <v>77</v>
      </c>
      <c r="U1016" s="2" t="s">
        <v>78</v>
      </c>
      <c r="V1016" s="2" t="s">
        <v>28</v>
      </c>
      <c r="W1016" s="2" t="s">
        <v>79</v>
      </c>
      <c r="X1016" s="2" t="s">
        <v>80</v>
      </c>
      <c r="Y1016" s="2">
        <v>1.9158302298827501</v>
      </c>
      <c r="Z1016" s="2">
        <v>4.6254861111111101</v>
      </c>
      <c r="AA1016" s="2">
        <v>-74.066980555555503</v>
      </c>
      <c r="AB1016" s="2">
        <v>2621</v>
      </c>
      <c r="AC1016" s="2" t="s">
        <v>31</v>
      </c>
      <c r="AD1016" s="2" t="s">
        <v>32</v>
      </c>
      <c r="AE1016" s="2" t="s">
        <v>33</v>
      </c>
      <c r="AF1016" s="2" t="s">
        <v>34</v>
      </c>
      <c r="AG1016" s="2" t="s">
        <v>81</v>
      </c>
      <c r="AH1016" s="2">
        <v>0.59952693323961603</v>
      </c>
      <c r="AI1016" s="2">
        <v>0.34595015838121301</v>
      </c>
      <c r="AJ1016" s="2">
        <v>0.36379730236707097</v>
      </c>
      <c r="AK1016" s="2">
        <v>0.14841649671931301</v>
      </c>
      <c r="AL1016" s="2">
        <v>2.5939727013007601E-2</v>
      </c>
      <c r="AN1016" s="2">
        <v>6.8</v>
      </c>
      <c r="AO1016" s="2">
        <v>19.899999999999999</v>
      </c>
      <c r="AP1016" s="2">
        <v>564</v>
      </c>
      <c r="AQ1016" s="2">
        <v>68</v>
      </c>
      <c r="AR1016" s="2">
        <v>1.5</v>
      </c>
      <c r="AS1016" s="2">
        <v>135</v>
      </c>
      <c r="AT1016" s="2">
        <v>0.8</v>
      </c>
      <c r="AU1016" s="2">
        <v>162</v>
      </c>
      <c r="AV1016" s="2">
        <v>9.1</v>
      </c>
      <c r="AW1016" s="2">
        <v>9.1999999999999993</v>
      </c>
      <c r="AX1016" s="2">
        <v>18.3</v>
      </c>
      <c r="AY1016" s="2">
        <v>0.34</v>
      </c>
      <c r="AZ1016" s="2">
        <v>7.3</v>
      </c>
      <c r="BA1016" s="2">
        <v>0.9</v>
      </c>
      <c r="BB1016" s="2">
        <v>7.5</v>
      </c>
      <c r="BC1016" s="2">
        <v>2.9</v>
      </c>
      <c r="BD1016" s="2">
        <f>+AN1016*EXP(-0.0495*Y1016)</f>
        <v>6.1847650360559614</v>
      </c>
      <c r="BE1016" s="2">
        <f>+AO1016*EXP(-0.024*Y1016)</f>
        <v>19.005716573696464</v>
      </c>
    </row>
    <row r="1017" spans="1:57" x14ac:dyDescent="0.2">
      <c r="A1017" s="2" t="s">
        <v>3733</v>
      </c>
      <c r="B1017" s="2" t="s">
        <v>19</v>
      </c>
      <c r="C1017" s="2" t="s">
        <v>3245</v>
      </c>
      <c r="D1017" s="2" t="s">
        <v>21</v>
      </c>
      <c r="E1017" s="2" t="s">
        <v>3734</v>
      </c>
      <c r="F1017" s="2">
        <v>6</v>
      </c>
      <c r="G1017" s="2">
        <v>50</v>
      </c>
      <c r="H1017" s="2">
        <v>1</v>
      </c>
      <c r="I1017" s="2">
        <v>2</v>
      </c>
      <c r="J1017" s="2">
        <v>1</v>
      </c>
      <c r="K1017" s="2" t="s">
        <v>61</v>
      </c>
      <c r="L1017" s="6" t="s">
        <v>62</v>
      </c>
      <c r="M1017" s="5">
        <v>450000000</v>
      </c>
      <c r="N1017" s="2">
        <v>0</v>
      </c>
      <c r="O1017" s="2">
        <v>4.5710819499999999</v>
      </c>
      <c r="P1017" s="2">
        <v>-74.120686300000003</v>
      </c>
      <c r="Q1017" s="2" t="s">
        <v>3735</v>
      </c>
      <c r="R1017" s="2">
        <v>9000000</v>
      </c>
      <c r="S1017" s="2">
        <v>0</v>
      </c>
      <c r="T1017" s="2" t="s">
        <v>1794</v>
      </c>
      <c r="U1017" s="2" t="s">
        <v>1795</v>
      </c>
      <c r="V1017" s="2" t="s">
        <v>28</v>
      </c>
      <c r="W1017" s="2" t="s">
        <v>1796</v>
      </c>
      <c r="X1017" s="2" t="s">
        <v>1797</v>
      </c>
      <c r="Y1017" s="2">
        <v>1.2752667513573499</v>
      </c>
      <c r="Z1017" s="2">
        <v>4.576225</v>
      </c>
      <c r="AA1017" s="2">
        <v>-74.130955555555502</v>
      </c>
      <c r="AB1017" s="2">
        <v>2589</v>
      </c>
      <c r="AC1017" s="2" t="s">
        <v>31</v>
      </c>
      <c r="AD1017" s="2" t="s">
        <v>58</v>
      </c>
      <c r="AE1017" s="2" t="s">
        <v>33</v>
      </c>
      <c r="AF1017" s="2" t="s">
        <v>34</v>
      </c>
      <c r="AG1017" s="2" t="s">
        <v>1798</v>
      </c>
      <c r="AH1017" s="2">
        <v>0.44626367875342099</v>
      </c>
      <c r="AI1017" s="2">
        <v>4.5839320941976398</v>
      </c>
      <c r="AJ1017" s="2">
        <v>1.9797599919269799</v>
      </c>
      <c r="AK1017" s="2">
        <v>9.1160024096287803E-2</v>
      </c>
      <c r="AL1017" s="2">
        <v>8.4166916062687197E-3</v>
      </c>
      <c r="AN1017" s="2">
        <v>6.8</v>
      </c>
      <c r="AO1017" s="2">
        <v>19.899999999999999</v>
      </c>
      <c r="AP1017" s="2">
        <v>564</v>
      </c>
      <c r="AQ1017" s="2">
        <v>68</v>
      </c>
      <c r="AR1017" s="2">
        <v>1.5</v>
      </c>
      <c r="AS1017" s="2">
        <v>135</v>
      </c>
      <c r="AT1017" s="2">
        <v>0.8</v>
      </c>
      <c r="AU1017" s="2">
        <v>162</v>
      </c>
      <c r="AV1017" s="2">
        <v>9.1</v>
      </c>
      <c r="AW1017" s="2">
        <v>9.1999999999999993</v>
      </c>
      <c r="AX1017" s="2">
        <v>18.3</v>
      </c>
      <c r="AY1017" s="2">
        <v>0.34</v>
      </c>
      <c r="AZ1017" s="2">
        <v>7.3</v>
      </c>
      <c r="BA1017" s="2">
        <v>0.9</v>
      </c>
      <c r="BB1017" s="2">
        <v>7.5</v>
      </c>
      <c r="BC1017" s="2">
        <v>2.9</v>
      </c>
      <c r="BD1017" s="2">
        <f>+AN1017*EXP(-0.0495*Y1017)</f>
        <v>6.384013073439041</v>
      </c>
      <c r="BE1017" s="2">
        <f>+AO1017*EXP(-0.024*Y1017)</f>
        <v>19.30015891274391</v>
      </c>
    </row>
    <row r="1018" spans="1:57" x14ac:dyDescent="0.2">
      <c r="A1018" s="2" t="s">
        <v>3401</v>
      </c>
      <c r="B1018" s="2" t="s">
        <v>19</v>
      </c>
      <c r="C1018" s="2" t="s">
        <v>3245</v>
      </c>
      <c r="D1018" s="2" t="s">
        <v>21</v>
      </c>
      <c r="E1018" s="2" t="s">
        <v>783</v>
      </c>
      <c r="F1018" s="2">
        <v>4</v>
      </c>
      <c r="G1018" s="2">
        <v>50</v>
      </c>
      <c r="H1018" s="2">
        <v>1</v>
      </c>
      <c r="I1018" s="2">
        <v>1</v>
      </c>
      <c r="J1018" s="2">
        <v>1</v>
      </c>
      <c r="K1018" s="2" t="s">
        <v>61</v>
      </c>
      <c r="L1018" s="6" t="s">
        <v>75</v>
      </c>
      <c r="M1018" s="5">
        <v>420000000</v>
      </c>
      <c r="N1018" s="2">
        <v>0</v>
      </c>
      <c r="O1018" s="2">
        <v>4.6476483000000002</v>
      </c>
      <c r="P1018" s="2">
        <v>-74.056289300000003</v>
      </c>
      <c r="Q1018" s="2" t="s">
        <v>3402</v>
      </c>
      <c r="R1018" s="2">
        <v>8400000</v>
      </c>
      <c r="S1018" s="2">
        <v>0</v>
      </c>
      <c r="T1018" s="2" t="s">
        <v>77</v>
      </c>
      <c r="U1018" s="2" t="s">
        <v>78</v>
      </c>
      <c r="V1018" s="2" t="s">
        <v>28</v>
      </c>
      <c r="W1018" s="2" t="s">
        <v>79</v>
      </c>
      <c r="X1018" s="2" t="s">
        <v>80</v>
      </c>
      <c r="Y1018" s="2">
        <v>2.73746074093676</v>
      </c>
      <c r="Z1018" s="2">
        <v>4.6254861111111101</v>
      </c>
      <c r="AA1018" s="2">
        <v>-74.066980555555503</v>
      </c>
      <c r="AB1018" s="2">
        <v>2621</v>
      </c>
      <c r="AC1018" s="2" t="s">
        <v>31</v>
      </c>
      <c r="AD1018" s="2" t="s">
        <v>32</v>
      </c>
      <c r="AE1018" s="2" t="s">
        <v>33</v>
      </c>
      <c r="AF1018" s="2" t="s">
        <v>34</v>
      </c>
      <c r="AG1018" s="2" t="s">
        <v>81</v>
      </c>
      <c r="AH1018" s="2">
        <v>0.95519695577889496</v>
      </c>
      <c r="AI1018" s="2">
        <v>0.46241129326515501</v>
      </c>
      <c r="AJ1018" s="2">
        <v>0.20349206496720099</v>
      </c>
      <c r="AK1018" s="2">
        <v>0.174180306689216</v>
      </c>
      <c r="AL1018" s="2">
        <v>3.5605555002363398E-2</v>
      </c>
      <c r="AN1018" s="2">
        <v>6.8</v>
      </c>
      <c r="AO1018" s="2">
        <v>19.899999999999999</v>
      </c>
      <c r="AP1018" s="2">
        <v>564</v>
      </c>
      <c r="AQ1018" s="2">
        <v>68</v>
      </c>
      <c r="AR1018" s="2">
        <v>1.5</v>
      </c>
      <c r="AS1018" s="2">
        <v>135</v>
      </c>
      <c r="AT1018" s="2">
        <v>0.8</v>
      </c>
      <c r="AU1018" s="2">
        <v>162</v>
      </c>
      <c r="AV1018" s="2">
        <v>9.1</v>
      </c>
      <c r="AW1018" s="2">
        <v>9.1999999999999993</v>
      </c>
      <c r="AX1018" s="2">
        <v>18.3</v>
      </c>
      <c r="AY1018" s="2">
        <v>0.34</v>
      </c>
      <c r="AZ1018" s="2">
        <v>7.3</v>
      </c>
      <c r="BA1018" s="2">
        <v>0.9</v>
      </c>
      <c r="BB1018" s="2">
        <v>7.5</v>
      </c>
      <c r="BC1018" s="2">
        <v>2.9</v>
      </c>
      <c r="BD1018" s="2">
        <f>+AN1018*EXP(-0.0495*Y1018)</f>
        <v>5.9382727336397307</v>
      </c>
      <c r="BE1018" s="2">
        <f>+AO1018*EXP(-0.024*Y1018)</f>
        <v>18.634611296900989</v>
      </c>
    </row>
    <row r="1019" spans="1:57" x14ac:dyDescent="0.2">
      <c r="A1019" s="2" t="s">
        <v>4250</v>
      </c>
      <c r="B1019" s="2" t="s">
        <v>19</v>
      </c>
      <c r="C1019" s="2" t="s">
        <v>3245</v>
      </c>
      <c r="D1019" s="2" t="s">
        <v>21</v>
      </c>
      <c r="E1019" s="2" t="s">
        <v>1985</v>
      </c>
      <c r="F1019" s="2">
        <v>4</v>
      </c>
      <c r="G1019" s="2">
        <v>50</v>
      </c>
      <c r="H1019" s="2">
        <v>1</v>
      </c>
      <c r="I1019" s="2">
        <v>2</v>
      </c>
      <c r="J1019" s="2">
        <v>1</v>
      </c>
      <c r="K1019" s="2" t="s">
        <v>61</v>
      </c>
      <c r="L1019" s="6" t="s">
        <v>84</v>
      </c>
      <c r="M1019" s="5">
        <v>415000000</v>
      </c>
      <c r="N1019" s="2">
        <v>0</v>
      </c>
      <c r="O1019" s="2">
        <v>4.6923542019999998</v>
      </c>
      <c r="P1019" s="2">
        <v>-74.067092900000006</v>
      </c>
      <c r="Q1019" s="2" t="s">
        <v>4251</v>
      </c>
      <c r="R1019" s="2">
        <v>8300000</v>
      </c>
      <c r="S1019" s="2">
        <v>0</v>
      </c>
      <c r="T1019" s="2" t="s">
        <v>26</v>
      </c>
      <c r="U1019" s="2" t="s">
        <v>27</v>
      </c>
      <c r="V1019" s="2" t="s">
        <v>28</v>
      </c>
      <c r="W1019" s="2" t="s">
        <v>29</v>
      </c>
      <c r="X1019" s="2" t="s">
        <v>30</v>
      </c>
      <c r="Y1019" s="2">
        <v>4.2113464516015</v>
      </c>
      <c r="Z1019" s="2">
        <v>4.6584666666666701</v>
      </c>
      <c r="AA1019" s="2">
        <v>-74.083966666666697</v>
      </c>
      <c r="AB1019" s="2">
        <v>2552</v>
      </c>
      <c r="AC1019" s="2" t="s">
        <v>31</v>
      </c>
      <c r="AD1019" s="2" t="s">
        <v>32</v>
      </c>
      <c r="AE1019" s="2" t="s">
        <v>33</v>
      </c>
      <c r="AF1019" s="2" t="s">
        <v>34</v>
      </c>
      <c r="AG1019" s="2" t="s">
        <v>72</v>
      </c>
      <c r="AH1019" s="2">
        <v>0.116369878892988</v>
      </c>
      <c r="AI1019" s="2">
        <v>3.6713527563124702</v>
      </c>
      <c r="AJ1019" s="2">
        <v>0.66589099616134695</v>
      </c>
      <c r="AK1019" s="2">
        <v>8.3316858019037404E-2</v>
      </c>
      <c r="AL1019" s="2">
        <v>0.359032015968763</v>
      </c>
      <c r="AN1019" s="2">
        <v>6.8</v>
      </c>
      <c r="AO1019" s="2">
        <v>19.899999999999999</v>
      </c>
      <c r="AP1019" s="2">
        <v>564</v>
      </c>
      <c r="AQ1019" s="2">
        <v>68</v>
      </c>
      <c r="AR1019" s="2">
        <v>1.5</v>
      </c>
      <c r="AS1019" s="2">
        <v>135</v>
      </c>
      <c r="AT1019" s="2">
        <v>0.8</v>
      </c>
      <c r="AU1019" s="2">
        <v>162</v>
      </c>
      <c r="AV1019" s="2">
        <v>9.1</v>
      </c>
      <c r="AW1019" s="2">
        <v>9.1999999999999993</v>
      </c>
      <c r="AX1019" s="2">
        <v>18.3</v>
      </c>
      <c r="AY1019" s="2">
        <v>0.34</v>
      </c>
      <c r="AZ1019" s="2">
        <v>7.3</v>
      </c>
      <c r="BA1019" s="2">
        <v>0.9</v>
      </c>
      <c r="BB1019" s="2">
        <v>7.5</v>
      </c>
      <c r="BC1019" s="2">
        <v>2.9</v>
      </c>
      <c r="BD1019" s="2">
        <f>+AN1019*EXP(-0.0495*Y1019)</f>
        <v>5.5204587450752571</v>
      </c>
      <c r="BE1019" s="2">
        <f>+AO1019*EXP(-0.024*Y1019)</f>
        <v>17.986966582814325</v>
      </c>
    </row>
    <row r="1020" spans="1:57" x14ac:dyDescent="0.2">
      <c r="A1020" s="2" t="s">
        <v>3626</v>
      </c>
      <c r="B1020" s="2" t="s">
        <v>19</v>
      </c>
      <c r="C1020" s="2" t="s">
        <v>3245</v>
      </c>
      <c r="D1020" s="2" t="s">
        <v>21</v>
      </c>
      <c r="E1020" s="2" t="s">
        <v>1985</v>
      </c>
      <c r="F1020" s="2">
        <v>4</v>
      </c>
      <c r="G1020" s="2">
        <v>50</v>
      </c>
      <c r="H1020" s="2">
        <v>1</v>
      </c>
      <c r="I1020" s="2">
        <v>2</v>
      </c>
      <c r="J1020" s="2">
        <v>1</v>
      </c>
      <c r="K1020" s="2" t="s">
        <v>61</v>
      </c>
      <c r="L1020" s="6" t="s">
        <v>62</v>
      </c>
      <c r="M1020" s="5">
        <v>390000000</v>
      </c>
      <c r="N1020" s="2">
        <v>0</v>
      </c>
      <c r="O1020" s="2">
        <v>4.691466331</v>
      </c>
      <c r="P1020" s="2">
        <v>-74.067245479999997</v>
      </c>
      <c r="Q1020" s="2" t="s">
        <v>3627</v>
      </c>
      <c r="R1020" s="2">
        <v>7800000</v>
      </c>
      <c r="S1020" s="2">
        <v>0</v>
      </c>
      <c r="T1020" s="2" t="s">
        <v>26</v>
      </c>
      <c r="U1020" s="2" t="s">
        <v>27</v>
      </c>
      <c r="V1020" s="2" t="s">
        <v>28</v>
      </c>
      <c r="W1020" s="2" t="s">
        <v>29</v>
      </c>
      <c r="X1020" s="2" t="s">
        <v>30</v>
      </c>
      <c r="Y1020" s="2">
        <v>4.1153878121033101</v>
      </c>
      <c r="Z1020" s="2">
        <v>4.6584666666666701</v>
      </c>
      <c r="AA1020" s="2">
        <v>-74.083966666666697</v>
      </c>
      <c r="AB1020" s="2">
        <v>2552</v>
      </c>
      <c r="AC1020" s="2" t="s">
        <v>31</v>
      </c>
      <c r="AD1020" s="2" t="s">
        <v>32</v>
      </c>
      <c r="AE1020" s="2" t="s">
        <v>33</v>
      </c>
      <c r="AF1020" s="2" t="s">
        <v>34</v>
      </c>
      <c r="AG1020" s="2" t="s">
        <v>72</v>
      </c>
      <c r="AH1020" s="2">
        <v>0.213818445905813</v>
      </c>
      <c r="AI1020" s="2">
        <v>3.63314110650207</v>
      </c>
      <c r="AJ1020" s="2">
        <v>0.75000972237503305</v>
      </c>
      <c r="AK1020" s="2">
        <v>0.13946301890226101</v>
      </c>
      <c r="AL1020" s="2">
        <v>0.42511336293000701</v>
      </c>
      <c r="AN1020" s="2">
        <v>6.8</v>
      </c>
      <c r="AO1020" s="2">
        <v>19.899999999999999</v>
      </c>
      <c r="AP1020" s="2">
        <v>564</v>
      </c>
      <c r="AQ1020" s="2">
        <v>68</v>
      </c>
      <c r="AR1020" s="2">
        <v>1.5</v>
      </c>
      <c r="AS1020" s="2">
        <v>135</v>
      </c>
      <c r="AT1020" s="2">
        <v>0.8</v>
      </c>
      <c r="AU1020" s="2">
        <v>162</v>
      </c>
      <c r="AV1020" s="2">
        <v>9.1</v>
      </c>
      <c r="AW1020" s="2">
        <v>9.1999999999999993</v>
      </c>
      <c r="AX1020" s="2">
        <v>18.3</v>
      </c>
      <c r="AY1020" s="2">
        <v>0.34</v>
      </c>
      <c r="AZ1020" s="2">
        <v>7.3</v>
      </c>
      <c r="BA1020" s="2">
        <v>0.9</v>
      </c>
      <c r="BB1020" s="2">
        <v>7.5</v>
      </c>
      <c r="BC1020" s="2">
        <v>2.9</v>
      </c>
      <c r="BD1020" s="2">
        <f>+AN1020*EXP(-0.0495*Y1020)</f>
        <v>5.5467430379034424</v>
      </c>
      <c r="BE1020" s="2">
        <f>+AO1020*EXP(-0.024*Y1020)</f>
        <v>18.028438435682926</v>
      </c>
    </row>
    <row r="1021" spans="1:57" x14ac:dyDescent="0.2">
      <c r="A1021" s="2" t="s">
        <v>3634</v>
      </c>
      <c r="B1021" s="2" t="s">
        <v>19</v>
      </c>
      <c r="C1021" s="2" t="s">
        <v>3245</v>
      </c>
      <c r="D1021" s="2" t="s">
        <v>21</v>
      </c>
      <c r="E1021" s="2" t="s">
        <v>1985</v>
      </c>
      <c r="F1021" s="2">
        <v>4</v>
      </c>
      <c r="G1021" s="2">
        <v>50</v>
      </c>
      <c r="H1021" s="2">
        <v>1</v>
      </c>
      <c r="I1021" s="2">
        <v>2</v>
      </c>
      <c r="J1021" s="2">
        <v>1</v>
      </c>
      <c r="K1021" s="2" t="s">
        <v>61</v>
      </c>
      <c r="L1021" s="6" t="s">
        <v>62</v>
      </c>
      <c r="M1021" s="5">
        <v>390000000</v>
      </c>
      <c r="N1021" s="2">
        <v>0</v>
      </c>
      <c r="O1021" s="2">
        <v>4.6898264879999996</v>
      </c>
      <c r="P1021" s="2">
        <v>-74.067672729999998</v>
      </c>
      <c r="Q1021" s="2" t="s">
        <v>3635</v>
      </c>
      <c r="R1021" s="2">
        <v>7800000</v>
      </c>
      <c r="S1021" s="2">
        <v>0</v>
      </c>
      <c r="T1021" s="2" t="s">
        <v>26</v>
      </c>
      <c r="U1021" s="2" t="s">
        <v>27</v>
      </c>
      <c r="V1021" s="2" t="s">
        <v>28</v>
      </c>
      <c r="W1021" s="2" t="s">
        <v>29</v>
      </c>
      <c r="X1021" s="2" t="s">
        <v>30</v>
      </c>
      <c r="Y1021" s="2">
        <v>3.9312770581906</v>
      </c>
      <c r="Z1021" s="2">
        <v>4.6584666666666701</v>
      </c>
      <c r="AA1021" s="2">
        <v>-74.083966666666697</v>
      </c>
      <c r="AB1021" s="2">
        <v>2552</v>
      </c>
      <c r="AC1021" s="2" t="s">
        <v>31</v>
      </c>
      <c r="AD1021" s="2" t="s">
        <v>32</v>
      </c>
      <c r="AE1021" s="2" t="s">
        <v>33</v>
      </c>
      <c r="AF1021" s="2" t="s">
        <v>34</v>
      </c>
      <c r="AG1021" s="2" t="s">
        <v>72</v>
      </c>
      <c r="AH1021" s="2">
        <v>0.39833891454319098</v>
      </c>
      <c r="AI1021" s="2">
        <v>3.5805345342320498</v>
      </c>
      <c r="AJ1021" s="2">
        <v>0.87962656786768101</v>
      </c>
      <c r="AK1021" s="2">
        <v>3.54658295144228E-2</v>
      </c>
      <c r="AL1021" s="2">
        <v>0.43114124000127002</v>
      </c>
      <c r="AN1021" s="2">
        <v>6.8</v>
      </c>
      <c r="AO1021" s="2">
        <v>19.899999999999999</v>
      </c>
      <c r="AP1021" s="2">
        <v>564</v>
      </c>
      <c r="AQ1021" s="2">
        <v>68</v>
      </c>
      <c r="AR1021" s="2">
        <v>1.5</v>
      </c>
      <c r="AS1021" s="2">
        <v>135</v>
      </c>
      <c r="AT1021" s="2">
        <v>0.8</v>
      </c>
      <c r="AU1021" s="2">
        <v>162</v>
      </c>
      <c r="AV1021" s="2">
        <v>9.1</v>
      </c>
      <c r="AW1021" s="2">
        <v>9.1999999999999993</v>
      </c>
      <c r="AX1021" s="2">
        <v>18.3</v>
      </c>
      <c r="AY1021" s="2">
        <v>0.34</v>
      </c>
      <c r="AZ1021" s="2">
        <v>7.3</v>
      </c>
      <c r="BA1021" s="2">
        <v>0.9</v>
      </c>
      <c r="BB1021" s="2">
        <v>7.5</v>
      </c>
      <c r="BC1021" s="2">
        <v>2.9</v>
      </c>
      <c r="BD1021" s="2">
        <f>+AN1021*EXP(-0.0495*Y1021)</f>
        <v>5.5975242277724346</v>
      </c>
      <c r="BE1021" s="2">
        <f>+AO1021*EXP(-0.024*Y1021)</f>
        <v>18.108276199087371</v>
      </c>
    </row>
    <row r="1022" spans="1:57" x14ac:dyDescent="0.2">
      <c r="A1022" s="2" t="s">
        <v>1421</v>
      </c>
      <c r="B1022" s="2" t="s">
        <v>19</v>
      </c>
      <c r="C1022" s="2" t="s">
        <v>20</v>
      </c>
      <c r="D1022" s="2" t="s">
        <v>21</v>
      </c>
      <c r="E1022" s="2" t="s">
        <v>1422</v>
      </c>
      <c r="F1022" s="2">
        <v>2</v>
      </c>
      <c r="G1022" s="2">
        <v>50</v>
      </c>
      <c r="H1022" s="2">
        <v>2</v>
      </c>
      <c r="I1022" s="2">
        <v>1</v>
      </c>
      <c r="J1022" s="2">
        <v>0</v>
      </c>
      <c r="K1022" s="2" t="s">
        <v>61</v>
      </c>
      <c r="L1022" s="6" t="s">
        <v>84</v>
      </c>
      <c r="M1022" s="5">
        <v>169500000</v>
      </c>
      <c r="N1022" s="2">
        <v>0</v>
      </c>
      <c r="O1022" s="2">
        <v>4.6129245829999999</v>
      </c>
      <c r="P1022" s="2">
        <v>-74.204232970000007</v>
      </c>
      <c r="Q1022" s="2" t="s">
        <v>1423</v>
      </c>
      <c r="R1022" s="2">
        <v>3390000</v>
      </c>
      <c r="S1022" s="2">
        <v>0</v>
      </c>
      <c r="T1022" s="2" t="s">
        <v>316</v>
      </c>
      <c r="U1022" s="2" t="s">
        <v>317</v>
      </c>
      <c r="V1022" s="2" t="s">
        <v>28</v>
      </c>
      <c r="W1022" s="2" t="s">
        <v>316</v>
      </c>
      <c r="X1022" s="2" t="s">
        <v>318</v>
      </c>
      <c r="Y1022" s="2">
        <v>0.81436993453641005</v>
      </c>
      <c r="Z1022" s="2">
        <v>4.6056111111111102</v>
      </c>
      <c r="AA1022" s="2">
        <v>-74.204055555555598</v>
      </c>
      <c r="AB1022" s="2">
        <v>2546</v>
      </c>
      <c r="AC1022" s="2" t="s">
        <v>31</v>
      </c>
      <c r="AD1022" s="2" t="s">
        <v>58</v>
      </c>
      <c r="AE1022" s="2" t="s">
        <v>33</v>
      </c>
      <c r="AF1022" s="2" t="s">
        <v>34</v>
      </c>
      <c r="AG1022" s="2" t="s">
        <v>319</v>
      </c>
      <c r="AH1022" s="2">
        <v>2.6027791749257099</v>
      </c>
      <c r="AI1022" s="2">
        <v>1.98128621292136</v>
      </c>
      <c r="AJ1022" s="2">
        <v>7.5891292963121497</v>
      </c>
      <c r="AK1022" s="2">
        <v>0.52327119027577595</v>
      </c>
      <c r="AL1022" s="2">
        <v>0.106732815753382</v>
      </c>
      <c r="AN1022" s="2">
        <v>6.8</v>
      </c>
      <c r="AO1022" s="2">
        <v>19.899999999999999</v>
      </c>
      <c r="AP1022" s="2">
        <v>564</v>
      </c>
      <c r="AQ1022" s="2">
        <v>68</v>
      </c>
      <c r="AR1022" s="2">
        <v>1.5</v>
      </c>
      <c r="AS1022" s="2">
        <v>135</v>
      </c>
      <c r="AT1022" s="2">
        <v>0.8</v>
      </c>
      <c r="AU1022" s="2">
        <v>162</v>
      </c>
      <c r="AV1022" s="2">
        <v>9.1</v>
      </c>
      <c r="AW1022" s="2">
        <v>9.1999999999999993</v>
      </c>
      <c r="AX1022" s="2">
        <v>18.3</v>
      </c>
      <c r="AY1022" s="2">
        <v>0.34</v>
      </c>
      <c r="AZ1022" s="2">
        <v>7.3</v>
      </c>
      <c r="BA1022" s="2">
        <v>0.9</v>
      </c>
      <c r="BB1022" s="2">
        <v>7.5</v>
      </c>
      <c r="BC1022" s="2">
        <v>2.9</v>
      </c>
      <c r="BD1022" s="2">
        <f>+AN1022*EXP(-0.0495*Y1022)</f>
        <v>6.5313345884478142</v>
      </c>
      <c r="BE1022" s="2">
        <f>+AO1022*EXP(-0.024*Y1022)</f>
        <v>19.514833199548278</v>
      </c>
    </row>
    <row r="1023" spans="1:57" x14ac:dyDescent="0.2">
      <c r="A1023" s="2" t="s">
        <v>464</v>
      </c>
      <c r="B1023" s="2" t="s">
        <v>19</v>
      </c>
      <c r="C1023" s="2" t="s">
        <v>20</v>
      </c>
      <c r="D1023" s="2" t="s">
        <v>21</v>
      </c>
      <c r="E1023" s="2" t="s">
        <v>465</v>
      </c>
      <c r="F1023" s="2">
        <v>4</v>
      </c>
      <c r="G1023" s="2">
        <v>49.5</v>
      </c>
      <c r="H1023" s="2">
        <v>1</v>
      </c>
      <c r="I1023" s="2">
        <v>2</v>
      </c>
      <c r="J1023" s="2">
        <v>1</v>
      </c>
      <c r="K1023" s="2" t="s">
        <v>61</v>
      </c>
      <c r="L1023" s="6" t="s">
        <v>62</v>
      </c>
      <c r="M1023" s="5">
        <v>480000000</v>
      </c>
      <c r="N1023" s="2">
        <v>0</v>
      </c>
      <c r="O1023" s="2">
        <v>4.6328649520000003</v>
      </c>
      <c r="P1023" s="2">
        <v>-74.063392640000004</v>
      </c>
      <c r="Q1023" s="2" t="s">
        <v>466</v>
      </c>
      <c r="R1023" s="2">
        <v>9696969.6970000006</v>
      </c>
      <c r="S1023" s="2">
        <v>0</v>
      </c>
      <c r="T1023" s="2" t="s">
        <v>77</v>
      </c>
      <c r="U1023" s="2" t="s">
        <v>78</v>
      </c>
      <c r="V1023" s="2" t="s">
        <v>28</v>
      </c>
      <c r="W1023" s="2" t="s">
        <v>79</v>
      </c>
      <c r="X1023" s="2" t="s">
        <v>80</v>
      </c>
      <c r="Y1023" s="2">
        <v>0.91279661834840398</v>
      </c>
      <c r="Z1023" s="2">
        <v>4.6254861111111101</v>
      </c>
      <c r="AA1023" s="2">
        <v>-74.066980555555503</v>
      </c>
      <c r="AB1023" s="2">
        <v>2621</v>
      </c>
      <c r="AC1023" s="2" t="s">
        <v>31</v>
      </c>
      <c r="AD1023" s="2" t="s">
        <v>32</v>
      </c>
      <c r="AE1023" s="2" t="s">
        <v>33</v>
      </c>
      <c r="AF1023" s="2" t="s">
        <v>34</v>
      </c>
      <c r="AG1023" s="2" t="s">
        <v>81</v>
      </c>
      <c r="AH1023" s="2">
        <v>0.52137376365254495</v>
      </c>
      <c r="AI1023" s="2">
        <v>0.38381209955398699</v>
      </c>
      <c r="AJ1023" s="2">
        <v>0.21452315181971901</v>
      </c>
      <c r="AK1023" s="2">
        <v>0.177599266202145</v>
      </c>
      <c r="AL1023" s="2">
        <v>1.4745086287343501E-2</v>
      </c>
      <c r="AN1023" s="2">
        <v>6.8</v>
      </c>
      <c r="AO1023" s="2">
        <v>19.899999999999999</v>
      </c>
      <c r="AP1023" s="2">
        <v>564</v>
      </c>
      <c r="AQ1023" s="2">
        <v>68</v>
      </c>
      <c r="AR1023" s="2">
        <v>1.5</v>
      </c>
      <c r="AS1023" s="2">
        <v>135</v>
      </c>
      <c r="AT1023" s="2">
        <v>0.8</v>
      </c>
      <c r="AU1023" s="2">
        <v>162</v>
      </c>
      <c r="AV1023" s="2">
        <v>9.1</v>
      </c>
      <c r="AW1023" s="2">
        <v>9.1999999999999993</v>
      </c>
      <c r="AX1023" s="2">
        <v>18.3</v>
      </c>
      <c r="AY1023" s="2">
        <v>0.34</v>
      </c>
      <c r="AZ1023" s="2">
        <v>7.3</v>
      </c>
      <c r="BA1023" s="2">
        <v>0.9</v>
      </c>
      <c r="BB1023" s="2">
        <v>7.5</v>
      </c>
      <c r="BC1023" s="2">
        <v>2.9</v>
      </c>
      <c r="BD1023" s="2">
        <f>+AN1023*EXP(-0.0495*Y1023)</f>
        <v>6.499590530267338</v>
      </c>
      <c r="BE1023" s="2">
        <f>+AO1023*EXP(-0.024*Y1023)</f>
        <v>19.468788877231606</v>
      </c>
    </row>
    <row r="1024" spans="1:57" x14ac:dyDescent="0.2">
      <c r="A1024" s="2" t="s">
        <v>3591</v>
      </c>
      <c r="B1024" s="2" t="s">
        <v>19</v>
      </c>
      <c r="C1024" s="2" t="s">
        <v>3245</v>
      </c>
      <c r="D1024" s="2" t="s">
        <v>21</v>
      </c>
      <c r="E1024" s="2" t="s">
        <v>81</v>
      </c>
      <c r="F1024" s="2">
        <v>4</v>
      </c>
      <c r="G1024" s="2">
        <v>49.24</v>
      </c>
      <c r="H1024" s="2">
        <v>1</v>
      </c>
      <c r="I1024" s="2">
        <v>1</v>
      </c>
      <c r="J1024" s="2">
        <v>0</v>
      </c>
      <c r="K1024" s="2" t="s">
        <v>61</v>
      </c>
      <c r="L1024" s="6" t="s">
        <v>75</v>
      </c>
      <c r="M1024" s="5">
        <v>330000000</v>
      </c>
      <c r="N1024" s="2">
        <v>0</v>
      </c>
      <c r="O1024" s="2">
        <v>4.6691599999999998</v>
      </c>
      <c r="P1024" s="2">
        <v>-74.050190000000001</v>
      </c>
      <c r="Q1024" s="2" t="s">
        <v>3592</v>
      </c>
      <c r="R1024" s="2">
        <v>6701868.4000000004</v>
      </c>
      <c r="S1024" s="2">
        <v>0</v>
      </c>
      <c r="T1024" s="2" t="s">
        <v>26</v>
      </c>
      <c r="U1024" s="2" t="s">
        <v>27</v>
      </c>
      <c r="V1024" s="2" t="s">
        <v>28</v>
      </c>
      <c r="W1024" s="2" t="s">
        <v>29</v>
      </c>
      <c r="X1024" s="2" t="s">
        <v>30</v>
      </c>
      <c r="Y1024" s="2">
        <v>3.9320656164146</v>
      </c>
      <c r="Z1024" s="2">
        <v>4.6584666666666701</v>
      </c>
      <c r="AA1024" s="2">
        <v>-74.083966666666697</v>
      </c>
      <c r="AB1024" s="2">
        <v>2552</v>
      </c>
      <c r="AC1024" s="2" t="s">
        <v>31</v>
      </c>
      <c r="AD1024" s="2" t="s">
        <v>32</v>
      </c>
      <c r="AE1024" s="2" t="s">
        <v>33</v>
      </c>
      <c r="AF1024" s="2" t="s">
        <v>34</v>
      </c>
      <c r="AG1024" s="2" t="s">
        <v>81</v>
      </c>
      <c r="AH1024" s="2">
        <v>1.1046287965158099</v>
      </c>
      <c r="AI1024" s="2">
        <v>0.74562746672478897</v>
      </c>
      <c r="AJ1024" s="2">
        <v>0.61572356531893102</v>
      </c>
      <c r="AK1024" s="2">
        <v>0.35597664226380299</v>
      </c>
      <c r="AL1024" s="2">
        <v>0.31263290836796498</v>
      </c>
      <c r="AN1024" s="2">
        <v>6.8</v>
      </c>
      <c r="AO1024" s="2">
        <v>19.899999999999999</v>
      </c>
      <c r="AP1024" s="2">
        <v>564</v>
      </c>
      <c r="AQ1024" s="2">
        <v>68</v>
      </c>
      <c r="AR1024" s="2">
        <v>1.5</v>
      </c>
      <c r="AS1024" s="2">
        <v>135</v>
      </c>
      <c r="AT1024" s="2">
        <v>0.8</v>
      </c>
      <c r="AU1024" s="2">
        <v>162</v>
      </c>
      <c r="AV1024" s="2">
        <v>9.1</v>
      </c>
      <c r="AW1024" s="2">
        <v>9.1999999999999993</v>
      </c>
      <c r="AX1024" s="2">
        <v>18.3</v>
      </c>
      <c r="AY1024" s="2">
        <v>0.34</v>
      </c>
      <c r="AZ1024" s="2">
        <v>7.3</v>
      </c>
      <c r="BA1024" s="2">
        <v>0.9</v>
      </c>
      <c r="BB1024" s="2">
        <v>7.5</v>
      </c>
      <c r="BC1024" s="2">
        <v>2.9</v>
      </c>
      <c r="BD1024" s="2">
        <f>+AN1024*EXP(-0.0495*Y1024)</f>
        <v>5.5973057403353312</v>
      </c>
      <c r="BE1024" s="2">
        <f>+AO1024*EXP(-0.024*Y1024)</f>
        <v>18.107933496007416</v>
      </c>
    </row>
    <row r="1025" spans="1:57" x14ac:dyDescent="0.2">
      <c r="A1025" s="2" t="s">
        <v>1696</v>
      </c>
      <c r="B1025" s="2" t="s">
        <v>19</v>
      </c>
      <c r="C1025" s="2" t="s">
        <v>20</v>
      </c>
      <c r="D1025" s="2" t="s">
        <v>21</v>
      </c>
      <c r="E1025" s="2" t="s">
        <v>1049</v>
      </c>
      <c r="F1025" s="2">
        <v>4</v>
      </c>
      <c r="G1025" s="2">
        <v>49.12</v>
      </c>
      <c r="H1025" s="2">
        <v>2</v>
      </c>
      <c r="I1025" s="2">
        <v>2</v>
      </c>
      <c r="J1025" s="2">
        <v>1</v>
      </c>
      <c r="K1025" s="2" t="s">
        <v>61</v>
      </c>
      <c r="L1025" s="6" t="s">
        <v>84</v>
      </c>
      <c r="M1025" s="5">
        <v>460000000</v>
      </c>
      <c r="N1025" s="2">
        <v>0</v>
      </c>
      <c r="O1025" s="2">
        <v>4.6082349999999996</v>
      </c>
      <c r="P1025" s="2">
        <v>-74.069140000000004</v>
      </c>
      <c r="Q1025" s="2" t="s">
        <v>1697</v>
      </c>
      <c r="R1025" s="2">
        <v>9364820.8469999991</v>
      </c>
      <c r="S1025" s="2">
        <v>0</v>
      </c>
      <c r="T1025" s="2" t="s">
        <v>77</v>
      </c>
      <c r="U1025" s="2" t="s">
        <v>78</v>
      </c>
      <c r="V1025" s="2" t="s">
        <v>28</v>
      </c>
      <c r="W1025" s="2" t="s">
        <v>79</v>
      </c>
      <c r="X1025" s="2" t="s">
        <v>80</v>
      </c>
      <c r="Y1025" s="2">
        <v>1.9352752506316699</v>
      </c>
      <c r="Z1025" s="2">
        <v>4.6254861111111101</v>
      </c>
      <c r="AA1025" s="2">
        <v>-74.066980555555503</v>
      </c>
      <c r="AB1025" s="2">
        <v>2621</v>
      </c>
      <c r="AC1025" s="2" t="s">
        <v>31</v>
      </c>
      <c r="AD1025" s="2" t="s">
        <v>32</v>
      </c>
      <c r="AE1025" s="2" t="s">
        <v>33</v>
      </c>
      <c r="AF1025" s="2" t="s">
        <v>34</v>
      </c>
      <c r="AG1025" s="2" t="s">
        <v>89</v>
      </c>
      <c r="AH1025" s="2">
        <v>0.39392145208075102</v>
      </c>
      <c r="AI1025" s="2">
        <v>0.47329336812274198</v>
      </c>
      <c r="AJ1025" s="2">
        <v>0.20593114428944601</v>
      </c>
      <c r="AK1025" s="2">
        <v>0.15353377534080201</v>
      </c>
      <c r="AL1025" s="2">
        <v>5.9155208179488099E-2</v>
      </c>
      <c r="AN1025" s="2">
        <v>6.8</v>
      </c>
      <c r="AO1025" s="2">
        <v>19.899999999999999</v>
      </c>
      <c r="AP1025" s="2">
        <v>564</v>
      </c>
      <c r="AQ1025" s="2">
        <v>68</v>
      </c>
      <c r="AR1025" s="2">
        <v>1.5</v>
      </c>
      <c r="AS1025" s="2">
        <v>135</v>
      </c>
      <c r="AT1025" s="2">
        <v>0.8</v>
      </c>
      <c r="AU1025" s="2">
        <v>162</v>
      </c>
      <c r="AV1025" s="2">
        <v>9.1</v>
      </c>
      <c r="AW1025" s="2">
        <v>9.1999999999999993</v>
      </c>
      <c r="AX1025" s="2">
        <v>18.3</v>
      </c>
      <c r="AY1025" s="2">
        <v>0.34</v>
      </c>
      <c r="AZ1025" s="2">
        <v>7.3</v>
      </c>
      <c r="BA1025" s="2">
        <v>0.9</v>
      </c>
      <c r="BB1025" s="2">
        <v>7.5</v>
      </c>
      <c r="BC1025" s="2">
        <v>2.9</v>
      </c>
      <c r="BD1025" s="2">
        <f>+AN1025*EXP(-0.0495*Y1025)</f>
        <v>6.1788148873288504</v>
      </c>
      <c r="BE1025" s="2">
        <f>+AO1025*EXP(-0.024*Y1025)</f>
        <v>18.996849045733619</v>
      </c>
    </row>
    <row r="1026" spans="1:57" x14ac:dyDescent="0.2">
      <c r="A1026" s="2" t="s">
        <v>3986</v>
      </c>
      <c r="B1026" s="2" t="s">
        <v>19</v>
      </c>
      <c r="C1026" s="2" t="s">
        <v>3245</v>
      </c>
      <c r="D1026" s="2" t="s">
        <v>21</v>
      </c>
      <c r="E1026" s="2" t="s">
        <v>1242</v>
      </c>
      <c r="F1026" s="2">
        <v>4</v>
      </c>
      <c r="G1026" s="2">
        <v>49</v>
      </c>
      <c r="H1026" s="2">
        <v>1</v>
      </c>
      <c r="I1026" s="2">
        <v>2</v>
      </c>
      <c r="J1026" s="2">
        <v>1</v>
      </c>
      <c r="K1026" s="2" t="s">
        <v>61</v>
      </c>
      <c r="L1026" s="6" t="s">
        <v>62</v>
      </c>
      <c r="M1026" s="5">
        <v>485000000</v>
      </c>
      <c r="N1026" s="2">
        <v>0</v>
      </c>
      <c r="O1026" s="2">
        <v>4.6354800000000003</v>
      </c>
      <c r="P1026" s="2">
        <v>-74.063079999999999</v>
      </c>
      <c r="Q1026" s="2" t="s">
        <v>3987</v>
      </c>
      <c r="R1026" s="2">
        <v>9897959.1840000004</v>
      </c>
      <c r="S1026" s="2">
        <v>0</v>
      </c>
      <c r="T1026" s="2" t="s">
        <v>77</v>
      </c>
      <c r="U1026" s="2" t="s">
        <v>78</v>
      </c>
      <c r="V1026" s="2" t="s">
        <v>28</v>
      </c>
      <c r="W1026" s="2" t="s">
        <v>79</v>
      </c>
      <c r="X1026" s="2" t="s">
        <v>80</v>
      </c>
      <c r="Y1026" s="2">
        <v>1.19373217966449</v>
      </c>
      <c r="Z1026" s="2">
        <v>4.6254861111111101</v>
      </c>
      <c r="AA1026" s="2">
        <v>-74.066980555555503</v>
      </c>
      <c r="AB1026" s="2">
        <v>2621</v>
      </c>
      <c r="AC1026" s="2" t="s">
        <v>31</v>
      </c>
      <c r="AD1026" s="2" t="s">
        <v>32</v>
      </c>
      <c r="AE1026" s="2" t="s">
        <v>33</v>
      </c>
      <c r="AF1026" s="2" t="s">
        <v>34</v>
      </c>
      <c r="AG1026" s="2" t="s">
        <v>81</v>
      </c>
      <c r="AH1026" s="2">
        <v>0.471007738434575</v>
      </c>
      <c r="AI1026" s="2">
        <v>0.40344952885992402</v>
      </c>
      <c r="AJ1026" s="2">
        <v>0.30665976891394497</v>
      </c>
      <c r="AK1026" s="2">
        <v>8.5022607643256198E-2</v>
      </c>
      <c r="AL1026" s="2">
        <v>5.3773662486221903E-2</v>
      </c>
      <c r="AN1026" s="2">
        <v>6.8</v>
      </c>
      <c r="AO1026" s="2">
        <v>19.899999999999999</v>
      </c>
      <c r="AP1026" s="2">
        <v>564</v>
      </c>
      <c r="AQ1026" s="2">
        <v>68</v>
      </c>
      <c r="AR1026" s="2">
        <v>1.5</v>
      </c>
      <c r="AS1026" s="2">
        <v>135</v>
      </c>
      <c r="AT1026" s="2">
        <v>0.8</v>
      </c>
      <c r="AU1026" s="2">
        <v>162</v>
      </c>
      <c r="AV1026" s="2">
        <v>9.1</v>
      </c>
      <c r="AW1026" s="2">
        <v>9.1999999999999993</v>
      </c>
      <c r="AX1026" s="2">
        <v>18.3</v>
      </c>
      <c r="AY1026" s="2">
        <v>0.34</v>
      </c>
      <c r="AZ1026" s="2">
        <v>7.3</v>
      </c>
      <c r="BA1026" s="2">
        <v>0.9</v>
      </c>
      <c r="BB1026" s="2">
        <v>7.5</v>
      </c>
      <c r="BC1026" s="2">
        <v>2.9</v>
      </c>
      <c r="BD1026" s="2">
        <f>+AN1026*EXP(-0.0495*Y1026)</f>
        <v>6.4098307676965529</v>
      </c>
      <c r="BE1026" s="2">
        <f>+AO1026*EXP(-0.024*Y1026)</f>
        <v>19.337963013347803</v>
      </c>
    </row>
    <row r="1027" spans="1:57" x14ac:dyDescent="0.2">
      <c r="A1027" s="2" t="s">
        <v>3589</v>
      </c>
      <c r="B1027" s="2" t="s">
        <v>19</v>
      </c>
      <c r="C1027" s="2" t="s">
        <v>3245</v>
      </c>
      <c r="D1027" s="2" t="s">
        <v>21</v>
      </c>
      <c r="E1027" s="2" t="s">
        <v>174</v>
      </c>
      <c r="F1027" s="2">
        <v>5</v>
      </c>
      <c r="G1027" s="2">
        <v>49</v>
      </c>
      <c r="H1027" s="2">
        <v>1</v>
      </c>
      <c r="I1027" s="2">
        <v>2</v>
      </c>
      <c r="J1027" s="2">
        <v>1</v>
      </c>
      <c r="K1027" s="2" t="s">
        <v>61</v>
      </c>
      <c r="L1027" s="6" t="s">
        <v>113</v>
      </c>
      <c r="M1027" s="5">
        <v>420000000</v>
      </c>
      <c r="N1027" s="2">
        <v>0</v>
      </c>
      <c r="O1027" s="2">
        <v>4.6578741069999996</v>
      </c>
      <c r="P1027" s="2">
        <v>-74.057022090000004</v>
      </c>
      <c r="Q1027" s="2" t="s">
        <v>3590</v>
      </c>
      <c r="R1027" s="2">
        <v>8571428.5710000005</v>
      </c>
      <c r="S1027" s="2">
        <v>0</v>
      </c>
      <c r="T1027" s="2" t="s">
        <v>26</v>
      </c>
      <c r="U1027" s="2" t="s">
        <v>27</v>
      </c>
      <c r="V1027" s="2" t="s">
        <v>28</v>
      </c>
      <c r="W1027" s="2" t="s">
        <v>29</v>
      </c>
      <c r="X1027" s="2" t="s">
        <v>30</v>
      </c>
      <c r="Y1027" s="2">
        <v>2.9902768163178099</v>
      </c>
      <c r="Z1027" s="2">
        <v>4.6584666666666701</v>
      </c>
      <c r="AA1027" s="2">
        <v>-74.083966666666697</v>
      </c>
      <c r="AB1027" s="2">
        <v>2552</v>
      </c>
      <c r="AC1027" s="2" t="s">
        <v>31</v>
      </c>
      <c r="AD1027" s="2" t="s">
        <v>32</v>
      </c>
      <c r="AE1027" s="2" t="s">
        <v>33</v>
      </c>
      <c r="AF1027" s="2" t="s">
        <v>34</v>
      </c>
      <c r="AG1027" s="2" t="s">
        <v>81</v>
      </c>
      <c r="AH1027" s="2">
        <v>0.56093735345511198</v>
      </c>
      <c r="AI1027" s="2">
        <v>1.04643216835492</v>
      </c>
      <c r="AJ1027" s="2">
        <v>5.3333925969496099E-2</v>
      </c>
      <c r="AK1027" s="2">
        <v>3.2190203560364401E-2</v>
      </c>
      <c r="AL1027" s="2">
        <v>0.122360124716656</v>
      </c>
      <c r="AN1027" s="2">
        <v>6.8</v>
      </c>
      <c r="AO1027" s="2">
        <v>19.899999999999999</v>
      </c>
      <c r="AP1027" s="2">
        <v>564</v>
      </c>
      <c r="AQ1027" s="2">
        <v>68</v>
      </c>
      <c r="AR1027" s="2">
        <v>1.5</v>
      </c>
      <c r="AS1027" s="2">
        <v>135</v>
      </c>
      <c r="AT1027" s="2">
        <v>0.8</v>
      </c>
      <c r="AU1027" s="2">
        <v>162</v>
      </c>
      <c r="AV1027" s="2">
        <v>9.1</v>
      </c>
      <c r="AW1027" s="2">
        <v>9.1999999999999993</v>
      </c>
      <c r="AX1027" s="2">
        <v>18.3</v>
      </c>
      <c r="AY1027" s="2">
        <v>0.34</v>
      </c>
      <c r="AZ1027" s="2">
        <v>7.3</v>
      </c>
      <c r="BA1027" s="2">
        <v>0.9</v>
      </c>
      <c r="BB1027" s="2">
        <v>7.5</v>
      </c>
      <c r="BC1027" s="2">
        <v>2.9</v>
      </c>
      <c r="BD1027" s="2">
        <f>+AN1027*EXP(-0.0495*Y1027)</f>
        <v>5.864421901770756</v>
      </c>
      <c r="BE1027" s="2">
        <f>+AO1027*EXP(-0.024*Y1027)</f>
        <v>18.521886523290934</v>
      </c>
    </row>
    <row r="1028" spans="1:57" x14ac:dyDescent="0.2">
      <c r="A1028" s="2" t="s">
        <v>3618</v>
      </c>
      <c r="B1028" s="2" t="s">
        <v>19</v>
      </c>
      <c r="C1028" s="2" t="s">
        <v>3245</v>
      </c>
      <c r="D1028" s="2" t="s">
        <v>21</v>
      </c>
      <c r="E1028" s="2" t="s">
        <v>2011</v>
      </c>
      <c r="F1028" s="2">
        <v>4</v>
      </c>
      <c r="G1028" s="2">
        <v>49</v>
      </c>
      <c r="H1028" s="2">
        <v>1</v>
      </c>
      <c r="I1028" s="2">
        <v>1</v>
      </c>
      <c r="J1028" s="2">
        <v>1</v>
      </c>
      <c r="K1028" s="2" t="s">
        <v>61</v>
      </c>
      <c r="L1028" s="6" t="s">
        <v>113</v>
      </c>
      <c r="M1028" s="5">
        <v>350000000</v>
      </c>
      <c r="N1028" s="2">
        <v>0</v>
      </c>
      <c r="O1028" s="2">
        <v>4.6349499999999999</v>
      </c>
      <c r="P1028" s="2">
        <v>-74.071730000000002</v>
      </c>
      <c r="Q1028" s="2" t="s">
        <v>3619</v>
      </c>
      <c r="R1028" s="2">
        <v>7142857.1430000002</v>
      </c>
      <c r="S1028" s="2">
        <v>0</v>
      </c>
      <c r="T1028" s="2" t="s">
        <v>77</v>
      </c>
      <c r="U1028" s="2" t="s">
        <v>78</v>
      </c>
      <c r="V1028" s="2" t="s">
        <v>28</v>
      </c>
      <c r="W1028" s="2" t="s">
        <v>79</v>
      </c>
      <c r="X1028" s="2" t="s">
        <v>80</v>
      </c>
      <c r="Y1028" s="2">
        <v>1.1779654836783999</v>
      </c>
      <c r="Z1028" s="2">
        <v>4.6254861111111101</v>
      </c>
      <c r="AA1028" s="2">
        <v>-74.066980555555503</v>
      </c>
      <c r="AB1028" s="2">
        <v>2621</v>
      </c>
      <c r="AC1028" s="2" t="s">
        <v>31</v>
      </c>
      <c r="AD1028" s="2" t="s">
        <v>32</v>
      </c>
      <c r="AE1028" s="2" t="s">
        <v>33</v>
      </c>
      <c r="AF1028" s="2" t="s">
        <v>34</v>
      </c>
      <c r="AG1028" s="2" t="s">
        <v>35</v>
      </c>
      <c r="AH1028" s="2">
        <v>0.57600835333309197</v>
      </c>
      <c r="AI1028" s="2">
        <v>1.31156101739784</v>
      </c>
      <c r="AJ1028" s="2">
        <v>0.28113659034938498</v>
      </c>
      <c r="AK1028" s="2">
        <v>0.114265510921691</v>
      </c>
      <c r="AL1028" s="2">
        <v>1.49479805099177E-2</v>
      </c>
      <c r="AN1028" s="2">
        <v>6.8</v>
      </c>
      <c r="AO1028" s="2">
        <v>19.899999999999999</v>
      </c>
      <c r="AP1028" s="2">
        <v>564</v>
      </c>
      <c r="AQ1028" s="2">
        <v>68</v>
      </c>
      <c r="AR1028" s="2">
        <v>1.5</v>
      </c>
      <c r="AS1028" s="2">
        <v>135</v>
      </c>
      <c r="AT1028" s="2">
        <v>0.8</v>
      </c>
      <c r="AU1028" s="2">
        <v>162</v>
      </c>
      <c r="AV1028" s="2">
        <v>9.1</v>
      </c>
      <c r="AW1028" s="2">
        <v>9.1999999999999993</v>
      </c>
      <c r="AX1028" s="2">
        <v>18.3</v>
      </c>
      <c r="AY1028" s="2">
        <v>0.34</v>
      </c>
      <c r="AZ1028" s="2">
        <v>7.3</v>
      </c>
      <c r="BA1028" s="2">
        <v>0.9</v>
      </c>
      <c r="BB1028" s="2">
        <v>7.5</v>
      </c>
      <c r="BC1028" s="2">
        <v>2.9</v>
      </c>
      <c r="BD1028" s="2">
        <f>+AN1028*EXP(-0.0495*Y1028)</f>
        <v>6.4148352820580881</v>
      </c>
      <c r="BE1028" s="2">
        <f>+AO1028*EXP(-0.024*Y1028)</f>
        <v>19.345281896807521</v>
      </c>
    </row>
    <row r="1029" spans="1:57" x14ac:dyDescent="0.2">
      <c r="A1029" s="2" t="s">
        <v>3360</v>
      </c>
      <c r="B1029" s="2" t="s">
        <v>19</v>
      </c>
      <c r="C1029" s="2" t="s">
        <v>3245</v>
      </c>
      <c r="D1029" s="2" t="s">
        <v>21</v>
      </c>
      <c r="E1029" s="2" t="s">
        <v>3361</v>
      </c>
      <c r="F1029" s="2">
        <v>3</v>
      </c>
      <c r="G1029" s="2">
        <v>48.5</v>
      </c>
      <c r="H1029" s="2">
        <v>1</v>
      </c>
      <c r="I1029" s="2">
        <v>2</v>
      </c>
      <c r="J1029" s="2">
        <v>0</v>
      </c>
      <c r="K1029" s="2" t="s">
        <v>61</v>
      </c>
      <c r="L1029" s="6" t="s">
        <v>62</v>
      </c>
      <c r="M1029" s="5">
        <v>345000000</v>
      </c>
      <c r="N1029" s="2">
        <v>0</v>
      </c>
      <c r="O1029" s="2">
        <v>4.6080851999999997</v>
      </c>
      <c r="P1029" s="2">
        <v>-74.081231799999998</v>
      </c>
      <c r="Q1029" s="2" t="s">
        <v>3362</v>
      </c>
      <c r="R1029" s="2">
        <v>7113402.0619999999</v>
      </c>
      <c r="S1029" s="2">
        <v>0</v>
      </c>
      <c r="T1029" s="2" t="s">
        <v>77</v>
      </c>
      <c r="U1029" s="2" t="s">
        <v>78</v>
      </c>
      <c r="V1029" s="2" t="s">
        <v>28</v>
      </c>
      <c r="W1029" s="2" t="s">
        <v>79</v>
      </c>
      <c r="X1029" s="2" t="s">
        <v>80</v>
      </c>
      <c r="Y1029" s="2">
        <v>2.5005386882200602</v>
      </c>
      <c r="Z1029" s="2">
        <v>4.6254861111111101</v>
      </c>
      <c r="AA1029" s="2">
        <v>-74.066980555555503</v>
      </c>
      <c r="AB1029" s="2">
        <v>2621</v>
      </c>
      <c r="AC1029" s="2" t="s">
        <v>31</v>
      </c>
      <c r="AD1029" s="2" t="s">
        <v>32</v>
      </c>
      <c r="AE1029" s="2" t="s">
        <v>33</v>
      </c>
      <c r="AF1029" s="2" t="s">
        <v>34</v>
      </c>
      <c r="AG1029" s="2" t="s">
        <v>259</v>
      </c>
      <c r="AH1029" s="2">
        <v>0.303443781092255</v>
      </c>
      <c r="AI1029" s="2">
        <v>1.81282188171133</v>
      </c>
      <c r="AJ1029" s="2">
        <v>0.27016496447404498</v>
      </c>
      <c r="AK1029" s="2">
        <v>0.101414739887438</v>
      </c>
      <c r="AL1029" s="2">
        <v>0.39074163854184402</v>
      </c>
      <c r="AN1029" s="2">
        <v>6.8</v>
      </c>
      <c r="AO1029" s="2">
        <v>19.899999999999999</v>
      </c>
      <c r="AP1029" s="2">
        <v>564</v>
      </c>
      <c r="AQ1029" s="2">
        <v>68</v>
      </c>
      <c r="AR1029" s="2">
        <v>1.5</v>
      </c>
      <c r="AS1029" s="2">
        <v>135</v>
      </c>
      <c r="AT1029" s="2">
        <v>0.8</v>
      </c>
      <c r="AU1029" s="2">
        <v>162</v>
      </c>
      <c r="AV1029" s="2">
        <v>9.1</v>
      </c>
      <c r="AW1029" s="2">
        <v>9.1999999999999993</v>
      </c>
      <c r="AX1029" s="2">
        <v>18.3</v>
      </c>
      <c r="AY1029" s="2">
        <v>0.34</v>
      </c>
      <c r="AZ1029" s="2">
        <v>7.3</v>
      </c>
      <c r="BA1029" s="2">
        <v>0.9</v>
      </c>
      <c r="BB1029" s="2">
        <v>7.5</v>
      </c>
      <c r="BC1029" s="2">
        <v>2.9</v>
      </c>
      <c r="BD1029" s="2">
        <f>+AN1029*EXP(-0.0495*Y1029)</f>
        <v>6.0083246369516523</v>
      </c>
      <c r="BE1029" s="2">
        <f>+AO1029*EXP(-0.024*Y1029)</f>
        <v>18.740871925073751</v>
      </c>
    </row>
    <row r="1030" spans="1:57" x14ac:dyDescent="0.2">
      <c r="A1030" s="2" t="s">
        <v>4234</v>
      </c>
      <c r="B1030" s="2" t="s">
        <v>19</v>
      </c>
      <c r="C1030" s="2" t="s">
        <v>3245</v>
      </c>
      <c r="D1030" s="2" t="s">
        <v>21</v>
      </c>
      <c r="E1030" s="2" t="s">
        <v>3361</v>
      </c>
      <c r="F1030" s="2">
        <v>3</v>
      </c>
      <c r="G1030" s="2">
        <v>48</v>
      </c>
      <c r="H1030" s="2">
        <v>1</v>
      </c>
      <c r="I1030" s="2">
        <v>2</v>
      </c>
      <c r="J1030" s="2">
        <v>0</v>
      </c>
      <c r="K1030" s="2" t="s">
        <v>61</v>
      </c>
      <c r="L1030" s="6" t="s">
        <v>62</v>
      </c>
      <c r="M1030" s="5">
        <v>330000000</v>
      </c>
      <c r="N1030" s="2">
        <v>0</v>
      </c>
      <c r="O1030" s="2">
        <v>4.6078700000000001</v>
      </c>
      <c r="P1030" s="2">
        <v>-74.081980000000001</v>
      </c>
      <c r="Q1030" s="2" t="s">
        <v>4235</v>
      </c>
      <c r="R1030" s="2">
        <v>6875000</v>
      </c>
      <c r="S1030" s="2">
        <v>0</v>
      </c>
      <c r="T1030" s="2" t="s">
        <v>77</v>
      </c>
      <c r="U1030" s="2" t="s">
        <v>78</v>
      </c>
      <c r="V1030" s="2" t="s">
        <v>28</v>
      </c>
      <c r="W1030" s="2" t="s">
        <v>79</v>
      </c>
      <c r="X1030" s="2" t="s">
        <v>80</v>
      </c>
      <c r="Y1030" s="2">
        <v>2.5720660439771601</v>
      </c>
      <c r="Z1030" s="2">
        <v>4.6254861111111101</v>
      </c>
      <c r="AA1030" s="2">
        <v>-74.066980555555503</v>
      </c>
      <c r="AB1030" s="2">
        <v>2621</v>
      </c>
      <c r="AC1030" s="2" t="s">
        <v>31</v>
      </c>
      <c r="AD1030" s="2" t="s">
        <v>32</v>
      </c>
      <c r="AE1030" s="2" t="s">
        <v>33</v>
      </c>
      <c r="AF1030" s="2" t="s">
        <v>34</v>
      </c>
      <c r="AG1030" s="2" t="s">
        <v>259</v>
      </c>
      <c r="AH1030" s="2">
        <v>0.270801397551029</v>
      </c>
      <c r="AI1030" s="2">
        <v>1.8956737630452301</v>
      </c>
      <c r="AJ1030" s="2">
        <v>0.23552271227852101</v>
      </c>
      <c r="AK1030" s="2">
        <v>9.4648564345650693E-2</v>
      </c>
      <c r="AL1030" s="2">
        <v>0.464821197787323</v>
      </c>
      <c r="AN1030" s="2">
        <v>6.8</v>
      </c>
      <c r="AO1030" s="2">
        <v>19.899999999999999</v>
      </c>
      <c r="AP1030" s="2">
        <v>564</v>
      </c>
      <c r="AQ1030" s="2">
        <v>68</v>
      </c>
      <c r="AR1030" s="2">
        <v>1.5</v>
      </c>
      <c r="AS1030" s="2">
        <v>135</v>
      </c>
      <c r="AT1030" s="2">
        <v>0.8</v>
      </c>
      <c r="AU1030" s="2">
        <v>162</v>
      </c>
      <c r="AV1030" s="2">
        <v>9.1</v>
      </c>
      <c r="AW1030" s="2">
        <v>9.1999999999999993</v>
      </c>
      <c r="AX1030" s="2">
        <v>18.3</v>
      </c>
      <c r="AY1030" s="2">
        <v>0.34</v>
      </c>
      <c r="AZ1030" s="2">
        <v>7.3</v>
      </c>
      <c r="BA1030" s="2">
        <v>0.9</v>
      </c>
      <c r="BB1030" s="2">
        <v>7.5</v>
      </c>
      <c r="BC1030" s="2">
        <v>2.9</v>
      </c>
      <c r="BD1030" s="2">
        <f>+AN1030*EXP(-0.0495*Y1030)</f>
        <v>5.9870891534518469</v>
      </c>
      <c r="BE1030" s="2">
        <f>+AO1030*EXP(-0.024*Y1030)</f>
        <v>18.708727882786537</v>
      </c>
    </row>
    <row r="1031" spans="1:57" x14ac:dyDescent="0.2">
      <c r="A1031" s="2" t="s">
        <v>1267</v>
      </c>
      <c r="B1031" s="2" t="s">
        <v>19</v>
      </c>
      <c r="C1031" s="2" t="s">
        <v>20</v>
      </c>
      <c r="D1031" s="2" t="s">
        <v>21</v>
      </c>
      <c r="E1031" s="2" t="s">
        <v>1268</v>
      </c>
      <c r="F1031" s="2">
        <v>2</v>
      </c>
      <c r="G1031" s="2">
        <v>48</v>
      </c>
      <c r="H1031" s="2">
        <v>2</v>
      </c>
      <c r="I1031" s="2">
        <v>2</v>
      </c>
      <c r="J1031" s="2">
        <v>0</v>
      </c>
      <c r="K1031" s="2" t="s">
        <v>61</v>
      </c>
      <c r="L1031" s="6" t="s">
        <v>62</v>
      </c>
      <c r="M1031" s="5">
        <v>192000000</v>
      </c>
      <c r="N1031" s="2">
        <v>0</v>
      </c>
      <c r="O1031" s="2">
        <v>4.6128818799999998</v>
      </c>
      <c r="P1031" s="2">
        <v>-74.19269783</v>
      </c>
      <c r="Q1031" s="2" t="s">
        <v>1269</v>
      </c>
      <c r="R1031" s="2">
        <v>4000000</v>
      </c>
      <c r="S1031" s="2">
        <v>0</v>
      </c>
      <c r="T1031" s="2" t="s">
        <v>316</v>
      </c>
      <c r="U1031" s="2" t="s">
        <v>317</v>
      </c>
      <c r="V1031" s="2" t="s">
        <v>28</v>
      </c>
      <c r="W1031" s="2" t="s">
        <v>316</v>
      </c>
      <c r="X1031" s="2" t="s">
        <v>318</v>
      </c>
      <c r="Y1031" s="2">
        <v>1.4977704705343899</v>
      </c>
      <c r="Z1031" s="2">
        <v>4.6056111111111102</v>
      </c>
      <c r="AA1031" s="2">
        <v>-74.204055555555598</v>
      </c>
      <c r="AB1031" s="2">
        <v>2546</v>
      </c>
      <c r="AC1031" s="2" t="s">
        <v>31</v>
      </c>
      <c r="AD1031" s="2" t="s">
        <v>58</v>
      </c>
      <c r="AE1031" s="2" t="s">
        <v>33</v>
      </c>
      <c r="AF1031" s="2" t="s">
        <v>34</v>
      </c>
      <c r="AG1031" s="2" t="s">
        <v>319</v>
      </c>
      <c r="AH1031" s="2">
        <v>2.0841334040781301</v>
      </c>
      <c r="AI1031" s="2">
        <v>2.89686434317177</v>
      </c>
      <c r="AJ1031" s="2">
        <v>6.3766097895668503</v>
      </c>
      <c r="AK1031" s="2">
        <v>0.14390640483782599</v>
      </c>
      <c r="AL1031" s="2">
        <v>7.3759082340074901E-3</v>
      </c>
      <c r="AN1031" s="2">
        <v>6.8</v>
      </c>
      <c r="AO1031" s="2">
        <v>19.899999999999999</v>
      </c>
      <c r="AP1031" s="2">
        <v>564</v>
      </c>
      <c r="AQ1031" s="2">
        <v>68</v>
      </c>
      <c r="AR1031" s="2">
        <v>1.5</v>
      </c>
      <c r="AS1031" s="2">
        <v>135</v>
      </c>
      <c r="AT1031" s="2">
        <v>0.8</v>
      </c>
      <c r="AU1031" s="2">
        <v>162</v>
      </c>
      <c r="AV1031" s="2">
        <v>9.1</v>
      </c>
      <c r="AW1031" s="2">
        <v>9.1999999999999993</v>
      </c>
      <c r="AX1031" s="2">
        <v>18.3</v>
      </c>
      <c r="AY1031" s="2">
        <v>0.34</v>
      </c>
      <c r="AZ1031" s="2">
        <v>7.3</v>
      </c>
      <c r="BA1031" s="2">
        <v>0.9</v>
      </c>
      <c r="BB1031" s="2">
        <v>7.5</v>
      </c>
      <c r="BC1031" s="2">
        <v>2.9</v>
      </c>
      <c r="BD1031" s="2">
        <f>+AN1031*EXP(-0.0495*Y1031)</f>
        <v>6.3140857684103899</v>
      </c>
      <c r="BE1031" s="2">
        <f>+AO1031*EXP(-0.024*Y1031)</f>
        <v>19.197369039230303</v>
      </c>
    </row>
    <row r="1032" spans="1:57" x14ac:dyDescent="0.2">
      <c r="A1032" s="2" t="s">
        <v>3482</v>
      </c>
      <c r="B1032" s="2" t="s">
        <v>19</v>
      </c>
      <c r="C1032" s="2" t="s">
        <v>3245</v>
      </c>
      <c r="D1032" s="2" t="s">
        <v>21</v>
      </c>
      <c r="E1032" s="2" t="s">
        <v>3483</v>
      </c>
      <c r="F1032" s="2">
        <v>1</v>
      </c>
      <c r="G1032" s="2">
        <v>47.85</v>
      </c>
      <c r="H1032" s="2">
        <v>1</v>
      </c>
      <c r="I1032" s="2">
        <v>2</v>
      </c>
      <c r="J1032" s="2">
        <v>0</v>
      </c>
      <c r="K1032" s="2" t="s">
        <v>61</v>
      </c>
      <c r="L1032" s="6" t="s">
        <v>62</v>
      </c>
      <c r="M1032" s="5">
        <v>280000000</v>
      </c>
      <c r="N1032" s="2">
        <v>0</v>
      </c>
      <c r="O1032" s="2">
        <v>4.60785</v>
      </c>
      <c r="P1032" s="2">
        <v>-74.081860000000006</v>
      </c>
      <c r="Q1032" s="2" t="s">
        <v>3484</v>
      </c>
      <c r="R1032" s="2">
        <v>5851619.6449999996</v>
      </c>
      <c r="S1032" s="2">
        <v>0</v>
      </c>
      <c r="T1032" s="2" t="s">
        <v>77</v>
      </c>
      <c r="U1032" s="2" t="s">
        <v>78</v>
      </c>
      <c r="V1032" s="2" t="s">
        <v>28</v>
      </c>
      <c r="W1032" s="2" t="s">
        <v>79</v>
      </c>
      <c r="X1032" s="2" t="s">
        <v>80</v>
      </c>
      <c r="Y1032" s="2">
        <v>2.5651739479179101</v>
      </c>
      <c r="Z1032" s="2">
        <v>4.6254861111111101</v>
      </c>
      <c r="AA1032" s="2">
        <v>-74.066980555555503</v>
      </c>
      <c r="AB1032" s="2">
        <v>2621</v>
      </c>
      <c r="AC1032" s="2" t="s">
        <v>31</v>
      </c>
      <c r="AD1032" s="2" t="s">
        <v>32</v>
      </c>
      <c r="AE1032" s="2" t="s">
        <v>33</v>
      </c>
      <c r="AF1032" s="2" t="s">
        <v>34</v>
      </c>
      <c r="AG1032" s="2" t="s">
        <v>259</v>
      </c>
      <c r="AH1032" s="2">
        <v>0.26845111705455299</v>
      </c>
      <c r="AI1032" s="2">
        <v>1.8823712887200901</v>
      </c>
      <c r="AJ1032" s="2">
        <v>0.23330469889104399</v>
      </c>
      <c r="AK1032" s="2">
        <v>0.105222136198013</v>
      </c>
      <c r="AL1032" s="2">
        <v>0.45691658155752701</v>
      </c>
      <c r="AN1032" s="2">
        <v>6.8</v>
      </c>
      <c r="AO1032" s="2">
        <v>19.899999999999999</v>
      </c>
      <c r="AP1032" s="2">
        <v>564</v>
      </c>
      <c r="AQ1032" s="2">
        <v>68</v>
      </c>
      <c r="AR1032" s="2">
        <v>1.5</v>
      </c>
      <c r="AS1032" s="2">
        <v>135</v>
      </c>
      <c r="AT1032" s="2">
        <v>0.8</v>
      </c>
      <c r="AU1032" s="2">
        <v>162</v>
      </c>
      <c r="AV1032" s="2">
        <v>9.1</v>
      </c>
      <c r="AW1032" s="2">
        <v>9.1999999999999993</v>
      </c>
      <c r="AX1032" s="2">
        <v>18.3</v>
      </c>
      <c r="AY1032" s="2">
        <v>0.34</v>
      </c>
      <c r="AZ1032" s="2">
        <v>7.3</v>
      </c>
      <c r="BA1032" s="2">
        <v>0.9</v>
      </c>
      <c r="BB1032" s="2">
        <v>7.5</v>
      </c>
      <c r="BC1032" s="2">
        <v>2.9</v>
      </c>
      <c r="BD1032" s="2">
        <f>+AN1032*EXP(-0.0495*Y1032)</f>
        <v>5.9891320497892817</v>
      </c>
      <c r="BE1032" s="2">
        <f>+AO1032*EXP(-0.024*Y1032)</f>
        <v>18.71182275513452</v>
      </c>
    </row>
    <row r="1033" spans="1:57" x14ac:dyDescent="0.2">
      <c r="A1033" s="2" t="s">
        <v>3491</v>
      </c>
      <c r="B1033" s="2" t="s">
        <v>19</v>
      </c>
      <c r="C1033" s="2" t="s">
        <v>3245</v>
      </c>
      <c r="D1033" s="2" t="s">
        <v>21</v>
      </c>
      <c r="E1033" s="2" t="s">
        <v>1481</v>
      </c>
      <c r="F1033" s="2">
        <v>4</v>
      </c>
      <c r="G1033" s="2">
        <v>47.75</v>
      </c>
      <c r="H1033" s="2">
        <v>1</v>
      </c>
      <c r="I1033" s="2">
        <v>2</v>
      </c>
      <c r="J1033" s="2">
        <v>1</v>
      </c>
      <c r="K1033" s="2" t="s">
        <v>61</v>
      </c>
      <c r="L1033" s="6" t="s">
        <v>84</v>
      </c>
      <c r="M1033" s="5">
        <v>550000000</v>
      </c>
      <c r="N1033" s="2">
        <v>0</v>
      </c>
      <c r="O1033" s="2">
        <v>4.61937</v>
      </c>
      <c r="P1033" s="2">
        <v>-74.066999999999993</v>
      </c>
      <c r="Q1033" s="2" t="s">
        <v>3492</v>
      </c>
      <c r="R1033" s="2">
        <v>11518324.609999999</v>
      </c>
      <c r="S1033" s="2">
        <v>0</v>
      </c>
      <c r="T1033" s="2" t="s">
        <v>77</v>
      </c>
      <c r="U1033" s="2" t="s">
        <v>78</v>
      </c>
      <c r="V1033" s="2" t="s">
        <v>28</v>
      </c>
      <c r="W1033" s="2" t="s">
        <v>79</v>
      </c>
      <c r="X1033" s="2" t="s">
        <v>80</v>
      </c>
      <c r="Y1033" s="2">
        <v>0.68084579294919501</v>
      </c>
      <c r="Z1033" s="2">
        <v>4.6254861111111101</v>
      </c>
      <c r="AA1033" s="2">
        <v>-74.066980555555503</v>
      </c>
      <c r="AB1033" s="2">
        <v>2621</v>
      </c>
      <c r="AC1033" s="2" t="s">
        <v>31</v>
      </c>
      <c r="AD1033" s="2" t="s">
        <v>32</v>
      </c>
      <c r="AE1033" s="2" t="s">
        <v>33</v>
      </c>
      <c r="AF1033" s="2" t="s">
        <v>34</v>
      </c>
      <c r="AG1033" s="2" t="s">
        <v>89</v>
      </c>
      <c r="AH1033" s="2">
        <v>0.387722113857146</v>
      </c>
      <c r="AI1033" s="2">
        <v>0.56569115516051005</v>
      </c>
      <c r="AJ1033" s="2">
        <v>0.19612876898387599</v>
      </c>
      <c r="AK1033" s="2">
        <v>9.6187038307827294E-2</v>
      </c>
      <c r="AL1033" s="2">
        <v>0.15929277614763701</v>
      </c>
      <c r="AN1033" s="2">
        <v>6.8</v>
      </c>
      <c r="AO1033" s="2">
        <v>19.899999999999999</v>
      </c>
      <c r="AP1033" s="2">
        <v>564</v>
      </c>
      <c r="AQ1033" s="2">
        <v>68</v>
      </c>
      <c r="AR1033" s="2">
        <v>1.5</v>
      </c>
      <c r="AS1033" s="2">
        <v>135</v>
      </c>
      <c r="AT1033" s="2">
        <v>0.8</v>
      </c>
      <c r="AU1033" s="2">
        <v>162</v>
      </c>
      <c r="AV1033" s="2">
        <v>9.1</v>
      </c>
      <c r="AW1033" s="2">
        <v>9.1999999999999993</v>
      </c>
      <c r="AX1033" s="2">
        <v>18.3</v>
      </c>
      <c r="AY1033" s="2">
        <v>0.34</v>
      </c>
      <c r="AZ1033" s="2">
        <v>7.3</v>
      </c>
      <c r="BA1033" s="2">
        <v>0.9</v>
      </c>
      <c r="BB1033" s="2">
        <v>7.5</v>
      </c>
      <c r="BC1033" s="2">
        <v>2.9</v>
      </c>
      <c r="BD1033" s="2">
        <f>+AN1033*EXP(-0.0495*Y1033)</f>
        <v>6.5746460599665006</v>
      </c>
      <c r="BE1033" s="2">
        <f>+AO1033*EXP(-0.024*Y1033)</f>
        <v>19.577470341220213</v>
      </c>
    </row>
    <row r="1034" spans="1:57" x14ac:dyDescent="0.2">
      <c r="A1034" s="2" t="s">
        <v>4273</v>
      </c>
      <c r="B1034" s="2" t="s">
        <v>19</v>
      </c>
      <c r="C1034" s="2" t="s">
        <v>3245</v>
      </c>
      <c r="D1034" s="2" t="s">
        <v>21</v>
      </c>
      <c r="E1034" s="2" t="s">
        <v>460</v>
      </c>
      <c r="F1034" s="2">
        <v>5</v>
      </c>
      <c r="G1034" s="2">
        <v>47.14</v>
      </c>
      <c r="H1034" s="2">
        <v>1</v>
      </c>
      <c r="I1034" s="2">
        <v>2</v>
      </c>
      <c r="J1034" s="2">
        <v>1</v>
      </c>
      <c r="K1034" s="2" t="s">
        <v>61</v>
      </c>
      <c r="L1034" s="6" t="s">
        <v>75</v>
      </c>
      <c r="M1034" s="5">
        <v>415000000</v>
      </c>
      <c r="N1034" s="2">
        <v>0</v>
      </c>
      <c r="O1034" s="2">
        <v>4.6417523000000003</v>
      </c>
      <c r="P1034" s="2">
        <v>-74.060697399999995</v>
      </c>
      <c r="Q1034" s="2" t="s">
        <v>4274</v>
      </c>
      <c r="R1034" s="2">
        <v>8803563.852</v>
      </c>
      <c r="S1034" s="2">
        <v>0</v>
      </c>
      <c r="T1034" s="2" t="s">
        <v>77</v>
      </c>
      <c r="U1034" s="2" t="s">
        <v>78</v>
      </c>
      <c r="V1034" s="2" t="s">
        <v>28</v>
      </c>
      <c r="W1034" s="2" t="s">
        <v>79</v>
      </c>
      <c r="X1034" s="2" t="s">
        <v>80</v>
      </c>
      <c r="Y1034" s="2">
        <v>1.94031280682993</v>
      </c>
      <c r="Z1034" s="2">
        <v>4.6254861111111101</v>
      </c>
      <c r="AA1034" s="2">
        <v>-74.066980555555503</v>
      </c>
      <c r="AB1034" s="2">
        <v>2621</v>
      </c>
      <c r="AC1034" s="2" t="s">
        <v>31</v>
      </c>
      <c r="AD1034" s="2" t="s">
        <v>32</v>
      </c>
      <c r="AE1034" s="2" t="s">
        <v>33</v>
      </c>
      <c r="AF1034" s="2" t="s">
        <v>34</v>
      </c>
      <c r="AG1034" s="2" t="s">
        <v>81</v>
      </c>
      <c r="AH1034" s="2">
        <v>0.58494084803608104</v>
      </c>
      <c r="AI1034" s="2">
        <v>0.36063248013048299</v>
      </c>
      <c r="AJ1034" s="2">
        <v>0.33677224256031701</v>
      </c>
      <c r="AK1034" s="2">
        <v>0.14939567588150099</v>
      </c>
      <c r="AL1034" s="2">
        <v>4.2012514393997301E-2</v>
      </c>
      <c r="AN1034" s="2">
        <v>6.8</v>
      </c>
      <c r="AO1034" s="2">
        <v>19.899999999999999</v>
      </c>
      <c r="AP1034" s="2">
        <v>564</v>
      </c>
      <c r="AQ1034" s="2">
        <v>68</v>
      </c>
      <c r="AR1034" s="2">
        <v>1.5</v>
      </c>
      <c r="AS1034" s="2">
        <v>135</v>
      </c>
      <c r="AT1034" s="2">
        <v>0.8</v>
      </c>
      <c r="AU1034" s="2">
        <v>162</v>
      </c>
      <c r="AV1034" s="2">
        <v>9.1</v>
      </c>
      <c r="AW1034" s="2">
        <v>9.1999999999999993</v>
      </c>
      <c r="AX1034" s="2">
        <v>18.3</v>
      </c>
      <c r="AY1034" s="2">
        <v>0.34</v>
      </c>
      <c r="AZ1034" s="2">
        <v>7.3</v>
      </c>
      <c r="BA1034" s="2">
        <v>0.9</v>
      </c>
      <c r="BB1034" s="2">
        <v>7.5</v>
      </c>
      <c r="BC1034" s="2">
        <v>2.9</v>
      </c>
      <c r="BD1034" s="2">
        <f>+AN1034*EXP(-0.0495*Y1034)</f>
        <v>6.1772743361139506</v>
      </c>
      <c r="BE1034" s="2">
        <f>+AO1034*EXP(-0.024*Y1034)</f>
        <v>18.994552439896001</v>
      </c>
    </row>
    <row r="1035" spans="1:57" x14ac:dyDescent="0.2">
      <c r="A1035" s="2" t="s">
        <v>614</v>
      </c>
      <c r="B1035" s="2" t="s">
        <v>19</v>
      </c>
      <c r="C1035" s="2" t="s">
        <v>20</v>
      </c>
      <c r="D1035" s="2" t="s">
        <v>21</v>
      </c>
      <c r="E1035" s="2" t="s">
        <v>615</v>
      </c>
      <c r="F1035" s="2">
        <v>3</v>
      </c>
      <c r="G1035" s="2">
        <v>47</v>
      </c>
      <c r="H1035" s="2">
        <v>3</v>
      </c>
      <c r="I1035" s="2">
        <v>1</v>
      </c>
      <c r="J1035" s="2">
        <v>1</v>
      </c>
      <c r="K1035" s="2" t="s">
        <v>61</v>
      </c>
      <c r="L1035" s="6" t="s">
        <v>75</v>
      </c>
      <c r="M1035" s="5">
        <v>270000000</v>
      </c>
      <c r="N1035" s="2">
        <v>0</v>
      </c>
      <c r="O1035" s="2">
        <v>4.7290320000000001</v>
      </c>
      <c r="P1035" s="2">
        <v>-74.116140000000001</v>
      </c>
      <c r="Q1035" s="2" t="s">
        <v>616</v>
      </c>
      <c r="R1035" s="2">
        <v>5744680.8509999998</v>
      </c>
      <c r="S1035" s="2">
        <v>0</v>
      </c>
      <c r="T1035" s="2" t="s">
        <v>370</v>
      </c>
      <c r="U1035" s="2" t="s">
        <v>371</v>
      </c>
      <c r="V1035" s="2" t="s">
        <v>28</v>
      </c>
      <c r="W1035" s="2" t="s">
        <v>29</v>
      </c>
      <c r="X1035" s="2" t="s">
        <v>372</v>
      </c>
      <c r="Y1035" s="2">
        <v>1.3184428781750099</v>
      </c>
      <c r="Z1035" s="2">
        <v>4.7358055555555598</v>
      </c>
      <c r="AA1035" s="2">
        <v>-74.125888888888895</v>
      </c>
      <c r="AB1035" s="2">
        <v>2574</v>
      </c>
      <c r="AC1035" s="2" t="s">
        <v>105</v>
      </c>
      <c r="AD1035" s="2" t="s">
        <v>58</v>
      </c>
      <c r="AE1035" s="2" t="s">
        <v>33</v>
      </c>
      <c r="AF1035" s="2" t="s">
        <v>34</v>
      </c>
      <c r="AG1035" s="2" t="s">
        <v>363</v>
      </c>
      <c r="AH1035" s="2">
        <v>2.2121727041061701</v>
      </c>
      <c r="AI1035" s="2">
        <v>0.97362461521752497</v>
      </c>
      <c r="AJ1035" s="2">
        <v>4.1406495495915596</v>
      </c>
      <c r="AK1035" s="2">
        <v>0.63187469445570499</v>
      </c>
      <c r="AL1035" s="2">
        <v>0.35722571421358101</v>
      </c>
      <c r="AN1035" s="2">
        <v>6.8</v>
      </c>
      <c r="AO1035" s="2">
        <v>19.899999999999999</v>
      </c>
      <c r="AP1035" s="2">
        <v>564</v>
      </c>
      <c r="AQ1035" s="2">
        <v>68</v>
      </c>
      <c r="AR1035" s="2">
        <v>1.5</v>
      </c>
      <c r="AS1035" s="2">
        <v>135</v>
      </c>
      <c r="AT1035" s="2">
        <v>0.8</v>
      </c>
      <c r="AU1035" s="2">
        <v>162</v>
      </c>
      <c r="AV1035" s="2">
        <v>9.1</v>
      </c>
      <c r="AW1035" s="2">
        <v>9.1999999999999993</v>
      </c>
      <c r="AX1035" s="2">
        <v>18.3</v>
      </c>
      <c r="AY1035" s="2">
        <v>0.34</v>
      </c>
      <c r="AZ1035" s="2">
        <v>7.3</v>
      </c>
      <c r="BA1035" s="2">
        <v>0.9</v>
      </c>
      <c r="BB1035" s="2">
        <v>7.5</v>
      </c>
      <c r="BC1035" s="2">
        <v>2.9</v>
      </c>
      <c r="BD1035" s="2">
        <f>+AN1035*EXP(-0.0495*Y1035)</f>
        <v>6.3703836137679559</v>
      </c>
      <c r="BE1035" s="2">
        <f>+AO1035*EXP(-0.024*Y1035)</f>
        <v>19.280169924486017</v>
      </c>
    </row>
    <row r="1036" spans="1:57" x14ac:dyDescent="0.2">
      <c r="A1036" s="2" t="s">
        <v>4295</v>
      </c>
      <c r="B1036" s="2" t="s">
        <v>19</v>
      </c>
      <c r="C1036" s="2" t="s">
        <v>3245</v>
      </c>
      <c r="D1036" s="2" t="s">
        <v>21</v>
      </c>
      <c r="E1036" s="2" t="s">
        <v>4141</v>
      </c>
      <c r="F1036" s="2">
        <v>3</v>
      </c>
      <c r="G1036" s="2">
        <v>47</v>
      </c>
      <c r="H1036" s="2">
        <v>1</v>
      </c>
      <c r="I1036" s="2">
        <v>1</v>
      </c>
      <c r="J1036" s="2">
        <v>1</v>
      </c>
      <c r="K1036" s="2" t="s">
        <v>61</v>
      </c>
      <c r="L1036" s="6" t="s">
        <v>113</v>
      </c>
      <c r="M1036" s="5">
        <v>299000000</v>
      </c>
      <c r="N1036" s="2">
        <v>0</v>
      </c>
      <c r="O1036" s="2">
        <v>4.6266899109999997</v>
      </c>
      <c r="P1036" s="2">
        <v>-74.068214420000004</v>
      </c>
      <c r="Q1036" s="2" t="s">
        <v>4296</v>
      </c>
      <c r="R1036" s="2">
        <v>6361702.1279999996</v>
      </c>
      <c r="S1036" s="2">
        <v>0</v>
      </c>
      <c r="T1036" s="2" t="s">
        <v>77</v>
      </c>
      <c r="U1036" s="2" t="s">
        <v>78</v>
      </c>
      <c r="V1036" s="2" t="s">
        <v>28</v>
      </c>
      <c r="W1036" s="2" t="s">
        <v>79</v>
      </c>
      <c r="X1036" s="2" t="s">
        <v>80</v>
      </c>
      <c r="Y1036" s="2">
        <v>0.19157474675594299</v>
      </c>
      <c r="Z1036" s="2">
        <v>4.6254861111111101</v>
      </c>
      <c r="AA1036" s="2">
        <v>-74.066980555555503</v>
      </c>
      <c r="AB1036" s="2">
        <v>2621</v>
      </c>
      <c r="AC1036" s="2" t="s">
        <v>31</v>
      </c>
      <c r="AD1036" s="2" t="s">
        <v>32</v>
      </c>
      <c r="AE1036" s="2" t="s">
        <v>33</v>
      </c>
      <c r="AF1036" s="2" t="s">
        <v>34</v>
      </c>
      <c r="AG1036" s="2" t="s">
        <v>89</v>
      </c>
      <c r="AH1036" s="2">
        <v>5.8187812628036802E-2</v>
      </c>
      <c r="AI1036" s="2">
        <v>0.80299657141838898</v>
      </c>
      <c r="AJ1036" s="2">
        <v>0.29676001376966299</v>
      </c>
      <c r="AK1036" s="2">
        <v>0.10357082135128701</v>
      </c>
      <c r="AL1036" s="2">
        <v>7.6311510416440603E-2</v>
      </c>
      <c r="AN1036" s="2">
        <v>6.8</v>
      </c>
      <c r="AO1036" s="2">
        <v>19.899999999999999</v>
      </c>
      <c r="AP1036" s="2">
        <v>564</v>
      </c>
      <c r="AQ1036" s="2">
        <v>68</v>
      </c>
      <c r="AR1036" s="2">
        <v>1.5</v>
      </c>
      <c r="AS1036" s="2">
        <v>135</v>
      </c>
      <c r="AT1036" s="2">
        <v>0.8</v>
      </c>
      <c r="AU1036" s="2">
        <v>162</v>
      </c>
      <c r="AV1036" s="2">
        <v>9.1</v>
      </c>
      <c r="AW1036" s="2">
        <v>9.1999999999999993</v>
      </c>
      <c r="AX1036" s="2">
        <v>18.3</v>
      </c>
      <c r="AY1036" s="2">
        <v>0.34</v>
      </c>
      <c r="AZ1036" s="2">
        <v>7.3</v>
      </c>
      <c r="BA1036" s="2">
        <v>0.9</v>
      </c>
      <c r="BB1036" s="2">
        <v>7.5</v>
      </c>
      <c r="BC1036" s="2">
        <v>2.9</v>
      </c>
      <c r="BD1036" s="2">
        <f>+AN1036*EXP(-0.0495*Y1036)</f>
        <v>6.7358207256157021</v>
      </c>
      <c r="BE1036" s="2">
        <f>+AO1036*EXP(-0.024*Y1036)</f>
        <v>19.808713919056803</v>
      </c>
    </row>
    <row r="1037" spans="1:57" x14ac:dyDescent="0.2">
      <c r="A1037" s="2" t="s">
        <v>4297</v>
      </c>
      <c r="B1037" s="2" t="s">
        <v>19</v>
      </c>
      <c r="C1037" s="2" t="s">
        <v>3245</v>
      </c>
      <c r="D1037" s="2" t="s">
        <v>21</v>
      </c>
      <c r="E1037" s="2" t="s">
        <v>4141</v>
      </c>
      <c r="F1037" s="2">
        <v>3</v>
      </c>
      <c r="G1037" s="2">
        <v>47</v>
      </c>
      <c r="H1037" s="2">
        <v>1</v>
      </c>
      <c r="I1037" s="2">
        <v>1</v>
      </c>
      <c r="J1037" s="2">
        <v>1</v>
      </c>
      <c r="K1037" s="2" t="s">
        <v>61</v>
      </c>
      <c r="L1037" s="6" t="s">
        <v>113</v>
      </c>
      <c r="M1037" s="5">
        <v>299000000</v>
      </c>
      <c r="N1037" s="2">
        <v>0</v>
      </c>
      <c r="O1037" s="2">
        <v>4.6266899109999997</v>
      </c>
      <c r="P1037" s="2">
        <v>-74.068214420000004</v>
      </c>
      <c r="Q1037" s="2" t="s">
        <v>4298</v>
      </c>
      <c r="R1037" s="2">
        <v>6361702.1279999996</v>
      </c>
      <c r="S1037" s="2">
        <v>0</v>
      </c>
      <c r="T1037" s="2" t="s">
        <v>77</v>
      </c>
      <c r="U1037" s="2" t="s">
        <v>78</v>
      </c>
      <c r="V1037" s="2" t="s">
        <v>28</v>
      </c>
      <c r="W1037" s="2" t="s">
        <v>79</v>
      </c>
      <c r="X1037" s="2" t="s">
        <v>80</v>
      </c>
      <c r="Y1037" s="2">
        <v>0.19157474675594299</v>
      </c>
      <c r="Z1037" s="2">
        <v>4.6254861111111101</v>
      </c>
      <c r="AA1037" s="2">
        <v>-74.066980555555503</v>
      </c>
      <c r="AB1037" s="2">
        <v>2621</v>
      </c>
      <c r="AC1037" s="2" t="s">
        <v>31</v>
      </c>
      <c r="AD1037" s="2" t="s">
        <v>32</v>
      </c>
      <c r="AE1037" s="2" t="s">
        <v>33</v>
      </c>
      <c r="AF1037" s="2" t="s">
        <v>34</v>
      </c>
      <c r="AG1037" s="2" t="s">
        <v>89</v>
      </c>
      <c r="AH1037" s="2">
        <v>5.8187812628036802E-2</v>
      </c>
      <c r="AI1037" s="2">
        <v>0.80299657141838898</v>
      </c>
      <c r="AJ1037" s="2">
        <v>0.29676001376966299</v>
      </c>
      <c r="AK1037" s="2">
        <v>0.10357082135128701</v>
      </c>
      <c r="AL1037" s="2">
        <v>7.6311510416440603E-2</v>
      </c>
      <c r="AN1037" s="2">
        <v>6.8</v>
      </c>
      <c r="AO1037" s="2">
        <v>19.899999999999999</v>
      </c>
      <c r="AP1037" s="2">
        <v>564</v>
      </c>
      <c r="AQ1037" s="2">
        <v>68</v>
      </c>
      <c r="AR1037" s="2">
        <v>1.5</v>
      </c>
      <c r="AS1037" s="2">
        <v>135</v>
      </c>
      <c r="AT1037" s="2">
        <v>0.8</v>
      </c>
      <c r="AU1037" s="2">
        <v>162</v>
      </c>
      <c r="AV1037" s="2">
        <v>9.1</v>
      </c>
      <c r="AW1037" s="2">
        <v>9.1999999999999993</v>
      </c>
      <c r="AX1037" s="2">
        <v>18.3</v>
      </c>
      <c r="AY1037" s="2">
        <v>0.34</v>
      </c>
      <c r="AZ1037" s="2">
        <v>7.3</v>
      </c>
      <c r="BA1037" s="2">
        <v>0.9</v>
      </c>
      <c r="BB1037" s="2">
        <v>7.5</v>
      </c>
      <c r="BC1037" s="2">
        <v>2.9</v>
      </c>
      <c r="BD1037" s="2">
        <f>+AN1037*EXP(-0.0495*Y1037)</f>
        <v>6.7358207256157021</v>
      </c>
      <c r="BE1037" s="2">
        <f>+AO1037*EXP(-0.024*Y1037)</f>
        <v>19.808713919056803</v>
      </c>
    </row>
    <row r="1038" spans="1:57" x14ac:dyDescent="0.2">
      <c r="A1038" s="2" t="s">
        <v>4432</v>
      </c>
      <c r="B1038" s="2" t="s">
        <v>19</v>
      </c>
      <c r="C1038" s="2" t="s">
        <v>3245</v>
      </c>
      <c r="D1038" s="2" t="s">
        <v>21</v>
      </c>
      <c r="E1038" s="2" t="s">
        <v>783</v>
      </c>
      <c r="F1038" s="2">
        <v>6</v>
      </c>
      <c r="G1038" s="2">
        <v>46.9</v>
      </c>
      <c r="H1038" s="2">
        <v>1</v>
      </c>
      <c r="I1038" s="2">
        <v>1</v>
      </c>
      <c r="J1038" s="2">
        <v>1</v>
      </c>
      <c r="K1038" s="2" t="s">
        <v>61</v>
      </c>
      <c r="L1038" s="6" t="s">
        <v>113</v>
      </c>
      <c r="M1038" s="5">
        <v>410000000</v>
      </c>
      <c r="N1038" s="2">
        <v>0</v>
      </c>
      <c r="O1038" s="2">
        <v>4.6513623510000004</v>
      </c>
      <c r="P1038" s="2">
        <v>-74.056784859999993</v>
      </c>
      <c r="Q1038" s="2" t="s">
        <v>4433</v>
      </c>
      <c r="R1038" s="2">
        <v>8742004.2640000004</v>
      </c>
      <c r="S1038" s="2">
        <v>0</v>
      </c>
      <c r="T1038" s="2" t="s">
        <v>77</v>
      </c>
      <c r="U1038" s="2" t="s">
        <v>78</v>
      </c>
      <c r="V1038" s="2" t="s">
        <v>28</v>
      </c>
      <c r="W1038" s="2" t="s">
        <v>79</v>
      </c>
      <c r="X1038" s="2" t="s">
        <v>80</v>
      </c>
      <c r="Y1038" s="2">
        <v>3.0947062662215599</v>
      </c>
      <c r="Z1038" s="2">
        <v>4.6254861111111101</v>
      </c>
      <c r="AA1038" s="2">
        <v>-74.066980555555503</v>
      </c>
      <c r="AB1038" s="2">
        <v>2621</v>
      </c>
      <c r="AC1038" s="2" t="s">
        <v>31</v>
      </c>
      <c r="AD1038" s="2" t="s">
        <v>32</v>
      </c>
      <c r="AE1038" s="2" t="s">
        <v>33</v>
      </c>
      <c r="AF1038" s="2" t="s">
        <v>34</v>
      </c>
      <c r="AG1038" s="2" t="s">
        <v>81</v>
      </c>
      <c r="AH1038" s="2">
        <v>0.79337959096508903</v>
      </c>
      <c r="AI1038" s="2">
        <v>0.68617910727565901</v>
      </c>
      <c r="AJ1038" s="2">
        <v>0.152131303366419</v>
      </c>
      <c r="AK1038" s="2">
        <v>0.20959448640318001</v>
      </c>
      <c r="AL1038" s="2">
        <v>0.134343395776132</v>
      </c>
      <c r="AN1038" s="2">
        <v>6.8</v>
      </c>
      <c r="AO1038" s="2">
        <v>19.899999999999999</v>
      </c>
      <c r="AP1038" s="2">
        <v>564</v>
      </c>
      <c r="AQ1038" s="2">
        <v>68</v>
      </c>
      <c r="AR1038" s="2">
        <v>1.5</v>
      </c>
      <c r="AS1038" s="2">
        <v>135</v>
      </c>
      <c r="AT1038" s="2">
        <v>0.8</v>
      </c>
      <c r="AU1038" s="2">
        <v>162</v>
      </c>
      <c r="AV1038" s="2">
        <v>9.1</v>
      </c>
      <c r="AW1038" s="2">
        <v>9.1999999999999993</v>
      </c>
      <c r="AX1038" s="2">
        <v>18.3</v>
      </c>
      <c r="AY1038" s="2">
        <v>0.34</v>
      </c>
      <c r="AZ1038" s="2">
        <v>7.3</v>
      </c>
      <c r="BA1038" s="2">
        <v>0.9</v>
      </c>
      <c r="BB1038" s="2">
        <v>7.5</v>
      </c>
      <c r="BC1038" s="2">
        <v>2.9</v>
      </c>
      <c r="BD1038" s="2">
        <f>+AN1038*EXP(-0.0495*Y1038)</f>
        <v>5.8341854107248761</v>
      </c>
      <c r="BE1038" s="2">
        <f>+AO1038*EXP(-0.024*Y1038)</f>
        <v>18.475523117920186</v>
      </c>
    </row>
    <row r="1039" spans="1:57" x14ac:dyDescent="0.2">
      <c r="A1039" s="2" t="s">
        <v>3671</v>
      </c>
      <c r="B1039" s="2" t="s">
        <v>19</v>
      </c>
      <c r="C1039" s="2" t="s">
        <v>3245</v>
      </c>
      <c r="D1039" s="2" t="s">
        <v>21</v>
      </c>
      <c r="E1039" s="2" t="s">
        <v>3510</v>
      </c>
      <c r="F1039" s="2">
        <v>3</v>
      </c>
      <c r="G1039" s="2">
        <v>46.13</v>
      </c>
      <c r="H1039" s="2">
        <v>1</v>
      </c>
      <c r="I1039" s="2">
        <v>2</v>
      </c>
      <c r="J1039" s="2">
        <v>1</v>
      </c>
      <c r="K1039" s="2" t="s">
        <v>61</v>
      </c>
      <c r="L1039" s="6" t="s">
        <v>84</v>
      </c>
      <c r="M1039" s="5">
        <v>450000000</v>
      </c>
      <c r="N1039" s="2">
        <v>0</v>
      </c>
      <c r="O1039" s="2">
        <v>4.6190199999999999</v>
      </c>
      <c r="P1039" s="2">
        <v>-74.066239999999993</v>
      </c>
      <c r="Q1039" s="2" t="s">
        <v>3672</v>
      </c>
      <c r="R1039" s="2">
        <v>9755040.1040000003</v>
      </c>
      <c r="S1039" s="2">
        <v>0</v>
      </c>
      <c r="T1039" s="2" t="s">
        <v>77</v>
      </c>
      <c r="U1039" s="2" t="s">
        <v>78</v>
      </c>
      <c r="V1039" s="2" t="s">
        <v>28</v>
      </c>
      <c r="W1039" s="2" t="s">
        <v>79</v>
      </c>
      <c r="X1039" s="2" t="s">
        <v>80</v>
      </c>
      <c r="Y1039" s="2">
        <v>0.72447913323997204</v>
      </c>
      <c r="Z1039" s="2">
        <v>4.6254861111111101</v>
      </c>
      <c r="AA1039" s="2">
        <v>-74.066980555555503</v>
      </c>
      <c r="AB1039" s="2">
        <v>2621</v>
      </c>
      <c r="AC1039" s="2" t="s">
        <v>31</v>
      </c>
      <c r="AD1039" s="2" t="s">
        <v>32</v>
      </c>
      <c r="AE1039" s="2" t="s">
        <v>33</v>
      </c>
      <c r="AF1039" s="2" t="s">
        <v>34</v>
      </c>
      <c r="AG1039" s="2" t="s">
        <v>89</v>
      </c>
      <c r="AH1039" s="2">
        <v>0.47812808681992502</v>
      </c>
      <c r="AI1039" s="2">
        <v>0.47837912737640598</v>
      </c>
      <c r="AJ1039" s="2">
        <v>0.21115689988833</v>
      </c>
      <c r="AK1039" s="2">
        <v>0.13423901979319</v>
      </c>
      <c r="AL1039" s="2">
        <v>6.7037484757036303E-2</v>
      </c>
      <c r="AN1039" s="2">
        <v>6.8</v>
      </c>
      <c r="AO1039" s="2">
        <v>19.899999999999999</v>
      </c>
      <c r="AP1039" s="2">
        <v>564</v>
      </c>
      <c r="AQ1039" s="2">
        <v>68</v>
      </c>
      <c r="AR1039" s="2">
        <v>1.5</v>
      </c>
      <c r="AS1039" s="2">
        <v>135</v>
      </c>
      <c r="AT1039" s="2">
        <v>0.8</v>
      </c>
      <c r="AU1039" s="2">
        <v>162</v>
      </c>
      <c r="AV1039" s="2">
        <v>9.1</v>
      </c>
      <c r="AW1039" s="2">
        <v>9.1999999999999993</v>
      </c>
      <c r="AX1039" s="2">
        <v>18.3</v>
      </c>
      <c r="AY1039" s="2">
        <v>0.34</v>
      </c>
      <c r="AZ1039" s="2">
        <v>7.3</v>
      </c>
      <c r="BA1039" s="2">
        <v>0.9</v>
      </c>
      <c r="BB1039" s="2">
        <v>7.5</v>
      </c>
      <c r="BC1039" s="2">
        <v>2.9</v>
      </c>
      <c r="BD1039" s="2">
        <f>+AN1039*EXP(-0.0495*Y1039)</f>
        <v>6.5604611325840976</v>
      </c>
      <c r="BE1039" s="2">
        <f>+AO1039*EXP(-0.024*Y1039)</f>
        <v>19.556979541866681</v>
      </c>
    </row>
    <row r="1040" spans="1:57" x14ac:dyDescent="0.2">
      <c r="A1040" s="2" t="s">
        <v>4124</v>
      </c>
      <c r="B1040" s="2" t="s">
        <v>19</v>
      </c>
      <c r="C1040" s="2" t="s">
        <v>3245</v>
      </c>
      <c r="D1040" s="2" t="s">
        <v>21</v>
      </c>
      <c r="E1040" s="2" t="s">
        <v>2472</v>
      </c>
      <c r="F1040" s="2">
        <v>4</v>
      </c>
      <c r="G1040" s="2">
        <v>46</v>
      </c>
      <c r="H1040" s="2">
        <v>1</v>
      </c>
      <c r="I1040" s="2">
        <v>2</v>
      </c>
      <c r="J1040" s="2">
        <v>1</v>
      </c>
      <c r="K1040" s="2" t="s">
        <v>61</v>
      </c>
      <c r="L1040" s="6" t="s">
        <v>62</v>
      </c>
      <c r="M1040" s="5">
        <v>600000000</v>
      </c>
      <c r="N1040" s="2">
        <v>0</v>
      </c>
      <c r="O1040" s="2">
        <v>4.673237801</v>
      </c>
      <c r="P1040" s="2">
        <v>-74.061592099999999</v>
      </c>
      <c r="Q1040" s="2" t="s">
        <v>4125</v>
      </c>
      <c r="R1040" s="2">
        <v>13043478.26</v>
      </c>
      <c r="S1040" s="2">
        <v>0</v>
      </c>
      <c r="T1040" s="2" t="s">
        <v>26</v>
      </c>
      <c r="U1040" s="2" t="s">
        <v>27</v>
      </c>
      <c r="V1040" s="2" t="s">
        <v>28</v>
      </c>
      <c r="W1040" s="2" t="s">
        <v>29</v>
      </c>
      <c r="X1040" s="2" t="s">
        <v>30</v>
      </c>
      <c r="Y1040" s="2">
        <v>2.9776560609952201</v>
      </c>
      <c r="Z1040" s="2">
        <v>4.6584666666666701</v>
      </c>
      <c r="AA1040" s="2">
        <v>-74.083966666666697</v>
      </c>
      <c r="AB1040" s="2">
        <v>2552</v>
      </c>
      <c r="AC1040" s="2" t="s">
        <v>31</v>
      </c>
      <c r="AD1040" s="2" t="s">
        <v>32</v>
      </c>
      <c r="AE1040" s="2" t="s">
        <v>33</v>
      </c>
      <c r="AF1040" s="2" t="s">
        <v>34</v>
      </c>
      <c r="AG1040" s="2" t="s">
        <v>293</v>
      </c>
      <c r="AH1040" s="2">
        <v>0.239014279953047</v>
      </c>
      <c r="AI1040" s="2">
        <v>2.0527149426710598</v>
      </c>
      <c r="AJ1040" s="2">
        <v>0.65273479482115704</v>
      </c>
      <c r="AK1040" s="2">
        <v>2.0912577562711102E-2</v>
      </c>
      <c r="AL1040" s="2">
        <v>0.476946403089897</v>
      </c>
      <c r="AN1040" s="2">
        <v>6.8</v>
      </c>
      <c r="AO1040" s="2">
        <v>19.899999999999999</v>
      </c>
      <c r="AP1040" s="2">
        <v>564</v>
      </c>
      <c r="AQ1040" s="2">
        <v>68</v>
      </c>
      <c r="AR1040" s="2">
        <v>1.5</v>
      </c>
      <c r="AS1040" s="2">
        <v>135</v>
      </c>
      <c r="AT1040" s="2">
        <v>0.8</v>
      </c>
      <c r="AU1040" s="2">
        <v>162</v>
      </c>
      <c r="AV1040" s="2">
        <v>9.1</v>
      </c>
      <c r="AW1040" s="2">
        <v>9.1999999999999993</v>
      </c>
      <c r="AX1040" s="2">
        <v>18.3</v>
      </c>
      <c r="AY1040" s="2">
        <v>0.34</v>
      </c>
      <c r="AZ1040" s="2">
        <v>7.3</v>
      </c>
      <c r="BA1040" s="2">
        <v>0.9</v>
      </c>
      <c r="BB1040" s="2">
        <v>7.5</v>
      </c>
      <c r="BC1040" s="2">
        <v>2.9</v>
      </c>
      <c r="BD1040" s="2">
        <f>+AN1040*EXP(-0.0495*Y1040)</f>
        <v>5.8680867113846018</v>
      </c>
      <c r="BE1040" s="2">
        <f>+AO1040*EXP(-0.024*Y1040)</f>
        <v>18.527497617793205</v>
      </c>
    </row>
    <row r="1041" spans="1:57" x14ac:dyDescent="0.2">
      <c r="A1041" s="2" t="s">
        <v>903</v>
      </c>
      <c r="B1041" s="2" t="s">
        <v>19</v>
      </c>
      <c r="C1041" s="2" t="s">
        <v>20</v>
      </c>
      <c r="D1041" s="2" t="s">
        <v>21</v>
      </c>
      <c r="E1041" s="2" t="s">
        <v>174</v>
      </c>
      <c r="F1041" s="2">
        <v>5</v>
      </c>
      <c r="G1041" s="2">
        <v>46</v>
      </c>
      <c r="H1041" s="2">
        <v>1</v>
      </c>
      <c r="I1041" s="2">
        <v>2</v>
      </c>
      <c r="J1041" s="2">
        <v>1</v>
      </c>
      <c r="K1041" s="2" t="s">
        <v>61</v>
      </c>
      <c r="L1041" s="6" t="s">
        <v>113</v>
      </c>
      <c r="M1041" s="5">
        <v>420000000</v>
      </c>
      <c r="N1041" s="2">
        <v>0</v>
      </c>
      <c r="O1041" s="2">
        <v>4.6577944999999996</v>
      </c>
      <c r="P1041" s="2">
        <v>-74.057079999999999</v>
      </c>
      <c r="Q1041" s="2" t="s">
        <v>904</v>
      </c>
      <c r="R1041" s="2">
        <v>9130434.7829999998</v>
      </c>
      <c r="S1041" s="2">
        <v>0</v>
      </c>
      <c r="T1041" s="2" t="s">
        <v>26</v>
      </c>
      <c r="U1041" s="2" t="s">
        <v>27</v>
      </c>
      <c r="V1041" s="2" t="s">
        <v>28</v>
      </c>
      <c r="W1041" s="2" t="s">
        <v>29</v>
      </c>
      <c r="X1041" s="2" t="s">
        <v>30</v>
      </c>
      <c r="Y1041" s="2">
        <v>2.9840623918480902</v>
      </c>
      <c r="Z1041" s="2">
        <v>4.6584666666666701</v>
      </c>
      <c r="AA1041" s="2">
        <v>-74.083966666666697</v>
      </c>
      <c r="AB1041" s="2">
        <v>2552</v>
      </c>
      <c r="AC1041" s="2" t="s">
        <v>31</v>
      </c>
      <c r="AD1041" s="2" t="s">
        <v>32</v>
      </c>
      <c r="AE1041" s="2" t="s">
        <v>33</v>
      </c>
      <c r="AF1041" s="2" t="s">
        <v>34</v>
      </c>
      <c r="AG1041" s="2" t="s">
        <v>81</v>
      </c>
      <c r="AH1041" s="2">
        <v>0.55523927618976499</v>
      </c>
      <c r="AI1041" s="2">
        <v>1.0487134608789299</v>
      </c>
      <c r="AJ1041" s="2">
        <v>4.7432913185767603E-2</v>
      </c>
      <c r="AK1041" s="2">
        <v>2.6577717190305501E-2</v>
      </c>
      <c r="AL1041" s="2">
        <v>0.122737953608425</v>
      </c>
      <c r="AN1041" s="2">
        <v>6.8</v>
      </c>
      <c r="AO1041" s="2">
        <v>19.899999999999999</v>
      </c>
      <c r="AP1041" s="2">
        <v>564</v>
      </c>
      <c r="AQ1041" s="2">
        <v>68</v>
      </c>
      <c r="AR1041" s="2">
        <v>1.5</v>
      </c>
      <c r="AS1041" s="2">
        <v>135</v>
      </c>
      <c r="AT1041" s="2">
        <v>0.8</v>
      </c>
      <c r="AU1041" s="2">
        <v>162</v>
      </c>
      <c r="AV1041" s="2">
        <v>9.1</v>
      </c>
      <c r="AW1041" s="2">
        <v>9.1999999999999993</v>
      </c>
      <c r="AX1041" s="2">
        <v>18.3</v>
      </c>
      <c r="AY1041" s="2">
        <v>0.34</v>
      </c>
      <c r="AZ1041" s="2">
        <v>7.3</v>
      </c>
      <c r="BA1041" s="2">
        <v>0.9</v>
      </c>
      <c r="BB1041" s="2">
        <v>7.5</v>
      </c>
      <c r="BC1041" s="2">
        <v>2.9</v>
      </c>
      <c r="BD1041" s="2">
        <f>+AN1041*EXP(-0.0495*Y1041)</f>
        <v>5.8662261576085895</v>
      </c>
      <c r="BE1041" s="2">
        <f>+AO1041*EXP(-0.024*Y1041)</f>
        <v>18.524649198063077</v>
      </c>
    </row>
    <row r="1042" spans="1:57" x14ac:dyDescent="0.2">
      <c r="A1042" s="2" t="s">
        <v>3882</v>
      </c>
      <c r="B1042" s="2" t="s">
        <v>19</v>
      </c>
      <c r="C1042" s="2" t="s">
        <v>3245</v>
      </c>
      <c r="D1042" s="2" t="s">
        <v>21</v>
      </c>
      <c r="E1042" s="2" t="s">
        <v>74</v>
      </c>
      <c r="F1042" s="2">
        <v>3</v>
      </c>
      <c r="G1042" s="2">
        <v>46</v>
      </c>
      <c r="H1042" s="2">
        <v>1</v>
      </c>
      <c r="I1042" s="2">
        <v>2</v>
      </c>
      <c r="J1042" s="2">
        <v>1</v>
      </c>
      <c r="K1042" s="2" t="s">
        <v>61</v>
      </c>
      <c r="L1042" s="6" t="s">
        <v>62</v>
      </c>
      <c r="M1042" s="5">
        <v>280000000</v>
      </c>
      <c r="N1042" s="2">
        <v>0</v>
      </c>
      <c r="O1042" s="2">
        <v>4.6464824680000003</v>
      </c>
      <c r="P1042" s="2">
        <v>-74.061416629999997</v>
      </c>
      <c r="Q1042" s="2" t="s">
        <v>3883</v>
      </c>
      <c r="R1042" s="2">
        <v>6086956.5219999999</v>
      </c>
      <c r="S1042" s="2">
        <v>0</v>
      </c>
      <c r="T1042" s="2" t="s">
        <v>77</v>
      </c>
      <c r="U1042" s="2" t="s">
        <v>78</v>
      </c>
      <c r="V1042" s="2" t="s">
        <v>28</v>
      </c>
      <c r="W1042" s="2" t="s">
        <v>79</v>
      </c>
      <c r="X1042" s="2" t="s">
        <v>80</v>
      </c>
      <c r="Y1042" s="2">
        <v>2.4174586085507102</v>
      </c>
      <c r="Z1042" s="2">
        <v>4.6254861111111101</v>
      </c>
      <c r="AA1042" s="2">
        <v>-74.066980555555503</v>
      </c>
      <c r="AB1042" s="2">
        <v>2621</v>
      </c>
      <c r="AC1042" s="2" t="s">
        <v>31</v>
      </c>
      <c r="AD1042" s="2" t="s">
        <v>32</v>
      </c>
      <c r="AE1042" s="2" t="s">
        <v>33</v>
      </c>
      <c r="AF1042" s="2" t="s">
        <v>34</v>
      </c>
      <c r="AG1042" s="2" t="s">
        <v>81</v>
      </c>
      <c r="AH1042" s="2">
        <v>0.437920056889814</v>
      </c>
      <c r="AI1042" s="2">
        <v>0.74383414961175498</v>
      </c>
      <c r="AJ1042" s="2">
        <v>0.21218198204961899</v>
      </c>
      <c r="AK1042" s="2">
        <v>6.0693094385208902E-2</v>
      </c>
      <c r="AL1042" s="2">
        <v>0.33417874393026997</v>
      </c>
      <c r="AN1042" s="2">
        <v>6.8</v>
      </c>
      <c r="AO1042" s="2">
        <v>19.899999999999999</v>
      </c>
      <c r="AP1042" s="2">
        <v>564</v>
      </c>
      <c r="AQ1042" s="2">
        <v>68</v>
      </c>
      <c r="AR1042" s="2">
        <v>1.5</v>
      </c>
      <c r="AS1042" s="2">
        <v>135</v>
      </c>
      <c r="AT1042" s="2">
        <v>0.8</v>
      </c>
      <c r="AU1042" s="2">
        <v>162</v>
      </c>
      <c r="AV1042" s="2">
        <v>9.1</v>
      </c>
      <c r="AW1042" s="2">
        <v>9.1999999999999993</v>
      </c>
      <c r="AX1042" s="2">
        <v>18.3</v>
      </c>
      <c r="AY1042" s="2">
        <v>0.34</v>
      </c>
      <c r="AZ1042" s="2">
        <v>7.3</v>
      </c>
      <c r="BA1042" s="2">
        <v>0.9</v>
      </c>
      <c r="BB1042" s="2">
        <v>7.5</v>
      </c>
      <c r="BC1042" s="2">
        <v>2.9</v>
      </c>
      <c r="BD1042" s="2">
        <f>+AN1042*EXP(-0.0495*Y1042)</f>
        <v>6.0330845325760798</v>
      </c>
      <c r="BE1042" s="2">
        <f>+AO1042*EXP(-0.024*Y1042)</f>
        <v>18.77827703930209</v>
      </c>
    </row>
    <row r="1043" spans="1:57" x14ac:dyDescent="0.2">
      <c r="A1043" s="2" t="s">
        <v>1196</v>
      </c>
      <c r="B1043" s="2" t="s">
        <v>19</v>
      </c>
      <c r="C1043" s="2" t="s">
        <v>20</v>
      </c>
      <c r="D1043" s="2" t="s">
        <v>21</v>
      </c>
      <c r="E1043" s="2" t="s">
        <v>1197</v>
      </c>
      <c r="F1043" s="2">
        <v>5</v>
      </c>
      <c r="G1043" s="2">
        <v>45.9</v>
      </c>
      <c r="H1043" s="2">
        <v>1</v>
      </c>
      <c r="I1043" s="2">
        <v>1</v>
      </c>
      <c r="J1043" s="2">
        <v>0</v>
      </c>
      <c r="K1043" s="2" t="s">
        <v>23</v>
      </c>
      <c r="L1043" s="6" t="s">
        <v>24</v>
      </c>
      <c r="M1043" s="5">
        <v>709000000</v>
      </c>
      <c r="N1043" s="2">
        <v>0</v>
      </c>
      <c r="O1043" s="2">
        <v>4.6722479999999997</v>
      </c>
      <c r="P1043" s="2">
        <v>-74.058210000000003</v>
      </c>
      <c r="Q1043" s="2" t="s">
        <v>1198</v>
      </c>
      <c r="R1043" s="2">
        <v>15446623.09</v>
      </c>
      <c r="S1043" s="2">
        <v>0</v>
      </c>
      <c r="T1043" s="2" t="s">
        <v>26</v>
      </c>
      <c r="U1043" s="2" t="s">
        <v>27</v>
      </c>
      <c r="V1043" s="2" t="s">
        <v>28</v>
      </c>
      <c r="W1043" s="2" t="s">
        <v>29</v>
      </c>
      <c r="X1043" s="2" t="s">
        <v>30</v>
      </c>
      <c r="Y1043" s="2">
        <v>3.2434729711424199</v>
      </c>
      <c r="Z1043" s="2">
        <v>4.6584666666666701</v>
      </c>
      <c r="AA1043" s="2">
        <v>-74.083966666666697</v>
      </c>
      <c r="AB1043" s="2">
        <v>2552</v>
      </c>
      <c r="AC1043" s="2" t="s">
        <v>31</v>
      </c>
      <c r="AD1043" s="2" t="s">
        <v>32</v>
      </c>
      <c r="AE1043" s="2" t="s">
        <v>33</v>
      </c>
      <c r="AF1043" s="2" t="s">
        <v>34</v>
      </c>
      <c r="AG1043" s="2" t="s">
        <v>81</v>
      </c>
      <c r="AH1043" s="2">
        <v>0.159125330979347</v>
      </c>
      <c r="AI1043" s="2">
        <v>1.6714273734279199</v>
      </c>
      <c r="AJ1043" s="2">
        <v>0.485889339747969</v>
      </c>
      <c r="AK1043" s="2">
        <v>5.4385552229093997E-2</v>
      </c>
      <c r="AL1043" s="2">
        <v>0.79239885688924305</v>
      </c>
      <c r="AN1043" s="2">
        <v>6.8</v>
      </c>
      <c r="AO1043" s="2">
        <v>19.899999999999999</v>
      </c>
      <c r="AP1043" s="2">
        <v>564</v>
      </c>
      <c r="AQ1043" s="2">
        <v>68</v>
      </c>
      <c r="AR1043" s="2">
        <v>1.5</v>
      </c>
      <c r="AS1043" s="2">
        <v>135</v>
      </c>
      <c r="AT1043" s="2">
        <v>0.8</v>
      </c>
      <c r="AU1043" s="2">
        <v>162</v>
      </c>
      <c r="AV1043" s="2">
        <v>9.1</v>
      </c>
      <c r="AW1043" s="2">
        <v>9.1999999999999993</v>
      </c>
      <c r="AX1043" s="2">
        <v>18.3</v>
      </c>
      <c r="AY1043" s="2">
        <v>0.34</v>
      </c>
      <c r="AZ1043" s="2">
        <v>7.3</v>
      </c>
      <c r="BA1043" s="2">
        <v>0.9</v>
      </c>
      <c r="BB1043" s="2">
        <v>7.5</v>
      </c>
      <c r="BC1043" s="2">
        <v>2.9</v>
      </c>
      <c r="BD1043" s="2">
        <f>+AN1043*EXP(-0.0495*Y1043)</f>
        <v>5.7913805499241633</v>
      </c>
      <c r="BE1043" s="2">
        <f>+AO1043*EXP(-0.024*Y1043)</f>
        <v>18.409675713983884</v>
      </c>
    </row>
    <row r="1044" spans="1:57" x14ac:dyDescent="0.2">
      <c r="A1044" s="2" t="s">
        <v>3413</v>
      </c>
      <c r="B1044" s="2" t="s">
        <v>19</v>
      </c>
      <c r="C1044" s="2" t="s">
        <v>3245</v>
      </c>
      <c r="D1044" s="2" t="s">
        <v>21</v>
      </c>
      <c r="E1044" s="2" t="s">
        <v>3381</v>
      </c>
      <c r="F1044" s="2">
        <v>6</v>
      </c>
      <c r="G1044" s="2">
        <v>45.54</v>
      </c>
      <c r="H1044" s="2">
        <v>1</v>
      </c>
      <c r="I1044" s="2">
        <v>1</v>
      </c>
      <c r="J1044" s="2">
        <v>2</v>
      </c>
      <c r="K1044" s="2" t="s">
        <v>61</v>
      </c>
      <c r="L1044" s="6" t="s">
        <v>75</v>
      </c>
      <c r="M1044" s="5">
        <v>425000000</v>
      </c>
      <c r="N1044" s="2">
        <v>0</v>
      </c>
      <c r="O1044" s="2">
        <v>4.6592900000000004</v>
      </c>
      <c r="P1044" s="2">
        <v>-74.066000000000003</v>
      </c>
      <c r="Q1044" s="2" t="s">
        <v>3414</v>
      </c>
      <c r="R1044" s="2">
        <v>9332454.9849999994</v>
      </c>
      <c r="S1044" s="2">
        <v>0</v>
      </c>
      <c r="T1044" s="2" t="s">
        <v>26</v>
      </c>
      <c r="U1044" s="2" t="s">
        <v>27</v>
      </c>
      <c r="V1044" s="2" t="s">
        <v>28</v>
      </c>
      <c r="W1044" s="2" t="s">
        <v>29</v>
      </c>
      <c r="X1044" s="2" t="s">
        <v>30</v>
      </c>
      <c r="Y1044" s="2">
        <v>1.99553780529134</v>
      </c>
      <c r="Z1044" s="2">
        <v>4.6584666666666701</v>
      </c>
      <c r="AA1044" s="2">
        <v>-74.083966666666697</v>
      </c>
      <c r="AB1044" s="2">
        <v>2552</v>
      </c>
      <c r="AC1044" s="2" t="s">
        <v>31</v>
      </c>
      <c r="AD1044" s="2" t="s">
        <v>32</v>
      </c>
      <c r="AE1044" s="2" t="s">
        <v>33</v>
      </c>
      <c r="AF1044" s="2" t="s">
        <v>34</v>
      </c>
      <c r="AG1044" s="2" t="s">
        <v>293</v>
      </c>
      <c r="AH1044" s="2">
        <v>0.45125980307941799</v>
      </c>
      <c r="AI1044" s="2">
        <v>2.02488779633194</v>
      </c>
      <c r="AJ1044" s="2">
        <v>0.23129697511929201</v>
      </c>
      <c r="AK1044" s="2">
        <v>0.16661409579082301</v>
      </c>
      <c r="AL1044" s="2">
        <v>9.6280736427100402E-2</v>
      </c>
      <c r="AN1044" s="2">
        <v>6.8</v>
      </c>
      <c r="AO1044" s="2">
        <v>19.899999999999999</v>
      </c>
      <c r="AP1044" s="2">
        <v>564</v>
      </c>
      <c r="AQ1044" s="2">
        <v>68</v>
      </c>
      <c r="AR1044" s="2">
        <v>1.5</v>
      </c>
      <c r="AS1044" s="2">
        <v>135</v>
      </c>
      <c r="AT1044" s="2">
        <v>0.8</v>
      </c>
      <c r="AU1044" s="2">
        <v>162</v>
      </c>
      <c r="AV1044" s="2">
        <v>9.1</v>
      </c>
      <c r="AW1044" s="2">
        <v>9.1999999999999993</v>
      </c>
      <c r="AX1044" s="2">
        <v>18.3</v>
      </c>
      <c r="AY1044" s="2">
        <v>0.34</v>
      </c>
      <c r="AZ1044" s="2">
        <v>7.3</v>
      </c>
      <c r="BA1044" s="2">
        <v>0.9</v>
      </c>
      <c r="BB1044" s="2">
        <v>7.5</v>
      </c>
      <c r="BC1044" s="2">
        <v>2.9</v>
      </c>
      <c r="BD1044" s="2">
        <f>+AN1044*EXP(-0.0495*Y1044)</f>
        <v>6.1604109674805621</v>
      </c>
      <c r="BE1044" s="2">
        <f>+AO1044*EXP(-0.024*Y1044)</f>
        <v>18.969393737148401</v>
      </c>
    </row>
    <row r="1045" spans="1:57" x14ac:dyDescent="0.2">
      <c r="A1045" s="2" t="s">
        <v>4539</v>
      </c>
      <c r="B1045" s="2" t="s">
        <v>19</v>
      </c>
      <c r="C1045" s="2" t="s">
        <v>3245</v>
      </c>
      <c r="D1045" s="2" t="s">
        <v>21</v>
      </c>
      <c r="E1045" s="2" t="s">
        <v>74</v>
      </c>
      <c r="F1045" s="2">
        <v>4</v>
      </c>
      <c r="G1045" s="2">
        <v>45</v>
      </c>
      <c r="H1045" s="2">
        <v>1</v>
      </c>
      <c r="I1045" s="2">
        <v>1</v>
      </c>
      <c r="J1045" s="2">
        <v>1</v>
      </c>
      <c r="K1045" s="2" t="s">
        <v>61</v>
      </c>
      <c r="L1045" s="6" t="s">
        <v>75</v>
      </c>
      <c r="M1045" s="5">
        <v>339000000</v>
      </c>
      <c r="N1045" s="2">
        <v>0</v>
      </c>
      <c r="O1045" s="2">
        <v>4.636514376</v>
      </c>
      <c r="P1045" s="2">
        <v>-74.064405010000002</v>
      </c>
      <c r="Q1045" s="2" t="s">
        <v>4540</v>
      </c>
      <c r="R1045" s="2">
        <v>7533333.3329999996</v>
      </c>
      <c r="S1045" s="2">
        <v>0</v>
      </c>
      <c r="T1045" s="2" t="s">
        <v>77</v>
      </c>
      <c r="U1045" s="2" t="s">
        <v>78</v>
      </c>
      <c r="V1045" s="2" t="s">
        <v>28</v>
      </c>
      <c r="W1045" s="2" t="s">
        <v>79</v>
      </c>
      <c r="X1045" s="2" t="s">
        <v>80</v>
      </c>
      <c r="Y1045" s="2">
        <v>1.2604828401868</v>
      </c>
      <c r="Z1045" s="2">
        <v>4.6254861111111101</v>
      </c>
      <c r="AA1045" s="2">
        <v>-74.066980555555503</v>
      </c>
      <c r="AB1045" s="2">
        <v>2621</v>
      </c>
      <c r="AC1045" s="2" t="s">
        <v>31</v>
      </c>
      <c r="AD1045" s="2" t="s">
        <v>32</v>
      </c>
      <c r="AE1045" s="2" t="s">
        <v>33</v>
      </c>
      <c r="AF1045" s="2" t="s">
        <v>34</v>
      </c>
      <c r="AG1045" s="2" t="s">
        <v>81</v>
      </c>
      <c r="AH1045" s="2">
        <v>0.28835913569572402</v>
      </c>
      <c r="AI1045" s="2">
        <v>0.58881191963713697</v>
      </c>
      <c r="AJ1045" s="2">
        <v>0.16447072598139001</v>
      </c>
      <c r="AK1045" s="2">
        <v>1.35980422366832E-2</v>
      </c>
      <c r="AL1045" s="2">
        <v>4.7155142308306801E-2</v>
      </c>
      <c r="AN1045" s="2">
        <v>6.8</v>
      </c>
      <c r="AO1045" s="2">
        <v>19.899999999999999</v>
      </c>
      <c r="AP1045" s="2">
        <v>564</v>
      </c>
      <c r="AQ1045" s="2">
        <v>68</v>
      </c>
      <c r="AR1045" s="2">
        <v>1.5</v>
      </c>
      <c r="AS1045" s="2">
        <v>135</v>
      </c>
      <c r="AT1045" s="2">
        <v>0.8</v>
      </c>
      <c r="AU1045" s="2">
        <v>162</v>
      </c>
      <c r="AV1045" s="2">
        <v>9.1</v>
      </c>
      <c r="AW1045" s="2">
        <v>9.1999999999999993</v>
      </c>
      <c r="AX1045" s="2">
        <v>18.3</v>
      </c>
      <c r="AY1045" s="2">
        <v>0.34</v>
      </c>
      <c r="AZ1045" s="2">
        <v>7.3</v>
      </c>
      <c r="BA1045" s="2">
        <v>0.9</v>
      </c>
      <c r="BB1045" s="2">
        <v>7.5</v>
      </c>
      <c r="BC1045" s="2">
        <v>2.9</v>
      </c>
      <c r="BD1045" s="2">
        <f>+AN1045*EXP(-0.0495*Y1045)</f>
        <v>6.3886866270605323</v>
      </c>
      <c r="BE1045" s="2">
        <f>+AO1045*EXP(-0.024*Y1045)</f>
        <v>19.307008091802558</v>
      </c>
    </row>
    <row r="1046" spans="1:57" x14ac:dyDescent="0.2">
      <c r="A1046" s="2" t="s">
        <v>4079</v>
      </c>
      <c r="B1046" s="2" t="s">
        <v>19</v>
      </c>
      <c r="C1046" s="2" t="s">
        <v>3245</v>
      </c>
      <c r="D1046" s="2" t="s">
        <v>21</v>
      </c>
      <c r="E1046" s="2" t="s">
        <v>365</v>
      </c>
      <c r="F1046" s="2">
        <v>4</v>
      </c>
      <c r="G1046" s="2">
        <v>45</v>
      </c>
      <c r="H1046" s="2">
        <v>1</v>
      </c>
      <c r="I1046" s="2">
        <v>1</v>
      </c>
      <c r="J1046" s="2">
        <v>1</v>
      </c>
      <c r="K1046" s="2" t="s">
        <v>61</v>
      </c>
      <c r="L1046" s="6" t="s">
        <v>113</v>
      </c>
      <c r="M1046" s="5">
        <v>319000000</v>
      </c>
      <c r="N1046" s="2">
        <v>0</v>
      </c>
      <c r="O1046" s="2">
        <v>4.6451240450000002</v>
      </c>
      <c r="P1046" s="2">
        <v>-74.079337050000007</v>
      </c>
      <c r="Q1046" s="2" t="s">
        <v>4080</v>
      </c>
      <c r="R1046" s="2">
        <v>7088888.8890000004</v>
      </c>
      <c r="S1046" s="2">
        <v>0</v>
      </c>
      <c r="T1046" s="2" t="s">
        <v>26</v>
      </c>
      <c r="U1046" s="2" t="s">
        <v>27</v>
      </c>
      <c r="V1046" s="2" t="s">
        <v>28</v>
      </c>
      <c r="W1046" s="2" t="s">
        <v>29</v>
      </c>
      <c r="X1046" s="2" t="s">
        <v>30</v>
      </c>
      <c r="Y1046" s="2">
        <v>1.5716086015641</v>
      </c>
      <c r="Z1046" s="2">
        <v>4.6584666666666701</v>
      </c>
      <c r="AA1046" s="2">
        <v>-74.083966666666697</v>
      </c>
      <c r="AB1046" s="2">
        <v>2552</v>
      </c>
      <c r="AC1046" s="2" t="s">
        <v>31</v>
      </c>
      <c r="AD1046" s="2" t="s">
        <v>32</v>
      </c>
      <c r="AE1046" s="2" t="s">
        <v>33</v>
      </c>
      <c r="AF1046" s="2" t="s">
        <v>34</v>
      </c>
      <c r="AG1046" s="2" t="s">
        <v>35</v>
      </c>
      <c r="AH1046" s="2">
        <v>7.5808646147287495E-2</v>
      </c>
      <c r="AI1046" s="2">
        <v>2.4578499567225198</v>
      </c>
      <c r="AJ1046" s="2">
        <v>0.64896728691087302</v>
      </c>
      <c r="AK1046" s="2">
        <v>0.24743088202581601</v>
      </c>
      <c r="AL1046" s="2">
        <v>0.50173275159237296</v>
      </c>
      <c r="AN1046" s="2">
        <v>6.8</v>
      </c>
      <c r="AO1046" s="2">
        <v>19.899999999999999</v>
      </c>
      <c r="AP1046" s="2">
        <v>564</v>
      </c>
      <c r="AQ1046" s="2">
        <v>68</v>
      </c>
      <c r="AR1046" s="2">
        <v>1.5</v>
      </c>
      <c r="AS1046" s="2">
        <v>135</v>
      </c>
      <c r="AT1046" s="2">
        <v>0.8</v>
      </c>
      <c r="AU1046" s="2">
        <v>162</v>
      </c>
      <c r="AV1046" s="2">
        <v>9.1</v>
      </c>
      <c r="AW1046" s="2">
        <v>9.1999999999999993</v>
      </c>
      <c r="AX1046" s="2">
        <v>18.3</v>
      </c>
      <c r="AY1046" s="2">
        <v>0.34</v>
      </c>
      <c r="AZ1046" s="2">
        <v>7.3</v>
      </c>
      <c r="BA1046" s="2">
        <v>0.9</v>
      </c>
      <c r="BB1046" s="2">
        <v>7.5</v>
      </c>
      <c r="BC1046" s="2">
        <v>2.9</v>
      </c>
      <c r="BD1046" s="2">
        <f>+AN1046*EXP(-0.0495*Y1046)</f>
        <v>6.2910499873317409</v>
      </c>
      <c r="BE1046" s="2">
        <f>+AO1046*EXP(-0.024*Y1046)</f>
        <v>19.163379216652029</v>
      </c>
    </row>
    <row r="1047" spans="1:57" x14ac:dyDescent="0.2">
      <c r="A1047" s="2" t="s">
        <v>4356</v>
      </c>
      <c r="B1047" s="2" t="s">
        <v>19</v>
      </c>
      <c r="C1047" s="2" t="s">
        <v>3245</v>
      </c>
      <c r="D1047" s="2" t="s">
        <v>21</v>
      </c>
      <c r="E1047" s="2" t="s">
        <v>81</v>
      </c>
      <c r="F1047" s="2">
        <v>4</v>
      </c>
      <c r="G1047" s="2">
        <v>45</v>
      </c>
      <c r="H1047" s="2">
        <v>1</v>
      </c>
      <c r="I1047" s="2">
        <v>1</v>
      </c>
      <c r="J1047" s="2">
        <v>0</v>
      </c>
      <c r="K1047" s="2" t="s">
        <v>61</v>
      </c>
      <c r="L1047" s="6" t="s">
        <v>75</v>
      </c>
      <c r="M1047" s="5">
        <v>289000000</v>
      </c>
      <c r="N1047" s="2">
        <v>0</v>
      </c>
      <c r="O1047" s="2">
        <v>4.6375265560000001</v>
      </c>
      <c r="P1047" s="2">
        <v>-74.064162820000007</v>
      </c>
      <c r="Q1047" s="2" t="s">
        <v>4357</v>
      </c>
      <c r="R1047" s="2">
        <v>6422222.2220000001</v>
      </c>
      <c r="S1047" s="2">
        <v>0</v>
      </c>
      <c r="T1047" s="2" t="s">
        <v>77</v>
      </c>
      <c r="U1047" s="2" t="s">
        <v>78</v>
      </c>
      <c r="V1047" s="2" t="s">
        <v>28</v>
      </c>
      <c r="W1047" s="2" t="s">
        <v>79</v>
      </c>
      <c r="X1047" s="2" t="s">
        <v>80</v>
      </c>
      <c r="Y1047" s="2">
        <v>1.37631674561115</v>
      </c>
      <c r="Z1047" s="2">
        <v>4.6254861111111101</v>
      </c>
      <c r="AA1047" s="2">
        <v>-74.066980555555503</v>
      </c>
      <c r="AB1047" s="2">
        <v>2621</v>
      </c>
      <c r="AC1047" s="2" t="s">
        <v>31</v>
      </c>
      <c r="AD1047" s="2" t="s">
        <v>32</v>
      </c>
      <c r="AE1047" s="2" t="s">
        <v>33</v>
      </c>
      <c r="AF1047" s="2" t="s">
        <v>34</v>
      </c>
      <c r="AG1047" s="2" t="s">
        <v>81</v>
      </c>
      <c r="AH1047" s="2">
        <v>0.29111751790700502</v>
      </c>
      <c r="AI1047" s="2">
        <v>0.62680805149575203</v>
      </c>
      <c r="AJ1047" s="2">
        <v>5.2598830033336999E-2</v>
      </c>
      <c r="AK1047" s="2">
        <v>4.1674529926554002E-2</v>
      </c>
      <c r="AL1047" s="2">
        <v>0.124506451826239</v>
      </c>
      <c r="AN1047" s="2">
        <v>6.8</v>
      </c>
      <c r="AO1047" s="2">
        <v>19.899999999999999</v>
      </c>
      <c r="AP1047" s="2">
        <v>564</v>
      </c>
      <c r="AQ1047" s="2">
        <v>68</v>
      </c>
      <c r="AR1047" s="2">
        <v>1.5</v>
      </c>
      <c r="AS1047" s="2">
        <v>135</v>
      </c>
      <c r="AT1047" s="2">
        <v>0.8</v>
      </c>
      <c r="AU1047" s="2">
        <v>162</v>
      </c>
      <c r="AV1047" s="2">
        <v>9.1</v>
      </c>
      <c r="AW1047" s="2">
        <v>9.1999999999999993</v>
      </c>
      <c r="AX1047" s="2">
        <v>18.3</v>
      </c>
      <c r="AY1047" s="2">
        <v>0.34</v>
      </c>
      <c r="AZ1047" s="2">
        <v>7.3</v>
      </c>
      <c r="BA1047" s="2">
        <v>0.9</v>
      </c>
      <c r="BB1047" s="2">
        <v>7.5</v>
      </c>
      <c r="BC1047" s="2">
        <v>2.9</v>
      </c>
      <c r="BD1047" s="2">
        <f>+AN1047*EXP(-0.0495*Y1047)</f>
        <v>6.35216013167922</v>
      </c>
      <c r="BE1047" s="2">
        <f>+AO1047*EXP(-0.024*Y1047)</f>
        <v>19.253408882008159</v>
      </c>
    </row>
    <row r="1048" spans="1:57" x14ac:dyDescent="0.2">
      <c r="A1048" s="2" t="s">
        <v>3485</v>
      </c>
      <c r="B1048" s="2" t="s">
        <v>19</v>
      </c>
      <c r="C1048" s="2" t="s">
        <v>3245</v>
      </c>
      <c r="D1048" s="2" t="s">
        <v>21</v>
      </c>
      <c r="E1048" s="2" t="s">
        <v>261</v>
      </c>
      <c r="F1048" s="2">
        <v>6</v>
      </c>
      <c r="G1048" s="2">
        <v>44</v>
      </c>
      <c r="H1048" s="2">
        <v>1</v>
      </c>
      <c r="I1048" s="2">
        <v>1</v>
      </c>
      <c r="J1048" s="2">
        <v>1</v>
      </c>
      <c r="K1048" s="2" t="s">
        <v>61</v>
      </c>
      <c r="L1048" s="6" t="s">
        <v>75</v>
      </c>
      <c r="M1048" s="5">
        <v>400000000</v>
      </c>
      <c r="N1048" s="2">
        <v>0</v>
      </c>
      <c r="O1048" s="2">
        <v>4.6531700000000003</v>
      </c>
      <c r="P1048" s="2">
        <v>-74.049000000000007</v>
      </c>
      <c r="Q1048" s="2" t="s">
        <v>3486</v>
      </c>
      <c r="R1048" s="2">
        <v>9090909.091</v>
      </c>
      <c r="S1048" s="2">
        <v>0</v>
      </c>
      <c r="T1048" s="2" t="s">
        <v>77</v>
      </c>
      <c r="U1048" s="2" t="s">
        <v>78</v>
      </c>
      <c r="V1048" s="2" t="s">
        <v>28</v>
      </c>
      <c r="W1048" s="2" t="s">
        <v>79</v>
      </c>
      <c r="X1048" s="2" t="s">
        <v>80</v>
      </c>
      <c r="Y1048" s="2">
        <v>3.6711524565502298</v>
      </c>
      <c r="Z1048" s="2">
        <v>4.6254861111111101</v>
      </c>
      <c r="AA1048" s="2">
        <v>-74.066980555555503</v>
      </c>
      <c r="AB1048" s="2">
        <v>2621</v>
      </c>
      <c r="AC1048" s="2" t="s">
        <v>31</v>
      </c>
      <c r="AD1048" s="2" t="s">
        <v>32</v>
      </c>
      <c r="AE1048" s="2" t="s">
        <v>33</v>
      </c>
      <c r="AF1048" s="2" t="s">
        <v>34</v>
      </c>
      <c r="AG1048" s="2" t="s">
        <v>81</v>
      </c>
      <c r="AH1048" s="2">
        <v>1.55348067196228</v>
      </c>
      <c r="AI1048" s="2">
        <v>4.23301622441076E-2</v>
      </c>
      <c r="AJ1048" s="2">
        <v>0.97473580924507297</v>
      </c>
      <c r="AK1048" s="2">
        <v>0.57707382652987205</v>
      </c>
      <c r="AL1048" s="2">
        <v>0.15755340123493</v>
      </c>
      <c r="AN1048" s="2">
        <v>6.8</v>
      </c>
      <c r="AO1048" s="2">
        <v>19.899999999999999</v>
      </c>
      <c r="AP1048" s="2">
        <v>564</v>
      </c>
      <c r="AQ1048" s="2">
        <v>68</v>
      </c>
      <c r="AR1048" s="2">
        <v>1.5</v>
      </c>
      <c r="AS1048" s="2">
        <v>135</v>
      </c>
      <c r="AT1048" s="2">
        <v>0.8</v>
      </c>
      <c r="AU1048" s="2">
        <v>162</v>
      </c>
      <c r="AV1048" s="2">
        <v>9.1</v>
      </c>
      <c r="AW1048" s="2">
        <v>9.1999999999999993</v>
      </c>
      <c r="AX1048" s="2">
        <v>18.3</v>
      </c>
      <c r="AY1048" s="2">
        <v>0.34</v>
      </c>
      <c r="AZ1048" s="2">
        <v>7.3</v>
      </c>
      <c r="BA1048" s="2">
        <v>0.9</v>
      </c>
      <c r="BB1048" s="2">
        <v>7.5</v>
      </c>
      <c r="BC1048" s="2">
        <v>2.9</v>
      </c>
      <c r="BD1048" s="2">
        <f>+AN1048*EXP(-0.0495*Y1048)</f>
        <v>5.6700649096422762</v>
      </c>
      <c r="BE1048" s="2">
        <f>+AO1048*EXP(-0.024*Y1048)</f>
        <v>18.221679614165854</v>
      </c>
    </row>
    <row r="1049" spans="1:57" x14ac:dyDescent="0.2">
      <c r="A1049" s="2" t="s">
        <v>3837</v>
      </c>
      <c r="B1049" s="2" t="s">
        <v>19</v>
      </c>
      <c r="C1049" s="2" t="s">
        <v>3245</v>
      </c>
      <c r="D1049" s="2" t="s">
        <v>21</v>
      </c>
      <c r="E1049" s="2" t="s">
        <v>81</v>
      </c>
      <c r="F1049" s="2">
        <v>4</v>
      </c>
      <c r="G1049" s="2">
        <v>44</v>
      </c>
      <c r="H1049" s="2">
        <v>1</v>
      </c>
      <c r="I1049" s="2">
        <v>1</v>
      </c>
      <c r="J1049" s="2">
        <v>1</v>
      </c>
      <c r="K1049" s="2" t="s">
        <v>61</v>
      </c>
      <c r="L1049" s="6" t="s">
        <v>84</v>
      </c>
      <c r="M1049" s="5">
        <v>333900000</v>
      </c>
      <c r="N1049" s="2">
        <v>0</v>
      </c>
      <c r="O1049" s="2">
        <v>4.6466053</v>
      </c>
      <c r="P1049" s="2">
        <v>-74.067003099999994</v>
      </c>
      <c r="Q1049" s="2" t="s">
        <v>3838</v>
      </c>
      <c r="R1049" s="2">
        <v>7588636.3640000001</v>
      </c>
      <c r="S1049" s="2">
        <v>0</v>
      </c>
      <c r="T1049" s="2" t="s">
        <v>26</v>
      </c>
      <c r="U1049" s="2" t="s">
        <v>27</v>
      </c>
      <c r="V1049" s="2" t="s">
        <v>28</v>
      </c>
      <c r="W1049" s="2" t="s">
        <v>29</v>
      </c>
      <c r="X1049" s="2" t="s">
        <v>30</v>
      </c>
      <c r="Y1049" s="2">
        <v>2.2991216732710802</v>
      </c>
      <c r="Z1049" s="2">
        <v>4.6584666666666701</v>
      </c>
      <c r="AA1049" s="2">
        <v>-74.083966666666697</v>
      </c>
      <c r="AB1049" s="2">
        <v>2552</v>
      </c>
      <c r="AC1049" s="2" t="s">
        <v>31</v>
      </c>
      <c r="AD1049" s="2" t="s">
        <v>32</v>
      </c>
      <c r="AE1049" s="2" t="s">
        <v>33</v>
      </c>
      <c r="AF1049" s="2" t="s">
        <v>34</v>
      </c>
      <c r="AG1049" s="2" t="s">
        <v>35</v>
      </c>
      <c r="AH1049" s="2">
        <v>0.30891856334752998</v>
      </c>
      <c r="AI1049" s="2">
        <v>1.2237247894007901</v>
      </c>
      <c r="AJ1049" s="2">
        <v>0.21312441226628301</v>
      </c>
      <c r="AK1049" s="2">
        <v>4.6491493254825898E-2</v>
      </c>
      <c r="AL1049" s="2">
        <v>0.13785756462702101</v>
      </c>
      <c r="AN1049" s="2">
        <v>6.8</v>
      </c>
      <c r="AO1049" s="2">
        <v>19.899999999999999</v>
      </c>
      <c r="AP1049" s="2">
        <v>564</v>
      </c>
      <c r="AQ1049" s="2">
        <v>68</v>
      </c>
      <c r="AR1049" s="2">
        <v>1.5</v>
      </c>
      <c r="AS1049" s="2">
        <v>135</v>
      </c>
      <c r="AT1049" s="2">
        <v>0.8</v>
      </c>
      <c r="AU1049" s="2">
        <v>162</v>
      </c>
      <c r="AV1049" s="2">
        <v>9.1</v>
      </c>
      <c r="AW1049" s="2">
        <v>9.1999999999999993</v>
      </c>
      <c r="AX1049" s="2">
        <v>18.3</v>
      </c>
      <c r="AY1049" s="2">
        <v>0.34</v>
      </c>
      <c r="AZ1049" s="2">
        <v>7.3</v>
      </c>
      <c r="BA1049" s="2">
        <v>0.9</v>
      </c>
      <c r="BB1049" s="2">
        <v>7.5</v>
      </c>
      <c r="BC1049" s="2">
        <v>2.9</v>
      </c>
      <c r="BD1049" s="2">
        <f>+AN1049*EXP(-0.0495*Y1049)</f>
        <v>6.0685281080879498</v>
      </c>
      <c r="BE1049" s="2">
        <f>+AO1049*EXP(-0.024*Y1049)</f>
        <v>18.831684774807577</v>
      </c>
    </row>
    <row r="1050" spans="1:57" x14ac:dyDescent="0.2">
      <c r="A1050" s="2" t="s">
        <v>313</v>
      </c>
      <c r="B1050" s="2" t="s">
        <v>19</v>
      </c>
      <c r="C1050" s="2" t="s">
        <v>20</v>
      </c>
      <c r="D1050" s="2" t="s">
        <v>21</v>
      </c>
      <c r="E1050" s="2" t="s">
        <v>314</v>
      </c>
      <c r="F1050" s="2">
        <v>2</v>
      </c>
      <c r="G1050" s="2">
        <v>44</v>
      </c>
      <c r="H1050" s="2">
        <v>3</v>
      </c>
      <c r="I1050" s="2">
        <v>1</v>
      </c>
      <c r="J1050" s="2">
        <v>0</v>
      </c>
      <c r="K1050" s="2" t="s">
        <v>61</v>
      </c>
      <c r="L1050" s="6" t="s">
        <v>84</v>
      </c>
      <c r="M1050" s="5">
        <v>168000000</v>
      </c>
      <c r="N1050" s="2">
        <v>0</v>
      </c>
      <c r="O1050" s="2">
        <v>4.6207323069999999</v>
      </c>
      <c r="P1050" s="2">
        <v>-74.212615970000002</v>
      </c>
      <c r="Q1050" s="2" t="s">
        <v>315</v>
      </c>
      <c r="R1050" s="2">
        <v>3818181.818</v>
      </c>
      <c r="S1050" s="2">
        <v>0</v>
      </c>
      <c r="T1050" s="2" t="s">
        <v>316</v>
      </c>
      <c r="U1050" s="2" t="s">
        <v>317</v>
      </c>
      <c r="V1050" s="2" t="s">
        <v>28</v>
      </c>
      <c r="W1050" s="2" t="s">
        <v>316</v>
      </c>
      <c r="X1050" s="2" t="s">
        <v>318</v>
      </c>
      <c r="Y1050" s="2">
        <v>1.9327873033496601</v>
      </c>
      <c r="Z1050" s="2">
        <v>4.6056111111111102</v>
      </c>
      <c r="AA1050" s="2">
        <v>-74.204055555555598</v>
      </c>
      <c r="AB1050" s="2">
        <v>2546</v>
      </c>
      <c r="AC1050" s="2" t="s">
        <v>31</v>
      </c>
      <c r="AD1050" s="2" t="s">
        <v>58</v>
      </c>
      <c r="AE1050" s="2" t="s">
        <v>33</v>
      </c>
      <c r="AF1050" s="2" t="s">
        <v>34</v>
      </c>
      <c r="AG1050" s="2" t="s">
        <v>319</v>
      </c>
      <c r="AH1050" s="2">
        <v>3.7994985959129299</v>
      </c>
      <c r="AI1050" s="2">
        <v>0.76221876557587798</v>
      </c>
      <c r="AJ1050" s="2">
        <v>8.7495304921503596</v>
      </c>
      <c r="AK1050" s="2">
        <v>0.76845623182921596</v>
      </c>
      <c r="AL1050" s="2">
        <v>0.155581923553687</v>
      </c>
      <c r="AN1050" s="2">
        <v>6.8</v>
      </c>
      <c r="AO1050" s="2">
        <v>19.899999999999999</v>
      </c>
      <c r="AP1050" s="2">
        <v>564</v>
      </c>
      <c r="AQ1050" s="2">
        <v>68</v>
      </c>
      <c r="AR1050" s="2">
        <v>1.5</v>
      </c>
      <c r="AS1050" s="2">
        <v>135</v>
      </c>
      <c r="AT1050" s="2">
        <v>0.8</v>
      </c>
      <c r="AU1050" s="2">
        <v>162</v>
      </c>
      <c r="AV1050" s="2">
        <v>9.1</v>
      </c>
      <c r="AW1050" s="2">
        <v>9.1999999999999993</v>
      </c>
      <c r="AX1050" s="2">
        <v>18.3</v>
      </c>
      <c r="AY1050" s="2">
        <v>0.34</v>
      </c>
      <c r="AZ1050" s="2">
        <v>7.3</v>
      </c>
      <c r="BA1050" s="2">
        <v>0.9</v>
      </c>
      <c r="BB1050" s="2">
        <v>7.5</v>
      </c>
      <c r="BC1050" s="2">
        <v>2.9</v>
      </c>
      <c r="BD1050" s="2">
        <f>+AN1050*EXP(-0.0495*Y1050)</f>
        <v>6.179575876189463</v>
      </c>
      <c r="BE1050" s="2">
        <f>+AO1050*EXP(-0.024*Y1050)</f>
        <v>18.997983395414508</v>
      </c>
    </row>
    <row r="1051" spans="1:57" x14ac:dyDescent="0.2">
      <c r="A1051" s="2" t="s">
        <v>1355</v>
      </c>
      <c r="B1051" s="2" t="s">
        <v>19</v>
      </c>
      <c r="C1051" s="2" t="s">
        <v>20</v>
      </c>
      <c r="D1051" s="2" t="s">
        <v>21</v>
      </c>
      <c r="E1051" s="2" t="s">
        <v>1356</v>
      </c>
      <c r="F1051" s="2">
        <v>4</v>
      </c>
      <c r="G1051" s="2">
        <v>43.42</v>
      </c>
      <c r="H1051" s="2">
        <v>2</v>
      </c>
      <c r="I1051" s="2">
        <v>1</v>
      </c>
      <c r="J1051" s="2">
        <v>1</v>
      </c>
      <c r="K1051" s="2" t="s">
        <v>61</v>
      </c>
      <c r="L1051" s="6" t="s">
        <v>62</v>
      </c>
      <c r="M1051" s="5">
        <v>347360000</v>
      </c>
      <c r="N1051" s="2">
        <v>0</v>
      </c>
      <c r="O1051" s="2">
        <v>4.6740441319999997</v>
      </c>
      <c r="P1051" s="2">
        <v>-74.084945680000004</v>
      </c>
      <c r="Q1051" s="2" t="s">
        <v>1357</v>
      </c>
      <c r="R1051" s="2">
        <v>8000000</v>
      </c>
      <c r="S1051" s="2">
        <v>0</v>
      </c>
      <c r="T1051" s="2" t="s">
        <v>26</v>
      </c>
      <c r="U1051" s="2" t="s">
        <v>27</v>
      </c>
      <c r="V1051" s="2" t="s">
        <v>28</v>
      </c>
      <c r="W1051" s="2" t="s">
        <v>29</v>
      </c>
      <c r="X1051" s="2" t="s">
        <v>30</v>
      </c>
      <c r="Y1051" s="2">
        <v>1.73747420615689</v>
      </c>
      <c r="Z1051" s="2">
        <v>4.6584666666666701</v>
      </c>
      <c r="AA1051" s="2">
        <v>-74.083966666666697</v>
      </c>
      <c r="AB1051" s="2">
        <v>2552</v>
      </c>
      <c r="AC1051" s="2" t="s">
        <v>31</v>
      </c>
      <c r="AD1051" s="2" t="s">
        <v>32</v>
      </c>
      <c r="AE1051" s="2" t="s">
        <v>33</v>
      </c>
      <c r="AF1051" s="2" t="s">
        <v>34</v>
      </c>
      <c r="AG1051" s="2" t="s">
        <v>293</v>
      </c>
      <c r="AH1051" s="2">
        <v>1.1965062697631501</v>
      </c>
      <c r="AI1051" s="2">
        <v>4.4994182740196198</v>
      </c>
      <c r="AJ1051" s="2">
        <v>1.7844111272607099</v>
      </c>
      <c r="AK1051" s="2">
        <v>0.168503057433147</v>
      </c>
      <c r="AL1051" s="2">
        <v>6.8547091360337806E-2</v>
      </c>
      <c r="AN1051" s="2">
        <v>6.8</v>
      </c>
      <c r="AO1051" s="2">
        <v>19.899999999999999</v>
      </c>
      <c r="AP1051" s="2">
        <v>564</v>
      </c>
      <c r="AQ1051" s="2">
        <v>68</v>
      </c>
      <c r="AR1051" s="2">
        <v>1.5</v>
      </c>
      <c r="AS1051" s="2">
        <v>135</v>
      </c>
      <c r="AT1051" s="2">
        <v>0.8</v>
      </c>
      <c r="AU1051" s="2">
        <v>162</v>
      </c>
      <c r="AV1051" s="2">
        <v>9.1</v>
      </c>
      <c r="AW1051" s="2">
        <v>9.1999999999999993</v>
      </c>
      <c r="AX1051" s="2">
        <v>18.3</v>
      </c>
      <c r="AY1051" s="2">
        <v>0.34</v>
      </c>
      <c r="AZ1051" s="2">
        <v>7.3</v>
      </c>
      <c r="BA1051" s="2">
        <v>0.9</v>
      </c>
      <c r="BB1051" s="2">
        <v>7.5</v>
      </c>
      <c r="BC1051" s="2">
        <v>2.9</v>
      </c>
      <c r="BD1051" s="2">
        <f>+AN1051*EXP(-0.0495*Y1051)</f>
        <v>6.239609741362961</v>
      </c>
      <c r="BE1051" s="2">
        <f>+AO1051*EXP(-0.024*Y1051)</f>
        <v>19.087245760734703</v>
      </c>
    </row>
    <row r="1052" spans="1:57" x14ac:dyDescent="0.2">
      <c r="A1052" s="2" t="s">
        <v>459</v>
      </c>
      <c r="B1052" s="2" t="s">
        <v>19</v>
      </c>
      <c r="C1052" s="2" t="s">
        <v>20</v>
      </c>
      <c r="D1052" s="2" t="s">
        <v>21</v>
      </c>
      <c r="E1052" s="2" t="s">
        <v>460</v>
      </c>
      <c r="F1052" s="2">
        <v>4</v>
      </c>
      <c r="G1052" s="2">
        <v>43</v>
      </c>
      <c r="H1052" s="2">
        <v>1</v>
      </c>
      <c r="I1052" s="2">
        <v>1</v>
      </c>
      <c r="J1052" s="2">
        <v>0</v>
      </c>
      <c r="K1052" s="2" t="s">
        <v>61</v>
      </c>
      <c r="L1052" s="6" t="s">
        <v>62</v>
      </c>
      <c r="M1052" s="5">
        <v>550000000</v>
      </c>
      <c r="N1052" s="2">
        <v>0</v>
      </c>
      <c r="O1052" s="2">
        <v>4.6419435</v>
      </c>
      <c r="P1052" s="2">
        <v>-74.061899999999994</v>
      </c>
      <c r="Q1052" s="2" t="s">
        <v>461</v>
      </c>
      <c r="R1052" s="2">
        <v>12790697.67</v>
      </c>
      <c r="S1052" s="2">
        <v>0</v>
      </c>
      <c r="T1052" s="2" t="s">
        <v>77</v>
      </c>
      <c r="U1052" s="2" t="s">
        <v>78</v>
      </c>
      <c r="V1052" s="2" t="s">
        <v>28</v>
      </c>
      <c r="W1052" s="2" t="s">
        <v>79</v>
      </c>
      <c r="X1052" s="2" t="s">
        <v>80</v>
      </c>
      <c r="Y1052" s="2">
        <v>1.9167950409676</v>
      </c>
      <c r="Z1052" s="2">
        <v>4.6254861111111101</v>
      </c>
      <c r="AA1052" s="2">
        <v>-74.066980555555503</v>
      </c>
      <c r="AB1052" s="2">
        <v>2621</v>
      </c>
      <c r="AC1052" s="2" t="s">
        <v>31</v>
      </c>
      <c r="AD1052" s="2" t="s">
        <v>32</v>
      </c>
      <c r="AE1052" s="2" t="s">
        <v>33</v>
      </c>
      <c r="AF1052" s="2" t="s">
        <v>34</v>
      </c>
      <c r="AG1052" s="2" t="s">
        <v>81</v>
      </c>
      <c r="AH1052" s="2">
        <v>0.45044764976760798</v>
      </c>
      <c r="AI1052" s="2">
        <v>0.49471087228528499</v>
      </c>
      <c r="AJ1052" s="2">
        <v>0.36951497651516402</v>
      </c>
      <c r="AK1052" s="2">
        <v>3.2247631673655297E-2</v>
      </c>
      <c r="AL1052" s="2">
        <v>0.17511533834905901</v>
      </c>
      <c r="AN1052" s="2">
        <v>6.8</v>
      </c>
      <c r="AO1052" s="2">
        <v>19.899999999999999</v>
      </c>
      <c r="AP1052" s="2">
        <v>564</v>
      </c>
      <c r="AQ1052" s="2">
        <v>68</v>
      </c>
      <c r="AR1052" s="2">
        <v>1.5</v>
      </c>
      <c r="AS1052" s="2">
        <v>135</v>
      </c>
      <c r="AT1052" s="2">
        <v>0.8</v>
      </c>
      <c r="AU1052" s="2">
        <v>162</v>
      </c>
      <c r="AV1052" s="2">
        <v>9.1</v>
      </c>
      <c r="AW1052" s="2">
        <v>9.1999999999999993</v>
      </c>
      <c r="AX1052" s="2">
        <v>18.3</v>
      </c>
      <c r="AY1052" s="2">
        <v>0.34</v>
      </c>
      <c r="AZ1052" s="2">
        <v>7.3</v>
      </c>
      <c r="BA1052" s="2">
        <v>0.9</v>
      </c>
      <c r="BB1052" s="2">
        <v>7.5</v>
      </c>
      <c r="BC1052" s="2">
        <v>2.9</v>
      </c>
      <c r="BD1052" s="2">
        <f>+AN1052*EXP(-0.0495*Y1052)</f>
        <v>6.1844696701808148</v>
      </c>
      <c r="BE1052" s="2">
        <f>+AO1052*EXP(-0.024*Y1052)</f>
        <v>19.005276492567006</v>
      </c>
    </row>
    <row r="1053" spans="1:57" x14ac:dyDescent="0.2">
      <c r="A1053" s="2" t="s">
        <v>4224</v>
      </c>
      <c r="B1053" s="2" t="s">
        <v>19</v>
      </c>
      <c r="C1053" s="2" t="s">
        <v>3245</v>
      </c>
      <c r="D1053" s="2" t="s">
        <v>21</v>
      </c>
      <c r="E1053" s="2" t="s">
        <v>74</v>
      </c>
      <c r="F1053" s="2">
        <v>3</v>
      </c>
      <c r="G1053" s="2">
        <v>43</v>
      </c>
      <c r="H1053" s="2">
        <v>1</v>
      </c>
      <c r="I1053" s="2">
        <v>1</v>
      </c>
      <c r="J1053" s="2">
        <v>1</v>
      </c>
      <c r="K1053" s="2" t="s">
        <v>61</v>
      </c>
      <c r="L1053" s="6" t="s">
        <v>62</v>
      </c>
      <c r="M1053" s="5">
        <v>305000000</v>
      </c>
      <c r="N1053" s="2">
        <v>0</v>
      </c>
      <c r="O1053" s="2">
        <v>4.6465699999999996</v>
      </c>
      <c r="P1053" s="2">
        <v>-74.063410000000005</v>
      </c>
      <c r="Q1053" s="2" t="s">
        <v>4225</v>
      </c>
      <c r="R1053" s="2">
        <v>7093023.2560000001</v>
      </c>
      <c r="S1053" s="2">
        <v>0</v>
      </c>
      <c r="T1053" s="2" t="s">
        <v>77</v>
      </c>
      <c r="U1053" s="2" t="s">
        <v>78</v>
      </c>
      <c r="V1053" s="2" t="s">
        <v>28</v>
      </c>
      <c r="W1053" s="2" t="s">
        <v>79</v>
      </c>
      <c r="X1053" s="2" t="s">
        <v>80</v>
      </c>
      <c r="Y1053" s="2">
        <v>2.3802490431498802</v>
      </c>
      <c r="Z1053" s="2">
        <v>4.6254861111111101</v>
      </c>
      <c r="AA1053" s="2">
        <v>-74.066980555555503</v>
      </c>
      <c r="AB1053" s="2">
        <v>2621</v>
      </c>
      <c r="AC1053" s="2" t="s">
        <v>31</v>
      </c>
      <c r="AD1053" s="2" t="s">
        <v>32</v>
      </c>
      <c r="AE1053" s="2" t="s">
        <v>33</v>
      </c>
      <c r="AF1053" s="2" t="s">
        <v>34</v>
      </c>
      <c r="AG1053" s="2" t="s">
        <v>81</v>
      </c>
      <c r="AH1053" s="2">
        <v>0.25943480186514301</v>
      </c>
      <c r="AI1053" s="2">
        <v>0.89996145807379002</v>
      </c>
      <c r="AJ1053" s="2">
        <v>0.103428573226717</v>
      </c>
      <c r="AK1053" s="2">
        <v>0.102542704155223</v>
      </c>
      <c r="AL1053" s="2">
        <v>0.41975628281150801</v>
      </c>
      <c r="AN1053" s="2">
        <v>6.8</v>
      </c>
      <c r="AO1053" s="2">
        <v>19.899999999999999</v>
      </c>
      <c r="AP1053" s="2">
        <v>564</v>
      </c>
      <c r="AQ1053" s="2">
        <v>68</v>
      </c>
      <c r="AR1053" s="2">
        <v>1.5</v>
      </c>
      <c r="AS1053" s="2">
        <v>135</v>
      </c>
      <c r="AT1053" s="2">
        <v>0.8</v>
      </c>
      <c r="AU1053" s="2">
        <v>162</v>
      </c>
      <c r="AV1053" s="2">
        <v>9.1</v>
      </c>
      <c r="AW1053" s="2">
        <v>9.1999999999999993</v>
      </c>
      <c r="AX1053" s="2">
        <v>18.3</v>
      </c>
      <c r="AY1053" s="2">
        <v>0.34</v>
      </c>
      <c r="AZ1053" s="2">
        <v>7.3</v>
      </c>
      <c r="BA1053" s="2">
        <v>0.9</v>
      </c>
      <c r="BB1053" s="2">
        <v>7.5</v>
      </c>
      <c r="BC1053" s="2">
        <v>2.9</v>
      </c>
      <c r="BD1053" s="2">
        <f>+AN1053*EXP(-0.0495*Y1053)</f>
        <v>6.0442069509228551</v>
      </c>
      <c r="BE1053" s="2">
        <f>+AO1053*EXP(-0.024*Y1053)</f>
        <v>18.795054086049142</v>
      </c>
    </row>
    <row r="1054" spans="1:57" x14ac:dyDescent="0.2">
      <c r="A1054" s="2" t="s">
        <v>1201</v>
      </c>
      <c r="B1054" s="2" t="s">
        <v>19</v>
      </c>
      <c r="C1054" s="2" t="s">
        <v>20</v>
      </c>
      <c r="D1054" s="2" t="s">
        <v>21</v>
      </c>
      <c r="E1054" s="2" t="s">
        <v>745</v>
      </c>
      <c r="F1054" s="2">
        <v>2</v>
      </c>
      <c r="G1054" s="2">
        <v>42.56</v>
      </c>
      <c r="H1054" s="2">
        <v>3</v>
      </c>
      <c r="I1054" s="2">
        <v>1</v>
      </c>
      <c r="J1054" s="2">
        <v>0</v>
      </c>
      <c r="K1054" s="2" t="s">
        <v>23</v>
      </c>
      <c r="L1054" s="6" t="s">
        <v>24</v>
      </c>
      <c r="M1054" s="5">
        <v>207580000</v>
      </c>
      <c r="N1054" s="2">
        <v>0</v>
      </c>
      <c r="O1054" s="2">
        <v>4.6293009999999999</v>
      </c>
      <c r="P1054" s="2">
        <v>-74.207530000000006</v>
      </c>
      <c r="Q1054" s="2" t="s">
        <v>1202</v>
      </c>
      <c r="R1054" s="2">
        <v>4877349.6239999998</v>
      </c>
      <c r="S1054" s="2">
        <v>0</v>
      </c>
      <c r="T1054" s="2" t="s">
        <v>316</v>
      </c>
      <c r="U1054" s="2" t="s">
        <v>317</v>
      </c>
      <c r="V1054" s="2" t="s">
        <v>28</v>
      </c>
      <c r="W1054" s="2" t="s">
        <v>316</v>
      </c>
      <c r="X1054" s="2" t="s">
        <v>318</v>
      </c>
      <c r="Y1054" s="2">
        <v>2.66517638249241</v>
      </c>
      <c r="Z1054" s="2">
        <v>4.6056111111111102</v>
      </c>
      <c r="AA1054" s="2">
        <v>-74.204055555555598</v>
      </c>
      <c r="AB1054" s="2">
        <v>2546</v>
      </c>
      <c r="AC1054" s="2" t="s">
        <v>31</v>
      </c>
      <c r="AD1054" s="2" t="s">
        <v>58</v>
      </c>
      <c r="AE1054" s="2" t="s">
        <v>33</v>
      </c>
      <c r="AF1054" s="2" t="s">
        <v>34</v>
      </c>
      <c r="AG1054" s="2" t="s">
        <v>319</v>
      </c>
      <c r="AH1054" s="2">
        <v>3.8226939468907002</v>
      </c>
      <c r="AI1054" s="2">
        <v>0.61824213273968698</v>
      </c>
      <c r="AJ1054" s="2">
        <v>8.6269294568452999</v>
      </c>
      <c r="AK1054" s="2">
        <v>1.37747217494598</v>
      </c>
      <c r="AL1054" s="2">
        <v>0.19504072431396</v>
      </c>
      <c r="AN1054" s="2">
        <v>6.8</v>
      </c>
      <c r="AO1054" s="2">
        <v>19.899999999999999</v>
      </c>
      <c r="AP1054" s="2">
        <v>564</v>
      </c>
      <c r="AQ1054" s="2">
        <v>68</v>
      </c>
      <c r="AR1054" s="2">
        <v>1.5</v>
      </c>
      <c r="AS1054" s="2">
        <v>135</v>
      </c>
      <c r="AT1054" s="2">
        <v>0.8</v>
      </c>
      <c r="AU1054" s="2">
        <v>162</v>
      </c>
      <c r="AV1054" s="2">
        <v>9.1</v>
      </c>
      <c r="AW1054" s="2">
        <v>9.1999999999999993</v>
      </c>
      <c r="AX1054" s="2">
        <v>18.3</v>
      </c>
      <c r="AY1054" s="2">
        <v>0.34</v>
      </c>
      <c r="AZ1054" s="2">
        <v>7.3</v>
      </c>
      <c r="BA1054" s="2">
        <v>0.9</v>
      </c>
      <c r="BB1054" s="2">
        <v>7.5</v>
      </c>
      <c r="BC1054" s="2">
        <v>2.9</v>
      </c>
      <c r="BD1054" s="2">
        <f>+AN1054*EXP(-0.0495*Y1054)</f>
        <v>5.9595583813838466</v>
      </c>
      <c r="BE1054" s="2">
        <f>+AO1054*EXP(-0.024*Y1054)</f>
        <v>18.666967136778581</v>
      </c>
    </row>
    <row r="1055" spans="1:57" x14ac:dyDescent="0.2">
      <c r="A1055" s="2" t="s">
        <v>4219</v>
      </c>
      <c r="B1055" s="2" t="s">
        <v>19</v>
      </c>
      <c r="C1055" s="2" t="s">
        <v>3245</v>
      </c>
      <c r="D1055" s="2" t="s">
        <v>21</v>
      </c>
      <c r="E1055" s="2" t="s">
        <v>3524</v>
      </c>
      <c r="F1055" s="2">
        <v>5</v>
      </c>
      <c r="G1055" s="2">
        <v>42</v>
      </c>
      <c r="H1055" s="2">
        <v>1</v>
      </c>
      <c r="I1055" s="2">
        <v>1</v>
      </c>
      <c r="J1055" s="2">
        <v>1</v>
      </c>
      <c r="K1055" s="2" t="s">
        <v>61</v>
      </c>
      <c r="L1055" s="6" t="s">
        <v>75</v>
      </c>
      <c r="M1055" s="5">
        <v>750000000</v>
      </c>
      <c r="N1055" s="2">
        <v>0</v>
      </c>
      <c r="O1055" s="2">
        <v>4.6047710000000004</v>
      </c>
      <c r="P1055" s="2">
        <v>-74.070340000000002</v>
      </c>
      <c r="Q1055" s="2" t="s">
        <v>4220</v>
      </c>
      <c r="R1055" s="2">
        <v>17857142.859999999</v>
      </c>
      <c r="S1055" s="2">
        <v>0</v>
      </c>
      <c r="T1055" s="2" t="s">
        <v>77</v>
      </c>
      <c r="U1055" s="2" t="s">
        <v>78</v>
      </c>
      <c r="V1055" s="2" t="s">
        <v>28</v>
      </c>
      <c r="W1055" s="2" t="s">
        <v>79</v>
      </c>
      <c r="X1055" s="2" t="s">
        <v>80</v>
      </c>
      <c r="Y1055" s="2">
        <v>2.3359291836004901</v>
      </c>
      <c r="Z1055" s="2">
        <v>4.6254861111111101</v>
      </c>
      <c r="AA1055" s="2">
        <v>-74.066980555555503</v>
      </c>
      <c r="AB1055" s="2">
        <v>2621</v>
      </c>
      <c r="AC1055" s="2" t="s">
        <v>31</v>
      </c>
      <c r="AD1055" s="2" t="s">
        <v>32</v>
      </c>
      <c r="AE1055" s="2" t="s">
        <v>33</v>
      </c>
      <c r="AF1055" s="2" t="s">
        <v>34</v>
      </c>
      <c r="AG1055" s="2" t="s">
        <v>89</v>
      </c>
      <c r="AH1055" s="2">
        <v>0.32381267865105501</v>
      </c>
      <c r="AI1055" s="2">
        <v>0.65590329569938399</v>
      </c>
      <c r="AJ1055" s="2">
        <v>0.15538928797864099</v>
      </c>
      <c r="AK1055" s="2">
        <v>3.90630491153032E-2</v>
      </c>
      <c r="AL1055" s="2">
        <v>3.2282449441314698E-2</v>
      </c>
      <c r="AN1055" s="2">
        <v>6.8</v>
      </c>
      <c r="AO1055" s="2">
        <v>19.899999999999999</v>
      </c>
      <c r="AP1055" s="2">
        <v>564</v>
      </c>
      <c r="AQ1055" s="2">
        <v>68</v>
      </c>
      <c r="AR1055" s="2">
        <v>1.5</v>
      </c>
      <c r="AS1055" s="2">
        <v>135</v>
      </c>
      <c r="AT1055" s="2">
        <v>0.8</v>
      </c>
      <c r="AU1055" s="2">
        <v>162</v>
      </c>
      <c r="AV1055" s="2">
        <v>9.1</v>
      </c>
      <c r="AW1055" s="2">
        <v>9.1999999999999993</v>
      </c>
      <c r="AX1055" s="2">
        <v>18.3</v>
      </c>
      <c r="AY1055" s="2">
        <v>0.34</v>
      </c>
      <c r="AZ1055" s="2">
        <v>7.3</v>
      </c>
      <c r="BA1055" s="2">
        <v>0.9</v>
      </c>
      <c r="BB1055" s="2">
        <v>7.5</v>
      </c>
      <c r="BC1055" s="2">
        <v>2.9</v>
      </c>
      <c r="BD1055" s="2">
        <f>+AN1055*EXP(-0.0495*Y1055)</f>
        <v>6.0574814876134502</v>
      </c>
      <c r="BE1055" s="2">
        <f>+AO1055*EXP(-0.024*Y1055)</f>
        <v>18.815056582032582</v>
      </c>
    </row>
    <row r="1056" spans="1:57" x14ac:dyDescent="0.2">
      <c r="A1056" s="2" t="s">
        <v>3333</v>
      </c>
      <c r="B1056" s="2" t="s">
        <v>19</v>
      </c>
      <c r="C1056" s="2" t="s">
        <v>3245</v>
      </c>
      <c r="D1056" s="2" t="s">
        <v>21</v>
      </c>
      <c r="E1056" s="2" t="s">
        <v>81</v>
      </c>
      <c r="F1056" s="2">
        <v>4</v>
      </c>
      <c r="G1056" s="2">
        <v>42</v>
      </c>
      <c r="H1056" s="2">
        <v>1</v>
      </c>
      <c r="I1056" s="2">
        <v>1</v>
      </c>
      <c r="J1056" s="2">
        <v>0</v>
      </c>
      <c r="K1056" s="2" t="s">
        <v>61</v>
      </c>
      <c r="L1056" s="6" t="s">
        <v>62</v>
      </c>
      <c r="M1056" s="5">
        <v>490000000</v>
      </c>
      <c r="N1056" s="2">
        <v>0</v>
      </c>
      <c r="O1056" s="2">
        <v>4.6404787000000001</v>
      </c>
      <c r="P1056" s="2">
        <v>-74.062260699999996</v>
      </c>
      <c r="Q1056" s="2" t="s">
        <v>3334</v>
      </c>
      <c r="R1056" s="2">
        <v>11666666.67</v>
      </c>
      <c r="S1056" s="2">
        <v>0</v>
      </c>
      <c r="T1056" s="2" t="s">
        <v>77</v>
      </c>
      <c r="U1056" s="2" t="s">
        <v>78</v>
      </c>
      <c r="V1056" s="2" t="s">
        <v>28</v>
      </c>
      <c r="W1056" s="2" t="s">
        <v>79</v>
      </c>
      <c r="X1056" s="2" t="s">
        <v>80</v>
      </c>
      <c r="Y1056" s="2">
        <v>1.7492022948836701</v>
      </c>
      <c r="Z1056" s="2">
        <v>4.6254861111111101</v>
      </c>
      <c r="AA1056" s="2">
        <v>-74.066980555555503</v>
      </c>
      <c r="AB1056" s="2">
        <v>2621</v>
      </c>
      <c r="AC1056" s="2" t="s">
        <v>31</v>
      </c>
      <c r="AD1056" s="2" t="s">
        <v>32</v>
      </c>
      <c r="AE1056" s="2" t="s">
        <v>33</v>
      </c>
      <c r="AF1056" s="2" t="s">
        <v>34</v>
      </c>
      <c r="AG1056" s="2" t="s">
        <v>81</v>
      </c>
      <c r="AH1056" s="2">
        <v>0.48270691169881402</v>
      </c>
      <c r="AI1056" s="2">
        <v>0.508878262512238</v>
      </c>
      <c r="AJ1056" s="2">
        <v>0.35216089836259301</v>
      </c>
      <c r="AK1056" s="2">
        <v>3.2047930546035101E-2</v>
      </c>
      <c r="AL1056" s="2">
        <v>0.119315765712392</v>
      </c>
      <c r="AN1056" s="2">
        <v>6.8</v>
      </c>
      <c r="AO1056" s="2">
        <v>19.899999999999999</v>
      </c>
      <c r="AP1056" s="2">
        <v>564</v>
      </c>
      <c r="AQ1056" s="2">
        <v>68</v>
      </c>
      <c r="AR1056" s="2">
        <v>1.5</v>
      </c>
      <c r="AS1056" s="2">
        <v>135</v>
      </c>
      <c r="AT1056" s="2">
        <v>0.8</v>
      </c>
      <c r="AU1056" s="2">
        <v>162</v>
      </c>
      <c r="AV1056" s="2">
        <v>9.1</v>
      </c>
      <c r="AW1056" s="2">
        <v>9.1999999999999993</v>
      </c>
      <c r="AX1056" s="2">
        <v>18.3</v>
      </c>
      <c r="AY1056" s="2">
        <v>0.34</v>
      </c>
      <c r="AZ1056" s="2">
        <v>7.3</v>
      </c>
      <c r="BA1056" s="2">
        <v>0.9</v>
      </c>
      <c r="BB1056" s="2">
        <v>7.5</v>
      </c>
      <c r="BC1056" s="2">
        <v>2.9</v>
      </c>
      <c r="BD1056" s="2">
        <f>+AN1056*EXP(-0.0495*Y1056)</f>
        <v>6.235988447133427</v>
      </c>
      <c r="BE1056" s="2">
        <f>+AO1056*EXP(-0.024*Y1056)</f>
        <v>19.081873950898959</v>
      </c>
    </row>
    <row r="1057" spans="1:57" x14ac:dyDescent="0.2">
      <c r="A1057" s="2" t="s">
        <v>1317</v>
      </c>
      <c r="B1057" s="2" t="s">
        <v>19</v>
      </c>
      <c r="C1057" s="2" t="s">
        <v>20</v>
      </c>
      <c r="D1057" s="2" t="s">
        <v>21</v>
      </c>
      <c r="E1057" s="2" t="s">
        <v>74</v>
      </c>
      <c r="F1057" s="2">
        <v>3</v>
      </c>
      <c r="G1057" s="2">
        <v>42</v>
      </c>
      <c r="H1057" s="2">
        <v>1</v>
      </c>
      <c r="I1057" s="2">
        <v>2</v>
      </c>
      <c r="J1057" s="2">
        <v>1</v>
      </c>
      <c r="K1057" s="2" t="s">
        <v>61</v>
      </c>
      <c r="L1057" s="6" t="s">
        <v>62</v>
      </c>
      <c r="M1057" s="5">
        <v>350000000</v>
      </c>
      <c r="N1057" s="2">
        <v>0</v>
      </c>
      <c r="O1057" s="2">
        <v>4.6450386049999999</v>
      </c>
      <c r="P1057" s="2">
        <v>-74.065292360000001</v>
      </c>
      <c r="Q1057" s="2" t="s">
        <v>1318</v>
      </c>
      <c r="R1057" s="2">
        <v>8333333.3329999996</v>
      </c>
      <c r="S1057" s="2">
        <v>0</v>
      </c>
      <c r="T1057" s="2" t="s">
        <v>77</v>
      </c>
      <c r="U1057" s="2" t="s">
        <v>78</v>
      </c>
      <c r="V1057" s="2" t="s">
        <v>28</v>
      </c>
      <c r="W1057" s="2" t="s">
        <v>79</v>
      </c>
      <c r="X1057" s="2" t="s">
        <v>80</v>
      </c>
      <c r="Y1057" s="2">
        <v>2.1846188689332999</v>
      </c>
      <c r="Z1057" s="2">
        <v>4.6254861111111101</v>
      </c>
      <c r="AA1057" s="2">
        <v>-74.066980555555503</v>
      </c>
      <c r="AB1057" s="2">
        <v>2621</v>
      </c>
      <c r="AC1057" s="2" t="s">
        <v>31</v>
      </c>
      <c r="AD1057" s="2" t="s">
        <v>32</v>
      </c>
      <c r="AE1057" s="2" t="s">
        <v>33</v>
      </c>
      <c r="AF1057" s="2" t="s">
        <v>34</v>
      </c>
      <c r="AG1057" s="2" t="s">
        <v>81</v>
      </c>
      <c r="AH1057" s="2">
        <v>0.23496025404689799</v>
      </c>
      <c r="AI1057" s="2">
        <v>0.97328976667952904</v>
      </c>
      <c r="AJ1057" s="2">
        <v>0.13723478699805999</v>
      </c>
      <c r="AK1057" s="2">
        <v>9.2802295683302602E-2</v>
      </c>
      <c r="AL1057" s="2">
        <v>0.35604118362902198</v>
      </c>
      <c r="AN1057" s="2">
        <v>6.8</v>
      </c>
      <c r="AO1057" s="2">
        <v>19.899999999999999</v>
      </c>
      <c r="AP1057" s="2">
        <v>564</v>
      </c>
      <c r="AQ1057" s="2">
        <v>68</v>
      </c>
      <c r="AR1057" s="2">
        <v>1.5</v>
      </c>
      <c r="AS1057" s="2">
        <v>135</v>
      </c>
      <c r="AT1057" s="2">
        <v>0.8</v>
      </c>
      <c r="AU1057" s="2">
        <v>162</v>
      </c>
      <c r="AV1057" s="2">
        <v>9.1</v>
      </c>
      <c r="AW1057" s="2">
        <v>9.1999999999999993</v>
      </c>
      <c r="AX1057" s="2">
        <v>18.3</v>
      </c>
      <c r="AY1057" s="2">
        <v>0.34</v>
      </c>
      <c r="AZ1057" s="2">
        <v>7.3</v>
      </c>
      <c r="BA1057" s="2">
        <v>0.9</v>
      </c>
      <c r="BB1057" s="2">
        <v>7.5</v>
      </c>
      <c r="BC1057" s="2">
        <v>2.9</v>
      </c>
      <c r="BD1057" s="2">
        <f>+AN1057*EXP(-0.0495*Y1057)</f>
        <v>6.1030215107175092</v>
      </c>
      <c r="BE1057" s="2">
        <f>+AO1057*EXP(-0.024*Y1057)</f>
        <v>18.883506684453533</v>
      </c>
    </row>
    <row r="1058" spans="1:57" x14ac:dyDescent="0.2">
      <c r="A1058" s="2" t="s">
        <v>4373</v>
      </c>
      <c r="B1058" s="2" t="s">
        <v>19</v>
      </c>
      <c r="C1058" s="2" t="s">
        <v>3245</v>
      </c>
      <c r="D1058" s="2" t="s">
        <v>21</v>
      </c>
      <c r="E1058" s="2" t="s">
        <v>899</v>
      </c>
      <c r="F1058" s="2">
        <v>4</v>
      </c>
      <c r="G1058" s="2">
        <v>42</v>
      </c>
      <c r="H1058" s="2">
        <v>1</v>
      </c>
      <c r="I1058" s="2">
        <v>1</v>
      </c>
      <c r="J1058" s="2">
        <v>1</v>
      </c>
      <c r="K1058" s="2" t="s">
        <v>61</v>
      </c>
      <c r="L1058" s="6" t="s">
        <v>75</v>
      </c>
      <c r="M1058" s="5">
        <v>335000000</v>
      </c>
      <c r="N1058" s="2">
        <v>0</v>
      </c>
      <c r="O1058" s="2">
        <v>4.6351318360000002</v>
      </c>
      <c r="P1058" s="2">
        <v>-74.064025880000003</v>
      </c>
      <c r="Q1058" s="2" t="s">
        <v>4374</v>
      </c>
      <c r="R1058" s="2">
        <v>7976190.4759999998</v>
      </c>
      <c r="S1058" s="2">
        <v>0</v>
      </c>
      <c r="T1058" s="2" t="s">
        <v>77</v>
      </c>
      <c r="U1058" s="2" t="s">
        <v>78</v>
      </c>
      <c r="V1058" s="2" t="s">
        <v>28</v>
      </c>
      <c r="W1058" s="2" t="s">
        <v>79</v>
      </c>
      <c r="X1058" s="2" t="s">
        <v>80</v>
      </c>
      <c r="Y1058" s="2">
        <v>1.12269017626018</v>
      </c>
      <c r="Z1058" s="2">
        <v>4.6254861111111101</v>
      </c>
      <c r="AA1058" s="2">
        <v>-74.066980555555503</v>
      </c>
      <c r="AB1058" s="2">
        <v>2621</v>
      </c>
      <c r="AC1058" s="2" t="s">
        <v>31</v>
      </c>
      <c r="AD1058" s="2" t="s">
        <v>32</v>
      </c>
      <c r="AE1058" s="2" t="s">
        <v>33</v>
      </c>
      <c r="AF1058" s="2" t="s">
        <v>34</v>
      </c>
      <c r="AG1058" s="2" t="s">
        <v>81</v>
      </c>
      <c r="AH1058" s="2">
        <v>0.40713465991992498</v>
      </c>
      <c r="AI1058" s="2">
        <v>0.48085312584196199</v>
      </c>
      <c r="AJ1058" s="2">
        <v>0.296964566805967</v>
      </c>
      <c r="AK1058" s="2">
        <v>2.6880519556596399E-2</v>
      </c>
      <c r="AL1058" s="2">
        <v>9.7763461365571097E-2</v>
      </c>
      <c r="AN1058" s="2">
        <v>6.8</v>
      </c>
      <c r="AO1058" s="2">
        <v>19.899999999999999</v>
      </c>
      <c r="AP1058" s="2">
        <v>564</v>
      </c>
      <c r="AQ1058" s="2">
        <v>68</v>
      </c>
      <c r="AR1058" s="2">
        <v>1.5</v>
      </c>
      <c r="AS1058" s="2">
        <v>135</v>
      </c>
      <c r="AT1058" s="2">
        <v>0.8</v>
      </c>
      <c r="AU1058" s="2">
        <v>162</v>
      </c>
      <c r="AV1058" s="2">
        <v>9.1</v>
      </c>
      <c r="AW1058" s="2">
        <v>9.1999999999999993</v>
      </c>
      <c r="AX1058" s="2">
        <v>18.3</v>
      </c>
      <c r="AY1058" s="2">
        <v>0.34</v>
      </c>
      <c r="AZ1058" s="2">
        <v>7.3</v>
      </c>
      <c r="BA1058" s="2">
        <v>0.9</v>
      </c>
      <c r="BB1058" s="2">
        <v>7.5</v>
      </c>
      <c r="BC1058" s="2">
        <v>2.9</v>
      </c>
      <c r="BD1058" s="2">
        <f>+AN1058*EXP(-0.0495*Y1058)</f>
        <v>6.4324111245845836</v>
      </c>
      <c r="BE1058" s="2">
        <f>+AO1058*EXP(-0.024*Y1058)</f>
        <v>19.370962520788407</v>
      </c>
    </row>
    <row r="1059" spans="1:57" x14ac:dyDescent="0.2">
      <c r="A1059" s="2" t="s">
        <v>4209</v>
      </c>
      <c r="B1059" s="2" t="s">
        <v>19</v>
      </c>
      <c r="C1059" s="2" t="s">
        <v>3245</v>
      </c>
      <c r="D1059" s="2" t="s">
        <v>21</v>
      </c>
      <c r="E1059" s="2" t="s">
        <v>899</v>
      </c>
      <c r="F1059" s="2">
        <v>4</v>
      </c>
      <c r="G1059" s="2">
        <v>42</v>
      </c>
      <c r="H1059" s="2">
        <v>1</v>
      </c>
      <c r="I1059" s="2">
        <v>1</v>
      </c>
      <c r="J1059" s="2">
        <v>1</v>
      </c>
      <c r="K1059" s="2" t="s">
        <v>61</v>
      </c>
      <c r="L1059" s="6" t="s">
        <v>75</v>
      </c>
      <c r="M1059" s="5">
        <v>335000000</v>
      </c>
      <c r="N1059" s="2">
        <v>0</v>
      </c>
      <c r="O1059" s="2">
        <v>4.6343293189999999</v>
      </c>
      <c r="P1059" s="2">
        <v>-74.063995360000007</v>
      </c>
      <c r="Q1059" s="2" t="s">
        <v>4210</v>
      </c>
      <c r="R1059" s="2">
        <v>7976190.4759999998</v>
      </c>
      <c r="S1059" s="2">
        <v>0</v>
      </c>
      <c r="T1059" s="2" t="s">
        <v>77</v>
      </c>
      <c r="U1059" s="2" t="s">
        <v>78</v>
      </c>
      <c r="V1059" s="2" t="s">
        <v>28</v>
      </c>
      <c r="W1059" s="2" t="s">
        <v>79</v>
      </c>
      <c r="X1059" s="2" t="s">
        <v>80</v>
      </c>
      <c r="Y1059" s="2">
        <v>1.0386511479487901</v>
      </c>
      <c r="Z1059" s="2">
        <v>4.6254861111111101</v>
      </c>
      <c r="AA1059" s="2">
        <v>-74.066980555555503</v>
      </c>
      <c r="AB1059" s="2">
        <v>2621</v>
      </c>
      <c r="AC1059" s="2" t="s">
        <v>31</v>
      </c>
      <c r="AD1059" s="2" t="s">
        <v>32</v>
      </c>
      <c r="AE1059" s="2" t="s">
        <v>33</v>
      </c>
      <c r="AF1059" s="2" t="s">
        <v>34</v>
      </c>
      <c r="AG1059" s="2" t="s">
        <v>81</v>
      </c>
      <c r="AH1059" s="2">
        <v>0.47253299951960498</v>
      </c>
      <c r="AI1059" s="2">
        <v>0.45333474099072602</v>
      </c>
      <c r="AJ1059" s="2">
        <v>0.22579630534835099</v>
      </c>
      <c r="AK1059" s="2">
        <v>0.109626375984582</v>
      </c>
      <c r="AL1059" s="2">
        <v>7.3416315919901803E-2</v>
      </c>
      <c r="AN1059" s="2">
        <v>6.8</v>
      </c>
      <c r="AO1059" s="2">
        <v>19.899999999999999</v>
      </c>
      <c r="AP1059" s="2">
        <v>564</v>
      </c>
      <c r="AQ1059" s="2">
        <v>68</v>
      </c>
      <c r="AR1059" s="2">
        <v>1.5</v>
      </c>
      <c r="AS1059" s="2">
        <v>135</v>
      </c>
      <c r="AT1059" s="2">
        <v>0.8</v>
      </c>
      <c r="AU1059" s="2">
        <v>162</v>
      </c>
      <c r="AV1059" s="2">
        <v>9.1</v>
      </c>
      <c r="AW1059" s="2">
        <v>9.1999999999999993</v>
      </c>
      <c r="AX1059" s="2">
        <v>18.3</v>
      </c>
      <c r="AY1059" s="2">
        <v>0.34</v>
      </c>
      <c r="AZ1059" s="2">
        <v>7.3</v>
      </c>
      <c r="BA1059" s="2">
        <v>0.9</v>
      </c>
      <c r="BB1059" s="2">
        <v>7.5</v>
      </c>
      <c r="BC1059" s="2">
        <v>2.9</v>
      </c>
      <c r="BD1059" s="2">
        <f>+AN1059*EXP(-0.0495*Y1059)</f>
        <v>6.4592252506256465</v>
      </c>
      <c r="BE1059" s="2">
        <f>+AO1059*EXP(-0.024*Y1059)</f>
        <v>19.410071952979234</v>
      </c>
    </row>
    <row r="1060" spans="1:57" x14ac:dyDescent="0.2">
      <c r="A1060" s="2" t="s">
        <v>3564</v>
      </c>
      <c r="B1060" s="2" t="s">
        <v>19</v>
      </c>
      <c r="C1060" s="2" t="s">
        <v>3245</v>
      </c>
      <c r="D1060" s="2" t="s">
        <v>21</v>
      </c>
      <c r="E1060" s="2" t="s">
        <v>2973</v>
      </c>
      <c r="F1060" s="2">
        <v>3</v>
      </c>
      <c r="G1060" s="2">
        <v>42</v>
      </c>
      <c r="H1060" s="2">
        <v>1</v>
      </c>
      <c r="I1060" s="2">
        <v>1</v>
      </c>
      <c r="J1060" s="2">
        <v>0</v>
      </c>
      <c r="K1060" s="2" t="s">
        <v>61</v>
      </c>
      <c r="L1060" s="6" t="s">
        <v>62</v>
      </c>
      <c r="M1060" s="5">
        <v>240000000</v>
      </c>
      <c r="N1060" s="2">
        <v>0</v>
      </c>
      <c r="O1060" s="2">
        <v>4.6068800000000003</v>
      </c>
      <c r="P1060" s="2">
        <v>-74.071839999999995</v>
      </c>
      <c r="Q1060" s="2" t="s">
        <v>3565</v>
      </c>
      <c r="R1060" s="2">
        <v>5714285.7139999997</v>
      </c>
      <c r="S1060" s="2">
        <v>0</v>
      </c>
      <c r="T1060" s="2" t="s">
        <v>77</v>
      </c>
      <c r="U1060" s="2" t="s">
        <v>78</v>
      </c>
      <c r="V1060" s="2" t="s">
        <v>28</v>
      </c>
      <c r="W1060" s="2" t="s">
        <v>79</v>
      </c>
      <c r="X1060" s="2" t="s">
        <v>80</v>
      </c>
      <c r="Y1060" s="2">
        <v>2.1402561574389298</v>
      </c>
      <c r="Z1060" s="2">
        <v>4.6254861111111101</v>
      </c>
      <c r="AA1060" s="2">
        <v>-74.066980555555503</v>
      </c>
      <c r="AB1060" s="2">
        <v>2621</v>
      </c>
      <c r="AC1060" s="2" t="s">
        <v>31</v>
      </c>
      <c r="AD1060" s="2" t="s">
        <v>32</v>
      </c>
      <c r="AE1060" s="2" t="s">
        <v>33</v>
      </c>
      <c r="AF1060" s="2" t="s">
        <v>34</v>
      </c>
      <c r="AG1060" s="2" t="s">
        <v>89</v>
      </c>
      <c r="AH1060" s="2">
        <v>0.29008746862006501</v>
      </c>
      <c r="AI1060" s="2">
        <v>0.77934653195057702</v>
      </c>
      <c r="AJ1060" s="2">
        <v>0.133869760857704</v>
      </c>
      <c r="AK1060" s="2">
        <v>0.14893351680112499</v>
      </c>
      <c r="AL1060" s="2">
        <v>0.10054457565418499</v>
      </c>
      <c r="AN1060" s="2">
        <v>6.8</v>
      </c>
      <c r="AO1060" s="2">
        <v>19.899999999999999</v>
      </c>
      <c r="AP1060" s="2">
        <v>564</v>
      </c>
      <c r="AQ1060" s="2">
        <v>68</v>
      </c>
      <c r="AR1060" s="2">
        <v>1.5</v>
      </c>
      <c r="AS1060" s="2">
        <v>135</v>
      </c>
      <c r="AT1060" s="2">
        <v>0.8</v>
      </c>
      <c r="AU1060" s="2">
        <v>162</v>
      </c>
      <c r="AV1060" s="2">
        <v>9.1</v>
      </c>
      <c r="AW1060" s="2">
        <v>9.1999999999999993</v>
      </c>
      <c r="AX1060" s="2">
        <v>18.3</v>
      </c>
      <c r="AY1060" s="2">
        <v>0.34</v>
      </c>
      <c r="AZ1060" s="2">
        <v>7.3</v>
      </c>
      <c r="BA1060" s="2">
        <v>0.9</v>
      </c>
      <c r="BB1060" s="2">
        <v>7.5</v>
      </c>
      <c r="BC1060" s="2">
        <v>2.9</v>
      </c>
      <c r="BD1060" s="2">
        <f>+AN1060*EXP(-0.0495*Y1060)</f>
        <v>6.1164381923702731</v>
      </c>
      <c r="BE1060" s="2">
        <f>+AO1060*EXP(-0.024*Y1060)</f>
        <v>18.903622756812478</v>
      </c>
    </row>
    <row r="1061" spans="1:57" x14ac:dyDescent="0.2">
      <c r="A1061" s="2" t="s">
        <v>1882</v>
      </c>
      <c r="B1061" s="2" t="s">
        <v>19</v>
      </c>
      <c r="C1061" s="2" t="s">
        <v>20</v>
      </c>
      <c r="D1061" s="2" t="s">
        <v>21</v>
      </c>
      <c r="E1061" s="2" t="s">
        <v>24</v>
      </c>
      <c r="F1061" s="2">
        <v>2</v>
      </c>
      <c r="G1061" s="2">
        <v>42</v>
      </c>
      <c r="H1061" s="2">
        <v>3</v>
      </c>
      <c r="I1061" s="2">
        <v>1</v>
      </c>
      <c r="J1061" s="2">
        <v>0</v>
      </c>
      <c r="K1061" s="2" t="s">
        <v>61</v>
      </c>
      <c r="L1061" s="6" t="s">
        <v>113</v>
      </c>
      <c r="M1061" s="5">
        <v>200000000</v>
      </c>
      <c r="N1061" s="2">
        <v>0</v>
      </c>
      <c r="O1061" s="2">
        <v>4.6260337829999996</v>
      </c>
      <c r="P1061" s="2">
        <v>-74.193466189999995</v>
      </c>
      <c r="Q1061" s="2" t="s">
        <v>1883</v>
      </c>
      <c r="R1061" s="2">
        <v>4761904.7620000001</v>
      </c>
      <c r="S1061" s="2">
        <v>0</v>
      </c>
      <c r="T1061" s="2" t="s">
        <v>316</v>
      </c>
      <c r="U1061" s="2" t="s">
        <v>317</v>
      </c>
      <c r="V1061" s="2" t="s">
        <v>28</v>
      </c>
      <c r="W1061" s="2" t="s">
        <v>316</v>
      </c>
      <c r="X1061" s="2" t="s">
        <v>318</v>
      </c>
      <c r="Y1061" s="2">
        <v>2.55912346652587</v>
      </c>
      <c r="Z1061" s="2">
        <v>4.6056111111111102</v>
      </c>
      <c r="AA1061" s="2">
        <v>-74.204055555555598</v>
      </c>
      <c r="AB1061" s="2">
        <v>2546</v>
      </c>
      <c r="AC1061" s="2" t="s">
        <v>31</v>
      </c>
      <c r="AD1061" s="2" t="s">
        <v>58</v>
      </c>
      <c r="AE1061" s="2" t="s">
        <v>33</v>
      </c>
      <c r="AF1061" s="2" t="s">
        <v>34</v>
      </c>
      <c r="AG1061" s="2" t="s">
        <v>319</v>
      </c>
      <c r="AH1061" s="2">
        <v>2.2931319619074699</v>
      </c>
      <c r="AI1061" s="2">
        <v>2.04519684017029</v>
      </c>
      <c r="AJ1061" s="2">
        <v>7.0925867965592104</v>
      </c>
      <c r="AK1061" s="2">
        <v>0.220169561630363</v>
      </c>
      <c r="AL1061" s="2">
        <v>8.2582543850790294E-2</v>
      </c>
      <c r="AN1061" s="2">
        <v>6.8</v>
      </c>
      <c r="AO1061" s="2">
        <v>19.899999999999999</v>
      </c>
      <c r="AP1061" s="2">
        <v>564</v>
      </c>
      <c r="AQ1061" s="2">
        <v>68</v>
      </c>
      <c r="AR1061" s="2">
        <v>1.5</v>
      </c>
      <c r="AS1061" s="2">
        <v>135</v>
      </c>
      <c r="AT1061" s="2">
        <v>0.8</v>
      </c>
      <c r="AU1061" s="2">
        <v>162</v>
      </c>
      <c r="AV1061" s="2">
        <v>9.1</v>
      </c>
      <c r="AW1061" s="2">
        <v>9.1999999999999993</v>
      </c>
      <c r="AX1061" s="2">
        <v>18.3</v>
      </c>
      <c r="AY1061" s="2">
        <v>0.34</v>
      </c>
      <c r="AZ1061" s="2">
        <v>7.3</v>
      </c>
      <c r="BA1061" s="2">
        <v>0.9</v>
      </c>
      <c r="BB1061" s="2">
        <v>7.5</v>
      </c>
      <c r="BC1061" s="2">
        <v>2.9</v>
      </c>
      <c r="BD1061" s="2">
        <f>+AN1061*EXP(-0.0495*Y1061)</f>
        <v>5.9909260564623956</v>
      </c>
      <c r="BE1061" s="2">
        <f>+AO1061*EXP(-0.024*Y1061)</f>
        <v>18.714540125275899</v>
      </c>
    </row>
    <row r="1062" spans="1:57" x14ac:dyDescent="0.2">
      <c r="A1062" s="2" t="s">
        <v>1870</v>
      </c>
      <c r="B1062" s="2" t="s">
        <v>19</v>
      </c>
      <c r="C1062" s="2" t="s">
        <v>20</v>
      </c>
      <c r="D1062" s="2" t="s">
        <v>21</v>
      </c>
      <c r="E1062" s="2" t="s">
        <v>1871</v>
      </c>
      <c r="F1062" s="2">
        <v>4</v>
      </c>
      <c r="G1062" s="2">
        <v>41.4</v>
      </c>
      <c r="H1062" s="2">
        <v>1</v>
      </c>
      <c r="I1062" s="2">
        <v>2</v>
      </c>
      <c r="J1062" s="2">
        <v>1</v>
      </c>
      <c r="K1062" s="2" t="s">
        <v>61</v>
      </c>
      <c r="L1062" s="6" t="s">
        <v>75</v>
      </c>
      <c r="M1062" s="5">
        <v>330000000</v>
      </c>
      <c r="N1062" s="2">
        <v>0</v>
      </c>
      <c r="O1062" s="2">
        <v>4.6505099999999997</v>
      </c>
      <c r="P1062" s="2">
        <v>-74.075689999999994</v>
      </c>
      <c r="Q1062" s="2" t="s">
        <v>1872</v>
      </c>
      <c r="R1062" s="2">
        <v>7971014.4929999998</v>
      </c>
      <c r="S1062" s="2">
        <v>0</v>
      </c>
      <c r="T1062" s="2" t="s">
        <v>26</v>
      </c>
      <c r="U1062" s="2" t="s">
        <v>27</v>
      </c>
      <c r="V1062" s="2" t="s">
        <v>28</v>
      </c>
      <c r="W1062" s="2" t="s">
        <v>29</v>
      </c>
      <c r="X1062" s="2" t="s">
        <v>30</v>
      </c>
      <c r="Y1062" s="2">
        <v>1.2758625702108299</v>
      </c>
      <c r="Z1062" s="2">
        <v>4.6584666666666701</v>
      </c>
      <c r="AA1062" s="2">
        <v>-74.083966666666697</v>
      </c>
      <c r="AB1062" s="2">
        <v>2552</v>
      </c>
      <c r="AC1062" s="2" t="s">
        <v>31</v>
      </c>
      <c r="AD1062" s="2" t="s">
        <v>32</v>
      </c>
      <c r="AE1062" s="2" t="s">
        <v>33</v>
      </c>
      <c r="AF1062" s="2" t="s">
        <v>34</v>
      </c>
      <c r="AG1062" s="2" t="s">
        <v>35</v>
      </c>
      <c r="AH1062" s="2">
        <v>0.30085962747752598</v>
      </c>
      <c r="AI1062" s="2">
        <v>2.2751623013096798</v>
      </c>
      <c r="AJ1062" s="2">
        <v>0.44778075480871099</v>
      </c>
      <c r="AK1062" s="2">
        <v>0.233590218752527</v>
      </c>
      <c r="AL1062" s="2">
        <v>0.141845845097303</v>
      </c>
      <c r="AN1062" s="2">
        <v>6.8</v>
      </c>
      <c r="AO1062" s="2">
        <v>19.899999999999999</v>
      </c>
      <c r="AP1062" s="2">
        <v>564</v>
      </c>
      <c r="AQ1062" s="2">
        <v>68</v>
      </c>
      <c r="AR1062" s="2">
        <v>1.5</v>
      </c>
      <c r="AS1062" s="2">
        <v>135</v>
      </c>
      <c r="AT1062" s="2">
        <v>0.8</v>
      </c>
      <c r="AU1062" s="2">
        <v>162</v>
      </c>
      <c r="AV1062" s="2">
        <v>9.1</v>
      </c>
      <c r="AW1062" s="2">
        <v>9.1999999999999993</v>
      </c>
      <c r="AX1062" s="2">
        <v>18.3</v>
      </c>
      <c r="AY1062" s="2">
        <v>0.34</v>
      </c>
      <c r="AZ1062" s="2">
        <v>7.3</v>
      </c>
      <c r="BA1062" s="2">
        <v>0.9</v>
      </c>
      <c r="BB1062" s="2">
        <v>7.5</v>
      </c>
      <c r="BC1062" s="2">
        <v>2.9</v>
      </c>
      <c r="BD1062" s="2">
        <f>+AN1062*EXP(-0.0495*Y1062)</f>
        <v>6.3838247923057203</v>
      </c>
      <c r="BE1062" s="2">
        <f>+AO1062*EXP(-0.024*Y1062)</f>
        <v>19.299882929151824</v>
      </c>
    </row>
    <row r="1063" spans="1:57" x14ac:dyDescent="0.2">
      <c r="A1063" s="2" t="s">
        <v>742</v>
      </c>
      <c r="B1063" s="2" t="s">
        <v>19</v>
      </c>
      <c r="C1063" s="2" t="s">
        <v>20</v>
      </c>
      <c r="D1063" s="2" t="s">
        <v>21</v>
      </c>
      <c r="E1063" s="2" t="s">
        <v>590</v>
      </c>
      <c r="F1063" s="2">
        <v>4</v>
      </c>
      <c r="G1063" s="2">
        <v>41.17</v>
      </c>
      <c r="H1063" s="2">
        <v>1</v>
      </c>
      <c r="I1063" s="2">
        <v>1</v>
      </c>
      <c r="J1063" s="2">
        <v>1</v>
      </c>
      <c r="K1063" s="2" t="s">
        <v>23</v>
      </c>
      <c r="L1063" s="6" t="s">
        <v>24</v>
      </c>
      <c r="M1063" s="5">
        <v>433337000</v>
      </c>
      <c r="N1063" s="2">
        <v>0</v>
      </c>
      <c r="O1063" s="2">
        <v>4.6610316999999997</v>
      </c>
      <c r="P1063" s="2">
        <v>-74.079445000000007</v>
      </c>
      <c r="Q1063" s="2" t="s">
        <v>743</v>
      </c>
      <c r="R1063" s="2">
        <v>10525552.59</v>
      </c>
      <c r="S1063" s="2">
        <v>0</v>
      </c>
      <c r="T1063" s="2" t="s">
        <v>26</v>
      </c>
      <c r="U1063" s="2" t="s">
        <v>27</v>
      </c>
      <c r="V1063" s="2" t="s">
        <v>28</v>
      </c>
      <c r="W1063" s="2" t="s">
        <v>29</v>
      </c>
      <c r="X1063" s="2" t="s">
        <v>30</v>
      </c>
      <c r="Y1063" s="2">
        <v>0.57725282118917798</v>
      </c>
      <c r="Z1063" s="2">
        <v>4.6584666666666701</v>
      </c>
      <c r="AA1063" s="2">
        <v>-74.083966666666697</v>
      </c>
      <c r="AB1063" s="2">
        <v>2552</v>
      </c>
      <c r="AC1063" s="2" t="s">
        <v>31</v>
      </c>
      <c r="AD1063" s="2" t="s">
        <v>32</v>
      </c>
      <c r="AE1063" s="2" t="s">
        <v>33</v>
      </c>
      <c r="AF1063" s="2" t="s">
        <v>34</v>
      </c>
      <c r="AG1063" s="2" t="s">
        <v>293</v>
      </c>
      <c r="AH1063" s="2">
        <v>0.45664851021150199</v>
      </c>
      <c r="AI1063" s="2">
        <v>3.2906681362303898</v>
      </c>
      <c r="AJ1063" s="2">
        <v>1.2641850056572299</v>
      </c>
      <c r="AK1063" s="2">
        <v>0.10222706298203101</v>
      </c>
      <c r="AL1063" s="2">
        <v>0.20029136224211999</v>
      </c>
      <c r="AN1063" s="2">
        <v>6.8</v>
      </c>
      <c r="AO1063" s="2">
        <v>19.899999999999999</v>
      </c>
      <c r="AP1063" s="2">
        <v>564</v>
      </c>
      <c r="AQ1063" s="2">
        <v>68</v>
      </c>
      <c r="AR1063" s="2">
        <v>1.5</v>
      </c>
      <c r="AS1063" s="2">
        <v>135</v>
      </c>
      <c r="AT1063" s="2">
        <v>0.8</v>
      </c>
      <c r="AU1063" s="2">
        <v>162</v>
      </c>
      <c r="AV1063" s="2">
        <v>9.1</v>
      </c>
      <c r="AW1063" s="2">
        <v>9.1999999999999993</v>
      </c>
      <c r="AX1063" s="2">
        <v>18.3</v>
      </c>
      <c r="AY1063" s="2">
        <v>0.34</v>
      </c>
      <c r="AZ1063" s="2">
        <v>7.3</v>
      </c>
      <c r="BA1063" s="2">
        <v>0.9</v>
      </c>
      <c r="BB1063" s="2">
        <v>7.5</v>
      </c>
      <c r="BC1063" s="2">
        <v>2.9</v>
      </c>
      <c r="BD1063" s="2">
        <f>+AN1063*EXP(-0.0495*Y1063)</f>
        <v>6.6084464602478965</v>
      </c>
      <c r="BE1063" s="2">
        <f>+AO1063*EXP(-0.024*Y1063)</f>
        <v>19.626205018930062</v>
      </c>
    </row>
    <row r="1064" spans="1:57" x14ac:dyDescent="0.2">
      <c r="A1064" s="2" t="s">
        <v>3352</v>
      </c>
      <c r="B1064" s="2" t="s">
        <v>19</v>
      </c>
      <c r="C1064" s="2" t="s">
        <v>3245</v>
      </c>
      <c r="D1064" s="2" t="s">
        <v>21</v>
      </c>
      <c r="E1064" s="2" t="s">
        <v>3353</v>
      </c>
      <c r="F1064" s="2">
        <v>3</v>
      </c>
      <c r="G1064" s="2">
        <v>41</v>
      </c>
      <c r="H1064" s="2">
        <v>1</v>
      </c>
      <c r="I1064" s="2">
        <v>1</v>
      </c>
      <c r="J1064" s="2">
        <v>0</v>
      </c>
      <c r="K1064" s="2" t="s">
        <v>61</v>
      </c>
      <c r="L1064" s="6" t="s">
        <v>62</v>
      </c>
      <c r="M1064" s="5">
        <v>429000000</v>
      </c>
      <c r="N1064" s="2">
        <v>0</v>
      </c>
      <c r="O1064" s="2">
        <v>4.6105055000000004</v>
      </c>
      <c r="P1064" s="2">
        <v>-74.070220300000003</v>
      </c>
      <c r="Q1064" s="2" t="s">
        <v>3354</v>
      </c>
      <c r="R1064" s="2">
        <v>10463414.630000001</v>
      </c>
      <c r="S1064" s="2">
        <v>0</v>
      </c>
      <c r="T1064" s="2" t="s">
        <v>77</v>
      </c>
      <c r="U1064" s="2" t="s">
        <v>78</v>
      </c>
      <c r="V1064" s="2" t="s">
        <v>28</v>
      </c>
      <c r="W1064" s="2" t="s">
        <v>79</v>
      </c>
      <c r="X1064" s="2" t="s">
        <v>80</v>
      </c>
      <c r="Y1064" s="2">
        <v>1.7059384781687901</v>
      </c>
      <c r="Z1064" s="2">
        <v>4.6254861111111101</v>
      </c>
      <c r="AA1064" s="2">
        <v>-74.066980555555503</v>
      </c>
      <c r="AB1064" s="2">
        <v>2621</v>
      </c>
      <c r="AC1064" s="2" t="s">
        <v>31</v>
      </c>
      <c r="AD1064" s="2" t="s">
        <v>32</v>
      </c>
      <c r="AE1064" s="2" t="s">
        <v>33</v>
      </c>
      <c r="AF1064" s="2" t="s">
        <v>34</v>
      </c>
      <c r="AG1064" s="2" t="s">
        <v>89</v>
      </c>
      <c r="AH1064" s="2">
        <v>0.14843302339515699</v>
      </c>
      <c r="AI1064" s="2">
        <v>0.62843195013284703</v>
      </c>
      <c r="AJ1064" s="2">
        <v>0.27804032141680801</v>
      </c>
      <c r="AK1064" s="2">
        <v>0.29532081014431</v>
      </c>
      <c r="AL1064" s="2">
        <v>5.7573231529302903E-2</v>
      </c>
      <c r="AN1064" s="2">
        <v>6.8</v>
      </c>
      <c r="AO1064" s="2">
        <v>19.899999999999999</v>
      </c>
      <c r="AP1064" s="2">
        <v>564</v>
      </c>
      <c r="AQ1064" s="2">
        <v>68</v>
      </c>
      <c r="AR1064" s="2">
        <v>1.5</v>
      </c>
      <c r="AS1064" s="2">
        <v>135</v>
      </c>
      <c r="AT1064" s="2">
        <v>0.8</v>
      </c>
      <c r="AU1064" s="2">
        <v>162</v>
      </c>
      <c r="AV1064" s="2">
        <v>9.1</v>
      </c>
      <c r="AW1064" s="2">
        <v>9.1999999999999993</v>
      </c>
      <c r="AX1064" s="2">
        <v>18.3</v>
      </c>
      <c r="AY1064" s="2">
        <v>0.34</v>
      </c>
      <c r="AZ1064" s="2">
        <v>7.3</v>
      </c>
      <c r="BA1064" s="2">
        <v>0.9</v>
      </c>
      <c r="BB1064" s="2">
        <v>7.5</v>
      </c>
      <c r="BC1064" s="2">
        <v>2.9</v>
      </c>
      <c r="BD1064" s="2">
        <f>+AN1064*EXP(-0.0495*Y1064)</f>
        <v>6.2493574940548484</v>
      </c>
      <c r="BE1064" s="2">
        <f>+AO1064*EXP(-0.024*Y1064)</f>
        <v>19.101697553586995</v>
      </c>
    </row>
    <row r="1065" spans="1:57" x14ac:dyDescent="0.2">
      <c r="A1065" s="2" t="s">
        <v>4044</v>
      </c>
      <c r="B1065" s="2" t="s">
        <v>19</v>
      </c>
      <c r="C1065" s="2" t="s">
        <v>3245</v>
      </c>
      <c r="D1065" s="2" t="s">
        <v>21</v>
      </c>
      <c r="E1065" s="2" t="s">
        <v>3218</v>
      </c>
      <c r="F1065" s="2">
        <v>3</v>
      </c>
      <c r="G1065" s="2">
        <v>40.86</v>
      </c>
      <c r="H1065" s="2">
        <v>1</v>
      </c>
      <c r="I1065" s="2">
        <v>1</v>
      </c>
      <c r="J1065" s="2">
        <v>1</v>
      </c>
      <c r="K1065" s="2" t="s">
        <v>61</v>
      </c>
      <c r="L1065" s="6" t="s">
        <v>84</v>
      </c>
      <c r="M1065" s="5">
        <v>398000000</v>
      </c>
      <c r="N1065" s="2">
        <v>0</v>
      </c>
      <c r="O1065" s="2">
        <v>4.6640800000000002</v>
      </c>
      <c r="P1065" s="2">
        <v>-74.064949999999996</v>
      </c>
      <c r="Q1065" s="2" t="s">
        <v>4045</v>
      </c>
      <c r="R1065" s="2">
        <v>9740577.5820000004</v>
      </c>
      <c r="S1065" s="2">
        <v>0</v>
      </c>
      <c r="T1065" s="2" t="s">
        <v>26</v>
      </c>
      <c r="U1065" s="2" t="s">
        <v>27</v>
      </c>
      <c r="V1065" s="2" t="s">
        <v>28</v>
      </c>
      <c r="W1065" s="2" t="s">
        <v>29</v>
      </c>
      <c r="X1065" s="2" t="s">
        <v>30</v>
      </c>
      <c r="Y1065" s="2">
        <v>2.20051041560711</v>
      </c>
      <c r="Z1065" s="2">
        <v>4.6584666666666701</v>
      </c>
      <c r="AA1065" s="2">
        <v>-74.083966666666697</v>
      </c>
      <c r="AB1065" s="2">
        <v>2552</v>
      </c>
      <c r="AC1065" s="2" t="s">
        <v>31</v>
      </c>
      <c r="AD1065" s="2" t="s">
        <v>32</v>
      </c>
      <c r="AE1065" s="2" t="s">
        <v>33</v>
      </c>
      <c r="AF1065" s="2" t="s">
        <v>34</v>
      </c>
      <c r="AG1065" s="2" t="s">
        <v>293</v>
      </c>
      <c r="AH1065" s="2">
        <v>0.42517891079458803</v>
      </c>
      <c r="AI1065" s="2">
        <v>2.0509856690664701</v>
      </c>
      <c r="AJ1065" s="2">
        <v>0.28851635739166098</v>
      </c>
      <c r="AK1065" s="2">
        <v>0.134243914463716</v>
      </c>
      <c r="AL1065" s="2">
        <v>0.23286731491364299</v>
      </c>
      <c r="AN1065" s="2">
        <v>6.8</v>
      </c>
      <c r="AO1065" s="2">
        <v>19.899999999999999</v>
      </c>
      <c r="AP1065" s="2">
        <v>564</v>
      </c>
      <c r="AQ1065" s="2">
        <v>68</v>
      </c>
      <c r="AR1065" s="2">
        <v>1.5</v>
      </c>
      <c r="AS1065" s="2">
        <v>135</v>
      </c>
      <c r="AT1065" s="2">
        <v>0.8</v>
      </c>
      <c r="AU1065" s="2">
        <v>162</v>
      </c>
      <c r="AV1065" s="2">
        <v>9.1</v>
      </c>
      <c r="AW1065" s="2">
        <v>9.1999999999999993</v>
      </c>
      <c r="AX1065" s="2">
        <v>18.3</v>
      </c>
      <c r="AY1065" s="2">
        <v>0.34</v>
      </c>
      <c r="AZ1065" s="2">
        <v>7.3</v>
      </c>
      <c r="BA1065" s="2">
        <v>0.9</v>
      </c>
      <c r="BB1065" s="2">
        <v>7.5</v>
      </c>
      <c r="BC1065" s="2">
        <v>2.9</v>
      </c>
      <c r="BD1065" s="2">
        <f>+AN1065*EXP(-0.0495*Y1065)</f>
        <v>6.098222569130578</v>
      </c>
      <c r="BE1065" s="2">
        <f>+AO1065*EXP(-0.024*Y1065)</f>
        <v>18.876305942643725</v>
      </c>
    </row>
    <row r="1066" spans="1:57" x14ac:dyDescent="0.2">
      <c r="A1066" s="2" t="s">
        <v>4211</v>
      </c>
      <c r="B1066" s="2" t="s">
        <v>19</v>
      </c>
      <c r="C1066" s="2" t="s">
        <v>3245</v>
      </c>
      <c r="D1066" s="2" t="s">
        <v>21</v>
      </c>
      <c r="E1066" s="2" t="s">
        <v>899</v>
      </c>
      <c r="F1066" s="2">
        <v>4</v>
      </c>
      <c r="G1066" s="2">
        <v>40.24</v>
      </c>
      <c r="H1066" s="2">
        <v>1</v>
      </c>
      <c r="I1066" s="2">
        <v>1</v>
      </c>
      <c r="J1066" s="2">
        <v>0</v>
      </c>
      <c r="K1066" s="2" t="s">
        <v>61</v>
      </c>
      <c r="L1066" s="6" t="s">
        <v>113</v>
      </c>
      <c r="M1066" s="5">
        <v>254000000</v>
      </c>
      <c r="N1066" s="2">
        <v>0</v>
      </c>
      <c r="O1066" s="2">
        <v>4.6350499999999997</v>
      </c>
      <c r="P1066" s="2">
        <v>-74.064949999999996</v>
      </c>
      <c r="Q1066" s="2" t="s">
        <v>4212</v>
      </c>
      <c r="R1066" s="2">
        <v>6312127.2369999997</v>
      </c>
      <c r="S1066" s="2">
        <v>0</v>
      </c>
      <c r="T1066" s="2" t="s">
        <v>77</v>
      </c>
      <c r="U1066" s="2" t="s">
        <v>78</v>
      </c>
      <c r="V1066" s="2" t="s">
        <v>28</v>
      </c>
      <c r="W1066" s="2" t="s">
        <v>79</v>
      </c>
      <c r="X1066" s="2" t="s">
        <v>80</v>
      </c>
      <c r="Y1066" s="2">
        <v>1.0882256447657499</v>
      </c>
      <c r="Z1066" s="2">
        <v>4.6254861111111101</v>
      </c>
      <c r="AA1066" s="2">
        <v>-74.066980555555503</v>
      </c>
      <c r="AB1066" s="2">
        <v>2621</v>
      </c>
      <c r="AC1066" s="2" t="s">
        <v>31</v>
      </c>
      <c r="AD1066" s="2" t="s">
        <v>32</v>
      </c>
      <c r="AE1066" s="2" t="s">
        <v>33</v>
      </c>
      <c r="AF1066" s="2" t="s">
        <v>34</v>
      </c>
      <c r="AG1066" s="2" t="s">
        <v>81</v>
      </c>
      <c r="AH1066" s="2">
        <v>0.344124353094858</v>
      </c>
      <c r="AI1066" s="2">
        <v>0.57506704318573099</v>
      </c>
      <c r="AJ1066" s="2">
        <v>0.25404568378831699</v>
      </c>
      <c r="AK1066" s="2">
        <v>6.1337853584023397E-2</v>
      </c>
      <c r="AL1066" s="2">
        <v>0.11796524628818</v>
      </c>
      <c r="AN1066" s="2">
        <v>6.8</v>
      </c>
      <c r="AO1066" s="2">
        <v>19.899999999999999</v>
      </c>
      <c r="AP1066" s="2">
        <v>564</v>
      </c>
      <c r="AQ1066" s="2">
        <v>68</v>
      </c>
      <c r="AR1066" s="2">
        <v>1.5</v>
      </c>
      <c r="AS1066" s="2">
        <v>135</v>
      </c>
      <c r="AT1066" s="2">
        <v>0.8</v>
      </c>
      <c r="AU1066" s="2">
        <v>162</v>
      </c>
      <c r="AV1066" s="2">
        <v>9.1</v>
      </c>
      <c r="AW1066" s="2">
        <v>9.1999999999999993</v>
      </c>
      <c r="AX1066" s="2">
        <v>18.3</v>
      </c>
      <c r="AY1066" s="2">
        <v>0.34</v>
      </c>
      <c r="AZ1066" s="2">
        <v>7.3</v>
      </c>
      <c r="BA1066" s="2">
        <v>0.9</v>
      </c>
      <c r="BB1066" s="2">
        <v>7.5</v>
      </c>
      <c r="BC1066" s="2">
        <v>2.9</v>
      </c>
      <c r="BD1066" s="2">
        <f>+AN1066*EXP(-0.0495*Y1066)</f>
        <v>6.4433941471793643</v>
      </c>
      <c r="BE1066" s="2">
        <f>+AO1066*EXP(-0.024*Y1066)</f>
        <v>19.386991816729605</v>
      </c>
    </row>
    <row r="1067" spans="1:57" x14ac:dyDescent="0.2">
      <c r="A1067" s="2" t="s">
        <v>4375</v>
      </c>
      <c r="B1067" s="2" t="s">
        <v>19</v>
      </c>
      <c r="C1067" s="2" t="s">
        <v>3245</v>
      </c>
      <c r="D1067" s="2" t="s">
        <v>21</v>
      </c>
      <c r="E1067" s="2" t="s">
        <v>2472</v>
      </c>
      <c r="F1067" s="2">
        <v>4</v>
      </c>
      <c r="G1067" s="2">
        <v>40</v>
      </c>
      <c r="H1067" s="2">
        <v>1</v>
      </c>
      <c r="I1067" s="2">
        <v>1</v>
      </c>
      <c r="J1067" s="2">
        <v>0</v>
      </c>
      <c r="K1067" s="2" t="s">
        <v>61</v>
      </c>
      <c r="L1067" s="6" t="s">
        <v>62</v>
      </c>
      <c r="M1067" s="5">
        <v>430000000</v>
      </c>
      <c r="N1067" s="2">
        <v>0</v>
      </c>
      <c r="O1067" s="2">
        <v>4.6768188479999999</v>
      </c>
      <c r="P1067" s="2">
        <v>-74.059471130000006</v>
      </c>
      <c r="Q1067" s="2" t="s">
        <v>4376</v>
      </c>
      <c r="R1067" s="2">
        <v>10750000</v>
      </c>
      <c r="S1067" s="2">
        <v>0</v>
      </c>
      <c r="T1067" s="2" t="s">
        <v>26</v>
      </c>
      <c r="U1067" s="2" t="s">
        <v>27</v>
      </c>
      <c r="V1067" s="2" t="s">
        <v>28</v>
      </c>
      <c r="W1067" s="2" t="s">
        <v>29</v>
      </c>
      <c r="X1067" s="2" t="s">
        <v>30</v>
      </c>
      <c r="Y1067" s="2">
        <v>3.40000499535885</v>
      </c>
      <c r="Z1067" s="2">
        <v>4.6584666666666701</v>
      </c>
      <c r="AA1067" s="2">
        <v>-74.083966666666697</v>
      </c>
      <c r="AB1067" s="2">
        <v>2552</v>
      </c>
      <c r="AC1067" s="2" t="s">
        <v>31</v>
      </c>
      <c r="AD1067" s="2" t="s">
        <v>32</v>
      </c>
      <c r="AE1067" s="2" t="s">
        <v>33</v>
      </c>
      <c r="AF1067" s="2" t="s">
        <v>34</v>
      </c>
      <c r="AG1067" s="2" t="s">
        <v>293</v>
      </c>
      <c r="AH1067" s="2">
        <v>0.10367805759798999</v>
      </c>
      <c r="AI1067" s="2">
        <v>2.0311225628915399</v>
      </c>
      <c r="AJ1067" s="2">
        <v>0.34943716268133901</v>
      </c>
      <c r="AK1067" s="2">
        <v>4.6327946962965501E-2</v>
      </c>
      <c r="AL1067" s="2">
        <v>0.39563988233499298</v>
      </c>
      <c r="AN1067" s="2">
        <v>6.8</v>
      </c>
      <c r="AO1067" s="2">
        <v>19.899999999999999</v>
      </c>
      <c r="AP1067" s="2">
        <v>564</v>
      </c>
      <c r="AQ1067" s="2">
        <v>68</v>
      </c>
      <c r="AR1067" s="2">
        <v>1.5</v>
      </c>
      <c r="AS1067" s="2">
        <v>135</v>
      </c>
      <c r="AT1067" s="2">
        <v>0.8</v>
      </c>
      <c r="AU1067" s="2">
        <v>162</v>
      </c>
      <c r="AV1067" s="2">
        <v>9.1</v>
      </c>
      <c r="AW1067" s="2">
        <v>9.1999999999999993</v>
      </c>
      <c r="AX1067" s="2">
        <v>18.3</v>
      </c>
      <c r="AY1067" s="2">
        <v>0.34</v>
      </c>
      <c r="AZ1067" s="2">
        <v>7.3</v>
      </c>
      <c r="BA1067" s="2">
        <v>0.9</v>
      </c>
      <c r="BB1067" s="2">
        <v>7.5</v>
      </c>
      <c r="BC1067" s="2">
        <v>2.9</v>
      </c>
      <c r="BD1067" s="2">
        <f>+AN1067*EXP(-0.0495*Y1067)</f>
        <v>5.7466803917019824</v>
      </c>
      <c r="BE1067" s="2">
        <f>+AO1067*EXP(-0.024*Y1067)</f>
        <v>18.340644570874534</v>
      </c>
    </row>
    <row r="1068" spans="1:57" x14ac:dyDescent="0.2">
      <c r="A1068" s="2" t="s">
        <v>4102</v>
      </c>
      <c r="B1068" s="2" t="s">
        <v>19</v>
      </c>
      <c r="C1068" s="2" t="s">
        <v>3245</v>
      </c>
      <c r="D1068" s="2" t="s">
        <v>21</v>
      </c>
      <c r="E1068" s="2" t="s">
        <v>1577</v>
      </c>
      <c r="F1068" s="2">
        <v>3</v>
      </c>
      <c r="G1068" s="2">
        <v>40</v>
      </c>
      <c r="H1068" s="2">
        <v>1</v>
      </c>
      <c r="I1068" s="2">
        <v>1</v>
      </c>
      <c r="J1068" s="2">
        <v>0</v>
      </c>
      <c r="K1068" s="2" t="s">
        <v>61</v>
      </c>
      <c r="L1068" s="6" t="s">
        <v>62</v>
      </c>
      <c r="M1068" s="5">
        <v>380000000</v>
      </c>
      <c r="N1068" s="2">
        <v>0</v>
      </c>
      <c r="O1068" s="2">
        <v>4.6534069999999996</v>
      </c>
      <c r="P1068" s="2">
        <v>-74.065119999999993</v>
      </c>
      <c r="Q1068" s="2" t="s">
        <v>4103</v>
      </c>
      <c r="R1068" s="2">
        <v>9500000</v>
      </c>
      <c r="S1068" s="2">
        <v>0</v>
      </c>
      <c r="T1068" s="2" t="s">
        <v>26</v>
      </c>
      <c r="U1068" s="2" t="s">
        <v>27</v>
      </c>
      <c r="V1068" s="2" t="s">
        <v>28</v>
      </c>
      <c r="W1068" s="2" t="s">
        <v>29</v>
      </c>
      <c r="X1068" s="2" t="s">
        <v>30</v>
      </c>
      <c r="Y1068" s="2">
        <v>2.1656053667068398</v>
      </c>
      <c r="Z1068" s="2">
        <v>4.6584666666666701</v>
      </c>
      <c r="AA1068" s="2">
        <v>-74.083966666666697</v>
      </c>
      <c r="AB1068" s="2">
        <v>2552</v>
      </c>
      <c r="AC1068" s="2" t="s">
        <v>31</v>
      </c>
      <c r="AD1068" s="2" t="s">
        <v>32</v>
      </c>
      <c r="AE1068" s="2" t="s">
        <v>33</v>
      </c>
      <c r="AF1068" s="2" t="s">
        <v>34</v>
      </c>
      <c r="AG1068" s="2" t="s">
        <v>293</v>
      </c>
      <c r="AH1068" s="2">
        <v>0.28656320747302699</v>
      </c>
      <c r="AI1068" s="2">
        <v>1.6049300017594901</v>
      </c>
      <c r="AJ1068" s="2">
        <v>0.15338437605572999</v>
      </c>
      <c r="AK1068" s="2">
        <v>6.2938871164205004E-2</v>
      </c>
      <c r="AL1068" s="2">
        <v>0.14322556854037899</v>
      </c>
      <c r="AN1068" s="2">
        <v>6.8</v>
      </c>
      <c r="AO1068" s="2">
        <v>19.899999999999999</v>
      </c>
      <c r="AP1068" s="2">
        <v>564</v>
      </c>
      <c r="AQ1068" s="2">
        <v>68</v>
      </c>
      <c r="AR1068" s="2">
        <v>1.5</v>
      </c>
      <c r="AS1068" s="2">
        <v>135</v>
      </c>
      <c r="AT1068" s="2">
        <v>0.8</v>
      </c>
      <c r="AU1068" s="2">
        <v>162</v>
      </c>
      <c r="AV1068" s="2">
        <v>9.1</v>
      </c>
      <c r="AW1068" s="2">
        <v>9.1999999999999993</v>
      </c>
      <c r="AX1068" s="2">
        <v>18.3</v>
      </c>
      <c r="AY1068" s="2">
        <v>0.34</v>
      </c>
      <c r="AZ1068" s="2">
        <v>7.3</v>
      </c>
      <c r="BA1068" s="2">
        <v>0.9</v>
      </c>
      <c r="BB1068" s="2">
        <v>7.5</v>
      </c>
      <c r="BC1068" s="2">
        <v>2.9</v>
      </c>
      <c r="BD1068" s="2">
        <f>+AN1068*EXP(-0.0495*Y1068)</f>
        <v>6.1087681853350402</v>
      </c>
      <c r="BE1068" s="2">
        <f>+AO1068*EXP(-0.024*Y1068)</f>
        <v>18.892125649137739</v>
      </c>
    </row>
    <row r="1069" spans="1:57" x14ac:dyDescent="0.2">
      <c r="A1069" s="2" t="s">
        <v>4306</v>
      </c>
      <c r="B1069" s="2" t="s">
        <v>19</v>
      </c>
      <c r="C1069" s="2" t="s">
        <v>3245</v>
      </c>
      <c r="D1069" s="2" t="s">
        <v>21</v>
      </c>
      <c r="E1069" s="2" t="s">
        <v>87</v>
      </c>
      <c r="F1069" s="2">
        <v>4</v>
      </c>
      <c r="G1069" s="2">
        <v>40</v>
      </c>
      <c r="H1069" s="2">
        <v>1</v>
      </c>
      <c r="I1069" s="2">
        <v>1</v>
      </c>
      <c r="J1069" s="2">
        <v>0</v>
      </c>
      <c r="K1069" s="2" t="s">
        <v>61</v>
      </c>
      <c r="L1069" s="6" t="s">
        <v>84</v>
      </c>
      <c r="M1069" s="5">
        <v>370000000</v>
      </c>
      <c r="N1069" s="2">
        <v>0</v>
      </c>
      <c r="O1069" s="2">
        <v>4.6166214999999999</v>
      </c>
      <c r="P1069" s="2">
        <v>-74.070755000000005</v>
      </c>
      <c r="Q1069" s="2" t="s">
        <v>4307</v>
      </c>
      <c r="R1069" s="2">
        <v>9250000</v>
      </c>
      <c r="S1069" s="2">
        <v>0</v>
      </c>
      <c r="T1069" s="2" t="s">
        <v>77</v>
      </c>
      <c r="U1069" s="2" t="s">
        <v>78</v>
      </c>
      <c r="V1069" s="2" t="s">
        <v>28</v>
      </c>
      <c r="W1069" s="2" t="s">
        <v>79</v>
      </c>
      <c r="X1069" s="2" t="s">
        <v>80</v>
      </c>
      <c r="Y1069" s="2">
        <v>1.0719973963234299</v>
      </c>
      <c r="Z1069" s="2">
        <v>4.6254861111111101</v>
      </c>
      <c r="AA1069" s="2">
        <v>-74.066980555555503</v>
      </c>
      <c r="AB1069" s="2">
        <v>2621</v>
      </c>
      <c r="AC1069" s="2" t="s">
        <v>31</v>
      </c>
      <c r="AD1069" s="2" t="s">
        <v>32</v>
      </c>
      <c r="AE1069" s="2" t="s">
        <v>33</v>
      </c>
      <c r="AF1069" s="2" t="s">
        <v>34</v>
      </c>
      <c r="AG1069" s="2" t="s">
        <v>89</v>
      </c>
      <c r="AH1069" s="2">
        <v>0.15566678375343301</v>
      </c>
      <c r="AI1069" s="2">
        <v>0.79171783730697698</v>
      </c>
      <c r="AJ1069" s="2">
        <v>0.21620866221139101</v>
      </c>
      <c r="AK1069" s="2">
        <v>3.8112851878542499E-2</v>
      </c>
      <c r="AL1069" s="2">
        <v>0.24693910484902501</v>
      </c>
      <c r="AN1069" s="2">
        <v>6.8</v>
      </c>
      <c r="AO1069" s="2">
        <v>19.899999999999999</v>
      </c>
      <c r="AP1069" s="2">
        <v>564</v>
      </c>
      <c r="AQ1069" s="2">
        <v>68</v>
      </c>
      <c r="AR1069" s="2">
        <v>1.5</v>
      </c>
      <c r="AS1069" s="2">
        <v>135</v>
      </c>
      <c r="AT1069" s="2">
        <v>0.8</v>
      </c>
      <c r="AU1069" s="2">
        <v>162</v>
      </c>
      <c r="AV1069" s="2">
        <v>9.1</v>
      </c>
      <c r="AW1069" s="2">
        <v>9.1999999999999993</v>
      </c>
      <c r="AX1069" s="2">
        <v>18.3</v>
      </c>
      <c r="AY1069" s="2">
        <v>0.34</v>
      </c>
      <c r="AZ1069" s="2">
        <v>7.3</v>
      </c>
      <c r="BA1069" s="2">
        <v>0.9</v>
      </c>
      <c r="BB1069" s="2">
        <v>7.5</v>
      </c>
      <c r="BC1069" s="2">
        <v>2.9</v>
      </c>
      <c r="BD1069" s="2">
        <f>+AN1069*EXP(-0.0495*Y1069)</f>
        <v>6.4485721942101977</v>
      </c>
      <c r="BE1069" s="2">
        <f>+AO1069*EXP(-0.024*Y1069)</f>
        <v>19.394544093430834</v>
      </c>
    </row>
    <row r="1070" spans="1:57" x14ac:dyDescent="0.2">
      <c r="A1070" s="2" t="s">
        <v>4351</v>
      </c>
      <c r="B1070" s="2" t="s">
        <v>19</v>
      </c>
      <c r="C1070" s="2" t="s">
        <v>3245</v>
      </c>
      <c r="D1070" s="2" t="s">
        <v>21</v>
      </c>
      <c r="E1070" s="2" t="s">
        <v>24</v>
      </c>
      <c r="F1070" s="2">
        <v>4</v>
      </c>
      <c r="G1070" s="2">
        <v>40</v>
      </c>
      <c r="H1070" s="2">
        <v>1</v>
      </c>
      <c r="I1070" s="2">
        <v>2</v>
      </c>
      <c r="J1070" s="2">
        <v>1</v>
      </c>
      <c r="K1070" s="2" t="s">
        <v>61</v>
      </c>
      <c r="L1070" s="6" t="s">
        <v>62</v>
      </c>
      <c r="M1070" s="5">
        <v>354900000</v>
      </c>
      <c r="N1070" s="2">
        <v>0</v>
      </c>
      <c r="O1070" s="2">
        <v>4.6437854769999998</v>
      </c>
      <c r="P1070" s="2">
        <v>-74.072990419999996</v>
      </c>
      <c r="Q1070" s="2" t="s">
        <v>4352</v>
      </c>
      <c r="R1070" s="2">
        <v>8872500</v>
      </c>
      <c r="S1070" s="2">
        <v>0</v>
      </c>
      <c r="T1070" s="2" t="s">
        <v>26</v>
      </c>
      <c r="U1070" s="2" t="s">
        <v>27</v>
      </c>
      <c r="V1070" s="2" t="s">
        <v>28</v>
      </c>
      <c r="W1070" s="2" t="s">
        <v>29</v>
      </c>
      <c r="X1070" s="2" t="s">
        <v>30</v>
      </c>
      <c r="Y1070" s="2">
        <v>2.03815967763438</v>
      </c>
      <c r="Z1070" s="2">
        <v>4.6584666666666701</v>
      </c>
      <c r="AA1070" s="2">
        <v>-74.083966666666697</v>
      </c>
      <c r="AB1070" s="2">
        <v>2552</v>
      </c>
      <c r="AC1070" s="2" t="s">
        <v>31</v>
      </c>
      <c r="AD1070" s="2" t="s">
        <v>32</v>
      </c>
      <c r="AE1070" s="2" t="s">
        <v>33</v>
      </c>
      <c r="AF1070" s="2" t="s">
        <v>34</v>
      </c>
      <c r="AG1070" s="2" t="s">
        <v>35</v>
      </c>
      <c r="AH1070" s="2">
        <v>0.65878484924675496</v>
      </c>
      <c r="AI1070" s="2">
        <v>1.73871759791223</v>
      </c>
      <c r="AJ1070" s="2">
        <v>0.14785292373776299</v>
      </c>
      <c r="AK1070" s="2">
        <v>5.7192771985503398E-2</v>
      </c>
      <c r="AL1070" s="2">
        <v>0.38866264883801599</v>
      </c>
      <c r="AN1070" s="2">
        <v>6.8</v>
      </c>
      <c r="AO1070" s="2">
        <v>19.899999999999999</v>
      </c>
      <c r="AP1070" s="2">
        <v>564</v>
      </c>
      <c r="AQ1070" s="2">
        <v>68</v>
      </c>
      <c r="AR1070" s="2">
        <v>1.5</v>
      </c>
      <c r="AS1070" s="2">
        <v>135</v>
      </c>
      <c r="AT1070" s="2">
        <v>0.8</v>
      </c>
      <c r="AU1070" s="2">
        <v>162</v>
      </c>
      <c r="AV1070" s="2">
        <v>9.1</v>
      </c>
      <c r="AW1070" s="2">
        <v>9.1999999999999993</v>
      </c>
      <c r="AX1070" s="2">
        <v>18.3</v>
      </c>
      <c r="AY1070" s="2">
        <v>0.34</v>
      </c>
      <c r="AZ1070" s="2">
        <v>7.3</v>
      </c>
      <c r="BA1070" s="2">
        <v>0.9</v>
      </c>
      <c r="BB1070" s="2">
        <v>7.5</v>
      </c>
      <c r="BC1070" s="2">
        <v>2.9</v>
      </c>
      <c r="BD1070" s="2">
        <f>+AN1070*EXP(-0.0495*Y1070)</f>
        <v>6.1474275400347995</v>
      </c>
      <c r="BE1070" s="2">
        <f>+AO1070*EXP(-0.024*Y1070)</f>
        <v>18.949999392440006</v>
      </c>
    </row>
    <row r="1071" spans="1:57" x14ac:dyDescent="0.2">
      <c r="A1071" s="2" t="s">
        <v>887</v>
      </c>
      <c r="B1071" s="2" t="s">
        <v>19</v>
      </c>
      <c r="C1071" s="2" t="s">
        <v>20</v>
      </c>
      <c r="D1071" s="2" t="s">
        <v>21</v>
      </c>
      <c r="E1071" s="2" t="s">
        <v>590</v>
      </c>
      <c r="F1071" s="2">
        <v>4</v>
      </c>
      <c r="G1071" s="2">
        <v>39.799999999999997</v>
      </c>
      <c r="H1071" s="2">
        <v>1</v>
      </c>
      <c r="I1071" s="2">
        <v>1</v>
      </c>
      <c r="J1071" s="2">
        <v>1</v>
      </c>
      <c r="K1071" s="2" t="s">
        <v>23</v>
      </c>
      <c r="L1071" s="6" t="s">
        <v>24</v>
      </c>
      <c r="M1071" s="5">
        <v>412726000</v>
      </c>
      <c r="N1071" s="2">
        <v>0</v>
      </c>
      <c r="O1071" s="2">
        <v>4.6610316999999997</v>
      </c>
      <c r="P1071" s="2">
        <v>-74.079445000000007</v>
      </c>
      <c r="Q1071" s="2" t="s">
        <v>888</v>
      </c>
      <c r="R1071" s="2">
        <v>10370000</v>
      </c>
      <c r="S1071" s="2">
        <v>0</v>
      </c>
      <c r="T1071" s="2" t="s">
        <v>26</v>
      </c>
      <c r="U1071" s="2" t="s">
        <v>27</v>
      </c>
      <c r="V1071" s="2" t="s">
        <v>28</v>
      </c>
      <c r="W1071" s="2" t="s">
        <v>29</v>
      </c>
      <c r="X1071" s="2" t="s">
        <v>30</v>
      </c>
      <c r="Y1071" s="2">
        <v>0.57725282118917798</v>
      </c>
      <c r="Z1071" s="2">
        <v>4.6584666666666701</v>
      </c>
      <c r="AA1071" s="2">
        <v>-74.083966666666697</v>
      </c>
      <c r="AB1071" s="2">
        <v>2552</v>
      </c>
      <c r="AC1071" s="2" t="s">
        <v>31</v>
      </c>
      <c r="AD1071" s="2" t="s">
        <v>32</v>
      </c>
      <c r="AE1071" s="2" t="s">
        <v>33</v>
      </c>
      <c r="AF1071" s="2" t="s">
        <v>34</v>
      </c>
      <c r="AG1071" s="2" t="s">
        <v>293</v>
      </c>
      <c r="AH1071" s="2">
        <v>0.45664851021150199</v>
      </c>
      <c r="AI1071" s="2">
        <v>3.2906681362303898</v>
      </c>
      <c r="AJ1071" s="2">
        <v>1.2641850056572299</v>
      </c>
      <c r="AK1071" s="2">
        <v>0.10222706298203101</v>
      </c>
      <c r="AL1071" s="2">
        <v>0.20029136224211999</v>
      </c>
      <c r="AN1071" s="2">
        <v>6.8</v>
      </c>
      <c r="AO1071" s="2">
        <v>19.899999999999999</v>
      </c>
      <c r="AP1071" s="2">
        <v>564</v>
      </c>
      <c r="AQ1071" s="2">
        <v>68</v>
      </c>
      <c r="AR1071" s="2">
        <v>1.5</v>
      </c>
      <c r="AS1071" s="2">
        <v>135</v>
      </c>
      <c r="AT1071" s="2">
        <v>0.8</v>
      </c>
      <c r="AU1071" s="2">
        <v>162</v>
      </c>
      <c r="AV1071" s="2">
        <v>9.1</v>
      </c>
      <c r="AW1071" s="2">
        <v>9.1999999999999993</v>
      </c>
      <c r="AX1071" s="2">
        <v>18.3</v>
      </c>
      <c r="AY1071" s="2">
        <v>0.34</v>
      </c>
      <c r="AZ1071" s="2">
        <v>7.3</v>
      </c>
      <c r="BA1071" s="2">
        <v>0.9</v>
      </c>
      <c r="BB1071" s="2">
        <v>7.5</v>
      </c>
      <c r="BC1071" s="2">
        <v>2.9</v>
      </c>
      <c r="BD1071" s="2">
        <f>+AN1071*EXP(-0.0495*Y1071)</f>
        <v>6.6084464602478965</v>
      </c>
      <c r="BE1071" s="2">
        <f>+AO1071*EXP(-0.024*Y1071)</f>
        <v>19.626205018930062</v>
      </c>
    </row>
    <row r="1072" spans="1:57" x14ac:dyDescent="0.2">
      <c r="A1072" s="2" t="s">
        <v>4398</v>
      </c>
      <c r="B1072" s="2" t="s">
        <v>19</v>
      </c>
      <c r="C1072" s="2" t="s">
        <v>3245</v>
      </c>
      <c r="D1072" s="2" t="s">
        <v>21</v>
      </c>
      <c r="E1072" s="2" t="s">
        <v>3437</v>
      </c>
      <c r="F1072" s="2">
        <v>4</v>
      </c>
      <c r="G1072" s="2">
        <v>39</v>
      </c>
      <c r="H1072" s="2">
        <v>1</v>
      </c>
      <c r="I1072" s="2">
        <v>1</v>
      </c>
      <c r="J1072" s="2">
        <v>1</v>
      </c>
      <c r="K1072" s="2" t="s">
        <v>61</v>
      </c>
      <c r="L1072" s="6" t="s">
        <v>84</v>
      </c>
      <c r="M1072" s="5">
        <v>370000000</v>
      </c>
      <c r="N1072" s="2">
        <v>0</v>
      </c>
      <c r="O1072" s="2">
        <v>4.6297907829999998</v>
      </c>
      <c r="P1072" s="2">
        <v>-74.086555480000001</v>
      </c>
      <c r="Q1072" s="2" t="s">
        <v>4399</v>
      </c>
      <c r="R1072" s="2">
        <v>9487179.4869999997</v>
      </c>
      <c r="S1072" s="2">
        <v>0</v>
      </c>
      <c r="T1072" s="2" t="s">
        <v>77</v>
      </c>
      <c r="U1072" s="2" t="s">
        <v>78</v>
      </c>
      <c r="V1072" s="2" t="s">
        <v>28</v>
      </c>
      <c r="W1072" s="2" t="s">
        <v>79</v>
      </c>
      <c r="X1072" s="2" t="s">
        <v>80</v>
      </c>
      <c r="Y1072" s="2">
        <v>2.2242004173982601</v>
      </c>
      <c r="Z1072" s="2">
        <v>4.6254861111111101</v>
      </c>
      <c r="AA1072" s="2">
        <v>-74.066980555555503</v>
      </c>
      <c r="AB1072" s="2">
        <v>2621</v>
      </c>
      <c r="AC1072" s="2" t="s">
        <v>31</v>
      </c>
      <c r="AD1072" s="2" t="s">
        <v>32</v>
      </c>
      <c r="AE1072" s="2" t="s">
        <v>33</v>
      </c>
      <c r="AF1072" s="2" t="s">
        <v>34</v>
      </c>
      <c r="AG1072" s="2" t="s">
        <v>35</v>
      </c>
      <c r="AH1072" s="2">
        <v>0.35655386462662603</v>
      </c>
      <c r="AI1072" s="2">
        <v>2.8410565972228699</v>
      </c>
      <c r="AJ1072" s="2">
        <v>0.683772321304979</v>
      </c>
      <c r="AK1072" s="2">
        <v>0.33545040689062</v>
      </c>
      <c r="AL1072" s="2">
        <v>0.14741304787135801</v>
      </c>
      <c r="AN1072" s="2">
        <v>6.8</v>
      </c>
      <c r="AO1072" s="2">
        <v>19.899999999999999</v>
      </c>
      <c r="AP1072" s="2">
        <v>564</v>
      </c>
      <c r="AQ1072" s="2">
        <v>68</v>
      </c>
      <c r="AR1072" s="2">
        <v>1.5</v>
      </c>
      <c r="AS1072" s="2">
        <v>135</v>
      </c>
      <c r="AT1072" s="2">
        <v>0.8</v>
      </c>
      <c r="AU1072" s="2">
        <v>162</v>
      </c>
      <c r="AV1072" s="2">
        <v>9.1</v>
      </c>
      <c r="AW1072" s="2">
        <v>9.1999999999999993</v>
      </c>
      <c r="AX1072" s="2">
        <v>18.3</v>
      </c>
      <c r="AY1072" s="2">
        <v>0.34</v>
      </c>
      <c r="AZ1072" s="2">
        <v>7.3</v>
      </c>
      <c r="BA1072" s="2">
        <v>0.9</v>
      </c>
      <c r="BB1072" s="2">
        <v>7.5</v>
      </c>
      <c r="BC1072" s="2">
        <v>2.9</v>
      </c>
      <c r="BD1072" s="2">
        <f>+AN1072*EXP(-0.0495*Y1072)</f>
        <v>6.0910756486584132</v>
      </c>
      <c r="BE1072" s="2">
        <f>+AO1072*EXP(-0.024*Y1072)</f>
        <v>18.865576679729649</v>
      </c>
    </row>
    <row r="1073" spans="1:57" x14ac:dyDescent="0.2">
      <c r="A1073" s="2" t="s">
        <v>4543</v>
      </c>
      <c r="B1073" s="2" t="s">
        <v>19</v>
      </c>
      <c r="C1073" s="2" t="s">
        <v>3245</v>
      </c>
      <c r="D1073" s="2" t="s">
        <v>21</v>
      </c>
      <c r="E1073" s="2" t="s">
        <v>1049</v>
      </c>
      <c r="F1073" s="2">
        <v>3</v>
      </c>
      <c r="G1073" s="2">
        <v>38.28</v>
      </c>
      <c r="H1073" s="2">
        <v>1</v>
      </c>
      <c r="I1073" s="2">
        <v>2</v>
      </c>
      <c r="J1073" s="2">
        <v>0</v>
      </c>
      <c r="K1073" s="2" t="s">
        <v>61</v>
      </c>
      <c r="L1073" s="6" t="s">
        <v>62</v>
      </c>
      <c r="M1073" s="5">
        <v>429000000</v>
      </c>
      <c r="N1073" s="2">
        <v>0</v>
      </c>
      <c r="O1073" s="2">
        <v>4.6102981569999999</v>
      </c>
      <c r="P1073" s="2">
        <v>-74.070297240000002</v>
      </c>
      <c r="Q1073" s="2" t="s">
        <v>4544</v>
      </c>
      <c r="R1073" s="2">
        <v>11206896.550000001</v>
      </c>
      <c r="S1073" s="2">
        <v>0</v>
      </c>
      <c r="T1073" s="2" t="s">
        <v>77</v>
      </c>
      <c r="U1073" s="2" t="s">
        <v>78</v>
      </c>
      <c r="V1073" s="2" t="s">
        <v>28</v>
      </c>
      <c r="W1073" s="2" t="s">
        <v>79</v>
      </c>
      <c r="X1073" s="2" t="s">
        <v>80</v>
      </c>
      <c r="Y1073" s="2">
        <v>1.7303039948863199</v>
      </c>
      <c r="Z1073" s="2">
        <v>4.6254861111111101</v>
      </c>
      <c r="AA1073" s="2">
        <v>-74.066980555555503</v>
      </c>
      <c r="AB1073" s="2">
        <v>2621</v>
      </c>
      <c r="AC1073" s="2" t="s">
        <v>31</v>
      </c>
      <c r="AD1073" s="2" t="s">
        <v>32</v>
      </c>
      <c r="AE1073" s="2" t="s">
        <v>33</v>
      </c>
      <c r="AF1073" s="2" t="s">
        <v>34</v>
      </c>
      <c r="AG1073" s="2" t="s">
        <v>89</v>
      </c>
      <c r="AH1073" s="2">
        <v>0.14900289134692199</v>
      </c>
      <c r="AI1073" s="2">
        <v>0.63102433007343794</v>
      </c>
      <c r="AJ1073" s="2">
        <v>0.28083040726213199</v>
      </c>
      <c r="AK1073" s="2">
        <v>0.270972018246874</v>
      </c>
      <c r="AL1073" s="2">
        <v>6.16071544114761E-2</v>
      </c>
      <c r="AN1073" s="2">
        <v>6.8</v>
      </c>
      <c r="AO1073" s="2">
        <v>19.899999999999999</v>
      </c>
      <c r="AP1073" s="2">
        <v>564</v>
      </c>
      <c r="AQ1073" s="2">
        <v>68</v>
      </c>
      <c r="AR1073" s="2">
        <v>1.5</v>
      </c>
      <c r="AS1073" s="2">
        <v>135</v>
      </c>
      <c r="AT1073" s="2">
        <v>0.8</v>
      </c>
      <c r="AU1073" s="2">
        <v>162</v>
      </c>
      <c r="AV1073" s="2">
        <v>9.1</v>
      </c>
      <c r="AW1073" s="2">
        <v>9.1999999999999993</v>
      </c>
      <c r="AX1073" s="2">
        <v>18.3</v>
      </c>
      <c r="AY1073" s="2">
        <v>0.34</v>
      </c>
      <c r="AZ1073" s="2">
        <v>7.3</v>
      </c>
      <c r="BA1073" s="2">
        <v>0.9</v>
      </c>
      <c r="BB1073" s="2">
        <v>7.5</v>
      </c>
      <c r="BC1073" s="2">
        <v>2.9</v>
      </c>
      <c r="BD1073" s="2">
        <f>+AN1073*EXP(-0.0495*Y1073)</f>
        <v>6.2418247307623007</v>
      </c>
      <c r="BE1073" s="2">
        <f>+AO1073*EXP(-0.024*Y1073)</f>
        <v>19.09053067340108</v>
      </c>
    </row>
    <row r="1074" spans="1:57" x14ac:dyDescent="0.2">
      <c r="A1074" s="2" t="s">
        <v>3941</v>
      </c>
      <c r="B1074" s="2" t="s">
        <v>19</v>
      </c>
      <c r="C1074" s="2" t="s">
        <v>3245</v>
      </c>
      <c r="D1074" s="2" t="s">
        <v>21</v>
      </c>
      <c r="E1074" s="2" t="s">
        <v>119</v>
      </c>
      <c r="F1074" s="2">
        <v>4</v>
      </c>
      <c r="G1074" s="2">
        <v>38</v>
      </c>
      <c r="H1074" s="2">
        <v>1</v>
      </c>
      <c r="I1074" s="2">
        <v>2</v>
      </c>
      <c r="J1074" s="2">
        <v>1</v>
      </c>
      <c r="K1074" s="2" t="s">
        <v>61</v>
      </c>
      <c r="L1074" s="6" t="s">
        <v>62</v>
      </c>
      <c r="M1074" s="5">
        <v>480000000</v>
      </c>
      <c r="N1074" s="2">
        <v>0</v>
      </c>
      <c r="O1074" s="2">
        <v>4.6296036999999997</v>
      </c>
      <c r="P1074" s="2">
        <v>-74.085366899999997</v>
      </c>
      <c r="Q1074" s="2" t="s">
        <v>3942</v>
      </c>
      <c r="R1074" s="2">
        <v>12631578.949999999</v>
      </c>
      <c r="S1074" s="2">
        <v>0</v>
      </c>
      <c r="T1074" s="2" t="s">
        <v>77</v>
      </c>
      <c r="U1074" s="2" t="s">
        <v>78</v>
      </c>
      <c r="V1074" s="2" t="s">
        <v>28</v>
      </c>
      <c r="W1074" s="2" t="s">
        <v>79</v>
      </c>
      <c r="X1074" s="2" t="s">
        <v>80</v>
      </c>
      <c r="Y1074" s="2">
        <v>2.09094572601972</v>
      </c>
      <c r="Z1074" s="2">
        <v>4.6254861111111101</v>
      </c>
      <c r="AA1074" s="2">
        <v>-74.066980555555503</v>
      </c>
      <c r="AB1074" s="2">
        <v>2621</v>
      </c>
      <c r="AC1074" s="2" t="s">
        <v>31</v>
      </c>
      <c r="AD1074" s="2" t="s">
        <v>32</v>
      </c>
      <c r="AE1074" s="2" t="s">
        <v>33</v>
      </c>
      <c r="AF1074" s="2" t="s">
        <v>34</v>
      </c>
      <c r="AG1074" s="2" t="s">
        <v>35</v>
      </c>
      <c r="AH1074" s="2">
        <v>0.24772595230937999</v>
      </c>
      <c r="AI1074" s="2">
        <v>2.7087078232637301</v>
      </c>
      <c r="AJ1074" s="2">
        <v>0.57718402679240199</v>
      </c>
      <c r="AK1074" s="2">
        <v>0.30658984240912501</v>
      </c>
      <c r="AL1074" s="2">
        <v>9.2688519412828393E-2</v>
      </c>
      <c r="AN1074" s="2">
        <v>6.8</v>
      </c>
      <c r="AO1074" s="2">
        <v>19.899999999999999</v>
      </c>
      <c r="AP1074" s="2">
        <v>564</v>
      </c>
      <c r="AQ1074" s="2">
        <v>68</v>
      </c>
      <c r="AR1074" s="2">
        <v>1.5</v>
      </c>
      <c r="AS1074" s="2">
        <v>135</v>
      </c>
      <c r="AT1074" s="2">
        <v>0.8</v>
      </c>
      <c r="AU1074" s="2">
        <v>162</v>
      </c>
      <c r="AV1074" s="2">
        <v>9.1</v>
      </c>
      <c r="AW1074" s="2">
        <v>9.1999999999999993</v>
      </c>
      <c r="AX1074" s="2">
        <v>18.3</v>
      </c>
      <c r="AY1074" s="2">
        <v>0.34</v>
      </c>
      <c r="AZ1074" s="2">
        <v>7.3</v>
      </c>
      <c r="BA1074" s="2">
        <v>0.9</v>
      </c>
      <c r="BB1074" s="2">
        <v>7.5</v>
      </c>
      <c r="BC1074" s="2">
        <v>2.9</v>
      </c>
      <c r="BD1074" s="2">
        <f>+AN1074*EXP(-0.0495*Y1074)</f>
        <v>6.131385835746614</v>
      </c>
      <c r="BE1074" s="2">
        <f>+AO1074*EXP(-0.024*Y1074)</f>
        <v>18.926007498859928</v>
      </c>
    </row>
    <row r="1075" spans="1:57" x14ac:dyDescent="0.2">
      <c r="A1075" s="2" t="s">
        <v>4215</v>
      </c>
      <c r="B1075" s="2" t="s">
        <v>19</v>
      </c>
      <c r="C1075" s="2" t="s">
        <v>3245</v>
      </c>
      <c r="D1075" s="2" t="s">
        <v>21</v>
      </c>
      <c r="E1075" s="2" t="s">
        <v>3510</v>
      </c>
      <c r="F1075" s="2">
        <v>3</v>
      </c>
      <c r="G1075" s="2">
        <v>38</v>
      </c>
      <c r="H1075" s="2">
        <v>1</v>
      </c>
      <c r="I1075" s="2">
        <v>1</v>
      </c>
      <c r="J1075" s="2">
        <v>0</v>
      </c>
      <c r="K1075" s="2" t="s">
        <v>61</v>
      </c>
      <c r="L1075" s="6" t="s">
        <v>62</v>
      </c>
      <c r="M1075" s="5">
        <v>460000000</v>
      </c>
      <c r="N1075" s="2">
        <v>0</v>
      </c>
      <c r="O1075" s="2">
        <v>4.6133962999999998</v>
      </c>
      <c r="P1075" s="2">
        <v>-74.0695956</v>
      </c>
      <c r="Q1075" s="2" t="s">
        <v>4216</v>
      </c>
      <c r="R1075" s="2">
        <v>12105263.16</v>
      </c>
      <c r="S1075" s="2">
        <v>0</v>
      </c>
      <c r="T1075" s="2" t="s">
        <v>77</v>
      </c>
      <c r="U1075" s="2" t="s">
        <v>78</v>
      </c>
      <c r="V1075" s="2" t="s">
        <v>28</v>
      </c>
      <c r="W1075" s="2" t="s">
        <v>79</v>
      </c>
      <c r="X1075" s="2" t="s">
        <v>80</v>
      </c>
      <c r="Y1075" s="2">
        <v>1.3767554048533599</v>
      </c>
      <c r="Z1075" s="2">
        <v>4.6254861111111101</v>
      </c>
      <c r="AA1075" s="2">
        <v>-74.066980555555503</v>
      </c>
      <c r="AB1075" s="2">
        <v>2621</v>
      </c>
      <c r="AC1075" s="2" t="s">
        <v>31</v>
      </c>
      <c r="AD1075" s="2" t="s">
        <v>32</v>
      </c>
      <c r="AE1075" s="2" t="s">
        <v>33</v>
      </c>
      <c r="AF1075" s="2" t="s">
        <v>34</v>
      </c>
      <c r="AG1075" s="2" t="s">
        <v>89</v>
      </c>
      <c r="AH1075" s="2">
        <v>0.20859495229956401</v>
      </c>
      <c r="AI1075" s="2">
        <v>0.63537759075358202</v>
      </c>
      <c r="AJ1075" s="2">
        <v>0.19026566687762</v>
      </c>
      <c r="AK1075" s="2">
        <v>9.3815307045673396E-2</v>
      </c>
      <c r="AL1075" s="2">
        <v>1.06945947541207E-2</v>
      </c>
      <c r="AN1075" s="2">
        <v>6.8</v>
      </c>
      <c r="AO1075" s="2">
        <v>19.899999999999999</v>
      </c>
      <c r="AP1075" s="2">
        <v>564</v>
      </c>
      <c r="AQ1075" s="2">
        <v>68</v>
      </c>
      <c r="AR1075" s="2">
        <v>1.5</v>
      </c>
      <c r="AS1075" s="2">
        <v>135</v>
      </c>
      <c r="AT1075" s="2">
        <v>0.8</v>
      </c>
      <c r="AU1075" s="2">
        <v>162</v>
      </c>
      <c r="AV1075" s="2">
        <v>9.1</v>
      </c>
      <c r="AW1075" s="2">
        <v>9.1999999999999993</v>
      </c>
      <c r="AX1075" s="2">
        <v>18.3</v>
      </c>
      <c r="AY1075" s="2">
        <v>0.34</v>
      </c>
      <c r="AZ1075" s="2">
        <v>7.3</v>
      </c>
      <c r="BA1075" s="2">
        <v>0.9</v>
      </c>
      <c r="BB1075" s="2">
        <v>7.5</v>
      </c>
      <c r="BC1075" s="2">
        <v>2.9</v>
      </c>
      <c r="BD1075" s="2">
        <f>+AN1075*EXP(-0.0495*Y1075)</f>
        <v>6.3520222047060599</v>
      </c>
      <c r="BE1075" s="2">
        <f>+AO1075*EXP(-0.024*Y1075)</f>
        <v>19.253206186617128</v>
      </c>
    </row>
    <row r="1076" spans="1:57" x14ac:dyDescent="0.2">
      <c r="A1076" s="2" t="s">
        <v>4472</v>
      </c>
      <c r="B1076" s="2" t="s">
        <v>19</v>
      </c>
      <c r="C1076" s="2" t="s">
        <v>3245</v>
      </c>
      <c r="D1076" s="2" t="s">
        <v>21</v>
      </c>
      <c r="E1076" s="2" t="s">
        <v>3361</v>
      </c>
      <c r="F1076" s="2">
        <v>3</v>
      </c>
      <c r="G1076" s="2">
        <v>38</v>
      </c>
      <c r="H1076" s="2">
        <v>1</v>
      </c>
      <c r="I1076" s="2">
        <v>1</v>
      </c>
      <c r="J1076" s="2">
        <v>1</v>
      </c>
      <c r="K1076" s="2" t="s">
        <v>61</v>
      </c>
      <c r="L1076" s="6" t="s">
        <v>84</v>
      </c>
      <c r="M1076" s="5">
        <v>425000000</v>
      </c>
      <c r="N1076" s="2">
        <v>0</v>
      </c>
      <c r="O1076" s="2">
        <v>4.6057240000000004</v>
      </c>
      <c r="P1076" s="2">
        <v>-74.069774600000002</v>
      </c>
      <c r="Q1076" s="2" t="s">
        <v>4473</v>
      </c>
      <c r="R1076" s="2">
        <v>11184210.529999999</v>
      </c>
      <c r="S1076" s="2">
        <v>0</v>
      </c>
      <c r="T1076" s="2" t="s">
        <v>77</v>
      </c>
      <c r="U1076" s="2" t="s">
        <v>78</v>
      </c>
      <c r="V1076" s="2" t="s">
        <v>28</v>
      </c>
      <c r="W1076" s="2" t="s">
        <v>79</v>
      </c>
      <c r="X1076" s="2" t="s">
        <v>80</v>
      </c>
      <c r="Y1076" s="2">
        <v>2.2216458011568601</v>
      </c>
      <c r="Z1076" s="2">
        <v>4.6254861111111101</v>
      </c>
      <c r="AA1076" s="2">
        <v>-74.066980555555503</v>
      </c>
      <c r="AB1076" s="2">
        <v>2621</v>
      </c>
      <c r="AC1076" s="2" t="s">
        <v>31</v>
      </c>
      <c r="AD1076" s="2" t="s">
        <v>32</v>
      </c>
      <c r="AE1076" s="2" t="s">
        <v>33</v>
      </c>
      <c r="AF1076" s="2" t="s">
        <v>34</v>
      </c>
      <c r="AG1076" s="2" t="s">
        <v>89</v>
      </c>
      <c r="AH1076" s="2">
        <v>0.29753867462803602</v>
      </c>
      <c r="AI1076" s="2">
        <v>0.584230580017846</v>
      </c>
      <c r="AJ1076" s="2">
        <v>8.6259365162140195E-2</v>
      </c>
      <c r="AK1076" s="2">
        <v>8.4572768070052595E-2</v>
      </c>
      <c r="AL1076" s="2">
        <v>1.17672720416822E-2</v>
      </c>
      <c r="AN1076" s="2">
        <v>6.8</v>
      </c>
      <c r="AO1076" s="2">
        <v>19.899999999999999</v>
      </c>
      <c r="AP1076" s="2">
        <v>564</v>
      </c>
      <c r="AQ1076" s="2">
        <v>68</v>
      </c>
      <c r="AR1076" s="2">
        <v>1.5</v>
      </c>
      <c r="AS1076" s="2">
        <v>135</v>
      </c>
      <c r="AT1076" s="2">
        <v>0.8</v>
      </c>
      <c r="AU1076" s="2">
        <v>162</v>
      </c>
      <c r="AV1076" s="2">
        <v>9.1</v>
      </c>
      <c r="AW1076" s="2">
        <v>9.1999999999999993</v>
      </c>
      <c r="AX1076" s="2">
        <v>18.3</v>
      </c>
      <c r="AY1076" s="2">
        <v>0.34</v>
      </c>
      <c r="AZ1076" s="2">
        <v>7.3</v>
      </c>
      <c r="BA1076" s="2">
        <v>0.9</v>
      </c>
      <c r="BB1076" s="2">
        <v>7.5</v>
      </c>
      <c r="BC1076" s="2">
        <v>2.9</v>
      </c>
      <c r="BD1076" s="2">
        <f>+AN1076*EXP(-0.0495*Y1076)</f>
        <v>6.0918459352186973</v>
      </c>
      <c r="BE1076" s="2">
        <f>+AO1076*EXP(-0.024*Y1076)</f>
        <v>18.866733378594493</v>
      </c>
    </row>
    <row r="1077" spans="1:57" x14ac:dyDescent="0.2">
      <c r="A1077" s="2" t="s">
        <v>4423</v>
      </c>
      <c r="B1077" s="2" t="s">
        <v>19</v>
      </c>
      <c r="C1077" s="2" t="s">
        <v>3245</v>
      </c>
      <c r="D1077" s="2" t="s">
        <v>21</v>
      </c>
      <c r="E1077" s="2" t="s">
        <v>3995</v>
      </c>
      <c r="F1077" s="2">
        <v>5</v>
      </c>
      <c r="G1077" s="2">
        <v>38</v>
      </c>
      <c r="H1077" s="2">
        <v>1</v>
      </c>
      <c r="I1077" s="2">
        <v>1</v>
      </c>
      <c r="J1077" s="2">
        <v>0</v>
      </c>
      <c r="K1077" s="2" t="s">
        <v>61</v>
      </c>
      <c r="L1077" s="6" t="s">
        <v>62</v>
      </c>
      <c r="M1077" s="5">
        <v>359100000</v>
      </c>
      <c r="N1077" s="2">
        <v>0</v>
      </c>
      <c r="O1077" s="2">
        <v>4.6101999999999999</v>
      </c>
      <c r="P1077" s="2">
        <v>-74.070570000000004</v>
      </c>
      <c r="Q1077" s="2" t="s">
        <v>4424</v>
      </c>
      <c r="R1077" s="2">
        <v>9450000</v>
      </c>
      <c r="S1077" s="2">
        <v>0</v>
      </c>
      <c r="T1077" s="2" t="s">
        <v>77</v>
      </c>
      <c r="U1077" s="2" t="s">
        <v>78</v>
      </c>
      <c r="V1077" s="2" t="s">
        <v>28</v>
      </c>
      <c r="W1077" s="2" t="s">
        <v>79</v>
      </c>
      <c r="X1077" s="2" t="s">
        <v>80</v>
      </c>
      <c r="Y1077" s="2">
        <v>1.74763018314782</v>
      </c>
      <c r="Z1077" s="2">
        <v>4.6254861111111101</v>
      </c>
      <c r="AA1077" s="2">
        <v>-74.066980555555503</v>
      </c>
      <c r="AB1077" s="2">
        <v>2621</v>
      </c>
      <c r="AC1077" s="2" t="s">
        <v>31</v>
      </c>
      <c r="AD1077" s="2" t="s">
        <v>32</v>
      </c>
      <c r="AE1077" s="2" t="s">
        <v>33</v>
      </c>
      <c r="AF1077" s="2" t="s">
        <v>34</v>
      </c>
      <c r="AG1077" s="2" t="s">
        <v>89</v>
      </c>
      <c r="AH1077" s="2">
        <v>0.12886504512609101</v>
      </c>
      <c r="AI1077" s="2">
        <v>0.65821764849167297</v>
      </c>
      <c r="AJ1077" s="2">
        <v>0.26096521403899497</v>
      </c>
      <c r="AK1077" s="2">
        <v>0.25406418001092301</v>
      </c>
      <c r="AL1077" s="2">
        <v>4.0797947347179002E-2</v>
      </c>
      <c r="AN1077" s="2">
        <v>6.8</v>
      </c>
      <c r="AO1077" s="2">
        <v>19.899999999999999</v>
      </c>
      <c r="AP1077" s="2">
        <v>564</v>
      </c>
      <c r="AQ1077" s="2">
        <v>68</v>
      </c>
      <c r="AR1077" s="2">
        <v>1.5</v>
      </c>
      <c r="AS1077" s="2">
        <v>135</v>
      </c>
      <c r="AT1077" s="2">
        <v>0.8</v>
      </c>
      <c r="AU1077" s="2">
        <v>162</v>
      </c>
      <c r="AV1077" s="2">
        <v>9.1</v>
      </c>
      <c r="AW1077" s="2">
        <v>9.1999999999999993</v>
      </c>
      <c r="AX1077" s="2">
        <v>18.3</v>
      </c>
      <c r="AY1077" s="2">
        <v>0.34</v>
      </c>
      <c r="AZ1077" s="2">
        <v>7.3</v>
      </c>
      <c r="BA1077" s="2">
        <v>0.9</v>
      </c>
      <c r="BB1077" s="2">
        <v>7.5</v>
      </c>
      <c r="BC1077" s="2">
        <v>2.9</v>
      </c>
      <c r="BD1077" s="2">
        <f>+AN1077*EXP(-0.0495*Y1077)</f>
        <v>6.236473747711921</v>
      </c>
      <c r="BE1077" s="2">
        <f>+AO1077*EXP(-0.024*Y1077)</f>
        <v>19.08259393659317</v>
      </c>
    </row>
    <row r="1078" spans="1:57" x14ac:dyDescent="0.2">
      <c r="A1078" s="2" t="s">
        <v>3663</v>
      </c>
      <c r="B1078" s="2" t="s">
        <v>19</v>
      </c>
      <c r="C1078" s="2" t="s">
        <v>3245</v>
      </c>
      <c r="D1078" s="2" t="s">
        <v>21</v>
      </c>
      <c r="E1078" s="2" t="s">
        <v>899</v>
      </c>
      <c r="F1078" s="2">
        <v>4</v>
      </c>
      <c r="G1078" s="2">
        <v>38</v>
      </c>
      <c r="H1078" s="2">
        <v>1</v>
      </c>
      <c r="I1078" s="2">
        <v>1</v>
      </c>
      <c r="J1078" s="2">
        <v>0</v>
      </c>
      <c r="K1078" s="2" t="s">
        <v>61</v>
      </c>
      <c r="L1078" s="6" t="s">
        <v>113</v>
      </c>
      <c r="M1078" s="5">
        <v>320000000</v>
      </c>
      <c r="N1078" s="2">
        <v>0</v>
      </c>
      <c r="O1078" s="2">
        <v>4.6325099999999999</v>
      </c>
      <c r="P1078" s="2">
        <v>-74.066699999999997</v>
      </c>
      <c r="Q1078" s="2" t="s">
        <v>3664</v>
      </c>
      <c r="R1078" s="2">
        <v>8421052.6319999993</v>
      </c>
      <c r="S1078" s="2">
        <v>0</v>
      </c>
      <c r="T1078" s="2" t="s">
        <v>77</v>
      </c>
      <c r="U1078" s="2" t="s">
        <v>78</v>
      </c>
      <c r="V1078" s="2" t="s">
        <v>28</v>
      </c>
      <c r="W1078" s="2" t="s">
        <v>79</v>
      </c>
      <c r="X1078" s="2" t="s">
        <v>80</v>
      </c>
      <c r="Y1078" s="2">
        <v>0.78251516346098504</v>
      </c>
      <c r="Z1078" s="2">
        <v>4.6254861111111101</v>
      </c>
      <c r="AA1078" s="2">
        <v>-74.066980555555503</v>
      </c>
      <c r="AB1078" s="2">
        <v>2621</v>
      </c>
      <c r="AC1078" s="2" t="s">
        <v>31</v>
      </c>
      <c r="AD1078" s="2" t="s">
        <v>32</v>
      </c>
      <c r="AE1078" s="2" t="s">
        <v>33</v>
      </c>
      <c r="AF1078" s="2" t="s">
        <v>34</v>
      </c>
      <c r="AG1078" s="2" t="s">
        <v>81</v>
      </c>
      <c r="AH1078" s="2">
        <v>0.17534095406804501</v>
      </c>
      <c r="AI1078" s="2">
        <v>0.74864173603895701</v>
      </c>
      <c r="AJ1078" s="2">
        <v>0.122209191209077</v>
      </c>
      <c r="AK1078" s="2">
        <v>5.9594341865919699E-2</v>
      </c>
      <c r="AL1078" s="2">
        <v>0.38063780035907302</v>
      </c>
      <c r="AN1078" s="2">
        <v>6.8</v>
      </c>
      <c r="AO1078" s="2">
        <v>19.899999999999999</v>
      </c>
      <c r="AP1078" s="2">
        <v>564</v>
      </c>
      <c r="AQ1078" s="2">
        <v>68</v>
      </c>
      <c r="AR1078" s="2">
        <v>1.5</v>
      </c>
      <c r="AS1078" s="2">
        <v>135</v>
      </c>
      <c r="AT1078" s="2">
        <v>0.8</v>
      </c>
      <c r="AU1078" s="2">
        <v>162</v>
      </c>
      <c r="AV1078" s="2">
        <v>9.1</v>
      </c>
      <c r="AW1078" s="2">
        <v>9.1999999999999993</v>
      </c>
      <c r="AX1078" s="2">
        <v>18.3</v>
      </c>
      <c r="AY1078" s="2">
        <v>0.34</v>
      </c>
      <c r="AZ1078" s="2">
        <v>7.3</v>
      </c>
      <c r="BA1078" s="2">
        <v>0.9</v>
      </c>
      <c r="BB1078" s="2">
        <v>7.5</v>
      </c>
      <c r="BC1078" s="2">
        <v>2.9</v>
      </c>
      <c r="BD1078" s="2">
        <f>+AN1078*EXP(-0.0495*Y1078)</f>
        <v>6.5416413935775548</v>
      </c>
      <c r="BE1078" s="2">
        <f>+AO1078*EXP(-0.024*Y1078)</f>
        <v>19.52975827709999</v>
      </c>
    </row>
    <row r="1079" spans="1:57" x14ac:dyDescent="0.2">
      <c r="A1079" s="2" t="s">
        <v>4036</v>
      </c>
      <c r="B1079" s="2" t="s">
        <v>19</v>
      </c>
      <c r="C1079" s="2" t="s">
        <v>3245</v>
      </c>
      <c r="D1079" s="2" t="s">
        <v>21</v>
      </c>
      <c r="E1079" s="2" t="s">
        <v>1049</v>
      </c>
      <c r="F1079" s="2">
        <v>1</v>
      </c>
      <c r="G1079" s="2">
        <v>38</v>
      </c>
      <c r="H1079" s="2">
        <v>1</v>
      </c>
      <c r="I1079" s="2">
        <v>1</v>
      </c>
      <c r="J1079" s="2">
        <v>1</v>
      </c>
      <c r="K1079" s="2" t="s">
        <v>61</v>
      </c>
      <c r="L1079" s="6" t="s">
        <v>84</v>
      </c>
      <c r="M1079" s="5">
        <v>310000000</v>
      </c>
      <c r="N1079" s="2">
        <v>0</v>
      </c>
      <c r="O1079" s="2">
        <v>4.6048102379999998</v>
      </c>
      <c r="P1079" s="2">
        <v>-74.070510859999999</v>
      </c>
      <c r="Q1079" s="2" t="s">
        <v>4037</v>
      </c>
      <c r="R1079" s="2">
        <v>8157894.7369999997</v>
      </c>
      <c r="S1079" s="2">
        <v>0</v>
      </c>
      <c r="T1079" s="2" t="s">
        <v>77</v>
      </c>
      <c r="U1079" s="2" t="s">
        <v>78</v>
      </c>
      <c r="V1079" s="2" t="s">
        <v>28</v>
      </c>
      <c r="W1079" s="2" t="s">
        <v>79</v>
      </c>
      <c r="X1079" s="2" t="s">
        <v>80</v>
      </c>
      <c r="Y1079" s="2">
        <v>2.3347232151940598</v>
      </c>
      <c r="Z1079" s="2">
        <v>4.6254861111111101</v>
      </c>
      <c r="AA1079" s="2">
        <v>-74.066980555555503</v>
      </c>
      <c r="AB1079" s="2">
        <v>2621</v>
      </c>
      <c r="AC1079" s="2" t="s">
        <v>31</v>
      </c>
      <c r="AD1079" s="2" t="s">
        <v>32</v>
      </c>
      <c r="AE1079" s="2" t="s">
        <v>33</v>
      </c>
      <c r="AF1079" s="2" t="s">
        <v>34</v>
      </c>
      <c r="AG1079" s="2" t="s">
        <v>89</v>
      </c>
      <c r="AH1079" s="2">
        <v>0.339821859143074</v>
      </c>
      <c r="AI1079" s="2">
        <v>0.67391659958025696</v>
      </c>
      <c r="AJ1079" s="2">
        <v>0.139706472297351</v>
      </c>
      <c r="AK1079" s="2">
        <v>4.56365769746504E-2</v>
      </c>
      <c r="AL1079" s="2">
        <v>5.1557714837924901E-2</v>
      </c>
      <c r="AN1079" s="2">
        <v>6.8</v>
      </c>
      <c r="AO1079" s="2">
        <v>19.899999999999999</v>
      </c>
      <c r="AP1079" s="2">
        <v>564</v>
      </c>
      <c r="AQ1079" s="2">
        <v>68</v>
      </c>
      <c r="AR1079" s="2">
        <v>1.5</v>
      </c>
      <c r="AS1079" s="2">
        <v>135</v>
      </c>
      <c r="AT1079" s="2">
        <v>0.8</v>
      </c>
      <c r="AU1079" s="2">
        <v>162</v>
      </c>
      <c r="AV1079" s="2">
        <v>9.1</v>
      </c>
      <c r="AW1079" s="2">
        <v>9.1999999999999993</v>
      </c>
      <c r="AX1079" s="2">
        <v>18.3</v>
      </c>
      <c r="AY1079" s="2">
        <v>0.34</v>
      </c>
      <c r="AZ1079" s="2">
        <v>7.3</v>
      </c>
      <c r="BA1079" s="2">
        <v>0.9</v>
      </c>
      <c r="BB1079" s="2">
        <v>7.5</v>
      </c>
      <c r="BC1079" s="2">
        <v>2.9</v>
      </c>
      <c r="BD1079" s="2">
        <f>+AN1079*EXP(-0.0495*Y1079)</f>
        <v>6.0578431024059007</v>
      </c>
      <c r="BE1079" s="2">
        <f>+AO1079*EXP(-0.024*Y1079)</f>
        <v>18.815601158644725</v>
      </c>
    </row>
    <row r="1080" spans="1:57" x14ac:dyDescent="0.2">
      <c r="A1080" s="2" t="s">
        <v>3890</v>
      </c>
      <c r="B1080" s="2" t="s">
        <v>19</v>
      </c>
      <c r="C1080" s="2" t="s">
        <v>3245</v>
      </c>
      <c r="D1080" s="2" t="s">
        <v>21</v>
      </c>
      <c r="E1080" s="2" t="s">
        <v>1871</v>
      </c>
      <c r="F1080" s="2">
        <v>3</v>
      </c>
      <c r="G1080" s="2">
        <v>38</v>
      </c>
      <c r="H1080" s="2">
        <v>1</v>
      </c>
      <c r="I1080" s="2">
        <v>2</v>
      </c>
      <c r="J1080" s="2">
        <v>1</v>
      </c>
      <c r="K1080" s="2" t="s">
        <v>61</v>
      </c>
      <c r="L1080" s="6" t="s">
        <v>84</v>
      </c>
      <c r="M1080" s="5">
        <v>295000000</v>
      </c>
      <c r="N1080" s="2">
        <v>0</v>
      </c>
      <c r="O1080" s="2">
        <v>4.6392876000000003</v>
      </c>
      <c r="P1080" s="2">
        <v>-74.0738664</v>
      </c>
      <c r="Q1080" s="2" t="s">
        <v>3891</v>
      </c>
      <c r="R1080" s="2">
        <v>7763157.8949999996</v>
      </c>
      <c r="S1080" s="2">
        <v>0</v>
      </c>
      <c r="T1080" s="2" t="s">
        <v>77</v>
      </c>
      <c r="U1080" s="2" t="s">
        <v>78</v>
      </c>
      <c r="V1080" s="2" t="s">
        <v>28</v>
      </c>
      <c r="W1080" s="2" t="s">
        <v>79</v>
      </c>
      <c r="X1080" s="2" t="s">
        <v>80</v>
      </c>
      <c r="Y1080" s="2">
        <v>1.7158616122494601</v>
      </c>
      <c r="Z1080" s="2">
        <v>4.6254861111111101</v>
      </c>
      <c r="AA1080" s="2">
        <v>-74.066980555555503</v>
      </c>
      <c r="AB1080" s="2">
        <v>2621</v>
      </c>
      <c r="AC1080" s="2" t="s">
        <v>31</v>
      </c>
      <c r="AD1080" s="2" t="s">
        <v>32</v>
      </c>
      <c r="AE1080" s="2" t="s">
        <v>33</v>
      </c>
      <c r="AF1080" s="2" t="s">
        <v>34</v>
      </c>
      <c r="AG1080" s="2" t="s">
        <v>35</v>
      </c>
      <c r="AH1080" s="2">
        <v>0.65105055142442503</v>
      </c>
      <c r="AI1080" s="2">
        <v>1.66458165545411</v>
      </c>
      <c r="AJ1080" s="2">
        <v>0.16515435981068</v>
      </c>
      <c r="AK1080" s="2">
        <v>0.14915704403019001</v>
      </c>
      <c r="AL1080" s="2">
        <v>0.24516907503219401</v>
      </c>
      <c r="AN1080" s="2">
        <v>6.8</v>
      </c>
      <c r="AO1080" s="2">
        <v>19.899999999999999</v>
      </c>
      <c r="AP1080" s="2">
        <v>564</v>
      </c>
      <c r="AQ1080" s="2">
        <v>68</v>
      </c>
      <c r="AR1080" s="2">
        <v>1.5</v>
      </c>
      <c r="AS1080" s="2">
        <v>135</v>
      </c>
      <c r="AT1080" s="2">
        <v>0.8</v>
      </c>
      <c r="AU1080" s="2">
        <v>162</v>
      </c>
      <c r="AV1080" s="2">
        <v>9.1</v>
      </c>
      <c r="AW1080" s="2">
        <v>9.1999999999999993</v>
      </c>
      <c r="AX1080" s="2">
        <v>18.3</v>
      </c>
      <c r="AY1080" s="2">
        <v>0.34</v>
      </c>
      <c r="AZ1080" s="2">
        <v>7.3</v>
      </c>
      <c r="BA1080" s="2">
        <v>0.9</v>
      </c>
      <c r="BB1080" s="2">
        <v>7.5</v>
      </c>
      <c r="BC1080" s="2">
        <v>2.9</v>
      </c>
      <c r="BD1080" s="2">
        <f>+AN1080*EXP(-0.0495*Y1080)</f>
        <v>6.2462885938205757</v>
      </c>
      <c r="BE1080" s="2">
        <f>+AO1080*EXP(-0.024*Y1080)</f>
        <v>19.097148926304328</v>
      </c>
    </row>
    <row r="1081" spans="1:57" x14ac:dyDescent="0.2">
      <c r="A1081" s="2" t="s">
        <v>73</v>
      </c>
      <c r="B1081" s="2" t="s">
        <v>19</v>
      </c>
      <c r="C1081" s="2" t="s">
        <v>20</v>
      </c>
      <c r="D1081" s="2" t="s">
        <v>21</v>
      </c>
      <c r="E1081" s="2" t="s">
        <v>74</v>
      </c>
      <c r="F1081" s="2">
        <v>3</v>
      </c>
      <c r="G1081" s="2">
        <v>38</v>
      </c>
      <c r="H1081" s="2">
        <v>1</v>
      </c>
      <c r="I1081" s="2">
        <v>1</v>
      </c>
      <c r="J1081" s="2">
        <v>1</v>
      </c>
      <c r="K1081" s="2" t="s">
        <v>61</v>
      </c>
      <c r="L1081" s="6" t="s">
        <v>75</v>
      </c>
      <c r="M1081" s="5">
        <v>290000000</v>
      </c>
      <c r="N1081" s="2">
        <v>0</v>
      </c>
      <c r="O1081" s="2">
        <v>4.6435795000000004</v>
      </c>
      <c r="P1081" s="2">
        <v>-74.062939999999998</v>
      </c>
      <c r="Q1081" s="2" t="s">
        <v>76</v>
      </c>
      <c r="R1081" s="2">
        <v>7631578.9469999997</v>
      </c>
      <c r="S1081" s="2">
        <v>0</v>
      </c>
      <c r="T1081" s="2" t="s">
        <v>77</v>
      </c>
      <c r="U1081" s="2" t="s">
        <v>78</v>
      </c>
      <c r="V1081" s="2" t="s">
        <v>28</v>
      </c>
      <c r="W1081" s="2" t="s">
        <v>79</v>
      </c>
      <c r="X1081" s="2" t="s">
        <v>80</v>
      </c>
      <c r="Y1081" s="2">
        <v>2.0634388852737602</v>
      </c>
      <c r="Z1081" s="2">
        <v>4.6254861111111101</v>
      </c>
      <c r="AA1081" s="2">
        <v>-74.066980555555503</v>
      </c>
      <c r="AB1081" s="2">
        <v>2621</v>
      </c>
      <c r="AC1081" s="2" t="s">
        <v>31</v>
      </c>
      <c r="AD1081" s="2" t="s">
        <v>32</v>
      </c>
      <c r="AE1081" s="2" t="s">
        <v>33</v>
      </c>
      <c r="AF1081" s="2" t="s">
        <v>34</v>
      </c>
      <c r="AG1081" s="2" t="s">
        <v>81</v>
      </c>
      <c r="AH1081" s="2">
        <v>0.32701456601360301</v>
      </c>
      <c r="AI1081" s="2">
        <v>0.66749948373429002</v>
      </c>
      <c r="AJ1081" s="2">
        <v>0.34368656240882101</v>
      </c>
      <c r="AK1081" s="2">
        <v>0.15088593657268601</v>
      </c>
      <c r="AL1081" s="2">
        <v>0.34003231823013802</v>
      </c>
      <c r="AN1081" s="2">
        <v>6.8</v>
      </c>
      <c r="AO1081" s="2">
        <v>19.899999999999999</v>
      </c>
      <c r="AP1081" s="2">
        <v>564</v>
      </c>
      <c r="AQ1081" s="2">
        <v>68</v>
      </c>
      <c r="AR1081" s="2">
        <v>1.5</v>
      </c>
      <c r="AS1081" s="2">
        <v>135</v>
      </c>
      <c r="AT1081" s="2">
        <v>0.8</v>
      </c>
      <c r="AU1081" s="2">
        <v>162</v>
      </c>
      <c r="AV1081" s="2">
        <v>9.1</v>
      </c>
      <c r="AW1081" s="2">
        <v>9.1999999999999993</v>
      </c>
      <c r="AX1081" s="2">
        <v>18.3</v>
      </c>
      <c r="AY1081" s="2">
        <v>0.34</v>
      </c>
      <c r="AZ1081" s="2">
        <v>7.3</v>
      </c>
      <c r="BA1081" s="2">
        <v>0.9</v>
      </c>
      <c r="BB1081" s="2">
        <v>7.5</v>
      </c>
      <c r="BC1081" s="2">
        <v>2.9</v>
      </c>
      <c r="BD1081" s="2">
        <f>+AN1081*EXP(-0.0495*Y1081)</f>
        <v>6.1397399470473113</v>
      </c>
      <c r="BE1081" s="2">
        <f>+AO1081*EXP(-0.024*Y1081)</f>
        <v>18.938505896084546</v>
      </c>
    </row>
    <row r="1082" spans="1:57" x14ac:dyDescent="0.2">
      <c r="A1082" s="2" t="s">
        <v>4464</v>
      </c>
      <c r="B1082" s="2" t="s">
        <v>19</v>
      </c>
      <c r="C1082" s="2" t="s">
        <v>3245</v>
      </c>
      <c r="D1082" s="2" t="s">
        <v>21</v>
      </c>
      <c r="E1082" s="2" t="s">
        <v>2973</v>
      </c>
      <c r="F1082" s="2">
        <v>3</v>
      </c>
      <c r="G1082" s="2">
        <v>38</v>
      </c>
      <c r="H1082" s="2">
        <v>1</v>
      </c>
      <c r="I1082" s="2">
        <v>1</v>
      </c>
      <c r="J1082" s="2">
        <v>0</v>
      </c>
      <c r="K1082" s="2" t="s">
        <v>61</v>
      </c>
      <c r="L1082" s="6" t="s">
        <v>62</v>
      </c>
      <c r="M1082" s="5">
        <v>245000000</v>
      </c>
      <c r="N1082" s="2">
        <v>0</v>
      </c>
      <c r="O1082" s="2">
        <v>4.6890258789999999</v>
      </c>
      <c r="P1082" s="2">
        <v>-74.090217589999995</v>
      </c>
      <c r="Q1082" s="2" t="s">
        <v>4465</v>
      </c>
      <c r="R1082" s="2">
        <v>6447368.4210000001</v>
      </c>
      <c r="S1082" s="2">
        <v>0</v>
      </c>
      <c r="T1082" s="2" t="s">
        <v>26</v>
      </c>
      <c r="U1082" s="2" t="s">
        <v>27</v>
      </c>
      <c r="V1082" s="2" t="s">
        <v>28</v>
      </c>
      <c r="W1082" s="2" t="s">
        <v>29</v>
      </c>
      <c r="X1082" s="2" t="s">
        <v>30</v>
      </c>
      <c r="Y1082" s="2">
        <v>3.4718121696725301</v>
      </c>
      <c r="Z1082" s="2">
        <v>4.6584666666666701</v>
      </c>
      <c r="AA1082" s="2">
        <v>-74.083966666666697</v>
      </c>
      <c r="AB1082" s="2">
        <v>2552</v>
      </c>
      <c r="AC1082" s="2" t="s">
        <v>31</v>
      </c>
      <c r="AD1082" s="2" t="s">
        <v>32</v>
      </c>
      <c r="AE1082" s="2" t="s">
        <v>33</v>
      </c>
      <c r="AF1082" s="2" t="s">
        <v>34</v>
      </c>
      <c r="AG1082" s="2" t="s">
        <v>363</v>
      </c>
      <c r="AH1082" s="2">
        <v>0.64117938652268502</v>
      </c>
      <c r="AI1082" s="2">
        <v>5.6299208137604602</v>
      </c>
      <c r="AJ1082" s="2">
        <v>1.3505194844522099</v>
      </c>
      <c r="AK1082" s="2">
        <v>0.29579557566659898</v>
      </c>
      <c r="AL1082" s="2">
        <v>1.25731291211019E-2</v>
      </c>
      <c r="AN1082" s="2">
        <v>6.8</v>
      </c>
      <c r="AO1082" s="2">
        <v>19.899999999999999</v>
      </c>
      <c r="AP1082" s="2">
        <v>564</v>
      </c>
      <c r="AQ1082" s="2">
        <v>68</v>
      </c>
      <c r="AR1082" s="2">
        <v>1.5</v>
      </c>
      <c r="AS1082" s="2">
        <v>135</v>
      </c>
      <c r="AT1082" s="2">
        <v>0.8</v>
      </c>
      <c r="AU1082" s="2">
        <v>162</v>
      </c>
      <c r="AV1082" s="2">
        <v>9.1</v>
      </c>
      <c r="AW1082" s="2">
        <v>9.1999999999999993</v>
      </c>
      <c r="AX1082" s="2">
        <v>18.3</v>
      </c>
      <c r="AY1082" s="2">
        <v>0.34</v>
      </c>
      <c r="AZ1082" s="2">
        <v>7.3</v>
      </c>
      <c r="BA1082" s="2">
        <v>0.9</v>
      </c>
      <c r="BB1082" s="2">
        <v>7.5</v>
      </c>
      <c r="BC1082" s="2">
        <v>2.9</v>
      </c>
      <c r="BD1082" s="2">
        <f>+AN1082*EXP(-0.0495*Y1082)</f>
        <v>5.7262903333530106</v>
      </c>
      <c r="BE1082" s="2">
        <f>+AO1082*EXP(-0.024*Y1082)</f>
        <v>18.309064034518272</v>
      </c>
    </row>
    <row r="1083" spans="1:57" x14ac:dyDescent="0.2">
      <c r="A1083" s="2" t="s">
        <v>4092</v>
      </c>
      <c r="B1083" s="2" t="s">
        <v>19</v>
      </c>
      <c r="C1083" s="2" t="s">
        <v>3245</v>
      </c>
      <c r="D1083" s="2" t="s">
        <v>21</v>
      </c>
      <c r="E1083" s="2" t="s">
        <v>2973</v>
      </c>
      <c r="F1083" s="2">
        <v>3</v>
      </c>
      <c r="G1083" s="2">
        <v>38</v>
      </c>
      <c r="H1083" s="2">
        <v>1</v>
      </c>
      <c r="I1083" s="2">
        <v>1</v>
      </c>
      <c r="J1083" s="2">
        <v>0</v>
      </c>
      <c r="K1083" s="2" t="s">
        <v>61</v>
      </c>
      <c r="L1083" s="6" t="s">
        <v>62</v>
      </c>
      <c r="M1083" s="5">
        <v>240000000</v>
      </c>
      <c r="N1083" s="2">
        <v>0</v>
      </c>
      <c r="O1083" s="2">
        <v>4.6068800000000003</v>
      </c>
      <c r="P1083" s="2">
        <v>-74.071839999999995</v>
      </c>
      <c r="Q1083" s="2" t="s">
        <v>4093</v>
      </c>
      <c r="R1083" s="2">
        <v>6315789.4740000004</v>
      </c>
      <c r="S1083" s="2">
        <v>0</v>
      </c>
      <c r="T1083" s="2" t="s">
        <v>77</v>
      </c>
      <c r="U1083" s="2" t="s">
        <v>78</v>
      </c>
      <c r="V1083" s="2" t="s">
        <v>28</v>
      </c>
      <c r="W1083" s="2" t="s">
        <v>79</v>
      </c>
      <c r="X1083" s="2" t="s">
        <v>80</v>
      </c>
      <c r="Y1083" s="2">
        <v>2.1402561574389298</v>
      </c>
      <c r="Z1083" s="2">
        <v>4.6254861111111101</v>
      </c>
      <c r="AA1083" s="2">
        <v>-74.066980555555503</v>
      </c>
      <c r="AB1083" s="2">
        <v>2621</v>
      </c>
      <c r="AC1083" s="2" t="s">
        <v>31</v>
      </c>
      <c r="AD1083" s="2" t="s">
        <v>32</v>
      </c>
      <c r="AE1083" s="2" t="s">
        <v>33</v>
      </c>
      <c r="AF1083" s="2" t="s">
        <v>34</v>
      </c>
      <c r="AG1083" s="2" t="s">
        <v>89</v>
      </c>
      <c r="AH1083" s="2">
        <v>0.29008746862006501</v>
      </c>
      <c r="AI1083" s="2">
        <v>0.77934653195057702</v>
      </c>
      <c r="AJ1083" s="2">
        <v>0.133869760857704</v>
      </c>
      <c r="AK1083" s="2">
        <v>0.14893351680112499</v>
      </c>
      <c r="AL1083" s="2">
        <v>0.10054457565418499</v>
      </c>
      <c r="AN1083" s="2">
        <v>6.8</v>
      </c>
      <c r="AO1083" s="2">
        <v>19.899999999999999</v>
      </c>
      <c r="AP1083" s="2">
        <v>564</v>
      </c>
      <c r="AQ1083" s="2">
        <v>68</v>
      </c>
      <c r="AR1083" s="2">
        <v>1.5</v>
      </c>
      <c r="AS1083" s="2">
        <v>135</v>
      </c>
      <c r="AT1083" s="2">
        <v>0.8</v>
      </c>
      <c r="AU1083" s="2">
        <v>162</v>
      </c>
      <c r="AV1083" s="2">
        <v>9.1</v>
      </c>
      <c r="AW1083" s="2">
        <v>9.1999999999999993</v>
      </c>
      <c r="AX1083" s="2">
        <v>18.3</v>
      </c>
      <c r="AY1083" s="2">
        <v>0.34</v>
      </c>
      <c r="AZ1083" s="2">
        <v>7.3</v>
      </c>
      <c r="BA1083" s="2">
        <v>0.9</v>
      </c>
      <c r="BB1083" s="2">
        <v>7.5</v>
      </c>
      <c r="BC1083" s="2">
        <v>2.9</v>
      </c>
      <c r="BD1083" s="2">
        <f>+AN1083*EXP(-0.0495*Y1083)</f>
        <v>6.1164381923702731</v>
      </c>
      <c r="BE1083" s="2">
        <f>+AO1083*EXP(-0.024*Y1083)</f>
        <v>18.903622756812478</v>
      </c>
    </row>
    <row r="1084" spans="1:57" x14ac:dyDescent="0.2">
      <c r="A1084" s="2" t="s">
        <v>3675</v>
      </c>
      <c r="B1084" s="2" t="s">
        <v>19</v>
      </c>
      <c r="C1084" s="2" t="s">
        <v>3245</v>
      </c>
      <c r="D1084" s="2" t="s">
        <v>21</v>
      </c>
      <c r="E1084" s="2" t="s">
        <v>1597</v>
      </c>
      <c r="F1084" s="2">
        <v>3</v>
      </c>
      <c r="G1084" s="2">
        <v>37.99</v>
      </c>
      <c r="H1084" s="2">
        <v>1</v>
      </c>
      <c r="I1084" s="2">
        <v>1</v>
      </c>
      <c r="J1084" s="2">
        <v>1</v>
      </c>
      <c r="K1084" s="2" t="s">
        <v>61</v>
      </c>
      <c r="L1084" s="6" t="s">
        <v>62</v>
      </c>
      <c r="M1084" s="5">
        <v>395000000</v>
      </c>
      <c r="N1084" s="2">
        <v>0</v>
      </c>
      <c r="O1084" s="2">
        <v>4.6103100000000001</v>
      </c>
      <c r="P1084" s="2">
        <v>-74.070229999999995</v>
      </c>
      <c r="Q1084" s="2" t="s">
        <v>3676</v>
      </c>
      <c r="R1084" s="2">
        <v>10397473.02</v>
      </c>
      <c r="S1084" s="2">
        <v>0</v>
      </c>
      <c r="T1084" s="2" t="s">
        <v>77</v>
      </c>
      <c r="U1084" s="2" t="s">
        <v>78</v>
      </c>
      <c r="V1084" s="2" t="s">
        <v>28</v>
      </c>
      <c r="W1084" s="2" t="s">
        <v>79</v>
      </c>
      <c r="X1084" s="2" t="s">
        <v>80</v>
      </c>
      <c r="Y1084" s="2">
        <v>1.72744320336118</v>
      </c>
      <c r="Z1084" s="2">
        <v>4.6254861111111101</v>
      </c>
      <c r="AA1084" s="2">
        <v>-74.066980555555503</v>
      </c>
      <c r="AB1084" s="2">
        <v>2621</v>
      </c>
      <c r="AC1084" s="2" t="s">
        <v>31</v>
      </c>
      <c r="AD1084" s="2" t="s">
        <v>32</v>
      </c>
      <c r="AE1084" s="2" t="s">
        <v>33</v>
      </c>
      <c r="AF1084" s="2" t="s">
        <v>34</v>
      </c>
      <c r="AG1084" s="2" t="s">
        <v>89</v>
      </c>
      <c r="AH1084" s="2">
        <v>0.15515953137897601</v>
      </c>
      <c r="AI1084" s="2">
        <v>0.62407257274768302</v>
      </c>
      <c r="AJ1084" s="2">
        <v>0.28671928291069099</v>
      </c>
      <c r="AK1084" s="2">
        <v>0.27424663186648801</v>
      </c>
      <c r="AL1084" s="2">
        <v>6.7417050277719007E-2</v>
      </c>
      <c r="AN1084" s="2">
        <v>6.8</v>
      </c>
      <c r="AO1084" s="2">
        <v>19.899999999999999</v>
      </c>
      <c r="AP1084" s="2">
        <v>564</v>
      </c>
      <c r="AQ1084" s="2">
        <v>68</v>
      </c>
      <c r="AR1084" s="2">
        <v>1.5</v>
      </c>
      <c r="AS1084" s="2">
        <v>135</v>
      </c>
      <c r="AT1084" s="2">
        <v>0.8</v>
      </c>
      <c r="AU1084" s="2">
        <v>162</v>
      </c>
      <c r="AV1084" s="2">
        <v>9.1</v>
      </c>
      <c r="AW1084" s="2">
        <v>9.1999999999999993</v>
      </c>
      <c r="AX1084" s="2">
        <v>18.3</v>
      </c>
      <c r="AY1084" s="2">
        <v>0.34</v>
      </c>
      <c r="AZ1084" s="2">
        <v>7.3</v>
      </c>
      <c r="BA1084" s="2">
        <v>0.9</v>
      </c>
      <c r="BB1084" s="2">
        <v>7.5</v>
      </c>
      <c r="BC1084" s="2">
        <v>2.9</v>
      </c>
      <c r="BD1084" s="2">
        <f>+AN1084*EXP(-0.0495*Y1084)</f>
        <v>6.2427086930343227</v>
      </c>
      <c r="BE1084" s="2">
        <f>+AO1084*EXP(-0.024*Y1084)</f>
        <v>19.091841455079702</v>
      </c>
    </row>
    <row r="1085" spans="1:57" x14ac:dyDescent="0.2">
      <c r="A1085" s="2" t="s">
        <v>3708</v>
      </c>
      <c r="B1085" s="2" t="s">
        <v>19</v>
      </c>
      <c r="C1085" s="2" t="s">
        <v>3245</v>
      </c>
      <c r="D1085" s="2" t="s">
        <v>21</v>
      </c>
      <c r="E1085" s="2" t="s">
        <v>1049</v>
      </c>
      <c r="F1085" s="2">
        <v>3</v>
      </c>
      <c r="G1085" s="2">
        <v>37.82</v>
      </c>
      <c r="H1085" s="2">
        <v>1</v>
      </c>
      <c r="I1085" s="2">
        <v>1</v>
      </c>
      <c r="J1085" s="2">
        <v>0</v>
      </c>
      <c r="K1085" s="2" t="s">
        <v>61</v>
      </c>
      <c r="L1085" s="6" t="s">
        <v>62</v>
      </c>
      <c r="M1085" s="5">
        <v>450000000</v>
      </c>
      <c r="N1085" s="2">
        <v>0</v>
      </c>
      <c r="O1085" s="2">
        <v>4.6102980999999996</v>
      </c>
      <c r="P1085" s="2">
        <v>-74.070298399999999</v>
      </c>
      <c r="Q1085" s="2" t="s">
        <v>3709</v>
      </c>
      <c r="R1085" s="2">
        <v>11898466.42</v>
      </c>
      <c r="S1085" s="2">
        <v>0</v>
      </c>
      <c r="T1085" s="2" t="s">
        <v>77</v>
      </c>
      <c r="U1085" s="2" t="s">
        <v>78</v>
      </c>
      <c r="V1085" s="2" t="s">
        <v>28</v>
      </c>
      <c r="W1085" s="2" t="s">
        <v>79</v>
      </c>
      <c r="X1085" s="2" t="s">
        <v>80</v>
      </c>
      <c r="Y1085" s="2">
        <v>1.7303375746377301</v>
      </c>
      <c r="Z1085" s="2">
        <v>4.6254861111111101</v>
      </c>
      <c r="AA1085" s="2">
        <v>-74.066980555555503</v>
      </c>
      <c r="AB1085" s="2">
        <v>2621</v>
      </c>
      <c r="AC1085" s="2" t="s">
        <v>31</v>
      </c>
      <c r="AD1085" s="2" t="s">
        <v>32</v>
      </c>
      <c r="AE1085" s="2" t="s">
        <v>33</v>
      </c>
      <c r="AF1085" s="2" t="s">
        <v>34</v>
      </c>
      <c r="AG1085" s="2" t="s">
        <v>89</v>
      </c>
      <c r="AH1085" s="2">
        <v>0.14889056018687899</v>
      </c>
      <c r="AI1085" s="2">
        <v>0.63114810933434495</v>
      </c>
      <c r="AJ1085" s="2">
        <v>0.28072151144425</v>
      </c>
      <c r="AK1085" s="2">
        <v>0.270932764878279</v>
      </c>
      <c r="AL1085" s="2">
        <v>6.1498804287053697E-2</v>
      </c>
      <c r="AN1085" s="2">
        <v>6.8</v>
      </c>
      <c r="AO1085" s="2">
        <v>19.899999999999999</v>
      </c>
      <c r="AP1085" s="2">
        <v>564</v>
      </c>
      <c r="AQ1085" s="2">
        <v>68</v>
      </c>
      <c r="AR1085" s="2">
        <v>1.5</v>
      </c>
      <c r="AS1085" s="2">
        <v>135</v>
      </c>
      <c r="AT1085" s="2">
        <v>0.8</v>
      </c>
      <c r="AU1085" s="2">
        <v>162</v>
      </c>
      <c r="AV1085" s="2">
        <v>9.1</v>
      </c>
      <c r="AW1085" s="2">
        <v>9.1999999999999993</v>
      </c>
      <c r="AX1085" s="2">
        <v>18.3</v>
      </c>
      <c r="AY1085" s="2">
        <v>0.34</v>
      </c>
      <c r="AZ1085" s="2">
        <v>7.3</v>
      </c>
      <c r="BA1085" s="2">
        <v>0.9</v>
      </c>
      <c r="BB1085" s="2">
        <v>7.5</v>
      </c>
      <c r="BC1085" s="2">
        <v>2.9</v>
      </c>
      <c r="BD1085" s="2">
        <f>+AN1085*EXP(-0.0495*Y1085)</f>
        <v>6.2418143556242436</v>
      </c>
      <c r="BE1085" s="2">
        <f>+AO1085*EXP(-0.024*Y1085)</f>
        <v>19.090515288080695</v>
      </c>
    </row>
    <row r="1086" spans="1:57" x14ac:dyDescent="0.2">
      <c r="A1086" s="2" t="s">
        <v>3680</v>
      </c>
      <c r="B1086" s="2" t="s">
        <v>19</v>
      </c>
      <c r="C1086" s="2" t="s">
        <v>3245</v>
      </c>
      <c r="D1086" s="2" t="s">
        <v>21</v>
      </c>
      <c r="E1086" s="2" t="s">
        <v>1049</v>
      </c>
      <c r="F1086" s="2">
        <v>4</v>
      </c>
      <c r="G1086" s="2">
        <v>37.25</v>
      </c>
      <c r="H1086" s="2">
        <v>1</v>
      </c>
      <c r="I1086" s="2">
        <v>1</v>
      </c>
      <c r="J1086" s="2">
        <v>1</v>
      </c>
      <c r="K1086" s="2" t="s">
        <v>61</v>
      </c>
      <c r="L1086" s="6" t="s">
        <v>84</v>
      </c>
      <c r="M1086" s="5">
        <v>380000000</v>
      </c>
      <c r="N1086" s="2">
        <v>0</v>
      </c>
      <c r="O1086" s="2">
        <v>4.6083889999999998</v>
      </c>
      <c r="P1086" s="2">
        <v>-74.069159999999997</v>
      </c>
      <c r="Q1086" s="2" t="s">
        <v>3681</v>
      </c>
      <c r="R1086" s="2">
        <v>10201342.279999999</v>
      </c>
      <c r="S1086" s="2">
        <v>0</v>
      </c>
      <c r="T1086" s="2" t="s">
        <v>77</v>
      </c>
      <c r="U1086" s="2" t="s">
        <v>78</v>
      </c>
      <c r="V1086" s="2" t="s">
        <v>28</v>
      </c>
      <c r="W1086" s="2" t="s">
        <v>79</v>
      </c>
      <c r="X1086" s="2" t="s">
        <v>80</v>
      </c>
      <c r="Y1086" s="2">
        <v>1.9185435796030901</v>
      </c>
      <c r="Z1086" s="2">
        <v>4.6254861111111101</v>
      </c>
      <c r="AA1086" s="2">
        <v>-74.066980555555503</v>
      </c>
      <c r="AB1086" s="2">
        <v>2621</v>
      </c>
      <c r="AC1086" s="2" t="s">
        <v>31</v>
      </c>
      <c r="AD1086" s="2" t="s">
        <v>32</v>
      </c>
      <c r="AE1086" s="2" t="s">
        <v>33</v>
      </c>
      <c r="AF1086" s="2" t="s">
        <v>34</v>
      </c>
      <c r="AG1086" s="2" t="s">
        <v>89</v>
      </c>
      <c r="AH1086" s="2">
        <v>0.37985071794253999</v>
      </c>
      <c r="AI1086" s="2">
        <v>0.47714733587672897</v>
      </c>
      <c r="AJ1086" s="2">
        <v>0.22260628531002499</v>
      </c>
      <c r="AK1086" s="2">
        <v>0.16291863058549499</v>
      </c>
      <c r="AL1086" s="2">
        <v>6.9023465601551398E-2</v>
      </c>
      <c r="AN1086" s="2">
        <v>6.8</v>
      </c>
      <c r="AO1086" s="2">
        <v>19.899999999999999</v>
      </c>
      <c r="AP1086" s="2">
        <v>564</v>
      </c>
      <c r="AQ1086" s="2">
        <v>68</v>
      </c>
      <c r="AR1086" s="2">
        <v>1.5</v>
      </c>
      <c r="AS1086" s="2">
        <v>135</v>
      </c>
      <c r="AT1086" s="2">
        <v>0.8</v>
      </c>
      <c r="AU1086" s="2">
        <v>162</v>
      </c>
      <c r="AV1086" s="2">
        <v>9.1</v>
      </c>
      <c r="AW1086" s="2">
        <v>9.1999999999999993</v>
      </c>
      <c r="AX1086" s="2">
        <v>18.3</v>
      </c>
      <c r="AY1086" s="2">
        <v>0.34</v>
      </c>
      <c r="AZ1086" s="2">
        <v>7.3</v>
      </c>
      <c r="BA1086" s="2">
        <v>0.9</v>
      </c>
      <c r="BB1086" s="2">
        <v>7.5</v>
      </c>
      <c r="BC1086" s="2">
        <v>2.9</v>
      </c>
      <c r="BD1086" s="2">
        <f>+AN1086*EXP(-0.0495*Y1086)</f>
        <v>6.1839344110293641</v>
      </c>
      <c r="BE1086" s="2">
        <f>+AO1086*EXP(-0.024*Y1086)</f>
        <v>19.00447895425603</v>
      </c>
    </row>
    <row r="1087" spans="1:57" x14ac:dyDescent="0.2">
      <c r="A1087" s="2" t="s">
        <v>4056</v>
      </c>
      <c r="B1087" s="2" t="s">
        <v>19</v>
      </c>
      <c r="C1087" s="2" t="s">
        <v>3245</v>
      </c>
      <c r="D1087" s="2" t="s">
        <v>21</v>
      </c>
      <c r="E1087" s="2" t="s">
        <v>1481</v>
      </c>
      <c r="F1087" s="2">
        <v>4</v>
      </c>
      <c r="G1087" s="2">
        <v>37</v>
      </c>
      <c r="H1087" s="2">
        <v>1</v>
      </c>
      <c r="I1087" s="2">
        <v>2</v>
      </c>
      <c r="J1087" s="2">
        <v>1</v>
      </c>
      <c r="K1087" s="2" t="s">
        <v>61</v>
      </c>
      <c r="L1087" s="6" t="s">
        <v>62</v>
      </c>
      <c r="M1087" s="5">
        <v>360000000</v>
      </c>
      <c r="N1087" s="2">
        <v>0</v>
      </c>
      <c r="O1087" s="2">
        <v>4.6181862450000004</v>
      </c>
      <c r="P1087" s="2">
        <v>-74.065757989999994</v>
      </c>
      <c r="Q1087" s="2" t="s">
        <v>4057</v>
      </c>
      <c r="R1087" s="2">
        <v>9729729.7300000004</v>
      </c>
      <c r="S1087" s="2">
        <v>0</v>
      </c>
      <c r="T1087" s="2" t="s">
        <v>77</v>
      </c>
      <c r="U1087" s="2" t="s">
        <v>78</v>
      </c>
      <c r="V1087" s="2" t="s">
        <v>28</v>
      </c>
      <c r="W1087" s="2" t="s">
        <v>79</v>
      </c>
      <c r="X1087" s="2" t="s">
        <v>80</v>
      </c>
      <c r="Y1087" s="2">
        <v>0.82386205927169598</v>
      </c>
      <c r="Z1087" s="2">
        <v>4.6254861111111101</v>
      </c>
      <c r="AA1087" s="2">
        <v>-74.066980555555503</v>
      </c>
      <c r="AB1087" s="2">
        <v>2621</v>
      </c>
      <c r="AC1087" s="2" t="s">
        <v>31</v>
      </c>
      <c r="AD1087" s="2" t="s">
        <v>32</v>
      </c>
      <c r="AE1087" s="2" t="s">
        <v>33</v>
      </c>
      <c r="AF1087" s="2" t="s">
        <v>34</v>
      </c>
      <c r="AG1087" s="2" t="s">
        <v>89</v>
      </c>
      <c r="AH1087" s="2">
        <v>0.50342404242213901</v>
      </c>
      <c r="AI1087" s="2">
        <v>0.37576779931119098</v>
      </c>
      <c r="AJ1087" s="2">
        <v>0.30625586355918699</v>
      </c>
      <c r="AK1087" s="2">
        <v>0.20103956032187401</v>
      </c>
      <c r="AL1087" s="2">
        <v>1.01802202425018E-2</v>
      </c>
      <c r="AN1087" s="2">
        <v>6.8</v>
      </c>
      <c r="AO1087" s="2">
        <v>19.899999999999999</v>
      </c>
      <c r="AP1087" s="2">
        <v>564</v>
      </c>
      <c r="AQ1087" s="2">
        <v>68</v>
      </c>
      <c r="AR1087" s="2">
        <v>1.5</v>
      </c>
      <c r="AS1087" s="2">
        <v>135</v>
      </c>
      <c r="AT1087" s="2">
        <v>0.8</v>
      </c>
      <c r="AU1087" s="2">
        <v>162</v>
      </c>
      <c r="AV1087" s="2">
        <v>9.1</v>
      </c>
      <c r="AW1087" s="2">
        <v>9.1999999999999993</v>
      </c>
      <c r="AX1087" s="2">
        <v>18.3</v>
      </c>
      <c r="AY1087" s="2">
        <v>0.34</v>
      </c>
      <c r="AZ1087" s="2">
        <v>7.3</v>
      </c>
      <c r="BA1087" s="2">
        <v>0.9</v>
      </c>
      <c r="BB1087" s="2">
        <v>7.5</v>
      </c>
      <c r="BC1087" s="2">
        <v>2.9</v>
      </c>
      <c r="BD1087" s="2">
        <f>+AN1087*EXP(-0.0495*Y1087)</f>
        <v>6.5282664952828835</v>
      </c>
      <c r="BE1087" s="2">
        <f>+AO1087*EXP(-0.024*Y1087)</f>
        <v>19.510388012356717</v>
      </c>
    </row>
    <row r="1088" spans="1:57" x14ac:dyDescent="0.2">
      <c r="A1088" s="2" t="s">
        <v>4498</v>
      </c>
      <c r="B1088" s="2" t="s">
        <v>19</v>
      </c>
      <c r="C1088" s="2" t="s">
        <v>3245</v>
      </c>
      <c r="D1088" s="2" t="s">
        <v>21</v>
      </c>
      <c r="E1088" s="2" t="s">
        <v>74</v>
      </c>
      <c r="F1088" s="2">
        <v>3</v>
      </c>
      <c r="G1088" s="2">
        <v>37</v>
      </c>
      <c r="H1088" s="2">
        <v>1</v>
      </c>
      <c r="I1088" s="2">
        <v>1</v>
      </c>
      <c r="J1088" s="2">
        <v>1</v>
      </c>
      <c r="K1088" s="2" t="s">
        <v>61</v>
      </c>
      <c r="L1088" s="6" t="s">
        <v>75</v>
      </c>
      <c r="M1088" s="5">
        <v>330000000</v>
      </c>
      <c r="N1088" s="2">
        <v>0</v>
      </c>
      <c r="O1088" s="2">
        <v>4.6415800000000003</v>
      </c>
      <c r="P1088" s="2">
        <v>-74.062780000000004</v>
      </c>
      <c r="Q1088" s="2" t="s">
        <v>4499</v>
      </c>
      <c r="R1088" s="2">
        <v>8918918.9189999998</v>
      </c>
      <c r="S1088" s="2">
        <v>0</v>
      </c>
      <c r="T1088" s="2" t="s">
        <v>77</v>
      </c>
      <c r="U1088" s="2" t="s">
        <v>78</v>
      </c>
      <c r="V1088" s="2" t="s">
        <v>28</v>
      </c>
      <c r="W1088" s="2" t="s">
        <v>79</v>
      </c>
      <c r="X1088" s="2" t="s">
        <v>80</v>
      </c>
      <c r="Y1088" s="2">
        <v>1.851195876554</v>
      </c>
      <c r="Z1088" s="2">
        <v>4.6254861111111101</v>
      </c>
      <c r="AA1088" s="2">
        <v>-74.066980555555503</v>
      </c>
      <c r="AB1088" s="2">
        <v>2621</v>
      </c>
      <c r="AC1088" s="2" t="s">
        <v>31</v>
      </c>
      <c r="AD1088" s="2" t="s">
        <v>32</v>
      </c>
      <c r="AE1088" s="2" t="s">
        <v>33</v>
      </c>
      <c r="AF1088" s="2" t="s">
        <v>34</v>
      </c>
      <c r="AG1088" s="2" t="s">
        <v>81</v>
      </c>
      <c r="AH1088" s="2">
        <v>0.37181355826780998</v>
      </c>
      <c r="AI1088" s="2">
        <v>0.58057589205625304</v>
      </c>
      <c r="AJ1088" s="2">
        <v>0.42845221417428297</v>
      </c>
      <c r="AK1088" s="2">
        <v>7.9902792317661203E-2</v>
      </c>
      <c r="AL1088" s="2">
        <v>0.233921311851125</v>
      </c>
      <c r="AN1088" s="2">
        <v>6.8</v>
      </c>
      <c r="AO1088" s="2">
        <v>19.899999999999999</v>
      </c>
      <c r="AP1088" s="2">
        <v>564</v>
      </c>
      <c r="AQ1088" s="2">
        <v>68</v>
      </c>
      <c r="AR1088" s="2">
        <v>1.5</v>
      </c>
      <c r="AS1088" s="2">
        <v>135</v>
      </c>
      <c r="AT1088" s="2">
        <v>0.8</v>
      </c>
      <c r="AU1088" s="2">
        <v>162</v>
      </c>
      <c r="AV1088" s="2">
        <v>9.1</v>
      </c>
      <c r="AW1088" s="2">
        <v>9.1999999999999993</v>
      </c>
      <c r="AX1088" s="2">
        <v>18.3</v>
      </c>
      <c r="AY1088" s="2">
        <v>0.34</v>
      </c>
      <c r="AZ1088" s="2">
        <v>7.3</v>
      </c>
      <c r="BA1088" s="2">
        <v>0.9</v>
      </c>
      <c r="BB1088" s="2">
        <v>7.5</v>
      </c>
      <c r="BC1088" s="2">
        <v>2.9</v>
      </c>
      <c r="BD1088" s="2">
        <f>+AN1088*EXP(-0.0495*Y1088)</f>
        <v>6.2045842642595925</v>
      </c>
      <c r="BE1088" s="2">
        <f>+AO1088*EXP(-0.024*Y1088)</f>
        <v>19.035221585034879</v>
      </c>
    </row>
    <row r="1089" spans="1:57" x14ac:dyDescent="0.2">
      <c r="A1089" s="2" t="s">
        <v>3984</v>
      </c>
      <c r="B1089" s="2" t="s">
        <v>19</v>
      </c>
      <c r="C1089" s="2" t="s">
        <v>3245</v>
      </c>
      <c r="D1089" s="2" t="s">
        <v>21</v>
      </c>
      <c r="E1089" s="2" t="s">
        <v>3603</v>
      </c>
      <c r="F1089" s="2">
        <v>4</v>
      </c>
      <c r="G1089" s="2">
        <v>37</v>
      </c>
      <c r="H1089" s="2">
        <v>1</v>
      </c>
      <c r="I1089" s="2">
        <v>1</v>
      </c>
      <c r="J1089" s="2">
        <v>0</v>
      </c>
      <c r="K1089" s="2" t="s">
        <v>61</v>
      </c>
      <c r="L1089" s="6" t="s">
        <v>84</v>
      </c>
      <c r="M1089" s="5">
        <v>320000000</v>
      </c>
      <c r="N1089" s="2">
        <v>0</v>
      </c>
      <c r="O1089" s="2">
        <v>4.6120699500000004</v>
      </c>
      <c r="P1089" s="2">
        <v>-74.066647540000005</v>
      </c>
      <c r="Q1089" s="2" t="s">
        <v>3985</v>
      </c>
      <c r="R1089" s="2">
        <v>8648648.6490000002</v>
      </c>
      <c r="S1089" s="2">
        <v>0</v>
      </c>
      <c r="T1089" s="2" t="s">
        <v>77</v>
      </c>
      <c r="U1089" s="2" t="s">
        <v>78</v>
      </c>
      <c r="V1089" s="2" t="s">
        <v>28</v>
      </c>
      <c r="W1089" s="2" t="s">
        <v>79</v>
      </c>
      <c r="X1089" s="2" t="s">
        <v>80</v>
      </c>
      <c r="Y1089" s="2">
        <v>1.4939372591161399</v>
      </c>
      <c r="Z1089" s="2">
        <v>4.6254861111111101</v>
      </c>
      <c r="AA1089" s="2">
        <v>-74.066980555555503</v>
      </c>
      <c r="AB1089" s="2">
        <v>2621</v>
      </c>
      <c r="AC1089" s="2" t="s">
        <v>31</v>
      </c>
      <c r="AD1089" s="2" t="s">
        <v>32</v>
      </c>
      <c r="AE1089" s="2" t="s">
        <v>33</v>
      </c>
      <c r="AF1089" s="2" t="s">
        <v>34</v>
      </c>
      <c r="AG1089" s="2" t="s">
        <v>89</v>
      </c>
      <c r="AH1089" s="2">
        <v>0.45284508780494198</v>
      </c>
      <c r="AI1089" s="2">
        <v>0.39138634335823702</v>
      </c>
      <c r="AJ1089" s="2">
        <v>0.40230668990590601</v>
      </c>
      <c r="AK1089" s="2">
        <v>0.34932020328626201</v>
      </c>
      <c r="AL1089" s="2">
        <v>8.2537261649329896E-2</v>
      </c>
      <c r="AN1089" s="2">
        <v>6.8</v>
      </c>
      <c r="AO1089" s="2">
        <v>19.899999999999999</v>
      </c>
      <c r="AP1089" s="2">
        <v>564</v>
      </c>
      <c r="AQ1089" s="2">
        <v>68</v>
      </c>
      <c r="AR1089" s="2">
        <v>1.5</v>
      </c>
      <c r="AS1089" s="2">
        <v>135</v>
      </c>
      <c r="AT1089" s="2">
        <v>0.8</v>
      </c>
      <c r="AU1089" s="2">
        <v>162</v>
      </c>
      <c r="AV1089" s="2">
        <v>9.1</v>
      </c>
      <c r="AW1089" s="2">
        <v>9.1999999999999993</v>
      </c>
      <c r="AX1089" s="2">
        <v>18.3</v>
      </c>
      <c r="AY1089" s="2">
        <v>0.34</v>
      </c>
      <c r="AZ1089" s="2">
        <v>7.3</v>
      </c>
      <c r="BA1089" s="2">
        <v>0.9</v>
      </c>
      <c r="BB1089" s="2">
        <v>7.5</v>
      </c>
      <c r="BC1089" s="2">
        <v>2.9</v>
      </c>
      <c r="BD1089" s="2">
        <f>+AN1089*EXP(-0.0495*Y1089)</f>
        <v>6.3152839417502076</v>
      </c>
      <c r="BE1089" s="2">
        <f>+AO1089*EXP(-0.024*Y1089)</f>
        <v>19.19913522225173</v>
      </c>
    </row>
    <row r="1090" spans="1:57" x14ac:dyDescent="0.2">
      <c r="A1090" s="2" t="s">
        <v>3843</v>
      </c>
      <c r="B1090" s="2" t="s">
        <v>19</v>
      </c>
      <c r="C1090" s="2" t="s">
        <v>3245</v>
      </c>
      <c r="D1090" s="2" t="s">
        <v>21</v>
      </c>
      <c r="E1090" s="2" t="s">
        <v>1481</v>
      </c>
      <c r="F1090" s="2">
        <v>3</v>
      </c>
      <c r="G1090" s="2">
        <v>36.67</v>
      </c>
      <c r="H1090" s="2">
        <v>1</v>
      </c>
      <c r="I1090" s="2">
        <v>1</v>
      </c>
      <c r="J1090" s="2">
        <v>0</v>
      </c>
      <c r="K1090" s="2" t="s">
        <v>61</v>
      </c>
      <c r="L1090" s="6" t="s">
        <v>84</v>
      </c>
      <c r="M1090" s="5">
        <v>340000000</v>
      </c>
      <c r="N1090" s="2">
        <v>0</v>
      </c>
      <c r="O1090" s="2">
        <v>4.6176311200000004</v>
      </c>
      <c r="P1090" s="2">
        <v>-74.066445700000003</v>
      </c>
      <c r="Q1090" s="2" t="s">
        <v>3844</v>
      </c>
      <c r="R1090" s="2">
        <v>9271884.3739999998</v>
      </c>
      <c r="S1090" s="2">
        <v>0</v>
      </c>
      <c r="T1090" s="2" t="s">
        <v>77</v>
      </c>
      <c r="U1090" s="2" t="s">
        <v>78</v>
      </c>
      <c r="V1090" s="2" t="s">
        <v>28</v>
      </c>
      <c r="W1090" s="2" t="s">
        <v>79</v>
      </c>
      <c r="X1090" s="2" t="s">
        <v>80</v>
      </c>
      <c r="Y1090" s="2">
        <v>0.87642520579534799</v>
      </c>
      <c r="Z1090" s="2">
        <v>4.6254861111111101</v>
      </c>
      <c r="AA1090" s="2">
        <v>-74.066980555555503</v>
      </c>
      <c r="AB1090" s="2">
        <v>2621</v>
      </c>
      <c r="AC1090" s="2" t="s">
        <v>31</v>
      </c>
      <c r="AD1090" s="2" t="s">
        <v>32</v>
      </c>
      <c r="AE1090" s="2" t="s">
        <v>33</v>
      </c>
      <c r="AF1090" s="2" t="s">
        <v>34</v>
      </c>
      <c r="AG1090" s="2" t="s">
        <v>89</v>
      </c>
      <c r="AH1090" s="2">
        <v>0.40558466138814298</v>
      </c>
      <c r="AI1090" s="2">
        <v>0.40272891693065399</v>
      </c>
      <c r="AJ1090" s="2">
        <v>0.365860091054243</v>
      </c>
      <c r="AK1090" s="2">
        <v>0.19589704719472301</v>
      </c>
      <c r="AL1090" s="2">
        <v>4.61199164587454E-2</v>
      </c>
      <c r="AN1090" s="2">
        <v>6.8</v>
      </c>
      <c r="AO1090" s="2">
        <v>19.899999999999999</v>
      </c>
      <c r="AP1090" s="2">
        <v>564</v>
      </c>
      <c r="AQ1090" s="2">
        <v>68</v>
      </c>
      <c r="AR1090" s="2">
        <v>1.5</v>
      </c>
      <c r="AS1090" s="2">
        <v>135</v>
      </c>
      <c r="AT1090" s="2">
        <v>0.8</v>
      </c>
      <c r="AU1090" s="2">
        <v>162</v>
      </c>
      <c r="AV1090" s="2">
        <v>9.1</v>
      </c>
      <c r="AW1090" s="2">
        <v>9.1999999999999993</v>
      </c>
      <c r="AX1090" s="2">
        <v>18.3</v>
      </c>
      <c r="AY1090" s="2">
        <v>0.34</v>
      </c>
      <c r="AZ1090" s="2">
        <v>7.3</v>
      </c>
      <c r="BA1090" s="2">
        <v>0.9</v>
      </c>
      <c r="BB1090" s="2">
        <v>7.5</v>
      </c>
      <c r="BC1090" s="2">
        <v>2.9</v>
      </c>
      <c r="BD1090" s="2">
        <f>+AN1090*EXP(-0.0495*Y1090)</f>
        <v>6.5113028352180908</v>
      </c>
      <c r="BE1090" s="2">
        <f>+AO1090*EXP(-0.024*Y1090)</f>
        <v>19.485790873243236</v>
      </c>
    </row>
    <row r="1091" spans="1:57" x14ac:dyDescent="0.2">
      <c r="A1091" s="2" t="s">
        <v>1769</v>
      </c>
      <c r="B1091" s="2" t="s">
        <v>19</v>
      </c>
      <c r="C1091" s="2" t="s">
        <v>20</v>
      </c>
      <c r="D1091" s="2" t="s">
        <v>21</v>
      </c>
      <c r="E1091" s="2" t="s">
        <v>1481</v>
      </c>
      <c r="F1091" s="2">
        <v>3</v>
      </c>
      <c r="G1091" s="2">
        <v>36.340000000000003</v>
      </c>
      <c r="H1091" s="2">
        <v>1</v>
      </c>
      <c r="I1091" s="2">
        <v>2</v>
      </c>
      <c r="J1091" s="2">
        <v>1</v>
      </c>
      <c r="K1091" s="2" t="s">
        <v>61</v>
      </c>
      <c r="L1091" s="6" t="s">
        <v>62</v>
      </c>
      <c r="M1091" s="5">
        <v>385000000</v>
      </c>
      <c r="N1091" s="2">
        <v>0</v>
      </c>
      <c r="O1091" s="2">
        <v>4.6180934909999998</v>
      </c>
      <c r="P1091" s="2">
        <v>-74.06597137</v>
      </c>
      <c r="Q1091" s="2" t="s">
        <v>1770</v>
      </c>
      <c r="R1091" s="2">
        <v>10594386.35</v>
      </c>
      <c r="S1091" s="2">
        <v>0</v>
      </c>
      <c r="T1091" s="2" t="s">
        <v>77</v>
      </c>
      <c r="U1091" s="2" t="s">
        <v>78</v>
      </c>
      <c r="V1091" s="2" t="s">
        <v>28</v>
      </c>
      <c r="W1091" s="2" t="s">
        <v>79</v>
      </c>
      <c r="X1091" s="2" t="s">
        <v>80</v>
      </c>
      <c r="Y1091" s="2">
        <v>0.83052602842392598</v>
      </c>
      <c r="Z1091" s="2">
        <v>4.6254861111111101</v>
      </c>
      <c r="AA1091" s="2">
        <v>-74.066980555555503</v>
      </c>
      <c r="AB1091" s="2">
        <v>2621</v>
      </c>
      <c r="AC1091" s="2" t="s">
        <v>31</v>
      </c>
      <c r="AD1091" s="2" t="s">
        <v>32</v>
      </c>
      <c r="AE1091" s="2" t="s">
        <v>33</v>
      </c>
      <c r="AF1091" s="2" t="s">
        <v>34</v>
      </c>
      <c r="AG1091" s="2" t="s">
        <v>89</v>
      </c>
      <c r="AH1091" s="2">
        <v>0.478790137873155</v>
      </c>
      <c r="AI1091" s="2">
        <v>0.38709996212615699</v>
      </c>
      <c r="AJ1091" s="2">
        <v>0.31399129231740802</v>
      </c>
      <c r="AK1091" s="2">
        <v>0.21097782933290099</v>
      </c>
      <c r="AL1091" s="2">
        <v>1.0006957515140099E-2</v>
      </c>
      <c r="AN1091" s="2">
        <v>6.8</v>
      </c>
      <c r="AO1091" s="2">
        <v>19.899999999999999</v>
      </c>
      <c r="AP1091" s="2">
        <v>564</v>
      </c>
      <c r="AQ1091" s="2">
        <v>68</v>
      </c>
      <c r="AR1091" s="2">
        <v>1.5</v>
      </c>
      <c r="AS1091" s="2">
        <v>135</v>
      </c>
      <c r="AT1091" s="2">
        <v>0.8</v>
      </c>
      <c r="AU1091" s="2">
        <v>162</v>
      </c>
      <c r="AV1091" s="2">
        <v>9.1</v>
      </c>
      <c r="AW1091" s="2">
        <v>9.1999999999999993</v>
      </c>
      <c r="AX1091" s="2">
        <v>18.3</v>
      </c>
      <c r="AY1091" s="2">
        <v>0.34</v>
      </c>
      <c r="AZ1091" s="2">
        <v>7.3</v>
      </c>
      <c r="BA1091" s="2">
        <v>0.9</v>
      </c>
      <c r="BB1091" s="2">
        <v>7.5</v>
      </c>
      <c r="BC1091" s="2">
        <v>2.9</v>
      </c>
      <c r="BD1091" s="2">
        <f>+AN1091*EXP(-0.0495*Y1091)</f>
        <v>6.526113394176507</v>
      </c>
      <c r="BE1091" s="2">
        <f>+AO1091*EXP(-0.024*Y1091)</f>
        <v>19.507267862901628</v>
      </c>
    </row>
    <row r="1092" spans="1:57" x14ac:dyDescent="0.2">
      <c r="A1092" s="2" t="s">
        <v>3578</v>
      </c>
      <c r="B1092" s="2" t="s">
        <v>19</v>
      </c>
      <c r="C1092" s="2" t="s">
        <v>3245</v>
      </c>
      <c r="D1092" s="2" t="s">
        <v>21</v>
      </c>
      <c r="E1092" s="2" t="s">
        <v>3579</v>
      </c>
      <c r="F1092" s="2">
        <v>4</v>
      </c>
      <c r="G1092" s="2">
        <v>36</v>
      </c>
      <c r="H1092" s="2">
        <v>1</v>
      </c>
      <c r="I1092" s="2">
        <v>1</v>
      </c>
      <c r="J1092" s="2">
        <v>1</v>
      </c>
      <c r="K1092" s="2" t="s">
        <v>61</v>
      </c>
      <c r="L1092" s="6" t="s">
        <v>84</v>
      </c>
      <c r="M1092" s="5">
        <v>450000000</v>
      </c>
      <c r="N1092" s="2">
        <v>0</v>
      </c>
      <c r="O1092" s="2">
        <v>4.6630690000000001</v>
      </c>
      <c r="P1092" s="2">
        <v>-74.068380000000005</v>
      </c>
      <c r="Q1092" s="2" t="s">
        <v>3580</v>
      </c>
      <c r="R1092" s="2">
        <v>12500000</v>
      </c>
      <c r="S1092" s="2">
        <v>0</v>
      </c>
      <c r="T1092" s="2" t="s">
        <v>26</v>
      </c>
      <c r="U1092" s="2" t="s">
        <v>27</v>
      </c>
      <c r="V1092" s="2" t="s">
        <v>28</v>
      </c>
      <c r="W1092" s="2" t="s">
        <v>29</v>
      </c>
      <c r="X1092" s="2" t="s">
        <v>30</v>
      </c>
      <c r="Y1092" s="2">
        <v>1.80365608674084</v>
      </c>
      <c r="Z1092" s="2">
        <v>4.6584666666666701</v>
      </c>
      <c r="AA1092" s="2">
        <v>-74.083966666666697</v>
      </c>
      <c r="AB1092" s="2">
        <v>2552</v>
      </c>
      <c r="AC1092" s="2" t="s">
        <v>31</v>
      </c>
      <c r="AD1092" s="2" t="s">
        <v>32</v>
      </c>
      <c r="AE1092" s="2" t="s">
        <v>33</v>
      </c>
      <c r="AF1092" s="2" t="s">
        <v>34</v>
      </c>
      <c r="AG1092" s="2" t="s">
        <v>293</v>
      </c>
      <c r="AH1092" s="2">
        <v>0.77684152967352105</v>
      </c>
      <c r="AI1092" s="2">
        <v>2.4019619972295398</v>
      </c>
      <c r="AJ1092" s="2">
        <v>0.53829464998746601</v>
      </c>
      <c r="AK1092" s="2">
        <v>0.13174121751390899</v>
      </c>
      <c r="AL1092" s="2">
        <v>0.29780753678629002</v>
      </c>
      <c r="AN1092" s="2">
        <v>6.8</v>
      </c>
      <c r="AO1092" s="2">
        <v>19.899999999999999</v>
      </c>
      <c r="AP1092" s="2">
        <v>564</v>
      </c>
      <c r="AQ1092" s="2">
        <v>68</v>
      </c>
      <c r="AR1092" s="2">
        <v>1.5</v>
      </c>
      <c r="AS1092" s="2">
        <v>135</v>
      </c>
      <c r="AT1092" s="2">
        <v>0.8</v>
      </c>
      <c r="AU1092" s="2">
        <v>162</v>
      </c>
      <c r="AV1092" s="2">
        <v>9.1</v>
      </c>
      <c r="AW1092" s="2">
        <v>9.1999999999999993</v>
      </c>
      <c r="AX1092" s="2">
        <v>18.3</v>
      </c>
      <c r="AY1092" s="2">
        <v>0.34</v>
      </c>
      <c r="AZ1092" s="2">
        <v>7.3</v>
      </c>
      <c r="BA1092" s="2">
        <v>0.9</v>
      </c>
      <c r="BB1092" s="2">
        <v>7.5</v>
      </c>
      <c r="BC1092" s="2">
        <v>2.9</v>
      </c>
      <c r="BD1092" s="2">
        <f>+AN1092*EXP(-0.0495*Y1092)</f>
        <v>6.2192022064019445</v>
      </c>
      <c r="BE1092" s="2">
        <f>+AO1092*EXP(-0.024*Y1092)</f>
        <v>19.056952309963435</v>
      </c>
    </row>
    <row r="1093" spans="1:57" x14ac:dyDescent="0.2">
      <c r="A1093" s="2" t="s">
        <v>3970</v>
      </c>
      <c r="B1093" s="2" t="s">
        <v>19</v>
      </c>
      <c r="C1093" s="2" t="s">
        <v>3245</v>
      </c>
      <c r="D1093" s="2" t="s">
        <v>21</v>
      </c>
      <c r="E1093" s="2" t="s">
        <v>1871</v>
      </c>
      <c r="F1093" s="2">
        <v>4</v>
      </c>
      <c r="G1093" s="2">
        <v>36</v>
      </c>
      <c r="H1093" s="2">
        <v>1</v>
      </c>
      <c r="I1093" s="2">
        <v>1</v>
      </c>
      <c r="J1093" s="2">
        <v>0</v>
      </c>
      <c r="K1093" s="2" t="s">
        <v>61</v>
      </c>
      <c r="L1093" s="6" t="s">
        <v>62</v>
      </c>
      <c r="M1093" s="5">
        <v>340000000</v>
      </c>
      <c r="N1093" s="2">
        <v>0</v>
      </c>
      <c r="O1093" s="2">
        <v>4.6436142</v>
      </c>
      <c r="P1093" s="2">
        <v>-74.074807199999995</v>
      </c>
      <c r="Q1093" s="2" t="s">
        <v>3971</v>
      </c>
      <c r="R1093" s="2">
        <v>9444444.4440000001</v>
      </c>
      <c r="S1093" s="2">
        <v>0</v>
      </c>
      <c r="T1093" s="2" t="s">
        <v>26</v>
      </c>
      <c r="U1093" s="2" t="s">
        <v>27</v>
      </c>
      <c r="V1093" s="2" t="s">
        <v>28</v>
      </c>
      <c r="W1093" s="2" t="s">
        <v>29</v>
      </c>
      <c r="X1093" s="2" t="s">
        <v>30</v>
      </c>
      <c r="Y1093" s="2">
        <v>1.94073001155798</v>
      </c>
      <c r="Z1093" s="2">
        <v>4.6584666666666701</v>
      </c>
      <c r="AA1093" s="2">
        <v>-74.083966666666697</v>
      </c>
      <c r="AB1093" s="2">
        <v>2552</v>
      </c>
      <c r="AC1093" s="2" t="s">
        <v>31</v>
      </c>
      <c r="AD1093" s="2" t="s">
        <v>32</v>
      </c>
      <c r="AE1093" s="2" t="s">
        <v>33</v>
      </c>
      <c r="AF1093" s="2" t="s">
        <v>34</v>
      </c>
      <c r="AG1093" s="2" t="s">
        <v>35</v>
      </c>
      <c r="AH1093" s="2">
        <v>0.47554318765657599</v>
      </c>
      <c r="AI1093" s="2">
        <v>1.93254178496939</v>
      </c>
      <c r="AJ1093" s="2">
        <v>0.34492754195519199</v>
      </c>
      <c r="AK1093" s="2">
        <v>4.8796593864912398E-2</v>
      </c>
      <c r="AL1093" s="2">
        <v>0.58302185452687505</v>
      </c>
      <c r="AN1093" s="2">
        <v>6.8</v>
      </c>
      <c r="AO1093" s="2">
        <v>19.899999999999999</v>
      </c>
      <c r="AP1093" s="2">
        <v>564</v>
      </c>
      <c r="AQ1093" s="2">
        <v>68</v>
      </c>
      <c r="AR1093" s="2">
        <v>1.5</v>
      </c>
      <c r="AS1093" s="2">
        <v>135</v>
      </c>
      <c r="AT1093" s="2">
        <v>0.8</v>
      </c>
      <c r="AU1093" s="2">
        <v>162</v>
      </c>
      <c r="AV1093" s="2">
        <v>9.1</v>
      </c>
      <c r="AW1093" s="2">
        <v>9.1999999999999993</v>
      </c>
      <c r="AX1093" s="2">
        <v>18.3</v>
      </c>
      <c r="AY1093" s="2">
        <v>0.34</v>
      </c>
      <c r="AZ1093" s="2">
        <v>7.3</v>
      </c>
      <c r="BA1093" s="2">
        <v>0.9</v>
      </c>
      <c r="BB1093" s="2">
        <v>7.5</v>
      </c>
      <c r="BC1093" s="2">
        <v>2.9</v>
      </c>
      <c r="BD1093" s="2">
        <f>+AN1093*EXP(-0.0495*Y1093)</f>
        <v>6.1771467666222701</v>
      </c>
      <c r="BE1093" s="2">
        <f>+AO1093*EXP(-0.024*Y1093)</f>
        <v>18.994362250038137</v>
      </c>
    </row>
    <row r="1094" spans="1:57" x14ac:dyDescent="0.2">
      <c r="A1094" s="2" t="s">
        <v>4100</v>
      </c>
      <c r="B1094" s="2" t="s">
        <v>19</v>
      </c>
      <c r="C1094" s="2" t="s">
        <v>3245</v>
      </c>
      <c r="D1094" s="2" t="s">
        <v>21</v>
      </c>
      <c r="E1094" s="2" t="s">
        <v>3437</v>
      </c>
      <c r="F1094" s="2">
        <v>4</v>
      </c>
      <c r="G1094" s="2">
        <v>36</v>
      </c>
      <c r="H1094" s="2">
        <v>1</v>
      </c>
      <c r="I1094" s="2">
        <v>1</v>
      </c>
      <c r="J1094" s="2">
        <v>0</v>
      </c>
      <c r="K1094" s="2" t="s">
        <v>61</v>
      </c>
      <c r="L1094" s="6" t="s">
        <v>75</v>
      </c>
      <c r="M1094" s="5">
        <v>310000000</v>
      </c>
      <c r="N1094" s="2">
        <v>0</v>
      </c>
      <c r="O1094" s="2">
        <v>4.6340479999999999</v>
      </c>
      <c r="P1094" s="2">
        <v>-74.090940000000003</v>
      </c>
      <c r="Q1094" s="2" t="s">
        <v>4101</v>
      </c>
      <c r="R1094" s="2">
        <v>8611111.1109999996</v>
      </c>
      <c r="S1094" s="2">
        <v>0</v>
      </c>
      <c r="T1094" s="2" t="s">
        <v>77</v>
      </c>
      <c r="U1094" s="2" t="s">
        <v>78</v>
      </c>
      <c r="V1094" s="2" t="s">
        <v>28</v>
      </c>
      <c r="W1094" s="2" t="s">
        <v>79</v>
      </c>
      <c r="X1094" s="2" t="s">
        <v>80</v>
      </c>
      <c r="Y1094" s="2">
        <v>2.82414023974194</v>
      </c>
      <c r="Z1094" s="2">
        <v>4.6254861111111101</v>
      </c>
      <c r="AA1094" s="2">
        <v>-74.066980555555503</v>
      </c>
      <c r="AB1094" s="2">
        <v>2621</v>
      </c>
      <c r="AC1094" s="2" t="s">
        <v>31</v>
      </c>
      <c r="AD1094" s="2" t="s">
        <v>32</v>
      </c>
      <c r="AE1094" s="2" t="s">
        <v>33</v>
      </c>
      <c r="AF1094" s="2" t="s">
        <v>34</v>
      </c>
      <c r="AG1094" s="2" t="s">
        <v>35</v>
      </c>
      <c r="AH1094" s="2">
        <v>0.14034671503936799</v>
      </c>
      <c r="AI1094" s="2">
        <v>3.3729158218794799</v>
      </c>
      <c r="AJ1094" s="2">
        <v>0.60670752375092896</v>
      </c>
      <c r="AK1094" s="2">
        <v>8.4256944737286996E-2</v>
      </c>
      <c r="AL1094" s="2">
        <v>2.41409666463905E-2</v>
      </c>
      <c r="AN1094" s="2">
        <v>6.8</v>
      </c>
      <c r="AO1094" s="2">
        <v>19.899999999999999</v>
      </c>
      <c r="AP1094" s="2">
        <v>564</v>
      </c>
      <c r="AQ1094" s="2">
        <v>68</v>
      </c>
      <c r="AR1094" s="2">
        <v>1.5</v>
      </c>
      <c r="AS1094" s="2">
        <v>135</v>
      </c>
      <c r="AT1094" s="2">
        <v>0.8</v>
      </c>
      <c r="AU1094" s="2">
        <v>162</v>
      </c>
      <c r="AV1094" s="2">
        <v>9.1</v>
      </c>
      <c r="AW1094" s="2">
        <v>9.1999999999999993</v>
      </c>
      <c r="AX1094" s="2">
        <v>18.3</v>
      </c>
      <c r="AY1094" s="2">
        <v>0.34</v>
      </c>
      <c r="AZ1094" s="2">
        <v>7.3</v>
      </c>
      <c r="BA1094" s="2">
        <v>0.9</v>
      </c>
      <c r="BB1094" s="2">
        <v>7.5</v>
      </c>
      <c r="BC1094" s="2">
        <v>2.9</v>
      </c>
      <c r="BD1094" s="2">
        <f>+AN1094*EXP(-0.0495*Y1094)</f>
        <v>5.9128483540490322</v>
      </c>
      <c r="BE1094" s="2">
        <f>+AO1094*EXP(-0.024*Y1094)</f>
        <v>18.595885860860104</v>
      </c>
    </row>
    <row r="1095" spans="1:57" x14ac:dyDescent="0.2">
      <c r="A1095" s="2" t="s">
        <v>3512</v>
      </c>
      <c r="B1095" s="2" t="s">
        <v>19</v>
      </c>
      <c r="C1095" s="2" t="s">
        <v>3245</v>
      </c>
      <c r="D1095" s="2" t="s">
        <v>21</v>
      </c>
      <c r="E1095" s="2" t="s">
        <v>74</v>
      </c>
      <c r="F1095" s="2">
        <v>3</v>
      </c>
      <c r="G1095" s="2">
        <v>36</v>
      </c>
      <c r="H1095" s="2">
        <v>1</v>
      </c>
      <c r="I1095" s="2">
        <v>1</v>
      </c>
      <c r="J1095" s="2">
        <v>1</v>
      </c>
      <c r="K1095" s="2" t="s">
        <v>61</v>
      </c>
      <c r="L1095" s="6" t="s">
        <v>75</v>
      </c>
      <c r="M1095" s="5">
        <v>300000000</v>
      </c>
      <c r="N1095" s="2">
        <v>0</v>
      </c>
      <c r="O1095" s="2">
        <v>4.6415691380000004</v>
      </c>
      <c r="P1095" s="2">
        <v>-74.062774660000002</v>
      </c>
      <c r="Q1095" s="2" t="s">
        <v>3513</v>
      </c>
      <c r="R1095" s="2">
        <v>8333333.3329999996</v>
      </c>
      <c r="S1095" s="2">
        <v>0</v>
      </c>
      <c r="T1095" s="2" t="s">
        <v>77</v>
      </c>
      <c r="U1095" s="2" t="s">
        <v>78</v>
      </c>
      <c r="V1095" s="2" t="s">
        <v>28</v>
      </c>
      <c r="W1095" s="2" t="s">
        <v>79</v>
      </c>
      <c r="X1095" s="2" t="s">
        <v>80</v>
      </c>
      <c r="Y1095" s="2">
        <v>1.85017505820428</v>
      </c>
      <c r="Z1095" s="2">
        <v>4.6254861111111101</v>
      </c>
      <c r="AA1095" s="2">
        <v>-74.066980555555503</v>
      </c>
      <c r="AB1095" s="2">
        <v>2621</v>
      </c>
      <c r="AC1095" s="2" t="s">
        <v>31</v>
      </c>
      <c r="AD1095" s="2" t="s">
        <v>32</v>
      </c>
      <c r="AE1095" s="2" t="s">
        <v>33</v>
      </c>
      <c r="AF1095" s="2" t="s">
        <v>34</v>
      </c>
      <c r="AG1095" s="2" t="s">
        <v>81</v>
      </c>
      <c r="AH1095" s="2">
        <v>0.372852899425622</v>
      </c>
      <c r="AI1095" s="2">
        <v>0.57974445769233596</v>
      </c>
      <c r="AJ1095" s="2">
        <v>0.427568478280553</v>
      </c>
      <c r="AK1095" s="2">
        <v>8.0108328699491194E-2</v>
      </c>
      <c r="AL1095" s="2">
        <v>0.23268685708362399</v>
      </c>
      <c r="AN1095" s="2">
        <v>6.8</v>
      </c>
      <c r="AO1095" s="2">
        <v>19.899999999999999</v>
      </c>
      <c r="AP1095" s="2">
        <v>564</v>
      </c>
      <c r="AQ1095" s="2">
        <v>68</v>
      </c>
      <c r="AR1095" s="2">
        <v>1.5</v>
      </c>
      <c r="AS1095" s="2">
        <v>135</v>
      </c>
      <c r="AT1095" s="2">
        <v>0.8</v>
      </c>
      <c r="AU1095" s="2">
        <v>162</v>
      </c>
      <c r="AV1095" s="2">
        <v>9.1</v>
      </c>
      <c r="AW1095" s="2">
        <v>9.1999999999999993</v>
      </c>
      <c r="AX1095" s="2">
        <v>18.3</v>
      </c>
      <c r="AY1095" s="2">
        <v>0.34</v>
      </c>
      <c r="AZ1095" s="2">
        <v>7.3</v>
      </c>
      <c r="BA1095" s="2">
        <v>0.9</v>
      </c>
      <c r="BB1095" s="2">
        <v>7.5</v>
      </c>
      <c r="BC1095" s="2">
        <v>2.9</v>
      </c>
      <c r="BD1095" s="2">
        <f>+AN1095*EXP(-0.0495*Y1095)</f>
        <v>6.2048977929776408</v>
      </c>
      <c r="BE1095" s="2">
        <f>+AO1095*EXP(-0.024*Y1095)</f>
        <v>19.035687946831345</v>
      </c>
    </row>
    <row r="1096" spans="1:57" x14ac:dyDescent="0.2">
      <c r="A1096" s="2" t="s">
        <v>4096</v>
      </c>
      <c r="B1096" s="2" t="s">
        <v>19</v>
      </c>
      <c r="C1096" s="2" t="s">
        <v>3245</v>
      </c>
      <c r="D1096" s="2" t="s">
        <v>21</v>
      </c>
      <c r="E1096" s="2" t="s">
        <v>635</v>
      </c>
      <c r="F1096" s="2">
        <v>5</v>
      </c>
      <c r="G1096" s="2">
        <v>35.99</v>
      </c>
      <c r="H1096" s="2">
        <v>1</v>
      </c>
      <c r="I1096" s="2">
        <v>1</v>
      </c>
      <c r="J1096" s="2">
        <v>0</v>
      </c>
      <c r="K1096" s="2" t="s">
        <v>61</v>
      </c>
      <c r="L1096" s="6" t="s">
        <v>62</v>
      </c>
      <c r="M1096" s="5">
        <v>315000000</v>
      </c>
      <c r="N1096" s="2">
        <v>0</v>
      </c>
      <c r="O1096" s="2">
        <v>4.6873810000000002</v>
      </c>
      <c r="P1096" s="2">
        <v>-74.060990000000004</v>
      </c>
      <c r="Q1096" s="2" t="s">
        <v>4097</v>
      </c>
      <c r="R1096" s="2">
        <v>8752431.2310000006</v>
      </c>
      <c r="S1096" s="2">
        <v>0</v>
      </c>
      <c r="T1096" s="2" t="s">
        <v>26</v>
      </c>
      <c r="U1096" s="2" t="s">
        <v>27</v>
      </c>
      <c r="V1096" s="2" t="s">
        <v>28</v>
      </c>
      <c r="W1096" s="2" t="s">
        <v>29</v>
      </c>
      <c r="X1096" s="2" t="s">
        <v>30</v>
      </c>
      <c r="Y1096" s="2">
        <v>4.1059572715189399</v>
      </c>
      <c r="Z1096" s="2">
        <v>4.6584666666666701</v>
      </c>
      <c r="AA1096" s="2">
        <v>-74.083966666666697</v>
      </c>
      <c r="AB1096" s="2">
        <v>2552</v>
      </c>
      <c r="AC1096" s="2" t="s">
        <v>31</v>
      </c>
      <c r="AD1096" s="2" t="s">
        <v>32</v>
      </c>
      <c r="AE1096" s="2" t="s">
        <v>33</v>
      </c>
      <c r="AF1096" s="2" t="s">
        <v>34</v>
      </c>
      <c r="AG1096" s="2" t="s">
        <v>293</v>
      </c>
      <c r="AH1096" s="2">
        <v>0.38555771811571399</v>
      </c>
      <c r="AI1096" s="2">
        <v>2.80583859368065</v>
      </c>
      <c r="AJ1096" s="2">
        <v>0.91282656625998604</v>
      </c>
      <c r="AK1096" s="2">
        <v>4.0076641228315599E-2</v>
      </c>
      <c r="AL1096" s="2">
        <v>0.14031477194287001</v>
      </c>
      <c r="AN1096" s="2">
        <v>6.8</v>
      </c>
      <c r="AO1096" s="2">
        <v>19.899999999999999</v>
      </c>
      <c r="AP1096" s="2">
        <v>564</v>
      </c>
      <c r="AQ1096" s="2">
        <v>68</v>
      </c>
      <c r="AR1096" s="2">
        <v>1.5</v>
      </c>
      <c r="AS1096" s="2">
        <v>135</v>
      </c>
      <c r="AT1096" s="2">
        <v>0.8</v>
      </c>
      <c r="AU1096" s="2">
        <v>162</v>
      </c>
      <c r="AV1096" s="2">
        <v>9.1</v>
      </c>
      <c r="AW1096" s="2">
        <v>9.1999999999999993</v>
      </c>
      <c r="AX1096" s="2">
        <v>18.3</v>
      </c>
      <c r="AY1096" s="2">
        <v>0.34</v>
      </c>
      <c r="AZ1096" s="2">
        <v>7.3</v>
      </c>
      <c r="BA1096" s="2">
        <v>0.9</v>
      </c>
      <c r="BB1096" s="2">
        <v>7.5</v>
      </c>
      <c r="BC1096" s="2">
        <v>2.9</v>
      </c>
      <c r="BD1096" s="2">
        <f>+AN1096*EXP(-0.0495*Y1096)</f>
        <v>5.5493329272256418</v>
      </c>
      <c r="BE1096" s="2">
        <f>+AO1096*EXP(-0.024*Y1096)</f>
        <v>18.03251932757388</v>
      </c>
    </row>
    <row r="1097" spans="1:57" x14ac:dyDescent="0.2">
      <c r="A1097" s="2" t="s">
        <v>3804</v>
      </c>
      <c r="B1097" s="2" t="s">
        <v>19</v>
      </c>
      <c r="C1097" s="2" t="s">
        <v>3245</v>
      </c>
      <c r="D1097" s="2" t="s">
        <v>21</v>
      </c>
      <c r="E1097" s="2" t="s">
        <v>961</v>
      </c>
      <c r="F1097" s="2">
        <v>5</v>
      </c>
      <c r="G1097" s="2">
        <v>35.700000000000003</v>
      </c>
      <c r="H1097" s="2">
        <v>1</v>
      </c>
      <c r="I1097" s="2">
        <v>1</v>
      </c>
      <c r="J1097" s="2">
        <v>0</v>
      </c>
      <c r="K1097" s="2" t="s">
        <v>61</v>
      </c>
      <c r="L1097" s="6" t="s">
        <v>62</v>
      </c>
      <c r="M1097" s="5">
        <v>330000000</v>
      </c>
      <c r="N1097" s="2">
        <v>0</v>
      </c>
      <c r="O1097" s="2">
        <v>4.6887698169999998</v>
      </c>
      <c r="P1097" s="2">
        <v>-74.061714170000002</v>
      </c>
      <c r="Q1097" s="2" t="s">
        <v>3805</v>
      </c>
      <c r="R1097" s="2">
        <v>9243697.4790000003</v>
      </c>
      <c r="S1097" s="2">
        <v>0</v>
      </c>
      <c r="T1097" s="2" t="s">
        <v>26</v>
      </c>
      <c r="U1097" s="2" t="s">
        <v>27</v>
      </c>
      <c r="V1097" s="2" t="s">
        <v>28</v>
      </c>
      <c r="W1097" s="2" t="s">
        <v>29</v>
      </c>
      <c r="X1097" s="2" t="s">
        <v>30</v>
      </c>
      <c r="Y1097" s="2">
        <v>4.18029084974307</v>
      </c>
      <c r="Z1097" s="2">
        <v>4.6584666666666701</v>
      </c>
      <c r="AA1097" s="2">
        <v>-74.083966666666697</v>
      </c>
      <c r="AB1097" s="2">
        <v>2552</v>
      </c>
      <c r="AC1097" s="2" t="s">
        <v>31</v>
      </c>
      <c r="AD1097" s="2" t="s">
        <v>32</v>
      </c>
      <c r="AE1097" s="2" t="s">
        <v>33</v>
      </c>
      <c r="AF1097" s="2" t="s">
        <v>34</v>
      </c>
      <c r="AG1097" s="2" t="s">
        <v>72</v>
      </c>
      <c r="AH1097" s="2">
        <v>0.36218019451817202</v>
      </c>
      <c r="AI1097" s="2">
        <v>2.9554341929511501</v>
      </c>
      <c r="AJ1097" s="2">
        <v>1.0420330131459501</v>
      </c>
      <c r="AK1097" s="2">
        <v>0.14240554945807399</v>
      </c>
      <c r="AL1097" s="2">
        <v>2.9249813267697199E-3</v>
      </c>
      <c r="AN1097" s="2">
        <v>6.8</v>
      </c>
      <c r="AO1097" s="2">
        <v>19.899999999999999</v>
      </c>
      <c r="AP1097" s="2">
        <v>564</v>
      </c>
      <c r="AQ1097" s="2">
        <v>68</v>
      </c>
      <c r="AR1097" s="2">
        <v>1.5</v>
      </c>
      <c r="AS1097" s="2">
        <v>135</v>
      </c>
      <c r="AT1097" s="2">
        <v>0.8</v>
      </c>
      <c r="AU1097" s="2">
        <v>162</v>
      </c>
      <c r="AV1097" s="2">
        <v>9.1</v>
      </c>
      <c r="AW1097" s="2">
        <v>9.1999999999999993</v>
      </c>
      <c r="AX1097" s="2">
        <v>18.3</v>
      </c>
      <c r="AY1097" s="2">
        <v>0.34</v>
      </c>
      <c r="AZ1097" s="2">
        <v>7.3</v>
      </c>
      <c r="BA1097" s="2">
        <v>0.9</v>
      </c>
      <c r="BB1097" s="2">
        <v>7.5</v>
      </c>
      <c r="BC1097" s="2">
        <v>2.9</v>
      </c>
      <c r="BD1097" s="2">
        <f>+AN1097*EXP(-0.0495*Y1097)</f>
        <v>5.5289516090988275</v>
      </c>
      <c r="BE1097" s="2">
        <f>+AO1097*EXP(-0.024*Y1097)</f>
        <v>18.000377885894618</v>
      </c>
    </row>
    <row r="1098" spans="1:57" x14ac:dyDescent="0.2">
      <c r="A1098" s="2" t="s">
        <v>1048</v>
      </c>
      <c r="B1098" s="2" t="s">
        <v>19</v>
      </c>
      <c r="C1098" s="2" t="s">
        <v>20</v>
      </c>
      <c r="D1098" s="2" t="s">
        <v>21</v>
      </c>
      <c r="E1098" s="2" t="s">
        <v>1049</v>
      </c>
      <c r="F1098" s="2">
        <v>3</v>
      </c>
      <c r="G1098" s="2">
        <v>35.67</v>
      </c>
      <c r="H1098" s="2">
        <v>2</v>
      </c>
      <c r="I1098" s="2">
        <v>1</v>
      </c>
      <c r="J1098" s="2">
        <v>0</v>
      </c>
      <c r="K1098" s="2" t="s">
        <v>23</v>
      </c>
      <c r="L1098" s="6" t="s">
        <v>24</v>
      </c>
      <c r="M1098" s="5">
        <v>318061000</v>
      </c>
      <c r="N1098" s="2">
        <v>0</v>
      </c>
      <c r="O1098" s="2">
        <v>4.606344</v>
      </c>
      <c r="P1098" s="2">
        <v>-74.071979999999996</v>
      </c>
      <c r="Q1098" s="2" t="s">
        <v>1050</v>
      </c>
      <c r="R1098" s="2">
        <v>8916764.7880000006</v>
      </c>
      <c r="S1098" s="2">
        <v>0</v>
      </c>
      <c r="T1098" s="2" t="s">
        <v>77</v>
      </c>
      <c r="U1098" s="2" t="s">
        <v>78</v>
      </c>
      <c r="V1098" s="2" t="s">
        <v>28</v>
      </c>
      <c r="W1098" s="2" t="s">
        <v>79</v>
      </c>
      <c r="X1098" s="2" t="s">
        <v>80</v>
      </c>
      <c r="Y1098" s="2">
        <v>2.2019124422633198</v>
      </c>
      <c r="Z1098" s="2">
        <v>4.6254861111111101</v>
      </c>
      <c r="AA1098" s="2">
        <v>-74.066980555555503</v>
      </c>
      <c r="AB1098" s="2">
        <v>2621</v>
      </c>
      <c r="AC1098" s="2" t="s">
        <v>31</v>
      </c>
      <c r="AD1098" s="2" t="s">
        <v>32</v>
      </c>
      <c r="AE1098" s="2" t="s">
        <v>33</v>
      </c>
      <c r="AF1098" s="2" t="s">
        <v>34</v>
      </c>
      <c r="AG1098" s="2" t="s">
        <v>89</v>
      </c>
      <c r="AH1098" s="2">
        <v>0.26205392145262502</v>
      </c>
      <c r="AI1098" s="2">
        <v>0.80519454019274705</v>
      </c>
      <c r="AJ1098" s="2">
        <v>9.6832708585188401E-2</v>
      </c>
      <c r="AK1098" s="2">
        <v>0.106453309816768</v>
      </c>
      <c r="AL1098" s="2">
        <v>0.112458522666643</v>
      </c>
      <c r="AN1098" s="2">
        <v>6.8</v>
      </c>
      <c r="AO1098" s="2">
        <v>19.899999999999999</v>
      </c>
      <c r="AP1098" s="2">
        <v>564</v>
      </c>
      <c r="AQ1098" s="2">
        <v>68</v>
      </c>
      <c r="AR1098" s="2">
        <v>1.5</v>
      </c>
      <c r="AS1098" s="2">
        <v>135</v>
      </c>
      <c r="AT1098" s="2">
        <v>0.8</v>
      </c>
      <c r="AU1098" s="2">
        <v>162</v>
      </c>
      <c r="AV1098" s="2">
        <v>9.1</v>
      </c>
      <c r="AW1098" s="2">
        <v>9.1999999999999993</v>
      </c>
      <c r="AX1098" s="2">
        <v>18.3</v>
      </c>
      <c r="AY1098" s="2">
        <v>0.34</v>
      </c>
      <c r="AZ1098" s="2">
        <v>7.3</v>
      </c>
      <c r="BA1098" s="2">
        <v>0.9</v>
      </c>
      <c r="BB1098" s="2">
        <v>7.5</v>
      </c>
      <c r="BC1098" s="2">
        <v>2.9</v>
      </c>
      <c r="BD1098" s="2">
        <f>+AN1098*EXP(-0.0495*Y1098)</f>
        <v>6.0977993652214186</v>
      </c>
      <c r="BE1098" s="2">
        <f>+AO1098*EXP(-0.024*Y1098)</f>
        <v>18.875670791311318</v>
      </c>
    </row>
    <row r="1099" spans="1:57" x14ac:dyDescent="0.2">
      <c r="A1099" s="2" t="s">
        <v>4446</v>
      </c>
      <c r="B1099" s="2" t="s">
        <v>19</v>
      </c>
      <c r="C1099" s="2" t="s">
        <v>3245</v>
      </c>
      <c r="D1099" s="2" t="s">
        <v>21</v>
      </c>
      <c r="E1099" s="2" t="s">
        <v>465</v>
      </c>
      <c r="F1099" s="2">
        <v>3</v>
      </c>
      <c r="G1099" s="2">
        <v>35.619999999999997</v>
      </c>
      <c r="H1099" s="2">
        <v>1</v>
      </c>
      <c r="I1099" s="2">
        <v>1</v>
      </c>
      <c r="J1099" s="2">
        <v>1</v>
      </c>
      <c r="K1099" s="2" t="s">
        <v>61</v>
      </c>
      <c r="L1099" s="6" t="s">
        <v>75</v>
      </c>
      <c r="M1099" s="5">
        <v>300000000</v>
      </c>
      <c r="N1099" s="2">
        <v>0</v>
      </c>
      <c r="O1099" s="2">
        <v>4.6345839499999997</v>
      </c>
      <c r="P1099" s="2">
        <v>-74.061592099999999</v>
      </c>
      <c r="Q1099" s="2" t="s">
        <v>4447</v>
      </c>
      <c r="R1099" s="2">
        <v>8422234.6999999993</v>
      </c>
      <c r="S1099" s="2">
        <v>0</v>
      </c>
      <c r="T1099" s="2" t="s">
        <v>77</v>
      </c>
      <c r="U1099" s="2" t="s">
        <v>78</v>
      </c>
      <c r="V1099" s="2" t="s">
        <v>28</v>
      </c>
      <c r="W1099" s="2" t="s">
        <v>79</v>
      </c>
      <c r="X1099" s="2" t="s">
        <v>80</v>
      </c>
      <c r="Y1099" s="2">
        <v>1.1760783404341599</v>
      </c>
      <c r="Z1099" s="2">
        <v>4.6254861111111101</v>
      </c>
      <c r="AA1099" s="2">
        <v>-74.066980555555503</v>
      </c>
      <c r="AB1099" s="2">
        <v>2621</v>
      </c>
      <c r="AC1099" s="2" t="s">
        <v>31</v>
      </c>
      <c r="AD1099" s="2" t="s">
        <v>32</v>
      </c>
      <c r="AE1099" s="2" t="s">
        <v>33</v>
      </c>
      <c r="AF1099" s="2" t="s">
        <v>34</v>
      </c>
      <c r="AG1099" s="2" t="s">
        <v>81</v>
      </c>
      <c r="AH1099" s="2">
        <v>0.66336797837491701</v>
      </c>
      <c r="AI1099" s="2">
        <v>0.211038155909792</v>
      </c>
      <c r="AJ1099" s="2">
        <v>0.28110074864553197</v>
      </c>
      <c r="AK1099" s="2">
        <v>0.145098086444783</v>
      </c>
      <c r="AL1099" s="2">
        <v>0.116144333882938</v>
      </c>
      <c r="AN1099" s="2">
        <v>6.8</v>
      </c>
      <c r="AO1099" s="2">
        <v>19.899999999999999</v>
      </c>
      <c r="AP1099" s="2">
        <v>564</v>
      </c>
      <c r="AQ1099" s="2">
        <v>68</v>
      </c>
      <c r="AR1099" s="2">
        <v>1.5</v>
      </c>
      <c r="AS1099" s="2">
        <v>135</v>
      </c>
      <c r="AT1099" s="2">
        <v>0.8</v>
      </c>
      <c r="AU1099" s="2">
        <v>162</v>
      </c>
      <c r="AV1099" s="2">
        <v>9.1</v>
      </c>
      <c r="AW1099" s="2">
        <v>9.1999999999999993</v>
      </c>
      <c r="AX1099" s="2">
        <v>18.3</v>
      </c>
      <c r="AY1099" s="2">
        <v>0.34</v>
      </c>
      <c r="AZ1099" s="2">
        <v>7.3</v>
      </c>
      <c r="BA1099" s="2">
        <v>0.9</v>
      </c>
      <c r="BB1099" s="2">
        <v>7.5</v>
      </c>
      <c r="BC1099" s="2">
        <v>2.9</v>
      </c>
      <c r="BD1099" s="2">
        <f>+AN1099*EXP(-0.0495*Y1099)</f>
        <v>6.4154345428439434</v>
      </c>
      <c r="BE1099" s="2">
        <f>+AO1099*EXP(-0.024*Y1099)</f>
        <v>19.346158092282394</v>
      </c>
    </row>
    <row r="1100" spans="1:57" x14ac:dyDescent="0.2">
      <c r="A1100" s="2" t="s">
        <v>3269</v>
      </c>
      <c r="B1100" s="2" t="s">
        <v>19</v>
      </c>
      <c r="C1100" s="2" t="s">
        <v>3245</v>
      </c>
      <c r="D1100" s="2" t="s">
        <v>21</v>
      </c>
      <c r="E1100" s="2" t="s">
        <v>1356</v>
      </c>
      <c r="F1100" s="2">
        <v>4</v>
      </c>
      <c r="G1100" s="2">
        <v>35.35</v>
      </c>
      <c r="H1100" s="2">
        <v>1</v>
      </c>
      <c r="I1100" s="2">
        <v>1</v>
      </c>
      <c r="J1100" s="2">
        <v>1</v>
      </c>
      <c r="K1100" s="2" t="s">
        <v>61</v>
      </c>
      <c r="L1100" s="6" t="s">
        <v>62</v>
      </c>
      <c r="M1100" s="5">
        <v>294960000</v>
      </c>
      <c r="N1100" s="2">
        <v>0</v>
      </c>
      <c r="O1100" s="2">
        <v>4.6740441319999997</v>
      </c>
      <c r="P1100" s="2">
        <v>-74.084945680000004</v>
      </c>
      <c r="Q1100" s="2" t="s">
        <v>3270</v>
      </c>
      <c r="R1100" s="2">
        <v>8343988.6849999996</v>
      </c>
      <c r="S1100" s="2">
        <v>0</v>
      </c>
      <c r="T1100" s="2" t="s">
        <v>26</v>
      </c>
      <c r="U1100" s="2" t="s">
        <v>27</v>
      </c>
      <c r="V1100" s="2" t="s">
        <v>28</v>
      </c>
      <c r="W1100" s="2" t="s">
        <v>29</v>
      </c>
      <c r="X1100" s="2" t="s">
        <v>30</v>
      </c>
      <c r="Y1100" s="2">
        <v>1.73747420615689</v>
      </c>
      <c r="Z1100" s="2">
        <v>4.6584666666666701</v>
      </c>
      <c r="AA1100" s="2">
        <v>-74.083966666666697</v>
      </c>
      <c r="AB1100" s="2">
        <v>2552</v>
      </c>
      <c r="AC1100" s="2" t="s">
        <v>31</v>
      </c>
      <c r="AD1100" s="2" t="s">
        <v>32</v>
      </c>
      <c r="AE1100" s="2" t="s">
        <v>33</v>
      </c>
      <c r="AF1100" s="2" t="s">
        <v>34</v>
      </c>
      <c r="AG1100" s="2" t="s">
        <v>293</v>
      </c>
      <c r="AH1100" s="2">
        <v>1.1965062697631501</v>
      </c>
      <c r="AI1100" s="2">
        <v>4.4994182740196198</v>
      </c>
      <c r="AJ1100" s="2">
        <v>1.7844111272607099</v>
      </c>
      <c r="AK1100" s="2">
        <v>0.168503057433147</v>
      </c>
      <c r="AL1100" s="2">
        <v>6.8547091360337806E-2</v>
      </c>
      <c r="AN1100" s="2">
        <v>6.8</v>
      </c>
      <c r="AO1100" s="2">
        <v>19.899999999999999</v>
      </c>
      <c r="AP1100" s="2">
        <v>564</v>
      </c>
      <c r="AQ1100" s="2">
        <v>68</v>
      </c>
      <c r="AR1100" s="2">
        <v>1.5</v>
      </c>
      <c r="AS1100" s="2">
        <v>135</v>
      </c>
      <c r="AT1100" s="2">
        <v>0.8</v>
      </c>
      <c r="AU1100" s="2">
        <v>162</v>
      </c>
      <c r="AV1100" s="2">
        <v>9.1</v>
      </c>
      <c r="AW1100" s="2">
        <v>9.1999999999999993</v>
      </c>
      <c r="AX1100" s="2">
        <v>18.3</v>
      </c>
      <c r="AY1100" s="2">
        <v>0.34</v>
      </c>
      <c r="AZ1100" s="2">
        <v>7.3</v>
      </c>
      <c r="BA1100" s="2">
        <v>0.9</v>
      </c>
      <c r="BB1100" s="2">
        <v>7.5</v>
      </c>
      <c r="BC1100" s="2">
        <v>2.9</v>
      </c>
      <c r="BD1100" s="2">
        <f>+AN1100*EXP(-0.0495*Y1100)</f>
        <v>6.239609741362961</v>
      </c>
      <c r="BE1100" s="2">
        <f>+AO1100*EXP(-0.024*Y1100)</f>
        <v>19.087245760734703</v>
      </c>
    </row>
    <row r="1101" spans="1:57" x14ac:dyDescent="0.2">
      <c r="A1101" s="2" t="s">
        <v>3964</v>
      </c>
      <c r="B1101" s="2" t="s">
        <v>19</v>
      </c>
      <c r="C1101" s="2" t="s">
        <v>3245</v>
      </c>
      <c r="D1101" s="2" t="s">
        <v>21</v>
      </c>
      <c r="E1101" s="2" t="s">
        <v>3510</v>
      </c>
      <c r="F1101" s="2">
        <v>4</v>
      </c>
      <c r="G1101" s="2">
        <v>35</v>
      </c>
      <c r="H1101" s="2">
        <v>1</v>
      </c>
      <c r="I1101" s="2">
        <v>1</v>
      </c>
      <c r="J1101" s="2">
        <v>0</v>
      </c>
      <c r="K1101" s="2" t="s">
        <v>61</v>
      </c>
      <c r="L1101" s="6" t="s">
        <v>62</v>
      </c>
      <c r="M1101" s="5">
        <v>325000000</v>
      </c>
      <c r="N1101" s="2">
        <v>0</v>
      </c>
      <c r="O1101" s="2">
        <v>4.6176854000000001</v>
      </c>
      <c r="P1101" s="2">
        <v>-74.066534500000003</v>
      </c>
      <c r="Q1101" s="2" t="s">
        <v>3965</v>
      </c>
      <c r="R1101" s="2">
        <v>9285714.2860000003</v>
      </c>
      <c r="S1101" s="2">
        <v>0</v>
      </c>
      <c r="T1101" s="2" t="s">
        <v>77</v>
      </c>
      <c r="U1101" s="2" t="s">
        <v>78</v>
      </c>
      <c r="V1101" s="2" t="s">
        <v>28</v>
      </c>
      <c r="W1101" s="2" t="s">
        <v>79</v>
      </c>
      <c r="X1101" s="2" t="s">
        <v>80</v>
      </c>
      <c r="Y1101" s="2">
        <v>0.86978049022589898</v>
      </c>
      <c r="Z1101" s="2">
        <v>4.6254861111111101</v>
      </c>
      <c r="AA1101" s="2">
        <v>-74.066980555555503</v>
      </c>
      <c r="AB1101" s="2">
        <v>2621</v>
      </c>
      <c r="AC1101" s="2" t="s">
        <v>31</v>
      </c>
      <c r="AD1101" s="2" t="s">
        <v>32</v>
      </c>
      <c r="AE1101" s="2" t="s">
        <v>33</v>
      </c>
      <c r="AF1101" s="2" t="s">
        <v>34</v>
      </c>
      <c r="AG1101" s="2" t="s">
        <v>89</v>
      </c>
      <c r="AH1101" s="2">
        <v>0.40214383399542297</v>
      </c>
      <c r="AI1101" s="2">
        <v>0.41424412197733101</v>
      </c>
      <c r="AJ1101" s="2">
        <v>0.360902260134491</v>
      </c>
      <c r="AK1101" s="2">
        <v>0.18467891059949801</v>
      </c>
      <c r="AL1101" s="2">
        <v>5.74852785967968E-2</v>
      </c>
      <c r="AN1101" s="2">
        <v>6.8</v>
      </c>
      <c r="AO1101" s="2">
        <v>19.899999999999999</v>
      </c>
      <c r="AP1101" s="2">
        <v>564</v>
      </c>
      <c r="AQ1101" s="2">
        <v>68</v>
      </c>
      <c r="AR1101" s="2">
        <v>1.5</v>
      </c>
      <c r="AS1101" s="2">
        <v>135</v>
      </c>
      <c r="AT1101" s="2">
        <v>0.8</v>
      </c>
      <c r="AU1101" s="2">
        <v>162</v>
      </c>
      <c r="AV1101" s="2">
        <v>9.1</v>
      </c>
      <c r="AW1101" s="2">
        <v>9.1999999999999993</v>
      </c>
      <c r="AX1101" s="2">
        <v>18.3</v>
      </c>
      <c r="AY1101" s="2">
        <v>0.34</v>
      </c>
      <c r="AZ1101" s="2">
        <v>7.3</v>
      </c>
      <c r="BA1101" s="2">
        <v>0.9</v>
      </c>
      <c r="BB1101" s="2">
        <v>7.5</v>
      </c>
      <c r="BC1101" s="2">
        <v>2.9</v>
      </c>
      <c r="BD1101" s="2">
        <f>+AN1101*EXP(-0.0495*Y1101)</f>
        <v>6.5134448423548923</v>
      </c>
      <c r="BE1101" s="2">
        <f>+AO1101*EXP(-0.024*Y1101)</f>
        <v>19.488898581946696</v>
      </c>
    </row>
    <row r="1102" spans="1:57" x14ac:dyDescent="0.2">
      <c r="A1102" s="2" t="s">
        <v>3994</v>
      </c>
      <c r="B1102" s="2" t="s">
        <v>19</v>
      </c>
      <c r="C1102" s="2" t="s">
        <v>3245</v>
      </c>
      <c r="D1102" s="2" t="s">
        <v>21</v>
      </c>
      <c r="E1102" s="2" t="s">
        <v>3995</v>
      </c>
      <c r="F1102" s="2">
        <v>3</v>
      </c>
      <c r="G1102" s="2">
        <v>35</v>
      </c>
      <c r="H1102" s="2">
        <v>1</v>
      </c>
      <c r="I1102" s="2">
        <v>1</v>
      </c>
      <c r="J1102" s="2">
        <v>0</v>
      </c>
      <c r="K1102" s="2" t="s">
        <v>61</v>
      </c>
      <c r="L1102" s="6" t="s">
        <v>113</v>
      </c>
      <c r="M1102" s="5">
        <v>185000000</v>
      </c>
      <c r="N1102" s="2">
        <v>0</v>
      </c>
      <c r="O1102" s="2">
        <v>4.6142110000000001</v>
      </c>
      <c r="P1102" s="2">
        <v>-74.072400000000002</v>
      </c>
      <c r="Q1102" s="2" t="s">
        <v>3996</v>
      </c>
      <c r="R1102" s="2">
        <v>5285714.2860000003</v>
      </c>
      <c r="S1102" s="2">
        <v>0</v>
      </c>
      <c r="T1102" s="2" t="s">
        <v>77</v>
      </c>
      <c r="U1102" s="2" t="s">
        <v>78</v>
      </c>
      <c r="V1102" s="2" t="s">
        <v>28</v>
      </c>
      <c r="W1102" s="2" t="s">
        <v>79</v>
      </c>
      <c r="X1102" s="2" t="s">
        <v>80</v>
      </c>
      <c r="Y1102" s="2">
        <v>1.39175174742179</v>
      </c>
      <c r="Z1102" s="2">
        <v>4.6254861111111101</v>
      </c>
      <c r="AA1102" s="2">
        <v>-74.066980555555503</v>
      </c>
      <c r="AB1102" s="2">
        <v>2621</v>
      </c>
      <c r="AC1102" s="2" t="s">
        <v>31</v>
      </c>
      <c r="AD1102" s="2" t="s">
        <v>32</v>
      </c>
      <c r="AE1102" s="2" t="s">
        <v>33</v>
      </c>
      <c r="AF1102" s="2" t="s">
        <v>34</v>
      </c>
      <c r="AG1102" s="2" t="s">
        <v>89</v>
      </c>
      <c r="AH1102" s="2">
        <v>0.27103750166353002</v>
      </c>
      <c r="AI1102" s="2">
        <v>0.93637551964950005</v>
      </c>
      <c r="AJ1102" s="2">
        <v>0.18700754505161499</v>
      </c>
      <c r="AK1102" s="2">
        <v>0.21994946636573401</v>
      </c>
      <c r="AL1102" s="2">
        <v>0.26595740532094903</v>
      </c>
      <c r="AN1102" s="2">
        <v>6.8</v>
      </c>
      <c r="AO1102" s="2">
        <v>19.899999999999999</v>
      </c>
      <c r="AP1102" s="2">
        <v>564</v>
      </c>
      <c r="AQ1102" s="2">
        <v>68</v>
      </c>
      <c r="AR1102" s="2">
        <v>1.5</v>
      </c>
      <c r="AS1102" s="2">
        <v>135</v>
      </c>
      <c r="AT1102" s="2">
        <v>0.8</v>
      </c>
      <c r="AU1102" s="2">
        <v>162</v>
      </c>
      <c r="AV1102" s="2">
        <v>9.1</v>
      </c>
      <c r="AW1102" s="2">
        <v>9.1999999999999993</v>
      </c>
      <c r="AX1102" s="2">
        <v>18.3</v>
      </c>
      <c r="AY1102" s="2">
        <v>0.34</v>
      </c>
      <c r="AZ1102" s="2">
        <v>7.3</v>
      </c>
      <c r="BA1102" s="2">
        <v>0.9</v>
      </c>
      <c r="BB1102" s="2">
        <v>7.5</v>
      </c>
      <c r="BC1102" s="2">
        <v>2.9</v>
      </c>
      <c r="BD1102" s="2">
        <f>+AN1102*EXP(-0.0495*Y1102)</f>
        <v>6.3473087278753937</v>
      </c>
      <c r="BE1102" s="2">
        <f>+AO1102*EXP(-0.024*Y1102)</f>
        <v>19.246277969254603</v>
      </c>
    </row>
    <row r="1103" spans="1:57" x14ac:dyDescent="0.2">
      <c r="A1103" s="2" t="s">
        <v>4492</v>
      </c>
      <c r="B1103" s="2" t="s">
        <v>19</v>
      </c>
      <c r="C1103" s="2" t="s">
        <v>3245</v>
      </c>
      <c r="D1103" s="2" t="s">
        <v>21</v>
      </c>
      <c r="E1103" s="2" t="s">
        <v>1481</v>
      </c>
      <c r="F1103" s="2">
        <v>4</v>
      </c>
      <c r="G1103" s="2">
        <v>34.979999999999997</v>
      </c>
      <c r="H1103" s="2">
        <v>1</v>
      </c>
      <c r="I1103" s="2">
        <v>1</v>
      </c>
      <c r="J1103" s="2">
        <v>1</v>
      </c>
      <c r="K1103" s="2" t="s">
        <v>61</v>
      </c>
      <c r="L1103" s="6" t="s">
        <v>66</v>
      </c>
      <c r="M1103" s="5">
        <v>435000000</v>
      </c>
      <c r="N1103" s="2">
        <v>0</v>
      </c>
      <c r="O1103" s="2">
        <v>4.6189600000000004</v>
      </c>
      <c r="P1103" s="2">
        <v>-74.066699999999997</v>
      </c>
      <c r="Q1103" s="2" t="s">
        <v>4493</v>
      </c>
      <c r="R1103" s="2">
        <v>12435677.529999999</v>
      </c>
      <c r="S1103" s="2">
        <v>0</v>
      </c>
      <c r="T1103" s="2" t="s">
        <v>77</v>
      </c>
      <c r="U1103" s="2" t="s">
        <v>78</v>
      </c>
      <c r="V1103" s="2" t="s">
        <v>28</v>
      </c>
      <c r="W1103" s="2" t="s">
        <v>79</v>
      </c>
      <c r="X1103" s="2" t="s">
        <v>80</v>
      </c>
      <c r="Y1103" s="2">
        <v>0.72715001249411604</v>
      </c>
      <c r="Z1103" s="2">
        <v>4.6254861111111101</v>
      </c>
      <c r="AA1103" s="2">
        <v>-74.066980555555503</v>
      </c>
      <c r="AB1103" s="2">
        <v>2621</v>
      </c>
      <c r="AC1103" s="2" t="s">
        <v>31</v>
      </c>
      <c r="AD1103" s="2" t="s">
        <v>32</v>
      </c>
      <c r="AE1103" s="2" t="s">
        <v>33</v>
      </c>
      <c r="AF1103" s="2" t="s">
        <v>34</v>
      </c>
      <c r="AG1103" s="2" t="s">
        <v>89</v>
      </c>
      <c r="AH1103" s="2">
        <v>0.44230956646831998</v>
      </c>
      <c r="AI1103" s="2">
        <v>0.510630989792626</v>
      </c>
      <c r="AJ1103" s="2">
        <v>0.22582815482886301</v>
      </c>
      <c r="AK1103" s="2">
        <v>0.112407778922738</v>
      </c>
      <c r="AL1103" s="2">
        <v>0.113687195371415</v>
      </c>
      <c r="AN1103" s="2">
        <v>6.8</v>
      </c>
      <c r="AO1103" s="2">
        <v>19.899999999999999</v>
      </c>
      <c r="AP1103" s="2">
        <v>564</v>
      </c>
      <c r="AQ1103" s="2">
        <v>68</v>
      </c>
      <c r="AR1103" s="2">
        <v>1.5</v>
      </c>
      <c r="AS1103" s="2">
        <v>135</v>
      </c>
      <c r="AT1103" s="2">
        <v>0.8</v>
      </c>
      <c r="AU1103" s="2">
        <v>162</v>
      </c>
      <c r="AV1103" s="2">
        <v>9.1</v>
      </c>
      <c r="AW1103" s="2">
        <v>9.1999999999999993</v>
      </c>
      <c r="AX1103" s="2">
        <v>18.3</v>
      </c>
      <c r="AY1103" s="2">
        <v>0.34</v>
      </c>
      <c r="AZ1103" s="2">
        <v>7.3</v>
      </c>
      <c r="BA1103" s="2">
        <v>0.9</v>
      </c>
      <c r="BB1103" s="2">
        <v>7.5</v>
      </c>
      <c r="BC1103" s="2">
        <v>2.9</v>
      </c>
      <c r="BD1103" s="2">
        <f>+AN1103*EXP(-0.0495*Y1103)</f>
        <v>6.5595938410399652</v>
      </c>
      <c r="BE1103" s="2">
        <f>+AO1103*EXP(-0.024*Y1103)</f>
        <v>19.555725958102794</v>
      </c>
    </row>
    <row r="1104" spans="1:57" x14ac:dyDescent="0.2">
      <c r="A1104" s="2" t="s">
        <v>4402</v>
      </c>
      <c r="B1104" s="2" t="s">
        <v>19</v>
      </c>
      <c r="C1104" s="2" t="s">
        <v>3245</v>
      </c>
      <c r="D1104" s="2" t="s">
        <v>21</v>
      </c>
      <c r="E1104" s="2" t="s">
        <v>81</v>
      </c>
      <c r="F1104" s="2">
        <v>4</v>
      </c>
      <c r="G1104" s="2">
        <v>34.03</v>
      </c>
      <c r="H1104" s="2">
        <v>1</v>
      </c>
      <c r="I1104" s="2">
        <v>1</v>
      </c>
      <c r="J1104" s="2">
        <v>1</v>
      </c>
      <c r="K1104" s="2" t="s">
        <v>61</v>
      </c>
      <c r="L1104" s="6" t="s">
        <v>75</v>
      </c>
      <c r="M1104" s="5">
        <v>330000000</v>
      </c>
      <c r="N1104" s="2">
        <v>0</v>
      </c>
      <c r="O1104" s="2">
        <v>4.6444200000000002</v>
      </c>
      <c r="P1104" s="2">
        <v>-74.061909999999997</v>
      </c>
      <c r="Q1104" s="2" t="s">
        <v>4403</v>
      </c>
      <c r="R1104" s="2">
        <v>9697325.8890000004</v>
      </c>
      <c r="S1104" s="2">
        <v>0</v>
      </c>
      <c r="T1104" s="2" t="s">
        <v>77</v>
      </c>
      <c r="U1104" s="2" t="s">
        <v>78</v>
      </c>
      <c r="V1104" s="2" t="s">
        <v>28</v>
      </c>
      <c r="W1104" s="2" t="s">
        <v>79</v>
      </c>
      <c r="X1104" s="2" t="s">
        <v>80</v>
      </c>
      <c r="Y1104" s="2">
        <v>2.1815064440684702</v>
      </c>
      <c r="Z1104" s="2">
        <v>4.6254861111111101</v>
      </c>
      <c r="AA1104" s="2">
        <v>-74.066980555555503</v>
      </c>
      <c r="AB1104" s="2">
        <v>2621</v>
      </c>
      <c r="AC1104" s="2" t="s">
        <v>31</v>
      </c>
      <c r="AD1104" s="2" t="s">
        <v>32</v>
      </c>
      <c r="AE1104" s="2" t="s">
        <v>33</v>
      </c>
      <c r="AF1104" s="2" t="s">
        <v>34</v>
      </c>
      <c r="AG1104" s="2" t="s">
        <v>81</v>
      </c>
      <c r="AH1104" s="2">
        <v>0.46264827635914901</v>
      </c>
      <c r="AI1104" s="2">
        <v>0.61979294245545302</v>
      </c>
      <c r="AJ1104" s="2">
        <v>0.20787927867731701</v>
      </c>
      <c r="AK1104" s="2">
        <v>0.14323482014498601</v>
      </c>
      <c r="AL1104" s="2">
        <v>0.26935668749924702</v>
      </c>
      <c r="AN1104" s="2">
        <v>6.8</v>
      </c>
      <c r="AO1104" s="2">
        <v>19.899999999999999</v>
      </c>
      <c r="AP1104" s="2">
        <v>564</v>
      </c>
      <c r="AQ1104" s="2">
        <v>68</v>
      </c>
      <c r="AR1104" s="2">
        <v>1.5</v>
      </c>
      <c r="AS1104" s="2">
        <v>135</v>
      </c>
      <c r="AT1104" s="2">
        <v>0.8</v>
      </c>
      <c r="AU1104" s="2">
        <v>162</v>
      </c>
      <c r="AV1104" s="2">
        <v>9.1</v>
      </c>
      <c r="AW1104" s="2">
        <v>9.1999999999999993</v>
      </c>
      <c r="AX1104" s="2">
        <v>18.3</v>
      </c>
      <c r="AY1104" s="2">
        <v>0.34</v>
      </c>
      <c r="AZ1104" s="2">
        <v>7.3</v>
      </c>
      <c r="BA1104" s="2">
        <v>0.9</v>
      </c>
      <c r="BB1104" s="2">
        <v>7.5</v>
      </c>
      <c r="BC1104" s="2">
        <v>2.9</v>
      </c>
      <c r="BD1104" s="2">
        <f>+AN1104*EXP(-0.0495*Y1104)</f>
        <v>6.1039618453490689</v>
      </c>
      <c r="BE1104" s="2">
        <f>+AO1104*EXP(-0.024*Y1104)</f>
        <v>18.884917301035891</v>
      </c>
    </row>
    <row r="1105" spans="1:57" x14ac:dyDescent="0.2">
      <c r="A1105" s="2" t="s">
        <v>3611</v>
      </c>
      <c r="B1105" s="2" t="s">
        <v>19</v>
      </c>
      <c r="C1105" s="2" t="s">
        <v>3245</v>
      </c>
      <c r="D1105" s="2" t="s">
        <v>21</v>
      </c>
      <c r="E1105" s="2" t="s">
        <v>3612</v>
      </c>
      <c r="F1105" s="2">
        <v>4</v>
      </c>
      <c r="G1105" s="2">
        <v>34</v>
      </c>
      <c r="H1105" s="2">
        <v>1</v>
      </c>
      <c r="I1105" s="2">
        <v>2</v>
      </c>
      <c r="J1105" s="2">
        <v>1</v>
      </c>
      <c r="K1105" s="2" t="s">
        <v>61</v>
      </c>
      <c r="L1105" s="6" t="s">
        <v>62</v>
      </c>
      <c r="M1105" s="5">
        <v>335000000</v>
      </c>
      <c r="N1105" s="2">
        <v>0</v>
      </c>
      <c r="O1105" s="2">
        <v>4.6410946849999997</v>
      </c>
      <c r="P1105" s="2">
        <v>-74.076942439999996</v>
      </c>
      <c r="Q1105" s="2" t="s">
        <v>3613</v>
      </c>
      <c r="R1105" s="2">
        <v>9852941.1760000009</v>
      </c>
      <c r="S1105" s="2">
        <v>0</v>
      </c>
      <c r="T1105" s="2" t="s">
        <v>77</v>
      </c>
      <c r="U1105" s="2" t="s">
        <v>78</v>
      </c>
      <c r="V1105" s="2" t="s">
        <v>28</v>
      </c>
      <c r="W1105" s="2" t="s">
        <v>79</v>
      </c>
      <c r="X1105" s="2" t="s">
        <v>80</v>
      </c>
      <c r="Y1105" s="2">
        <v>2.0593178363596198</v>
      </c>
      <c r="Z1105" s="2">
        <v>4.6254861111111101</v>
      </c>
      <c r="AA1105" s="2">
        <v>-74.066980555555503</v>
      </c>
      <c r="AB1105" s="2">
        <v>2621</v>
      </c>
      <c r="AC1105" s="2" t="s">
        <v>31</v>
      </c>
      <c r="AD1105" s="2" t="s">
        <v>32</v>
      </c>
      <c r="AE1105" s="2" t="s">
        <v>33</v>
      </c>
      <c r="AF1105" s="2" t="s">
        <v>34</v>
      </c>
      <c r="AG1105" s="2" t="s">
        <v>35</v>
      </c>
      <c r="AH1105" s="2">
        <v>0.51255332727923797</v>
      </c>
      <c r="AI1105" s="2">
        <v>2.0566848461359299</v>
      </c>
      <c r="AJ1105" s="2">
        <v>0.40874749590862802</v>
      </c>
      <c r="AK1105" s="2">
        <v>9.1220297486330204E-2</v>
      </c>
      <c r="AL1105" s="2">
        <v>0.62529110810194299</v>
      </c>
      <c r="AN1105" s="2">
        <v>6.8</v>
      </c>
      <c r="AO1105" s="2">
        <v>19.899999999999999</v>
      </c>
      <c r="AP1105" s="2">
        <v>564</v>
      </c>
      <c r="AQ1105" s="2">
        <v>68</v>
      </c>
      <c r="AR1105" s="2">
        <v>1.5</v>
      </c>
      <c r="AS1105" s="2">
        <v>135</v>
      </c>
      <c r="AT1105" s="2">
        <v>0.8</v>
      </c>
      <c r="AU1105" s="2">
        <v>162</v>
      </c>
      <c r="AV1105" s="2">
        <v>9.1</v>
      </c>
      <c r="AW1105" s="2">
        <v>9.1999999999999993</v>
      </c>
      <c r="AX1105" s="2">
        <v>18.3</v>
      </c>
      <c r="AY1105" s="2">
        <v>0.34</v>
      </c>
      <c r="AZ1105" s="2">
        <v>7.3</v>
      </c>
      <c r="BA1105" s="2">
        <v>0.9</v>
      </c>
      <c r="BB1105" s="2">
        <v>7.5</v>
      </c>
      <c r="BC1105" s="2">
        <v>2.9</v>
      </c>
      <c r="BD1105" s="2">
        <f>+AN1105*EXP(-0.0495*Y1105)</f>
        <v>6.1409925321493617</v>
      </c>
      <c r="BE1105" s="2">
        <f>+AO1105*EXP(-0.024*Y1105)</f>
        <v>18.940379104937847</v>
      </c>
    </row>
    <row r="1106" spans="1:57" x14ac:dyDescent="0.2">
      <c r="A1106" s="2" t="s">
        <v>1483</v>
      </c>
      <c r="B1106" s="2" t="s">
        <v>19</v>
      </c>
      <c r="C1106" s="2" t="s">
        <v>20</v>
      </c>
      <c r="D1106" s="2" t="s">
        <v>21</v>
      </c>
      <c r="E1106" s="2" t="s">
        <v>1481</v>
      </c>
      <c r="F1106" s="2">
        <v>3</v>
      </c>
      <c r="G1106" s="2">
        <v>33.79</v>
      </c>
      <c r="H1106" s="2">
        <v>1</v>
      </c>
      <c r="I1106" s="2">
        <v>1</v>
      </c>
      <c r="J1106" s="2">
        <v>0</v>
      </c>
      <c r="K1106" s="2" t="s">
        <v>23</v>
      </c>
      <c r="L1106" s="6" t="s">
        <v>24</v>
      </c>
      <c r="M1106" s="5">
        <v>360528963</v>
      </c>
      <c r="N1106" s="2">
        <v>0</v>
      </c>
      <c r="O1106" s="2">
        <v>4.6218880000000002</v>
      </c>
      <c r="P1106" s="2">
        <v>-74.069320000000005</v>
      </c>
      <c r="Q1106" s="2" t="s">
        <v>1484</v>
      </c>
      <c r="R1106" s="2">
        <v>10669694.08</v>
      </c>
      <c r="S1106" s="2">
        <v>0</v>
      </c>
      <c r="T1106" s="2" t="s">
        <v>77</v>
      </c>
      <c r="U1106" s="2" t="s">
        <v>78</v>
      </c>
      <c r="V1106" s="2" t="s">
        <v>28</v>
      </c>
      <c r="W1106" s="2" t="s">
        <v>79</v>
      </c>
      <c r="X1106" s="2" t="s">
        <v>80</v>
      </c>
      <c r="Y1106" s="2">
        <v>0.477297678444431</v>
      </c>
      <c r="Z1106" s="2">
        <v>4.6254861111111101</v>
      </c>
      <c r="AA1106" s="2">
        <v>-74.066980555555503</v>
      </c>
      <c r="AB1106" s="2">
        <v>2621</v>
      </c>
      <c r="AC1106" s="2" t="s">
        <v>31</v>
      </c>
      <c r="AD1106" s="2" t="s">
        <v>32</v>
      </c>
      <c r="AE1106" s="2" t="s">
        <v>33</v>
      </c>
      <c r="AF1106" s="2" t="s">
        <v>34</v>
      </c>
      <c r="AG1106" s="2" t="s">
        <v>89</v>
      </c>
      <c r="AH1106" s="2">
        <v>5.6142650139799702E-2</v>
      </c>
      <c r="AI1106" s="2">
        <v>0.90372310585985105</v>
      </c>
      <c r="AJ1106" s="2">
        <v>0.22218264720956099</v>
      </c>
      <c r="AK1106" s="2">
        <v>4.7684081077489601E-2</v>
      </c>
      <c r="AL1106" s="2">
        <v>0.19304280251591199</v>
      </c>
      <c r="AN1106" s="2">
        <v>6.8</v>
      </c>
      <c r="AO1106" s="2">
        <v>19.899999999999999</v>
      </c>
      <c r="AP1106" s="2">
        <v>564</v>
      </c>
      <c r="AQ1106" s="2">
        <v>68</v>
      </c>
      <c r="AR1106" s="2">
        <v>1.5</v>
      </c>
      <c r="AS1106" s="2">
        <v>135</v>
      </c>
      <c r="AT1106" s="2">
        <v>0.8</v>
      </c>
      <c r="AU1106" s="2">
        <v>162</v>
      </c>
      <c r="AV1106" s="2">
        <v>9.1</v>
      </c>
      <c r="AW1106" s="2">
        <v>9.1999999999999993</v>
      </c>
      <c r="AX1106" s="2">
        <v>18.3</v>
      </c>
      <c r="AY1106" s="2">
        <v>0.34</v>
      </c>
      <c r="AZ1106" s="2">
        <v>7.3</v>
      </c>
      <c r="BA1106" s="2">
        <v>0.9</v>
      </c>
      <c r="BB1106" s="2">
        <v>7.5</v>
      </c>
      <c r="BC1106" s="2">
        <v>2.9</v>
      </c>
      <c r="BD1106" s="2">
        <f>+AN1106*EXP(-0.0495*Y1106)</f>
        <v>6.6412246192899369</v>
      </c>
      <c r="BE1106" s="2">
        <f>+AO1106*EXP(-0.024*Y1106)</f>
        <v>19.673343299868097</v>
      </c>
    </row>
    <row r="1107" spans="1:57" x14ac:dyDescent="0.2">
      <c r="A1107" s="2" t="s">
        <v>1480</v>
      </c>
      <c r="B1107" s="2" t="s">
        <v>19</v>
      </c>
      <c r="C1107" s="2" t="s">
        <v>20</v>
      </c>
      <c r="D1107" s="2" t="s">
        <v>21</v>
      </c>
      <c r="E1107" s="2" t="s">
        <v>1481</v>
      </c>
      <c r="F1107" s="2">
        <v>3</v>
      </c>
      <c r="G1107" s="2">
        <v>33.72</v>
      </c>
      <c r="H1107" s="2">
        <v>1</v>
      </c>
      <c r="I1107" s="2">
        <v>1</v>
      </c>
      <c r="J1107" s="2">
        <v>0</v>
      </c>
      <c r="K1107" s="2" t="s">
        <v>23</v>
      </c>
      <c r="L1107" s="6" t="s">
        <v>24</v>
      </c>
      <c r="M1107" s="5">
        <v>360199156</v>
      </c>
      <c r="N1107" s="2">
        <v>0</v>
      </c>
      <c r="O1107" s="2">
        <v>4.6218880000000002</v>
      </c>
      <c r="P1107" s="2">
        <v>-74.069320000000005</v>
      </c>
      <c r="Q1107" s="2" t="s">
        <v>1482</v>
      </c>
      <c r="R1107" s="2">
        <v>10682062.75</v>
      </c>
      <c r="S1107" s="2">
        <v>0</v>
      </c>
      <c r="T1107" s="2" t="s">
        <v>77</v>
      </c>
      <c r="U1107" s="2" t="s">
        <v>78</v>
      </c>
      <c r="V1107" s="2" t="s">
        <v>28</v>
      </c>
      <c r="W1107" s="2" t="s">
        <v>79</v>
      </c>
      <c r="X1107" s="2" t="s">
        <v>80</v>
      </c>
      <c r="Y1107" s="2">
        <v>0.477297678444431</v>
      </c>
      <c r="Z1107" s="2">
        <v>4.6254861111111101</v>
      </c>
      <c r="AA1107" s="2">
        <v>-74.066980555555503</v>
      </c>
      <c r="AB1107" s="2">
        <v>2621</v>
      </c>
      <c r="AC1107" s="2" t="s">
        <v>31</v>
      </c>
      <c r="AD1107" s="2" t="s">
        <v>32</v>
      </c>
      <c r="AE1107" s="2" t="s">
        <v>33</v>
      </c>
      <c r="AF1107" s="2" t="s">
        <v>34</v>
      </c>
      <c r="AG1107" s="2" t="s">
        <v>89</v>
      </c>
      <c r="AH1107" s="2">
        <v>5.6142650139799702E-2</v>
      </c>
      <c r="AI1107" s="2">
        <v>0.90372310585985105</v>
      </c>
      <c r="AJ1107" s="2">
        <v>0.22218264720956099</v>
      </c>
      <c r="AK1107" s="2">
        <v>4.7684081077489601E-2</v>
      </c>
      <c r="AL1107" s="2">
        <v>0.19304280251591199</v>
      </c>
      <c r="AN1107" s="2">
        <v>6.8</v>
      </c>
      <c r="AO1107" s="2">
        <v>19.899999999999999</v>
      </c>
      <c r="AP1107" s="2">
        <v>564</v>
      </c>
      <c r="AQ1107" s="2">
        <v>68</v>
      </c>
      <c r="AR1107" s="2">
        <v>1.5</v>
      </c>
      <c r="AS1107" s="2">
        <v>135</v>
      </c>
      <c r="AT1107" s="2">
        <v>0.8</v>
      </c>
      <c r="AU1107" s="2">
        <v>162</v>
      </c>
      <c r="AV1107" s="2">
        <v>9.1</v>
      </c>
      <c r="AW1107" s="2">
        <v>9.1999999999999993</v>
      </c>
      <c r="AX1107" s="2">
        <v>18.3</v>
      </c>
      <c r="AY1107" s="2">
        <v>0.34</v>
      </c>
      <c r="AZ1107" s="2">
        <v>7.3</v>
      </c>
      <c r="BA1107" s="2">
        <v>0.9</v>
      </c>
      <c r="BB1107" s="2">
        <v>7.5</v>
      </c>
      <c r="BC1107" s="2">
        <v>2.9</v>
      </c>
      <c r="BD1107" s="2">
        <f>+AN1107*EXP(-0.0495*Y1107)</f>
        <v>6.6412246192899369</v>
      </c>
      <c r="BE1107" s="2">
        <f>+AO1107*EXP(-0.024*Y1107)</f>
        <v>19.673343299868097</v>
      </c>
    </row>
    <row r="1108" spans="1:57" x14ac:dyDescent="0.2">
      <c r="A1108" s="2" t="s">
        <v>3712</v>
      </c>
      <c r="B1108" s="2" t="s">
        <v>19</v>
      </c>
      <c r="C1108" s="2" t="s">
        <v>3245</v>
      </c>
      <c r="D1108" s="2" t="s">
        <v>21</v>
      </c>
      <c r="E1108" s="2" t="s">
        <v>87</v>
      </c>
      <c r="F1108" s="2">
        <v>4</v>
      </c>
      <c r="G1108" s="2">
        <v>33.68</v>
      </c>
      <c r="H1108" s="2">
        <v>1</v>
      </c>
      <c r="I1108" s="2">
        <v>1</v>
      </c>
      <c r="J1108" s="2">
        <v>0</v>
      </c>
      <c r="K1108" s="2" t="s">
        <v>61</v>
      </c>
      <c r="L1108" s="6" t="s">
        <v>62</v>
      </c>
      <c r="M1108" s="5">
        <v>350000000</v>
      </c>
      <c r="N1108" s="2">
        <v>0</v>
      </c>
      <c r="O1108" s="2">
        <v>4.6214767999999999</v>
      </c>
      <c r="P1108" s="2">
        <v>-74.068052600000001</v>
      </c>
      <c r="Q1108" s="2" t="s">
        <v>3713</v>
      </c>
      <c r="R1108" s="2">
        <v>10391923.99</v>
      </c>
      <c r="S1108" s="2">
        <v>0</v>
      </c>
      <c r="T1108" s="2" t="s">
        <v>77</v>
      </c>
      <c r="U1108" s="2" t="s">
        <v>78</v>
      </c>
      <c r="V1108" s="2" t="s">
        <v>28</v>
      </c>
      <c r="W1108" s="2" t="s">
        <v>79</v>
      </c>
      <c r="X1108" s="2" t="s">
        <v>80</v>
      </c>
      <c r="Y1108" s="2">
        <v>0.46189389697965899</v>
      </c>
      <c r="Z1108" s="2">
        <v>4.6254861111111101</v>
      </c>
      <c r="AA1108" s="2">
        <v>-74.066980555555503</v>
      </c>
      <c r="AB1108" s="2">
        <v>2621</v>
      </c>
      <c r="AC1108" s="2" t="s">
        <v>31</v>
      </c>
      <c r="AD1108" s="2" t="s">
        <v>32</v>
      </c>
      <c r="AE1108" s="2" t="s">
        <v>33</v>
      </c>
      <c r="AF1108" s="2" t="s">
        <v>34</v>
      </c>
      <c r="AG1108" s="2" t="s">
        <v>89</v>
      </c>
      <c r="AH1108" s="2">
        <v>0.185129463807061</v>
      </c>
      <c r="AI1108" s="2">
        <v>0.76038377136523405</v>
      </c>
      <c r="AJ1108" s="2">
        <v>0.219025389516252</v>
      </c>
      <c r="AK1108" s="2">
        <v>0.11153857506423701</v>
      </c>
      <c r="AL1108" s="2">
        <v>0.14045488553705901</v>
      </c>
      <c r="AN1108" s="2">
        <v>6.8</v>
      </c>
      <c r="AO1108" s="2">
        <v>19.899999999999999</v>
      </c>
      <c r="AP1108" s="2">
        <v>564</v>
      </c>
      <c r="AQ1108" s="2">
        <v>68</v>
      </c>
      <c r="AR1108" s="2">
        <v>1.5</v>
      </c>
      <c r="AS1108" s="2">
        <v>135</v>
      </c>
      <c r="AT1108" s="2">
        <v>0.8</v>
      </c>
      <c r="AU1108" s="2">
        <v>162</v>
      </c>
      <c r="AV1108" s="2">
        <v>9.1</v>
      </c>
      <c r="AW1108" s="2">
        <v>9.1999999999999993</v>
      </c>
      <c r="AX1108" s="2">
        <v>18.3</v>
      </c>
      <c r="AY1108" s="2">
        <v>0.34</v>
      </c>
      <c r="AZ1108" s="2">
        <v>7.3</v>
      </c>
      <c r="BA1108" s="2">
        <v>0.9</v>
      </c>
      <c r="BB1108" s="2">
        <v>7.5</v>
      </c>
      <c r="BC1108" s="2">
        <v>2.9</v>
      </c>
      <c r="BD1108" s="2">
        <f>+AN1108*EXP(-0.0495*Y1108)</f>
        <v>6.6462903989889037</v>
      </c>
      <c r="BE1108" s="2">
        <f>+AO1108*EXP(-0.024*Y1108)</f>
        <v>19.68061769756498</v>
      </c>
    </row>
    <row r="1109" spans="1:57" x14ac:dyDescent="0.2">
      <c r="A1109" s="2" t="s">
        <v>3909</v>
      </c>
      <c r="B1109" s="2" t="s">
        <v>19</v>
      </c>
      <c r="C1109" s="2" t="s">
        <v>3245</v>
      </c>
      <c r="D1109" s="2" t="s">
        <v>21</v>
      </c>
      <c r="E1109" s="2" t="s">
        <v>87</v>
      </c>
      <c r="F1109" s="2">
        <v>3</v>
      </c>
      <c r="G1109" s="2">
        <v>33.68</v>
      </c>
      <c r="H1109" s="2">
        <v>1</v>
      </c>
      <c r="I1109" s="2">
        <v>1</v>
      </c>
      <c r="J1109" s="2">
        <v>0</v>
      </c>
      <c r="K1109" s="2" t="s">
        <v>61</v>
      </c>
      <c r="L1109" s="6" t="s">
        <v>62</v>
      </c>
      <c r="M1109" s="5">
        <v>350000000</v>
      </c>
      <c r="N1109" s="2">
        <v>0</v>
      </c>
      <c r="O1109" s="2">
        <v>4.621587753</v>
      </c>
      <c r="P1109" s="2">
        <v>-74.068092350000001</v>
      </c>
      <c r="Q1109" s="2" t="s">
        <v>3910</v>
      </c>
      <c r="R1109" s="2">
        <v>10391923.99</v>
      </c>
      <c r="S1109" s="2">
        <v>0</v>
      </c>
      <c r="T1109" s="2" t="s">
        <v>77</v>
      </c>
      <c r="U1109" s="2" t="s">
        <v>78</v>
      </c>
      <c r="V1109" s="2" t="s">
        <v>28</v>
      </c>
      <c r="W1109" s="2" t="s">
        <v>79</v>
      </c>
      <c r="X1109" s="2" t="s">
        <v>80</v>
      </c>
      <c r="Y1109" s="2">
        <v>0.45115650123085599</v>
      </c>
      <c r="Z1109" s="2">
        <v>4.6254861111111101</v>
      </c>
      <c r="AA1109" s="2">
        <v>-74.066980555555503</v>
      </c>
      <c r="AB1109" s="2">
        <v>2621</v>
      </c>
      <c r="AC1109" s="2" t="s">
        <v>31</v>
      </c>
      <c r="AD1109" s="2" t="s">
        <v>32</v>
      </c>
      <c r="AE1109" s="2" t="s">
        <v>33</v>
      </c>
      <c r="AF1109" s="2" t="s">
        <v>34</v>
      </c>
      <c r="AG1109" s="2" t="s">
        <v>89</v>
      </c>
      <c r="AH1109" s="2">
        <v>0.180404950430332</v>
      </c>
      <c r="AI1109" s="2">
        <v>0.765451791954608</v>
      </c>
      <c r="AJ1109" s="2">
        <v>0.226897966119187</v>
      </c>
      <c r="AK1109" s="2">
        <v>0.106950168073355</v>
      </c>
      <c r="AL1109" s="2">
        <v>0.147186253146771</v>
      </c>
      <c r="AN1109" s="2">
        <v>6.8</v>
      </c>
      <c r="AO1109" s="2">
        <v>19.899999999999999</v>
      </c>
      <c r="AP1109" s="2">
        <v>564</v>
      </c>
      <c r="AQ1109" s="2">
        <v>68</v>
      </c>
      <c r="AR1109" s="2">
        <v>1.5</v>
      </c>
      <c r="AS1109" s="2">
        <v>135</v>
      </c>
      <c r="AT1109" s="2">
        <v>0.8</v>
      </c>
      <c r="AU1109" s="2">
        <v>162</v>
      </c>
      <c r="AV1109" s="2">
        <v>9.1</v>
      </c>
      <c r="AW1109" s="2">
        <v>9.1999999999999993</v>
      </c>
      <c r="AX1109" s="2">
        <v>18.3</v>
      </c>
      <c r="AY1109" s="2">
        <v>0.34</v>
      </c>
      <c r="AZ1109" s="2">
        <v>7.3</v>
      </c>
      <c r="BA1109" s="2">
        <v>0.9</v>
      </c>
      <c r="BB1109" s="2">
        <v>7.5</v>
      </c>
      <c r="BC1109" s="2">
        <v>2.9</v>
      </c>
      <c r="BD1109" s="2">
        <f>+AN1109*EXP(-0.0495*Y1109)</f>
        <v>6.6498238485104908</v>
      </c>
      <c r="BE1109" s="2">
        <f>+AO1109*EXP(-0.024*Y1109)</f>
        <v>19.685689997035542</v>
      </c>
    </row>
    <row r="1110" spans="1:57" x14ac:dyDescent="0.2">
      <c r="A1110" s="2" t="s">
        <v>3283</v>
      </c>
      <c r="B1110" s="2" t="s">
        <v>19</v>
      </c>
      <c r="C1110" s="2" t="s">
        <v>3245</v>
      </c>
      <c r="D1110" s="2" t="s">
        <v>21</v>
      </c>
      <c r="E1110" s="2" t="s">
        <v>3284</v>
      </c>
      <c r="F1110" s="2">
        <v>4</v>
      </c>
      <c r="G1110" s="2">
        <v>33.380000000000003</v>
      </c>
      <c r="H1110" s="2">
        <v>1</v>
      </c>
      <c r="I1110" s="2">
        <v>1</v>
      </c>
      <c r="J1110" s="2">
        <v>0</v>
      </c>
      <c r="K1110" s="2" t="s">
        <v>61</v>
      </c>
      <c r="L1110" s="6" t="s">
        <v>84</v>
      </c>
      <c r="M1110" s="5">
        <v>370000000</v>
      </c>
      <c r="N1110" s="2">
        <v>0</v>
      </c>
      <c r="O1110" s="2">
        <v>4.6640100000000002</v>
      </c>
      <c r="P1110" s="2">
        <v>-74.111999999999995</v>
      </c>
      <c r="Q1110" s="2" t="s">
        <v>3285</v>
      </c>
      <c r="R1110" s="2">
        <v>11084481.73</v>
      </c>
      <c r="S1110" s="2">
        <v>0</v>
      </c>
      <c r="T1110" s="2" t="s">
        <v>26</v>
      </c>
      <c r="U1110" s="2" t="s">
        <v>27</v>
      </c>
      <c r="V1110" s="2" t="s">
        <v>28</v>
      </c>
      <c r="W1110" s="2" t="s">
        <v>29</v>
      </c>
      <c r="X1110" s="2" t="s">
        <v>30</v>
      </c>
      <c r="Y1110" s="2">
        <v>3.1709578180078899</v>
      </c>
      <c r="Z1110" s="2">
        <v>4.6584666666666701</v>
      </c>
      <c r="AA1110" s="2">
        <v>-74.083966666666697</v>
      </c>
      <c r="AB1110" s="2">
        <v>2552</v>
      </c>
      <c r="AC1110" s="2" t="s">
        <v>31</v>
      </c>
      <c r="AD1110" s="2" t="s">
        <v>32</v>
      </c>
      <c r="AE1110" s="2" t="s">
        <v>33</v>
      </c>
      <c r="AF1110" s="2" t="s">
        <v>34</v>
      </c>
      <c r="AG1110" s="2" t="s">
        <v>43</v>
      </c>
      <c r="AH1110" s="2">
        <v>0.42453358921085899</v>
      </c>
      <c r="AI1110" s="2">
        <v>5.0542695963202897</v>
      </c>
      <c r="AJ1110" s="2">
        <v>0.89394256792182003</v>
      </c>
      <c r="AK1110" s="2">
        <v>0.35546385331772501</v>
      </c>
      <c r="AL1110" s="2">
        <v>0.614222576802262</v>
      </c>
      <c r="AN1110" s="2">
        <v>6.8</v>
      </c>
      <c r="AO1110" s="2">
        <v>19.899999999999999</v>
      </c>
      <c r="AP1110" s="2">
        <v>564</v>
      </c>
      <c r="AQ1110" s="2">
        <v>68</v>
      </c>
      <c r="AR1110" s="2">
        <v>1.5</v>
      </c>
      <c r="AS1110" s="2">
        <v>135</v>
      </c>
      <c r="AT1110" s="2">
        <v>0.8</v>
      </c>
      <c r="AU1110" s="2">
        <v>162</v>
      </c>
      <c r="AV1110" s="2">
        <v>9.1</v>
      </c>
      <c r="AW1110" s="2">
        <v>9.1999999999999993</v>
      </c>
      <c r="AX1110" s="2">
        <v>18.3</v>
      </c>
      <c r="AY1110" s="2">
        <v>0.34</v>
      </c>
      <c r="AZ1110" s="2">
        <v>7.3</v>
      </c>
      <c r="BA1110" s="2">
        <v>0.9</v>
      </c>
      <c r="BB1110" s="2">
        <v>7.5</v>
      </c>
      <c r="BC1110" s="2">
        <v>2.9</v>
      </c>
      <c r="BD1110" s="2">
        <f>+AN1110*EXP(-0.0495*Y1110)</f>
        <v>5.8122060651060128</v>
      </c>
      <c r="BE1110" s="2">
        <f>+AO1110*EXP(-0.024*Y1110)</f>
        <v>18.441743141268049</v>
      </c>
    </row>
    <row r="1111" spans="1:57" x14ac:dyDescent="0.2">
      <c r="A1111" s="2" t="s">
        <v>4304</v>
      </c>
      <c r="B1111" s="2" t="s">
        <v>19</v>
      </c>
      <c r="C1111" s="2" t="s">
        <v>3245</v>
      </c>
      <c r="D1111" s="2" t="s">
        <v>21</v>
      </c>
      <c r="E1111" s="2" t="s">
        <v>757</v>
      </c>
      <c r="F1111" s="2">
        <v>5</v>
      </c>
      <c r="G1111" s="2">
        <v>33</v>
      </c>
      <c r="H1111" s="2">
        <v>1</v>
      </c>
      <c r="I1111" s="2">
        <v>1</v>
      </c>
      <c r="J1111" s="2">
        <v>0</v>
      </c>
      <c r="K1111" s="2" t="s">
        <v>61</v>
      </c>
      <c r="L1111" s="6" t="s">
        <v>62</v>
      </c>
      <c r="M1111" s="5">
        <v>450000000</v>
      </c>
      <c r="N1111" s="2">
        <v>0</v>
      </c>
      <c r="O1111" s="2">
        <v>4.6628309999999997</v>
      </c>
      <c r="P1111" s="2">
        <v>-74.112319999999997</v>
      </c>
      <c r="Q1111" s="2" t="s">
        <v>4305</v>
      </c>
      <c r="R1111" s="2">
        <v>13636363.640000001</v>
      </c>
      <c r="S1111" s="2">
        <v>0</v>
      </c>
      <c r="T1111" s="2" t="s">
        <v>26</v>
      </c>
      <c r="U1111" s="2" t="s">
        <v>27</v>
      </c>
      <c r="V1111" s="2" t="s">
        <v>28</v>
      </c>
      <c r="W1111" s="2" t="s">
        <v>29</v>
      </c>
      <c r="X1111" s="2" t="s">
        <v>30</v>
      </c>
      <c r="Y1111" s="2">
        <v>3.1831366489165802</v>
      </c>
      <c r="Z1111" s="2">
        <v>4.6584666666666701</v>
      </c>
      <c r="AA1111" s="2">
        <v>-74.083966666666697</v>
      </c>
      <c r="AB1111" s="2">
        <v>2552</v>
      </c>
      <c r="AC1111" s="2" t="s">
        <v>31</v>
      </c>
      <c r="AD1111" s="2" t="s">
        <v>32</v>
      </c>
      <c r="AE1111" s="2" t="s">
        <v>33</v>
      </c>
      <c r="AF1111" s="2" t="s">
        <v>34</v>
      </c>
      <c r="AG1111" s="2" t="s">
        <v>43</v>
      </c>
      <c r="AH1111" s="2">
        <v>0.40543897568824599</v>
      </c>
      <c r="AI1111" s="2">
        <v>5.0184949982578804</v>
      </c>
      <c r="AJ1111" s="2">
        <v>0.82500746667062896</v>
      </c>
      <c r="AK1111" s="2">
        <v>0.30258654602586299</v>
      </c>
      <c r="AL1111" s="2">
        <v>0.55346451991790502</v>
      </c>
      <c r="AN1111" s="2">
        <v>6.8</v>
      </c>
      <c r="AO1111" s="2">
        <v>19.899999999999999</v>
      </c>
      <c r="AP1111" s="2">
        <v>564</v>
      </c>
      <c r="AQ1111" s="2">
        <v>68</v>
      </c>
      <c r="AR1111" s="2">
        <v>1.5</v>
      </c>
      <c r="AS1111" s="2">
        <v>135</v>
      </c>
      <c r="AT1111" s="2">
        <v>0.8</v>
      </c>
      <c r="AU1111" s="2">
        <v>162</v>
      </c>
      <c r="AV1111" s="2">
        <v>9.1</v>
      </c>
      <c r="AW1111" s="2">
        <v>9.1999999999999993</v>
      </c>
      <c r="AX1111" s="2">
        <v>18.3</v>
      </c>
      <c r="AY1111" s="2">
        <v>0.34</v>
      </c>
      <c r="AZ1111" s="2">
        <v>7.3</v>
      </c>
      <c r="BA1111" s="2">
        <v>0.9</v>
      </c>
      <c r="BB1111" s="2">
        <v>7.5</v>
      </c>
      <c r="BC1111" s="2">
        <v>2.9</v>
      </c>
      <c r="BD1111" s="2">
        <f>+AN1111*EXP(-0.0495*Y1111)</f>
        <v>5.8087032202546069</v>
      </c>
      <c r="BE1111" s="2">
        <f>+AO1111*EXP(-0.024*Y1111)</f>
        <v>18.436353556059487</v>
      </c>
    </row>
    <row r="1112" spans="1:57" x14ac:dyDescent="0.2">
      <c r="A1112" s="2" t="s">
        <v>3862</v>
      </c>
      <c r="B1112" s="2" t="s">
        <v>19</v>
      </c>
      <c r="C1112" s="2" t="s">
        <v>3245</v>
      </c>
      <c r="D1112" s="2" t="s">
        <v>21</v>
      </c>
      <c r="E1112" s="2" t="s">
        <v>87</v>
      </c>
      <c r="F1112" s="2">
        <v>4</v>
      </c>
      <c r="G1112" s="2">
        <v>33</v>
      </c>
      <c r="H1112" s="2">
        <v>1</v>
      </c>
      <c r="I1112" s="2">
        <v>1</v>
      </c>
      <c r="J1112" s="2">
        <v>0</v>
      </c>
      <c r="K1112" s="2" t="s">
        <v>61</v>
      </c>
      <c r="L1112" s="6" t="s">
        <v>62</v>
      </c>
      <c r="M1112" s="5">
        <v>450000000</v>
      </c>
      <c r="N1112" s="2">
        <v>0</v>
      </c>
      <c r="O1112" s="2">
        <v>4.620581627</v>
      </c>
      <c r="P1112" s="2">
        <v>-74.069885249999999</v>
      </c>
      <c r="Q1112" s="2" t="s">
        <v>3863</v>
      </c>
      <c r="R1112" s="2">
        <v>13636363.640000001</v>
      </c>
      <c r="S1112" s="2">
        <v>0</v>
      </c>
      <c r="T1112" s="2" t="s">
        <v>77</v>
      </c>
      <c r="U1112" s="2" t="s">
        <v>78</v>
      </c>
      <c r="V1112" s="2" t="s">
        <v>28</v>
      </c>
      <c r="W1112" s="2" t="s">
        <v>79</v>
      </c>
      <c r="X1112" s="2" t="s">
        <v>80</v>
      </c>
      <c r="Y1112" s="2">
        <v>0.633997516669768</v>
      </c>
      <c r="Z1112" s="2">
        <v>4.6254861111111101</v>
      </c>
      <c r="AA1112" s="2">
        <v>-74.066980555555503</v>
      </c>
      <c r="AB1112" s="2">
        <v>2621</v>
      </c>
      <c r="AC1112" s="2" t="s">
        <v>31</v>
      </c>
      <c r="AD1112" s="2" t="s">
        <v>32</v>
      </c>
      <c r="AE1112" s="2" t="s">
        <v>33</v>
      </c>
      <c r="AF1112" s="2" t="s">
        <v>34</v>
      </c>
      <c r="AG1112" s="2" t="s">
        <v>89</v>
      </c>
      <c r="AH1112" s="2">
        <v>0.11136946779222399</v>
      </c>
      <c r="AI1112" s="2">
        <v>0.89949815752611095</v>
      </c>
      <c r="AJ1112" s="2">
        <v>0.31405967624686398</v>
      </c>
      <c r="AK1112" s="2">
        <v>3.8130556448605898E-2</v>
      </c>
      <c r="AL1112" s="2">
        <v>3.9668829955487601E-2</v>
      </c>
      <c r="AN1112" s="2">
        <v>6.8</v>
      </c>
      <c r="AO1112" s="2">
        <v>19.899999999999999</v>
      </c>
      <c r="AP1112" s="2">
        <v>564</v>
      </c>
      <c r="AQ1112" s="2">
        <v>68</v>
      </c>
      <c r="AR1112" s="2">
        <v>1.5</v>
      </c>
      <c r="AS1112" s="2">
        <v>135</v>
      </c>
      <c r="AT1112" s="2">
        <v>0.8</v>
      </c>
      <c r="AU1112" s="2">
        <v>162</v>
      </c>
      <c r="AV1112" s="2">
        <v>9.1</v>
      </c>
      <c r="AW1112" s="2">
        <v>9.1999999999999993</v>
      </c>
      <c r="AX1112" s="2">
        <v>18.3</v>
      </c>
      <c r="AY1112" s="2">
        <v>0.34</v>
      </c>
      <c r="AZ1112" s="2">
        <v>7.3</v>
      </c>
      <c r="BA1112" s="2">
        <v>0.9</v>
      </c>
      <c r="BB1112" s="2">
        <v>7.5</v>
      </c>
      <c r="BC1112" s="2">
        <v>2.9</v>
      </c>
      <c r="BD1112" s="2">
        <f>+AN1112*EXP(-0.0495*Y1112)</f>
        <v>6.5899102882551626</v>
      </c>
      <c r="BE1112" s="2">
        <f>+AO1112*EXP(-0.024*Y1112)</f>
        <v>19.599494818350987</v>
      </c>
    </row>
    <row r="1113" spans="1:57" x14ac:dyDescent="0.2">
      <c r="A1113" s="2" t="s">
        <v>3501</v>
      </c>
      <c r="B1113" s="2" t="s">
        <v>19</v>
      </c>
      <c r="C1113" s="2" t="s">
        <v>3245</v>
      </c>
      <c r="D1113" s="2" t="s">
        <v>21</v>
      </c>
      <c r="E1113" s="2" t="s">
        <v>1481</v>
      </c>
      <c r="F1113" s="2">
        <v>3</v>
      </c>
      <c r="G1113" s="2">
        <v>33</v>
      </c>
      <c r="H1113" s="2">
        <v>1</v>
      </c>
      <c r="I1113" s="2">
        <v>1</v>
      </c>
      <c r="J1113" s="2">
        <v>0</v>
      </c>
      <c r="K1113" s="2" t="s">
        <v>61</v>
      </c>
      <c r="L1113" s="6" t="s">
        <v>62</v>
      </c>
      <c r="M1113" s="5">
        <v>346000000</v>
      </c>
      <c r="N1113" s="2">
        <v>0</v>
      </c>
      <c r="O1113" s="2">
        <v>4.6176623000000001</v>
      </c>
      <c r="P1113" s="2">
        <v>-74.066481499999995</v>
      </c>
      <c r="Q1113" s="2" t="s">
        <v>3502</v>
      </c>
      <c r="R1113" s="2">
        <v>10484848.48</v>
      </c>
      <c r="S1113" s="2">
        <v>0</v>
      </c>
      <c r="T1113" s="2" t="s">
        <v>77</v>
      </c>
      <c r="U1113" s="2" t="s">
        <v>78</v>
      </c>
      <c r="V1113" s="2" t="s">
        <v>28</v>
      </c>
      <c r="W1113" s="2" t="s">
        <v>79</v>
      </c>
      <c r="X1113" s="2" t="s">
        <v>80</v>
      </c>
      <c r="Y1113" s="2">
        <v>0.87270121480546503</v>
      </c>
      <c r="Z1113" s="2">
        <v>4.6254861111111101</v>
      </c>
      <c r="AA1113" s="2">
        <v>-74.066980555555503</v>
      </c>
      <c r="AB1113" s="2">
        <v>2621</v>
      </c>
      <c r="AC1113" s="2" t="s">
        <v>31</v>
      </c>
      <c r="AD1113" s="2" t="s">
        <v>32</v>
      </c>
      <c r="AE1113" s="2" t="s">
        <v>33</v>
      </c>
      <c r="AF1113" s="2" t="s">
        <v>34</v>
      </c>
      <c r="AG1113" s="2" t="s">
        <v>89</v>
      </c>
      <c r="AH1113" s="2">
        <v>0.404838055812764</v>
      </c>
      <c r="AI1113" s="2">
        <v>0.407860929057481</v>
      </c>
      <c r="AJ1113" s="2">
        <v>0.36280320910421099</v>
      </c>
      <c r="AK1113" s="2">
        <v>0.19064958171785301</v>
      </c>
      <c r="AL1113" s="2">
        <v>5.1078401436081798E-2</v>
      </c>
      <c r="AN1113" s="2">
        <v>6.8</v>
      </c>
      <c r="AO1113" s="2">
        <v>19.899999999999999</v>
      </c>
      <c r="AP1113" s="2">
        <v>564</v>
      </c>
      <c r="AQ1113" s="2">
        <v>68</v>
      </c>
      <c r="AR1113" s="2">
        <v>1.5</v>
      </c>
      <c r="AS1113" s="2">
        <v>135</v>
      </c>
      <c r="AT1113" s="2">
        <v>0.8</v>
      </c>
      <c r="AU1113" s="2">
        <v>162</v>
      </c>
      <c r="AV1113" s="2">
        <v>9.1</v>
      </c>
      <c r="AW1113" s="2">
        <v>9.1999999999999993</v>
      </c>
      <c r="AX1113" s="2">
        <v>18.3</v>
      </c>
      <c r="AY1113" s="2">
        <v>0.34</v>
      </c>
      <c r="AZ1113" s="2">
        <v>7.3</v>
      </c>
      <c r="BA1113" s="2">
        <v>0.9</v>
      </c>
      <c r="BB1113" s="2">
        <v>7.5</v>
      </c>
      <c r="BC1113" s="2">
        <v>2.9</v>
      </c>
      <c r="BD1113" s="2">
        <f>+AN1113*EXP(-0.0495*Y1113)</f>
        <v>6.5125032234910023</v>
      </c>
      <c r="BE1113" s="2">
        <f>+AO1113*EXP(-0.024*Y1113)</f>
        <v>19.487532508903527</v>
      </c>
    </row>
    <row r="1114" spans="1:57" x14ac:dyDescent="0.2">
      <c r="A1114" s="2" t="s">
        <v>3903</v>
      </c>
      <c r="B1114" s="2" t="s">
        <v>19</v>
      </c>
      <c r="C1114" s="2" t="s">
        <v>3245</v>
      </c>
      <c r="D1114" s="2" t="s">
        <v>21</v>
      </c>
      <c r="E1114" s="2" t="s">
        <v>2759</v>
      </c>
      <c r="F1114" s="2">
        <v>4</v>
      </c>
      <c r="G1114" s="2">
        <v>33</v>
      </c>
      <c r="H1114" s="2">
        <v>1</v>
      </c>
      <c r="I1114" s="2">
        <v>1</v>
      </c>
      <c r="J1114" s="2">
        <v>0</v>
      </c>
      <c r="K1114" s="2" t="s">
        <v>61</v>
      </c>
      <c r="L1114" s="6" t="s">
        <v>62</v>
      </c>
      <c r="M1114" s="5">
        <v>331200000</v>
      </c>
      <c r="N1114" s="2">
        <v>0</v>
      </c>
      <c r="O1114" s="2">
        <v>4.6923539999999999</v>
      </c>
      <c r="P1114" s="2">
        <v>-74.067092000000002</v>
      </c>
      <c r="Q1114" s="2" t="s">
        <v>3904</v>
      </c>
      <c r="R1114" s="2">
        <v>10036363.640000001</v>
      </c>
      <c r="S1114" s="2">
        <v>0</v>
      </c>
      <c r="T1114" s="2" t="s">
        <v>26</v>
      </c>
      <c r="U1114" s="2" t="s">
        <v>27</v>
      </c>
      <c r="V1114" s="2" t="s">
        <v>28</v>
      </c>
      <c r="W1114" s="2" t="s">
        <v>29</v>
      </c>
      <c r="X1114" s="2" t="s">
        <v>30</v>
      </c>
      <c r="Y1114" s="2">
        <v>4.2113706999888096</v>
      </c>
      <c r="Z1114" s="2">
        <v>4.6584666666666701</v>
      </c>
      <c r="AA1114" s="2">
        <v>-74.083966666666697</v>
      </c>
      <c r="AB1114" s="2">
        <v>2552</v>
      </c>
      <c r="AC1114" s="2" t="s">
        <v>31</v>
      </c>
      <c r="AD1114" s="2" t="s">
        <v>32</v>
      </c>
      <c r="AE1114" s="2" t="s">
        <v>33</v>
      </c>
      <c r="AF1114" s="2" t="s">
        <v>34</v>
      </c>
      <c r="AG1114" s="2" t="s">
        <v>72</v>
      </c>
      <c r="AH1114" s="2">
        <v>0.116403120570648</v>
      </c>
      <c r="AI1114" s="2">
        <v>3.6712569494902301</v>
      </c>
      <c r="AJ1114" s="2">
        <v>0.66595310599023505</v>
      </c>
      <c r="AK1114" s="2">
        <v>8.3405521511087502E-2</v>
      </c>
      <c r="AL1114" s="2">
        <v>0.35908625602609801</v>
      </c>
      <c r="AN1114" s="2">
        <v>6.8</v>
      </c>
      <c r="AO1114" s="2">
        <v>19.899999999999999</v>
      </c>
      <c r="AP1114" s="2">
        <v>564</v>
      </c>
      <c r="AQ1114" s="2">
        <v>68</v>
      </c>
      <c r="AR1114" s="2">
        <v>1.5</v>
      </c>
      <c r="AS1114" s="2">
        <v>135</v>
      </c>
      <c r="AT1114" s="2">
        <v>0.8</v>
      </c>
      <c r="AU1114" s="2">
        <v>162</v>
      </c>
      <c r="AV1114" s="2">
        <v>9.1</v>
      </c>
      <c r="AW1114" s="2">
        <v>9.1999999999999993</v>
      </c>
      <c r="AX1114" s="2">
        <v>18.3</v>
      </c>
      <c r="AY1114" s="2">
        <v>0.34</v>
      </c>
      <c r="AZ1114" s="2">
        <v>7.3</v>
      </c>
      <c r="BA1114" s="2">
        <v>0.9</v>
      </c>
      <c r="BB1114" s="2">
        <v>7.5</v>
      </c>
      <c r="BC1114" s="2">
        <v>2.9</v>
      </c>
      <c r="BD1114" s="2">
        <f>+AN1114*EXP(-0.0495*Y1114)</f>
        <v>5.5204521188992564</v>
      </c>
      <c r="BE1114" s="2">
        <f>+AO1114*EXP(-0.024*Y1114)</f>
        <v>17.986956115098998</v>
      </c>
    </row>
    <row r="1115" spans="1:57" x14ac:dyDescent="0.2">
      <c r="A1115" s="2" t="s">
        <v>4545</v>
      </c>
      <c r="B1115" s="2" t="s">
        <v>19</v>
      </c>
      <c r="C1115" s="2" t="s">
        <v>3245</v>
      </c>
      <c r="D1115" s="2" t="s">
        <v>21</v>
      </c>
      <c r="E1115" s="2" t="s">
        <v>1985</v>
      </c>
      <c r="F1115" s="2">
        <v>4</v>
      </c>
      <c r="G1115" s="2">
        <v>33</v>
      </c>
      <c r="H1115" s="2">
        <v>1</v>
      </c>
      <c r="I1115" s="2">
        <v>1</v>
      </c>
      <c r="J1115" s="2">
        <v>0</v>
      </c>
      <c r="K1115" s="2" t="s">
        <v>61</v>
      </c>
      <c r="L1115" s="6" t="s">
        <v>62</v>
      </c>
      <c r="M1115" s="5">
        <v>331200000</v>
      </c>
      <c r="N1115" s="2">
        <v>0</v>
      </c>
      <c r="O1115" s="2">
        <v>4.6923542019999998</v>
      </c>
      <c r="P1115" s="2">
        <v>-74.067092900000006</v>
      </c>
      <c r="Q1115" s="2" t="s">
        <v>4546</v>
      </c>
      <c r="R1115" s="2">
        <v>10036363.640000001</v>
      </c>
      <c r="S1115" s="2">
        <v>0</v>
      </c>
      <c r="T1115" s="2" t="s">
        <v>26</v>
      </c>
      <c r="U1115" s="2" t="s">
        <v>27</v>
      </c>
      <c r="V1115" s="2" t="s">
        <v>28</v>
      </c>
      <c r="W1115" s="2" t="s">
        <v>29</v>
      </c>
      <c r="X1115" s="2" t="s">
        <v>30</v>
      </c>
      <c r="Y1115" s="2">
        <v>4.2113464516015</v>
      </c>
      <c r="Z1115" s="2">
        <v>4.6584666666666701</v>
      </c>
      <c r="AA1115" s="2">
        <v>-74.083966666666697</v>
      </c>
      <c r="AB1115" s="2">
        <v>2552</v>
      </c>
      <c r="AC1115" s="2" t="s">
        <v>31</v>
      </c>
      <c r="AD1115" s="2" t="s">
        <v>32</v>
      </c>
      <c r="AE1115" s="2" t="s">
        <v>33</v>
      </c>
      <c r="AF1115" s="2" t="s">
        <v>34</v>
      </c>
      <c r="AG1115" s="2" t="s">
        <v>72</v>
      </c>
      <c r="AH1115" s="2">
        <v>0.116369878892988</v>
      </c>
      <c r="AI1115" s="2">
        <v>3.6713527563124702</v>
      </c>
      <c r="AJ1115" s="2">
        <v>0.66589099616134695</v>
      </c>
      <c r="AK1115" s="2">
        <v>8.3316858019037404E-2</v>
      </c>
      <c r="AL1115" s="2">
        <v>0.359032015968763</v>
      </c>
      <c r="AN1115" s="2">
        <v>6.8</v>
      </c>
      <c r="AO1115" s="2">
        <v>19.899999999999999</v>
      </c>
      <c r="AP1115" s="2">
        <v>564</v>
      </c>
      <c r="AQ1115" s="2">
        <v>68</v>
      </c>
      <c r="AR1115" s="2">
        <v>1.5</v>
      </c>
      <c r="AS1115" s="2">
        <v>135</v>
      </c>
      <c r="AT1115" s="2">
        <v>0.8</v>
      </c>
      <c r="AU1115" s="2">
        <v>162</v>
      </c>
      <c r="AV1115" s="2">
        <v>9.1</v>
      </c>
      <c r="AW1115" s="2">
        <v>9.1999999999999993</v>
      </c>
      <c r="AX1115" s="2">
        <v>18.3</v>
      </c>
      <c r="AY1115" s="2">
        <v>0.34</v>
      </c>
      <c r="AZ1115" s="2">
        <v>7.3</v>
      </c>
      <c r="BA1115" s="2">
        <v>0.9</v>
      </c>
      <c r="BB1115" s="2">
        <v>7.5</v>
      </c>
      <c r="BC1115" s="2">
        <v>2.9</v>
      </c>
      <c r="BD1115" s="2">
        <f>+AN1115*EXP(-0.0495*Y1115)</f>
        <v>5.5204587450752571</v>
      </c>
      <c r="BE1115" s="2">
        <f>+AO1115*EXP(-0.024*Y1115)</f>
        <v>17.986966582814325</v>
      </c>
    </row>
    <row r="1116" spans="1:57" x14ac:dyDescent="0.2">
      <c r="A1116" s="2" t="s">
        <v>3022</v>
      </c>
      <c r="B1116" s="2" t="s">
        <v>19</v>
      </c>
      <c r="C1116" s="2" t="s">
        <v>1907</v>
      </c>
      <c r="D1116" s="2" t="s">
        <v>21</v>
      </c>
      <c r="E1116" s="2" t="s">
        <v>3023</v>
      </c>
      <c r="F1116" s="2">
        <v>2</v>
      </c>
      <c r="G1116" s="2">
        <v>33</v>
      </c>
      <c r="H1116" s="2">
        <v>5</v>
      </c>
      <c r="I1116" s="2">
        <v>2</v>
      </c>
      <c r="J1116" s="2">
        <v>0</v>
      </c>
      <c r="K1116" s="2" t="s">
        <v>61</v>
      </c>
      <c r="L1116" s="6" t="s">
        <v>113</v>
      </c>
      <c r="M1116" s="5">
        <v>320000000</v>
      </c>
      <c r="N1116" s="2">
        <v>0</v>
      </c>
      <c r="O1116" s="2">
        <v>4.5689544</v>
      </c>
      <c r="P1116" s="2">
        <v>-74.142903500000003</v>
      </c>
      <c r="Q1116" s="2" t="s">
        <v>3024</v>
      </c>
      <c r="R1116" s="2">
        <v>9696969.6970000006</v>
      </c>
      <c r="S1116" s="2">
        <v>0</v>
      </c>
      <c r="T1116" s="2" t="s">
        <v>1794</v>
      </c>
      <c r="U1116" s="2" t="s">
        <v>1795</v>
      </c>
      <c r="V1116" s="2" t="s">
        <v>28</v>
      </c>
      <c r="W1116" s="2" t="s">
        <v>1796</v>
      </c>
      <c r="X1116" s="2" t="s">
        <v>1797</v>
      </c>
      <c r="Y1116" s="2">
        <v>1.5533266474232199</v>
      </c>
      <c r="Z1116" s="2">
        <v>4.576225</v>
      </c>
      <c r="AA1116" s="2">
        <v>-74.130955555555502</v>
      </c>
      <c r="AB1116" s="2">
        <v>2589</v>
      </c>
      <c r="AC1116" s="2" t="s">
        <v>31</v>
      </c>
      <c r="AD1116" s="2" t="s">
        <v>58</v>
      </c>
      <c r="AE1116" s="2" t="s">
        <v>33</v>
      </c>
      <c r="AF1116" s="2" t="s">
        <v>34</v>
      </c>
      <c r="AG1116" s="2" t="s">
        <v>415</v>
      </c>
      <c r="AH1116" s="2">
        <v>0.41194804563294302</v>
      </c>
      <c r="AI1116" s="2">
        <v>3.1069466897239799</v>
      </c>
      <c r="AJ1116" s="2">
        <v>2.2853448245713501</v>
      </c>
      <c r="AK1116" s="2">
        <v>0.68111208407693202</v>
      </c>
      <c r="AL1116" s="2">
        <v>0.30572310262859298</v>
      </c>
      <c r="AN1116" s="2">
        <v>6.8</v>
      </c>
      <c r="AO1116" s="2">
        <v>19.899999999999999</v>
      </c>
      <c r="AP1116" s="2">
        <v>564</v>
      </c>
      <c r="AQ1116" s="2">
        <v>68</v>
      </c>
      <c r="AR1116" s="2">
        <v>1.5</v>
      </c>
      <c r="AS1116" s="2">
        <v>135</v>
      </c>
      <c r="AT1116" s="2">
        <v>0.8</v>
      </c>
      <c r="AU1116" s="2">
        <v>162</v>
      </c>
      <c r="AV1116" s="2">
        <v>9.1</v>
      </c>
      <c r="AW1116" s="2">
        <v>9.1999999999999993</v>
      </c>
      <c r="AX1116" s="2">
        <v>18.3</v>
      </c>
      <c r="AY1116" s="2">
        <v>0.34</v>
      </c>
      <c r="AZ1116" s="2">
        <v>7.3</v>
      </c>
      <c r="BA1116" s="2">
        <v>0.9</v>
      </c>
      <c r="BB1116" s="2">
        <v>7.5</v>
      </c>
      <c r="BC1116" s="2">
        <v>2.9</v>
      </c>
      <c r="BD1116" s="2">
        <f>+AN1116*EXP(-0.0495*Y1116)</f>
        <v>6.296745692150874</v>
      </c>
      <c r="BE1116" s="2">
        <f>+AO1116*EXP(-0.024*Y1116)</f>
        <v>19.171789318034715</v>
      </c>
    </row>
    <row r="1117" spans="1:57" x14ac:dyDescent="0.2">
      <c r="A1117" s="2" t="s">
        <v>3407</v>
      </c>
      <c r="B1117" s="2" t="s">
        <v>19</v>
      </c>
      <c r="C1117" s="2" t="s">
        <v>3245</v>
      </c>
      <c r="D1117" s="2" t="s">
        <v>21</v>
      </c>
      <c r="E1117" s="2" t="s">
        <v>74</v>
      </c>
      <c r="F1117" s="2">
        <v>3</v>
      </c>
      <c r="G1117" s="2">
        <v>33</v>
      </c>
      <c r="H1117" s="2">
        <v>1</v>
      </c>
      <c r="I1117" s="2">
        <v>1</v>
      </c>
      <c r="J1117" s="2">
        <v>0</v>
      </c>
      <c r="K1117" s="2" t="s">
        <v>61</v>
      </c>
      <c r="L1117" s="6" t="s">
        <v>75</v>
      </c>
      <c r="M1117" s="5">
        <v>268000000</v>
      </c>
      <c r="N1117" s="2">
        <v>0</v>
      </c>
      <c r="O1117" s="2">
        <v>4.6466900000000004</v>
      </c>
      <c r="P1117" s="2">
        <v>-74.061800000000005</v>
      </c>
      <c r="Q1117" s="2" t="s">
        <v>3408</v>
      </c>
      <c r="R1117" s="2">
        <v>8121212.1210000003</v>
      </c>
      <c r="S1117" s="2">
        <v>0</v>
      </c>
      <c r="T1117" s="2" t="s">
        <v>77</v>
      </c>
      <c r="U1117" s="2" t="s">
        <v>78</v>
      </c>
      <c r="V1117" s="2" t="s">
        <v>28</v>
      </c>
      <c r="W1117" s="2" t="s">
        <v>79</v>
      </c>
      <c r="X1117" s="2" t="s">
        <v>80</v>
      </c>
      <c r="Y1117" s="2">
        <v>2.4293874739316701</v>
      </c>
      <c r="Z1117" s="2">
        <v>4.6254861111111101</v>
      </c>
      <c r="AA1117" s="2">
        <v>-74.066980555555503</v>
      </c>
      <c r="AB1117" s="2">
        <v>2621</v>
      </c>
      <c r="AC1117" s="2" t="s">
        <v>31</v>
      </c>
      <c r="AD1117" s="2" t="s">
        <v>32</v>
      </c>
      <c r="AE1117" s="2" t="s">
        <v>33</v>
      </c>
      <c r="AF1117" s="2" t="s">
        <v>34</v>
      </c>
      <c r="AG1117" s="2" t="s">
        <v>81</v>
      </c>
      <c r="AH1117" s="2">
        <v>0.38962099298154801</v>
      </c>
      <c r="AI1117" s="2">
        <v>0.78798929420080599</v>
      </c>
      <c r="AJ1117" s="2">
        <v>0.178872588835288</v>
      </c>
      <c r="AK1117" s="2">
        <v>6.5188632930639201E-2</v>
      </c>
      <c r="AL1117" s="2">
        <v>0.321051581864647</v>
      </c>
      <c r="AN1117" s="2">
        <v>6.8</v>
      </c>
      <c r="AO1117" s="2">
        <v>19.899999999999999</v>
      </c>
      <c r="AP1117" s="2">
        <v>564</v>
      </c>
      <c r="AQ1117" s="2">
        <v>68</v>
      </c>
      <c r="AR1117" s="2">
        <v>1.5</v>
      </c>
      <c r="AS1117" s="2">
        <v>135</v>
      </c>
      <c r="AT1117" s="2">
        <v>0.8</v>
      </c>
      <c r="AU1117" s="2">
        <v>162</v>
      </c>
      <c r="AV1117" s="2">
        <v>9.1</v>
      </c>
      <c r="AW1117" s="2">
        <v>9.1999999999999993</v>
      </c>
      <c r="AX1117" s="2">
        <v>18.3</v>
      </c>
      <c r="AY1117" s="2">
        <v>0.34</v>
      </c>
      <c r="AZ1117" s="2">
        <v>7.3</v>
      </c>
      <c r="BA1117" s="2">
        <v>0.9</v>
      </c>
      <c r="BB1117" s="2">
        <v>7.5</v>
      </c>
      <c r="BC1117" s="2">
        <v>2.9</v>
      </c>
      <c r="BD1117" s="2">
        <f>+AN1117*EXP(-0.0495*Y1117)</f>
        <v>6.0295231753981362</v>
      </c>
      <c r="BE1117" s="2">
        <f>+AO1117*EXP(-0.024*Y1117)</f>
        <v>18.772901723862461</v>
      </c>
    </row>
    <row r="1118" spans="1:57" x14ac:dyDescent="0.2">
      <c r="A1118" s="2" t="s">
        <v>3325</v>
      </c>
      <c r="B1118" s="2" t="s">
        <v>19</v>
      </c>
      <c r="C1118" s="2" t="s">
        <v>3245</v>
      </c>
      <c r="D1118" s="2" t="s">
        <v>21</v>
      </c>
      <c r="E1118" s="2" t="s">
        <v>1871</v>
      </c>
      <c r="F1118" s="2">
        <v>3</v>
      </c>
      <c r="G1118" s="2">
        <v>33</v>
      </c>
      <c r="H1118" s="2">
        <v>1</v>
      </c>
      <c r="I1118" s="2">
        <v>1</v>
      </c>
      <c r="J1118" s="2">
        <v>0</v>
      </c>
      <c r="K1118" s="2" t="s">
        <v>61</v>
      </c>
      <c r="L1118" s="6" t="s">
        <v>75</v>
      </c>
      <c r="M1118" s="5">
        <v>250000000</v>
      </c>
      <c r="N1118" s="2">
        <v>0</v>
      </c>
      <c r="O1118" s="2">
        <v>4.6381944429999997</v>
      </c>
      <c r="P1118" s="2">
        <v>-74.065704350000004</v>
      </c>
      <c r="Q1118" s="2" t="s">
        <v>3326</v>
      </c>
      <c r="R1118" s="2">
        <v>7575757.5760000004</v>
      </c>
      <c r="S1118" s="2">
        <v>0</v>
      </c>
      <c r="T1118" s="2" t="s">
        <v>77</v>
      </c>
      <c r="U1118" s="2" t="s">
        <v>78</v>
      </c>
      <c r="V1118" s="2" t="s">
        <v>28</v>
      </c>
      <c r="W1118" s="2" t="s">
        <v>79</v>
      </c>
      <c r="X1118" s="2" t="s">
        <v>80</v>
      </c>
      <c r="Y1118" s="2">
        <v>1.42175421207107</v>
      </c>
      <c r="Z1118" s="2">
        <v>4.6254861111111101</v>
      </c>
      <c r="AA1118" s="2">
        <v>-74.066980555555503</v>
      </c>
      <c r="AB1118" s="2">
        <v>2621</v>
      </c>
      <c r="AC1118" s="2" t="s">
        <v>31</v>
      </c>
      <c r="AD1118" s="2" t="s">
        <v>32</v>
      </c>
      <c r="AE1118" s="2" t="s">
        <v>33</v>
      </c>
      <c r="AF1118" s="2" t="s">
        <v>34</v>
      </c>
      <c r="AG1118" s="2" t="s">
        <v>81</v>
      </c>
      <c r="AH1118" s="2">
        <v>0.13917170321966099</v>
      </c>
      <c r="AI1118" s="2">
        <v>0.806836275219034</v>
      </c>
      <c r="AJ1118" s="2">
        <v>0.16280777225166801</v>
      </c>
      <c r="AK1118" s="2">
        <v>8.8526668028791097E-2</v>
      </c>
      <c r="AL1118" s="2">
        <v>0.213491886160352</v>
      </c>
      <c r="AN1118" s="2">
        <v>6.8</v>
      </c>
      <c r="AO1118" s="2">
        <v>19.899999999999999</v>
      </c>
      <c r="AP1118" s="2">
        <v>564</v>
      </c>
      <c r="AQ1118" s="2">
        <v>68</v>
      </c>
      <c r="AR1118" s="2">
        <v>1.5</v>
      </c>
      <c r="AS1118" s="2">
        <v>135</v>
      </c>
      <c r="AT1118" s="2">
        <v>0.8</v>
      </c>
      <c r="AU1118" s="2">
        <v>162</v>
      </c>
      <c r="AV1118" s="2">
        <v>9.1</v>
      </c>
      <c r="AW1118" s="2">
        <v>9.1999999999999993</v>
      </c>
      <c r="AX1118" s="2">
        <v>18.3</v>
      </c>
      <c r="AY1118" s="2">
        <v>0.34</v>
      </c>
      <c r="AZ1118" s="2">
        <v>7.3</v>
      </c>
      <c r="BA1118" s="2">
        <v>0.9</v>
      </c>
      <c r="BB1118" s="2">
        <v>7.5</v>
      </c>
      <c r="BC1118" s="2">
        <v>2.9</v>
      </c>
      <c r="BD1118" s="2">
        <f>+AN1118*EXP(-0.0495*Y1118)</f>
        <v>6.337889196349999</v>
      </c>
      <c r="BE1118" s="2">
        <f>+AO1118*EXP(-0.024*Y1118)</f>
        <v>19.232424498926552</v>
      </c>
    </row>
    <row r="1119" spans="1:57" x14ac:dyDescent="0.2">
      <c r="A1119" s="2" t="s">
        <v>3331</v>
      </c>
      <c r="B1119" s="2" t="s">
        <v>19</v>
      </c>
      <c r="C1119" s="2" t="s">
        <v>3245</v>
      </c>
      <c r="D1119" s="2" t="s">
        <v>21</v>
      </c>
      <c r="E1119" s="2" t="s">
        <v>87</v>
      </c>
      <c r="F1119" s="2">
        <v>4</v>
      </c>
      <c r="G1119" s="2">
        <v>32.71</v>
      </c>
      <c r="H1119" s="2">
        <v>1</v>
      </c>
      <c r="I1119" s="2">
        <v>1</v>
      </c>
      <c r="J1119" s="2">
        <v>0</v>
      </c>
      <c r="K1119" s="2" t="s">
        <v>61</v>
      </c>
      <c r="L1119" s="6" t="s">
        <v>62</v>
      </c>
      <c r="M1119" s="5">
        <v>375000000</v>
      </c>
      <c r="N1119" s="2">
        <v>0</v>
      </c>
      <c r="O1119" s="2">
        <v>4.6203341480000004</v>
      </c>
      <c r="P1119" s="2">
        <v>-74.069740300000007</v>
      </c>
      <c r="Q1119" s="2" t="s">
        <v>3332</v>
      </c>
      <c r="R1119" s="2">
        <v>11464383.98</v>
      </c>
      <c r="S1119" s="2">
        <v>0</v>
      </c>
      <c r="T1119" s="2" t="s">
        <v>77</v>
      </c>
      <c r="U1119" s="2" t="s">
        <v>78</v>
      </c>
      <c r="V1119" s="2" t="s">
        <v>28</v>
      </c>
      <c r="W1119" s="2" t="s">
        <v>79</v>
      </c>
      <c r="X1119" s="2" t="s">
        <v>80</v>
      </c>
      <c r="Y1119" s="2">
        <v>0.65014241261012795</v>
      </c>
      <c r="Z1119" s="2">
        <v>4.6254861111111101</v>
      </c>
      <c r="AA1119" s="2">
        <v>-74.066980555555503</v>
      </c>
      <c r="AB1119" s="2">
        <v>2621</v>
      </c>
      <c r="AC1119" s="2" t="s">
        <v>31</v>
      </c>
      <c r="AD1119" s="2" t="s">
        <v>32</v>
      </c>
      <c r="AE1119" s="2" t="s">
        <v>33</v>
      </c>
      <c r="AF1119" s="2" t="s">
        <v>34</v>
      </c>
      <c r="AG1119" s="2" t="s">
        <v>89</v>
      </c>
      <c r="AH1119" s="2">
        <v>0.13720579165720401</v>
      </c>
      <c r="AI1119" s="2">
        <v>0.87071666130195202</v>
      </c>
      <c r="AJ1119" s="2">
        <v>0.34510880768399999</v>
      </c>
      <c r="AK1119" s="2">
        <v>4.11443730616032E-2</v>
      </c>
      <c r="AL1119" s="2">
        <v>2.9003813943615401E-2</v>
      </c>
      <c r="AN1119" s="2">
        <v>6.8</v>
      </c>
      <c r="AO1119" s="2">
        <v>19.899999999999999</v>
      </c>
      <c r="AP1119" s="2">
        <v>564</v>
      </c>
      <c r="AQ1119" s="2">
        <v>68</v>
      </c>
      <c r="AR1119" s="2">
        <v>1.5</v>
      </c>
      <c r="AS1119" s="2">
        <v>135</v>
      </c>
      <c r="AT1119" s="2">
        <v>0.8</v>
      </c>
      <c r="AU1119" s="2">
        <v>162</v>
      </c>
      <c r="AV1119" s="2">
        <v>9.1</v>
      </c>
      <c r="AW1119" s="2">
        <v>9.1999999999999993</v>
      </c>
      <c r="AX1119" s="2">
        <v>18.3</v>
      </c>
      <c r="AY1119" s="2">
        <v>0.34</v>
      </c>
      <c r="AZ1119" s="2">
        <v>7.3</v>
      </c>
      <c r="BA1119" s="2">
        <v>0.9</v>
      </c>
      <c r="BB1119" s="2">
        <v>7.5</v>
      </c>
      <c r="BC1119" s="2">
        <v>2.9</v>
      </c>
      <c r="BD1119" s="2">
        <f>+AN1119*EXP(-0.0495*Y1119)</f>
        <v>6.5846459180198327</v>
      </c>
      <c r="BE1119" s="2">
        <f>+AO1119*EXP(-0.024*Y1119)</f>
        <v>19.591901926179613</v>
      </c>
    </row>
    <row r="1120" spans="1:57" x14ac:dyDescent="0.2">
      <c r="A1120" s="2" t="s">
        <v>4217</v>
      </c>
      <c r="B1120" s="2" t="s">
        <v>19</v>
      </c>
      <c r="C1120" s="2" t="s">
        <v>3245</v>
      </c>
      <c r="D1120" s="2" t="s">
        <v>21</v>
      </c>
      <c r="E1120" s="2" t="s">
        <v>3600</v>
      </c>
      <c r="F1120" s="2">
        <v>6</v>
      </c>
      <c r="G1120" s="2">
        <v>32.6</v>
      </c>
      <c r="H1120" s="2">
        <v>1</v>
      </c>
      <c r="I1120" s="2">
        <v>1</v>
      </c>
      <c r="J1120" s="2">
        <v>1</v>
      </c>
      <c r="K1120" s="2" t="s">
        <v>61</v>
      </c>
      <c r="L1120" s="6" t="s">
        <v>62</v>
      </c>
      <c r="M1120" s="5">
        <v>585000000</v>
      </c>
      <c r="N1120" s="2">
        <v>0</v>
      </c>
      <c r="O1120" s="2">
        <v>4.6720600000000001</v>
      </c>
      <c r="P1120" s="2">
        <v>-74.058359999999993</v>
      </c>
      <c r="Q1120" s="2" t="s">
        <v>4218</v>
      </c>
      <c r="R1120" s="2">
        <v>17944785.280000001</v>
      </c>
      <c r="S1120" s="2">
        <v>0</v>
      </c>
      <c r="T1120" s="2" t="s">
        <v>26</v>
      </c>
      <c r="U1120" s="2" t="s">
        <v>27</v>
      </c>
      <c r="V1120" s="2" t="s">
        <v>28</v>
      </c>
      <c r="W1120" s="2" t="s">
        <v>29</v>
      </c>
      <c r="X1120" s="2" t="s">
        <v>30</v>
      </c>
      <c r="Y1120" s="2">
        <v>3.2189286264914498</v>
      </c>
      <c r="Z1120" s="2">
        <v>4.6584666666666701</v>
      </c>
      <c r="AA1120" s="2">
        <v>-74.083966666666697</v>
      </c>
      <c r="AB1120" s="2">
        <v>2552</v>
      </c>
      <c r="AC1120" s="2" t="s">
        <v>31</v>
      </c>
      <c r="AD1120" s="2" t="s">
        <v>32</v>
      </c>
      <c r="AE1120" s="2" t="s">
        <v>33</v>
      </c>
      <c r="AF1120" s="2" t="s">
        <v>34</v>
      </c>
      <c r="AG1120" s="2" t="s">
        <v>81</v>
      </c>
      <c r="AH1120" s="2">
        <v>0.14504750864367399</v>
      </c>
      <c r="AI1120" s="2">
        <v>1.67565584749176</v>
      </c>
      <c r="AJ1120" s="2">
        <v>0.46443478485509399</v>
      </c>
      <c r="AK1120" s="2">
        <v>3.1978484750333103E-2</v>
      </c>
      <c r="AL1120" s="2">
        <v>0.77247022554299705</v>
      </c>
      <c r="AN1120" s="2">
        <v>6.8</v>
      </c>
      <c r="AO1120" s="2">
        <v>19.899999999999999</v>
      </c>
      <c r="AP1120" s="2">
        <v>564</v>
      </c>
      <c r="AQ1120" s="2">
        <v>68</v>
      </c>
      <c r="AR1120" s="2">
        <v>1.5</v>
      </c>
      <c r="AS1120" s="2">
        <v>135</v>
      </c>
      <c r="AT1120" s="2">
        <v>0.8</v>
      </c>
      <c r="AU1120" s="2">
        <v>162</v>
      </c>
      <c r="AV1120" s="2">
        <v>9.1</v>
      </c>
      <c r="AW1120" s="2">
        <v>9.1999999999999993</v>
      </c>
      <c r="AX1120" s="2">
        <v>18.3</v>
      </c>
      <c r="AY1120" s="2">
        <v>0.34</v>
      </c>
      <c r="AZ1120" s="2">
        <v>7.3</v>
      </c>
      <c r="BA1120" s="2">
        <v>0.9</v>
      </c>
      <c r="BB1120" s="2">
        <v>7.5</v>
      </c>
      <c r="BC1120" s="2">
        <v>2.9</v>
      </c>
      <c r="BD1120" s="2">
        <f>+AN1120*EXP(-0.0495*Y1120)</f>
        <v>5.7984210351505059</v>
      </c>
      <c r="BE1120" s="2">
        <f>+AO1120*EXP(-0.024*Y1120)</f>
        <v>18.42052339087493</v>
      </c>
    </row>
    <row r="1121" spans="1:57" x14ac:dyDescent="0.2">
      <c r="A1121" s="2" t="s">
        <v>3980</v>
      </c>
      <c r="B1121" s="2" t="s">
        <v>19</v>
      </c>
      <c r="C1121" s="2" t="s">
        <v>3245</v>
      </c>
      <c r="D1121" s="2" t="s">
        <v>21</v>
      </c>
      <c r="E1121" s="2" t="s">
        <v>1242</v>
      </c>
      <c r="F1121" s="2">
        <v>4</v>
      </c>
      <c r="G1121" s="2">
        <v>32</v>
      </c>
      <c r="H1121" s="2">
        <v>1</v>
      </c>
      <c r="I1121" s="2">
        <v>1</v>
      </c>
      <c r="J1121" s="2">
        <v>0</v>
      </c>
      <c r="K1121" s="2" t="s">
        <v>61</v>
      </c>
      <c r="L1121" s="6" t="s">
        <v>62</v>
      </c>
      <c r="M1121" s="5">
        <v>420000000</v>
      </c>
      <c r="N1121" s="2">
        <v>0</v>
      </c>
      <c r="O1121" s="2">
        <v>4.6421700000000001</v>
      </c>
      <c r="P1121" s="2">
        <v>-74.062619999999995</v>
      </c>
      <c r="Q1121" s="2" t="s">
        <v>3981</v>
      </c>
      <c r="R1121" s="2">
        <v>13125000</v>
      </c>
      <c r="S1121" s="2">
        <v>0</v>
      </c>
      <c r="T1121" s="2" t="s">
        <v>77</v>
      </c>
      <c r="U1121" s="2" t="s">
        <v>78</v>
      </c>
      <c r="V1121" s="2" t="s">
        <v>28</v>
      </c>
      <c r="W1121" s="2" t="s">
        <v>79</v>
      </c>
      <c r="X1121" s="2" t="s">
        <v>80</v>
      </c>
      <c r="Y1121" s="2">
        <v>1.91922838807675</v>
      </c>
      <c r="Z1121" s="2">
        <v>4.6254861111111101</v>
      </c>
      <c r="AA1121" s="2">
        <v>-74.066980555555503</v>
      </c>
      <c r="AB1121" s="2">
        <v>2621</v>
      </c>
      <c r="AC1121" s="2" t="s">
        <v>31</v>
      </c>
      <c r="AD1121" s="2" t="s">
        <v>32</v>
      </c>
      <c r="AE1121" s="2" t="s">
        <v>33</v>
      </c>
      <c r="AF1121" s="2" t="s">
        <v>34</v>
      </c>
      <c r="AG1121" s="2" t="s">
        <v>81</v>
      </c>
      <c r="AH1121" s="2">
        <v>0.36688709197208902</v>
      </c>
      <c r="AI1121" s="2">
        <v>0.57830557945604999</v>
      </c>
      <c r="AJ1121" s="2">
        <v>0.40083768395434699</v>
      </c>
      <c r="AK1121" s="2">
        <v>5.1942815949417701E-2</v>
      </c>
      <c r="AL1121" s="2">
        <v>0.25878570025696601</v>
      </c>
      <c r="AN1121" s="2">
        <v>6.8</v>
      </c>
      <c r="AO1121" s="2">
        <v>19.899999999999999</v>
      </c>
      <c r="AP1121" s="2">
        <v>564</v>
      </c>
      <c r="AQ1121" s="2">
        <v>68</v>
      </c>
      <c r="AR1121" s="2">
        <v>1.5</v>
      </c>
      <c r="AS1121" s="2">
        <v>135</v>
      </c>
      <c r="AT1121" s="2">
        <v>0.8</v>
      </c>
      <c r="AU1121" s="2">
        <v>162</v>
      </c>
      <c r="AV1121" s="2">
        <v>9.1</v>
      </c>
      <c r="AW1121" s="2">
        <v>9.1999999999999993</v>
      </c>
      <c r="AX1121" s="2">
        <v>18.3</v>
      </c>
      <c r="AY1121" s="2">
        <v>0.34</v>
      </c>
      <c r="AZ1121" s="2">
        <v>7.3</v>
      </c>
      <c r="BA1121" s="2">
        <v>0.9</v>
      </c>
      <c r="BB1121" s="2">
        <v>7.5</v>
      </c>
      <c r="BC1121" s="2">
        <v>2.9</v>
      </c>
      <c r="BD1121" s="2">
        <f>+AN1121*EXP(-0.0495*Y1121)</f>
        <v>6.1837247914533089</v>
      </c>
      <c r="BE1121" s="2">
        <f>+AO1121*EXP(-0.024*Y1121)</f>
        <v>19.004166610545376</v>
      </c>
    </row>
    <row r="1122" spans="1:57" x14ac:dyDescent="0.2">
      <c r="A1122" s="2" t="s">
        <v>3539</v>
      </c>
      <c r="B1122" s="2" t="s">
        <v>19</v>
      </c>
      <c r="C1122" s="2" t="s">
        <v>3245</v>
      </c>
      <c r="D1122" s="2" t="s">
        <v>21</v>
      </c>
      <c r="E1122" s="2" t="s">
        <v>87</v>
      </c>
      <c r="F1122" s="2">
        <v>4</v>
      </c>
      <c r="G1122" s="2">
        <v>32</v>
      </c>
      <c r="H1122" s="2">
        <v>1</v>
      </c>
      <c r="I1122" s="2">
        <v>1</v>
      </c>
      <c r="J1122" s="2">
        <v>0</v>
      </c>
      <c r="K1122" s="2" t="s">
        <v>61</v>
      </c>
      <c r="L1122" s="6" t="s">
        <v>62</v>
      </c>
      <c r="M1122" s="5">
        <v>350000000</v>
      </c>
      <c r="N1122" s="2">
        <v>0</v>
      </c>
      <c r="O1122" s="2">
        <v>4.6217586070000003</v>
      </c>
      <c r="P1122" s="2">
        <v>-74.068006190000006</v>
      </c>
      <c r="Q1122" s="2" t="s">
        <v>3540</v>
      </c>
      <c r="R1122" s="2">
        <v>10937500</v>
      </c>
      <c r="S1122" s="2">
        <v>0</v>
      </c>
      <c r="T1122" s="2" t="s">
        <v>77</v>
      </c>
      <c r="U1122" s="2" t="s">
        <v>78</v>
      </c>
      <c r="V1122" s="2" t="s">
        <v>28</v>
      </c>
      <c r="W1122" s="2" t="s">
        <v>79</v>
      </c>
      <c r="X1122" s="2" t="s">
        <v>80</v>
      </c>
      <c r="Y1122" s="2">
        <v>0.430266429382965</v>
      </c>
      <c r="Z1122" s="2">
        <v>4.6254861111111101</v>
      </c>
      <c r="AA1122" s="2">
        <v>-74.066980555555503</v>
      </c>
      <c r="AB1122" s="2">
        <v>2621</v>
      </c>
      <c r="AC1122" s="2" t="s">
        <v>31</v>
      </c>
      <c r="AD1122" s="2" t="s">
        <v>32</v>
      </c>
      <c r="AE1122" s="2" t="s">
        <v>33</v>
      </c>
      <c r="AF1122" s="2" t="s">
        <v>34</v>
      </c>
      <c r="AG1122" s="2" t="s">
        <v>89</v>
      </c>
      <c r="AH1122" s="2">
        <v>0.19102884698027101</v>
      </c>
      <c r="AI1122" s="2">
        <v>0.75734009374104005</v>
      </c>
      <c r="AJ1122" s="2">
        <v>0.22192635924144399</v>
      </c>
      <c r="AK1122" s="2">
        <v>0.11872796493401799</v>
      </c>
      <c r="AL1122" s="2">
        <v>0.143459066273773</v>
      </c>
      <c r="AN1122" s="2">
        <v>6.8</v>
      </c>
      <c r="AO1122" s="2">
        <v>19.899999999999999</v>
      </c>
      <c r="AP1122" s="2">
        <v>564</v>
      </c>
      <c r="AQ1122" s="2">
        <v>68</v>
      </c>
      <c r="AR1122" s="2">
        <v>1.5</v>
      </c>
      <c r="AS1122" s="2">
        <v>135</v>
      </c>
      <c r="AT1122" s="2">
        <v>0.8</v>
      </c>
      <c r="AU1122" s="2">
        <v>162</v>
      </c>
      <c r="AV1122" s="2">
        <v>9.1</v>
      </c>
      <c r="AW1122" s="2">
        <v>9.1999999999999993</v>
      </c>
      <c r="AX1122" s="2">
        <v>18.3</v>
      </c>
      <c r="AY1122" s="2">
        <v>0.34</v>
      </c>
      <c r="AZ1122" s="2">
        <v>7.3</v>
      </c>
      <c r="BA1122" s="2">
        <v>0.9</v>
      </c>
      <c r="BB1122" s="2">
        <v>7.5</v>
      </c>
      <c r="BC1122" s="2">
        <v>2.9</v>
      </c>
      <c r="BD1122" s="2">
        <f>+AN1122*EXP(-0.0495*Y1122)</f>
        <v>6.6567037122380031</v>
      </c>
      <c r="BE1122" s="2">
        <f>+AO1122*EXP(-0.024*Y1122)</f>
        <v>19.695562123063738</v>
      </c>
    </row>
    <row r="1123" spans="1:57" x14ac:dyDescent="0.2">
      <c r="A1123" s="2" t="s">
        <v>4575</v>
      </c>
      <c r="B1123" s="2" t="s">
        <v>19</v>
      </c>
      <c r="C1123" s="2" t="s">
        <v>3245</v>
      </c>
      <c r="D1123" s="2" t="s">
        <v>21</v>
      </c>
      <c r="E1123" s="2" t="s">
        <v>3995</v>
      </c>
      <c r="F1123" s="2">
        <v>3</v>
      </c>
      <c r="G1123" s="2">
        <v>32</v>
      </c>
      <c r="H1123" s="2">
        <v>1</v>
      </c>
      <c r="I1123" s="2">
        <v>1</v>
      </c>
      <c r="J1123" s="2">
        <v>0</v>
      </c>
      <c r="K1123" s="2" t="s">
        <v>61</v>
      </c>
      <c r="L1123" s="6" t="s">
        <v>113</v>
      </c>
      <c r="M1123" s="5">
        <v>140000000</v>
      </c>
      <c r="N1123" s="2">
        <v>0</v>
      </c>
      <c r="O1123" s="2">
        <v>4.6096649169999999</v>
      </c>
      <c r="P1123" s="2">
        <v>-74.072906489999994</v>
      </c>
      <c r="Q1123" s="2" t="s">
        <v>4576</v>
      </c>
      <c r="R1123" s="2">
        <v>4375000</v>
      </c>
      <c r="S1123" s="2">
        <v>0</v>
      </c>
      <c r="T1123" s="2" t="s">
        <v>77</v>
      </c>
      <c r="U1123" s="2" t="s">
        <v>78</v>
      </c>
      <c r="V1123" s="2" t="s">
        <v>28</v>
      </c>
      <c r="W1123" s="2" t="s">
        <v>79</v>
      </c>
      <c r="X1123" s="2" t="s">
        <v>80</v>
      </c>
      <c r="Y1123" s="2">
        <v>1.8799462456964</v>
      </c>
      <c r="Z1123" s="2">
        <v>4.6254861111111101</v>
      </c>
      <c r="AA1123" s="2">
        <v>-74.066980555555503</v>
      </c>
      <c r="AB1123" s="2">
        <v>2621</v>
      </c>
      <c r="AC1123" s="2" t="s">
        <v>31</v>
      </c>
      <c r="AD1123" s="2" t="s">
        <v>32</v>
      </c>
      <c r="AE1123" s="2" t="s">
        <v>33</v>
      </c>
      <c r="AF1123" s="2" t="s">
        <v>34</v>
      </c>
      <c r="AG1123" s="2" t="s">
        <v>89</v>
      </c>
      <c r="AH1123" s="2">
        <v>0.20718648656123401</v>
      </c>
      <c r="AI1123" s="2">
        <v>0.90668035431734795</v>
      </c>
      <c r="AJ1123" s="2">
        <v>0.21287129318845599</v>
      </c>
      <c r="AK1123" s="2">
        <v>0.284764235834011</v>
      </c>
      <c r="AL1123" s="2">
        <v>3.2945094861804199E-2</v>
      </c>
      <c r="AN1123" s="2">
        <v>6.8</v>
      </c>
      <c r="AO1123" s="2">
        <v>19.899999999999999</v>
      </c>
      <c r="AP1123" s="2">
        <v>564</v>
      </c>
      <c r="AQ1123" s="2">
        <v>68</v>
      </c>
      <c r="AR1123" s="2">
        <v>1.5</v>
      </c>
      <c r="AS1123" s="2">
        <v>135</v>
      </c>
      <c r="AT1123" s="2">
        <v>0.8</v>
      </c>
      <c r="AU1123" s="2">
        <v>162</v>
      </c>
      <c r="AV1123" s="2">
        <v>9.1</v>
      </c>
      <c r="AW1123" s="2">
        <v>9.1999999999999993</v>
      </c>
      <c r="AX1123" s="2">
        <v>18.3</v>
      </c>
      <c r="AY1123" s="2">
        <v>0.34</v>
      </c>
      <c r="AZ1123" s="2">
        <v>7.3</v>
      </c>
      <c r="BA1123" s="2">
        <v>0.9</v>
      </c>
      <c r="BB1123" s="2">
        <v>7.5</v>
      </c>
      <c r="BC1123" s="2">
        <v>2.9</v>
      </c>
      <c r="BD1123" s="2">
        <f>+AN1123*EXP(-0.0495*Y1123)</f>
        <v>6.1957605321117244</v>
      </c>
      <c r="BE1123" s="2">
        <f>+AO1123*EXP(-0.024*Y1123)</f>
        <v>19.022091643909025</v>
      </c>
    </row>
    <row r="1124" spans="1:57" x14ac:dyDescent="0.2">
      <c r="A1124" s="2" t="s">
        <v>3473</v>
      </c>
      <c r="B1124" s="2" t="s">
        <v>19</v>
      </c>
      <c r="C1124" s="2" t="s">
        <v>3245</v>
      </c>
      <c r="D1124" s="2" t="s">
        <v>21</v>
      </c>
      <c r="E1124" s="2" t="s">
        <v>3474</v>
      </c>
      <c r="F1124" s="2">
        <v>3</v>
      </c>
      <c r="G1124" s="2">
        <v>32</v>
      </c>
      <c r="H1124" s="2">
        <v>1</v>
      </c>
      <c r="I1124" s="2">
        <v>1</v>
      </c>
      <c r="J1124" s="2">
        <v>0</v>
      </c>
      <c r="K1124" s="2" t="s">
        <v>61</v>
      </c>
      <c r="L1124" s="6" t="s">
        <v>113</v>
      </c>
      <c r="M1124" s="5">
        <v>120000000</v>
      </c>
      <c r="N1124" s="2">
        <v>0</v>
      </c>
      <c r="O1124" s="2">
        <v>4.6880445000000002</v>
      </c>
      <c r="P1124" s="2">
        <v>-74.084075999999996</v>
      </c>
      <c r="Q1124" s="2" t="s">
        <v>3475</v>
      </c>
      <c r="R1124" s="2">
        <v>3750000</v>
      </c>
      <c r="S1124" s="2">
        <v>0</v>
      </c>
      <c r="T1124" s="2" t="s">
        <v>26</v>
      </c>
      <c r="U1124" s="2" t="s">
        <v>27</v>
      </c>
      <c r="V1124" s="2" t="s">
        <v>28</v>
      </c>
      <c r="W1124" s="2" t="s">
        <v>29</v>
      </c>
      <c r="X1124" s="2" t="s">
        <v>30</v>
      </c>
      <c r="Y1124" s="2">
        <v>3.2926116907323002</v>
      </c>
      <c r="Z1124" s="2">
        <v>4.6584666666666701</v>
      </c>
      <c r="AA1124" s="2">
        <v>-74.083966666666697</v>
      </c>
      <c r="AB1124" s="2">
        <v>2552</v>
      </c>
      <c r="AC1124" s="2" t="s">
        <v>31</v>
      </c>
      <c r="AD1124" s="2" t="s">
        <v>32</v>
      </c>
      <c r="AE1124" s="2" t="s">
        <v>33</v>
      </c>
      <c r="AF1124" s="2" t="s">
        <v>34</v>
      </c>
      <c r="AG1124" s="2" t="s">
        <v>363</v>
      </c>
      <c r="AH1124" s="2">
        <v>0.319370245310935</v>
      </c>
      <c r="AI1124" s="2">
        <v>5.0266407382496396</v>
      </c>
      <c r="AJ1124" s="2">
        <v>1.0195276997940601</v>
      </c>
      <c r="AK1124" s="2">
        <v>0.111155864614047</v>
      </c>
      <c r="AL1124" s="2">
        <v>1.2318462946155E-2</v>
      </c>
      <c r="AN1124" s="2">
        <v>6.8</v>
      </c>
      <c r="AO1124" s="2">
        <v>19.899999999999999</v>
      </c>
      <c r="AP1124" s="2">
        <v>564</v>
      </c>
      <c r="AQ1124" s="2">
        <v>68</v>
      </c>
      <c r="AR1124" s="2">
        <v>1.5</v>
      </c>
      <c r="AS1124" s="2">
        <v>135</v>
      </c>
      <c r="AT1124" s="2">
        <v>0.8</v>
      </c>
      <c r="AU1124" s="2">
        <v>162</v>
      </c>
      <c r="AV1124" s="2">
        <v>9.1</v>
      </c>
      <c r="AW1124" s="2">
        <v>9.1999999999999993</v>
      </c>
      <c r="AX1124" s="2">
        <v>18.3</v>
      </c>
      <c r="AY1124" s="2">
        <v>0.34</v>
      </c>
      <c r="AZ1124" s="2">
        <v>7.3</v>
      </c>
      <c r="BA1124" s="2">
        <v>0.9</v>
      </c>
      <c r="BB1124" s="2">
        <v>7.5</v>
      </c>
      <c r="BC1124" s="2">
        <v>2.9</v>
      </c>
      <c r="BD1124" s="2">
        <f>+AN1124*EXP(-0.0495*Y1124)</f>
        <v>5.7773109073937849</v>
      </c>
      <c r="BE1124" s="2">
        <f>+AO1124*EXP(-0.024*Y1124)</f>
        <v>18.387977441778904</v>
      </c>
    </row>
    <row r="1125" spans="1:57" x14ac:dyDescent="0.2">
      <c r="A1125" s="2" t="s">
        <v>3907</v>
      </c>
      <c r="B1125" s="2" t="s">
        <v>19</v>
      </c>
      <c r="C1125" s="2" t="s">
        <v>3245</v>
      </c>
      <c r="D1125" s="2" t="s">
        <v>21</v>
      </c>
      <c r="E1125" s="2" t="s">
        <v>2472</v>
      </c>
      <c r="F1125" s="2">
        <v>4</v>
      </c>
      <c r="G1125" s="2">
        <v>31.96</v>
      </c>
      <c r="H1125" s="2">
        <v>1</v>
      </c>
      <c r="I1125" s="2">
        <v>1</v>
      </c>
      <c r="J1125" s="2">
        <v>1</v>
      </c>
      <c r="K1125" s="2" t="s">
        <v>61</v>
      </c>
      <c r="L1125" s="6" t="s">
        <v>62</v>
      </c>
      <c r="M1125" s="5">
        <v>652700000</v>
      </c>
      <c r="N1125" s="2">
        <v>0</v>
      </c>
      <c r="O1125" s="2">
        <v>4.6712499999999997</v>
      </c>
      <c r="P1125" s="2">
        <v>-74.064930000000004</v>
      </c>
      <c r="Q1125" s="2" t="s">
        <v>3908</v>
      </c>
      <c r="R1125" s="2">
        <v>20422403</v>
      </c>
      <c r="S1125" s="2">
        <v>0</v>
      </c>
      <c r="T1125" s="2" t="s">
        <v>26</v>
      </c>
      <c r="U1125" s="2" t="s">
        <v>27</v>
      </c>
      <c r="V1125" s="2" t="s">
        <v>28</v>
      </c>
      <c r="W1125" s="2" t="s">
        <v>29</v>
      </c>
      <c r="X1125" s="2" t="s">
        <v>30</v>
      </c>
      <c r="Y1125" s="2">
        <v>2.5467879479722999</v>
      </c>
      <c r="Z1125" s="2">
        <v>4.6584666666666701</v>
      </c>
      <c r="AA1125" s="2">
        <v>-74.083966666666697</v>
      </c>
      <c r="AB1125" s="2">
        <v>2552</v>
      </c>
      <c r="AC1125" s="2" t="s">
        <v>31</v>
      </c>
      <c r="AD1125" s="2" t="s">
        <v>32</v>
      </c>
      <c r="AE1125" s="2" t="s">
        <v>33</v>
      </c>
      <c r="AF1125" s="2" t="s">
        <v>34</v>
      </c>
      <c r="AG1125" s="2" t="s">
        <v>293</v>
      </c>
      <c r="AH1125" s="2">
        <v>0.136890712308541</v>
      </c>
      <c r="AI1125" s="2">
        <v>2.3076183359975002</v>
      </c>
      <c r="AJ1125" s="2">
        <v>0.80888925508398402</v>
      </c>
      <c r="AK1125" s="2">
        <v>0.12815544697217901</v>
      </c>
      <c r="AL1125" s="2">
        <v>4.7779363435587897E-2</v>
      </c>
      <c r="AN1125" s="2">
        <v>6.8</v>
      </c>
      <c r="AO1125" s="2">
        <v>19.899999999999999</v>
      </c>
      <c r="AP1125" s="2">
        <v>564</v>
      </c>
      <c r="AQ1125" s="2">
        <v>68</v>
      </c>
      <c r="AR1125" s="2">
        <v>1.5</v>
      </c>
      <c r="AS1125" s="2">
        <v>135</v>
      </c>
      <c r="AT1125" s="2">
        <v>0.8</v>
      </c>
      <c r="AU1125" s="2">
        <v>162</v>
      </c>
      <c r="AV1125" s="2">
        <v>9.1</v>
      </c>
      <c r="AW1125" s="2">
        <v>9.1999999999999993</v>
      </c>
      <c r="AX1125" s="2">
        <v>18.3</v>
      </c>
      <c r="AY1125" s="2">
        <v>0.34</v>
      </c>
      <c r="AZ1125" s="2">
        <v>7.3</v>
      </c>
      <c r="BA1125" s="2">
        <v>0.9</v>
      </c>
      <c r="BB1125" s="2">
        <v>7.5</v>
      </c>
      <c r="BC1125" s="2">
        <v>2.9</v>
      </c>
      <c r="BD1125" s="2">
        <f>+AN1125*EXP(-0.0495*Y1125)</f>
        <v>5.9945852819115446</v>
      </c>
      <c r="BE1125" s="2">
        <f>+AO1125*EXP(-0.024*Y1125)</f>
        <v>18.720081430860446</v>
      </c>
    </row>
    <row r="1126" spans="1:57" x14ac:dyDescent="0.2">
      <c r="A1126" s="2" t="s">
        <v>3693</v>
      </c>
      <c r="B1126" s="2" t="s">
        <v>19</v>
      </c>
      <c r="C1126" s="2" t="s">
        <v>3245</v>
      </c>
      <c r="D1126" s="2" t="s">
        <v>21</v>
      </c>
      <c r="E1126" s="2" t="s">
        <v>1242</v>
      </c>
      <c r="F1126" s="2">
        <v>4</v>
      </c>
      <c r="G1126" s="2">
        <v>31.9</v>
      </c>
      <c r="H1126" s="2">
        <v>1</v>
      </c>
      <c r="I1126" s="2">
        <v>1</v>
      </c>
      <c r="J1126" s="2">
        <v>0</v>
      </c>
      <c r="K1126" s="2" t="s">
        <v>61</v>
      </c>
      <c r="L1126" s="6" t="s">
        <v>113</v>
      </c>
      <c r="M1126" s="5">
        <v>229000000</v>
      </c>
      <c r="N1126" s="2">
        <v>0</v>
      </c>
      <c r="O1126" s="2">
        <v>4.6425900000000002</v>
      </c>
      <c r="P1126" s="2">
        <v>-74.061279999999996</v>
      </c>
      <c r="Q1126" s="2" t="s">
        <v>3694</v>
      </c>
      <c r="R1126" s="2">
        <v>7178683.3859999999</v>
      </c>
      <c r="S1126" s="2">
        <v>0</v>
      </c>
      <c r="T1126" s="2" t="s">
        <v>77</v>
      </c>
      <c r="U1126" s="2" t="s">
        <v>78</v>
      </c>
      <c r="V1126" s="2" t="s">
        <v>28</v>
      </c>
      <c r="W1126" s="2" t="s">
        <v>79</v>
      </c>
      <c r="X1126" s="2" t="s">
        <v>80</v>
      </c>
      <c r="Y1126" s="2">
        <v>2.00630719727027</v>
      </c>
      <c r="Z1126" s="2">
        <v>4.6254861111111101</v>
      </c>
      <c r="AA1126" s="2">
        <v>-74.066980555555503</v>
      </c>
      <c r="AB1126" s="2">
        <v>2621</v>
      </c>
      <c r="AC1126" s="2" t="s">
        <v>31</v>
      </c>
      <c r="AD1126" s="2" t="s">
        <v>32</v>
      </c>
      <c r="AE1126" s="2" t="s">
        <v>33</v>
      </c>
      <c r="AF1126" s="2" t="s">
        <v>34</v>
      </c>
      <c r="AG1126" s="2" t="s">
        <v>81</v>
      </c>
      <c r="AH1126" s="2">
        <v>0.50619618253462195</v>
      </c>
      <c r="AI1126" s="2">
        <v>0.45419633031405299</v>
      </c>
      <c r="AJ1126" s="2">
        <v>0.27258428034149701</v>
      </c>
      <c r="AK1126" s="2">
        <v>7.4205803909910203E-2</v>
      </c>
      <c r="AL1126" s="2">
        <v>0.13206654655363501</v>
      </c>
      <c r="AN1126" s="2">
        <v>6.8</v>
      </c>
      <c r="AO1126" s="2">
        <v>19.899999999999999</v>
      </c>
      <c r="AP1126" s="2">
        <v>564</v>
      </c>
      <c r="AQ1126" s="2">
        <v>68</v>
      </c>
      <c r="AR1126" s="2">
        <v>1.5</v>
      </c>
      <c r="AS1126" s="2">
        <v>135</v>
      </c>
      <c r="AT1126" s="2">
        <v>0.8</v>
      </c>
      <c r="AU1126" s="2">
        <v>162</v>
      </c>
      <c r="AV1126" s="2">
        <v>9.1</v>
      </c>
      <c r="AW1126" s="2">
        <v>9.1999999999999993</v>
      </c>
      <c r="AX1126" s="2">
        <v>18.3</v>
      </c>
      <c r="AY1126" s="2">
        <v>0.34</v>
      </c>
      <c r="AZ1126" s="2">
        <v>7.3</v>
      </c>
      <c r="BA1126" s="2">
        <v>0.9</v>
      </c>
      <c r="BB1126" s="2">
        <v>7.5</v>
      </c>
      <c r="BC1126" s="2">
        <v>2.9</v>
      </c>
      <c r="BD1126" s="2">
        <f>+AN1126*EXP(-0.0495*Y1126)</f>
        <v>6.157127820573562</v>
      </c>
      <c r="BE1126" s="2">
        <f>+AO1126*EXP(-0.024*Y1126)</f>
        <v>18.964491438630791</v>
      </c>
    </row>
    <row r="1127" spans="1:57" x14ac:dyDescent="0.2">
      <c r="A1127" s="2" t="s">
        <v>1596</v>
      </c>
      <c r="B1127" s="2" t="s">
        <v>19</v>
      </c>
      <c r="C1127" s="2" t="s">
        <v>20</v>
      </c>
      <c r="D1127" s="2" t="s">
        <v>21</v>
      </c>
      <c r="E1127" s="2" t="s">
        <v>1597</v>
      </c>
      <c r="F1127" s="2">
        <v>4</v>
      </c>
      <c r="G1127" s="2">
        <v>31.73</v>
      </c>
      <c r="H1127" s="2">
        <v>1</v>
      </c>
      <c r="I1127" s="2">
        <v>1</v>
      </c>
      <c r="J1127" s="2">
        <v>0</v>
      </c>
      <c r="K1127" s="2" t="s">
        <v>23</v>
      </c>
      <c r="L1127" s="6" t="s">
        <v>24</v>
      </c>
      <c r="M1127" s="5">
        <v>551607151</v>
      </c>
      <c r="N1127" s="2">
        <v>0</v>
      </c>
      <c r="O1127" s="2">
        <v>4.6136106999999997</v>
      </c>
      <c r="P1127" s="2">
        <v>-74.067999999999998</v>
      </c>
      <c r="Q1127" s="2" t="s">
        <v>1598</v>
      </c>
      <c r="R1127" s="2">
        <v>17384404.379999999</v>
      </c>
      <c r="S1127" s="2">
        <v>0</v>
      </c>
      <c r="T1127" s="2" t="s">
        <v>77</v>
      </c>
      <c r="U1127" s="2" t="s">
        <v>78</v>
      </c>
      <c r="V1127" s="2" t="s">
        <v>28</v>
      </c>
      <c r="W1127" s="2" t="s">
        <v>79</v>
      </c>
      <c r="X1127" s="2" t="s">
        <v>80</v>
      </c>
      <c r="Y1127" s="2">
        <v>1.32679531356876</v>
      </c>
      <c r="Z1127" s="2">
        <v>4.6254861111111101</v>
      </c>
      <c r="AA1127" s="2">
        <v>-74.066980555555503</v>
      </c>
      <c r="AB1127" s="2">
        <v>2621</v>
      </c>
      <c r="AC1127" s="2" t="s">
        <v>31</v>
      </c>
      <c r="AD1127" s="2" t="s">
        <v>32</v>
      </c>
      <c r="AE1127" s="2" t="s">
        <v>33</v>
      </c>
      <c r="AF1127" s="2" t="s">
        <v>34</v>
      </c>
      <c r="AG1127" s="2" t="s">
        <v>89</v>
      </c>
      <c r="AH1127" s="2">
        <v>0.226279498155146</v>
      </c>
      <c r="AI1127" s="2">
        <v>0.45713466067730502</v>
      </c>
      <c r="AJ1127" s="2">
        <v>0.17650917730728399</v>
      </c>
      <c r="AK1127" s="2">
        <v>0.12835911917661399</v>
      </c>
      <c r="AL1127" s="2">
        <v>0.104731044684612</v>
      </c>
      <c r="AN1127" s="2">
        <v>6.8</v>
      </c>
      <c r="AO1127" s="2">
        <v>19.899999999999999</v>
      </c>
      <c r="AP1127" s="2">
        <v>564</v>
      </c>
      <c r="AQ1127" s="2">
        <v>68</v>
      </c>
      <c r="AR1127" s="2">
        <v>1.5</v>
      </c>
      <c r="AS1127" s="2">
        <v>135</v>
      </c>
      <c r="AT1127" s="2">
        <v>0.8</v>
      </c>
      <c r="AU1127" s="2">
        <v>162</v>
      </c>
      <c r="AV1127" s="2">
        <v>9.1</v>
      </c>
      <c r="AW1127" s="2">
        <v>9.1999999999999993</v>
      </c>
      <c r="AX1127" s="2">
        <v>18.3</v>
      </c>
      <c r="AY1127" s="2">
        <v>0.34</v>
      </c>
      <c r="AZ1127" s="2">
        <v>7.3</v>
      </c>
      <c r="BA1127" s="2">
        <v>0.9</v>
      </c>
      <c r="BB1127" s="2">
        <v>7.5</v>
      </c>
      <c r="BC1127" s="2">
        <v>2.9</v>
      </c>
      <c r="BD1127" s="2">
        <f>+AN1127*EXP(-0.0495*Y1127)</f>
        <v>6.3677503513911882</v>
      </c>
      <c r="BE1127" s="2">
        <f>+AO1127*EXP(-0.024*Y1127)</f>
        <v>19.276305438865162</v>
      </c>
    </row>
    <row r="1128" spans="1:57" x14ac:dyDescent="0.2">
      <c r="A1128" s="2" t="s">
        <v>1698</v>
      </c>
      <c r="B1128" s="2" t="s">
        <v>19</v>
      </c>
      <c r="C1128" s="2" t="s">
        <v>20</v>
      </c>
      <c r="D1128" s="2" t="s">
        <v>21</v>
      </c>
      <c r="E1128" s="2" t="s">
        <v>1481</v>
      </c>
      <c r="F1128" s="2">
        <v>3</v>
      </c>
      <c r="G1128" s="2">
        <v>31.69</v>
      </c>
      <c r="H1128" s="2">
        <v>1</v>
      </c>
      <c r="I1128" s="2">
        <v>1</v>
      </c>
      <c r="J1128" s="2">
        <v>0</v>
      </c>
      <c r="K1128" s="2" t="s">
        <v>23</v>
      </c>
      <c r="L1128" s="6" t="s">
        <v>24</v>
      </c>
      <c r="M1128" s="5">
        <v>340042186</v>
      </c>
      <c r="N1128" s="2">
        <v>0</v>
      </c>
      <c r="O1128" s="2">
        <v>4.6218880000000002</v>
      </c>
      <c r="P1128" s="2">
        <v>-74.069320000000005</v>
      </c>
      <c r="Q1128" s="2" t="s">
        <v>1699</v>
      </c>
      <c r="R1128" s="2">
        <v>10730267.779999999</v>
      </c>
      <c r="S1128" s="2">
        <v>0</v>
      </c>
      <c r="T1128" s="2" t="s">
        <v>77</v>
      </c>
      <c r="U1128" s="2" t="s">
        <v>78</v>
      </c>
      <c r="V1128" s="2" t="s">
        <v>28</v>
      </c>
      <c r="W1128" s="2" t="s">
        <v>79</v>
      </c>
      <c r="X1128" s="2" t="s">
        <v>80</v>
      </c>
      <c r="Y1128" s="2">
        <v>0.477297678444431</v>
      </c>
      <c r="Z1128" s="2">
        <v>4.6254861111111101</v>
      </c>
      <c r="AA1128" s="2">
        <v>-74.066980555555503</v>
      </c>
      <c r="AB1128" s="2">
        <v>2621</v>
      </c>
      <c r="AC1128" s="2" t="s">
        <v>31</v>
      </c>
      <c r="AD1128" s="2" t="s">
        <v>32</v>
      </c>
      <c r="AE1128" s="2" t="s">
        <v>33</v>
      </c>
      <c r="AF1128" s="2" t="s">
        <v>34</v>
      </c>
      <c r="AG1128" s="2" t="s">
        <v>89</v>
      </c>
      <c r="AH1128" s="2">
        <v>5.6142650139799702E-2</v>
      </c>
      <c r="AI1128" s="2">
        <v>0.90372310585985105</v>
      </c>
      <c r="AJ1128" s="2">
        <v>0.22218264720956099</v>
      </c>
      <c r="AK1128" s="2">
        <v>4.7684081077489601E-2</v>
      </c>
      <c r="AL1128" s="2">
        <v>0.19304280251591199</v>
      </c>
      <c r="AN1128" s="2">
        <v>6.8</v>
      </c>
      <c r="AO1128" s="2">
        <v>19.899999999999999</v>
      </c>
      <c r="AP1128" s="2">
        <v>564</v>
      </c>
      <c r="AQ1128" s="2">
        <v>68</v>
      </c>
      <c r="AR1128" s="2">
        <v>1.5</v>
      </c>
      <c r="AS1128" s="2">
        <v>135</v>
      </c>
      <c r="AT1128" s="2">
        <v>0.8</v>
      </c>
      <c r="AU1128" s="2">
        <v>162</v>
      </c>
      <c r="AV1128" s="2">
        <v>9.1</v>
      </c>
      <c r="AW1128" s="2">
        <v>9.1999999999999993</v>
      </c>
      <c r="AX1128" s="2">
        <v>18.3</v>
      </c>
      <c r="AY1128" s="2">
        <v>0.34</v>
      </c>
      <c r="AZ1128" s="2">
        <v>7.3</v>
      </c>
      <c r="BA1128" s="2">
        <v>0.9</v>
      </c>
      <c r="BB1128" s="2">
        <v>7.5</v>
      </c>
      <c r="BC1128" s="2">
        <v>2.9</v>
      </c>
      <c r="BD1128" s="2">
        <f>+AN1128*EXP(-0.0495*Y1128)</f>
        <v>6.6412246192899369</v>
      </c>
      <c r="BE1128" s="2">
        <f>+AO1128*EXP(-0.024*Y1128)</f>
        <v>19.673343299868097</v>
      </c>
    </row>
    <row r="1129" spans="1:57" x14ac:dyDescent="0.2">
      <c r="A1129" s="2" t="s">
        <v>3990</v>
      </c>
      <c r="B1129" s="2" t="s">
        <v>19</v>
      </c>
      <c r="C1129" s="2" t="s">
        <v>3245</v>
      </c>
      <c r="D1129" s="2" t="s">
        <v>21</v>
      </c>
      <c r="E1129" s="2" t="s">
        <v>1871</v>
      </c>
      <c r="F1129" s="2">
        <v>4</v>
      </c>
      <c r="G1129" s="2">
        <v>31.58</v>
      </c>
      <c r="H1129" s="2">
        <v>1</v>
      </c>
      <c r="I1129" s="2">
        <v>1</v>
      </c>
      <c r="J1129" s="2">
        <v>1</v>
      </c>
      <c r="K1129" s="2" t="s">
        <v>61</v>
      </c>
      <c r="L1129" s="6" t="s">
        <v>113</v>
      </c>
      <c r="M1129" s="5">
        <v>225000000</v>
      </c>
      <c r="N1129" s="2">
        <v>0</v>
      </c>
      <c r="O1129" s="2">
        <v>4.6418799999999996</v>
      </c>
      <c r="P1129" s="2">
        <v>-74.076402900000005</v>
      </c>
      <c r="Q1129" s="2" t="s">
        <v>3991</v>
      </c>
      <c r="R1129" s="2">
        <v>7124762.5080000004</v>
      </c>
      <c r="S1129" s="2">
        <v>0</v>
      </c>
      <c r="T1129" s="2" t="s">
        <v>26</v>
      </c>
      <c r="U1129" s="2" t="s">
        <v>27</v>
      </c>
      <c r="V1129" s="2" t="s">
        <v>28</v>
      </c>
      <c r="W1129" s="2" t="s">
        <v>29</v>
      </c>
      <c r="X1129" s="2" t="s">
        <v>30</v>
      </c>
      <c r="Y1129" s="2">
        <v>2.0281911835751698</v>
      </c>
      <c r="Z1129" s="2">
        <v>4.6584666666666701</v>
      </c>
      <c r="AA1129" s="2">
        <v>-74.083966666666697</v>
      </c>
      <c r="AB1129" s="2">
        <v>2552</v>
      </c>
      <c r="AC1129" s="2" t="s">
        <v>31</v>
      </c>
      <c r="AD1129" s="2" t="s">
        <v>32</v>
      </c>
      <c r="AE1129" s="2" t="s">
        <v>33</v>
      </c>
      <c r="AF1129" s="2" t="s">
        <v>34</v>
      </c>
      <c r="AG1129" s="2" t="s">
        <v>35</v>
      </c>
      <c r="AH1129" s="2">
        <v>0.465369071257622</v>
      </c>
      <c r="AI1129" s="2">
        <v>2.03966244712886</v>
      </c>
      <c r="AJ1129" s="2">
        <v>0.37136443353009202</v>
      </c>
      <c r="AK1129" s="2">
        <v>2.3076064064063401E-2</v>
      </c>
      <c r="AL1129" s="2">
        <v>0.644093614505034</v>
      </c>
      <c r="AN1129" s="2">
        <v>6.8</v>
      </c>
      <c r="AO1129" s="2">
        <v>19.899999999999999</v>
      </c>
      <c r="AP1129" s="2">
        <v>564</v>
      </c>
      <c r="AQ1129" s="2">
        <v>68</v>
      </c>
      <c r="AR1129" s="2">
        <v>1.5</v>
      </c>
      <c r="AS1129" s="2">
        <v>135</v>
      </c>
      <c r="AT1129" s="2">
        <v>0.8</v>
      </c>
      <c r="AU1129" s="2">
        <v>162</v>
      </c>
      <c r="AV1129" s="2">
        <v>9.1</v>
      </c>
      <c r="AW1129" s="2">
        <v>9.1999999999999993</v>
      </c>
      <c r="AX1129" s="2">
        <v>18.3</v>
      </c>
      <c r="AY1129" s="2">
        <v>0.34</v>
      </c>
      <c r="AZ1129" s="2">
        <v>7.3</v>
      </c>
      <c r="BA1129" s="2">
        <v>0.9</v>
      </c>
      <c r="BB1129" s="2">
        <v>7.5</v>
      </c>
      <c r="BC1129" s="2">
        <v>2.9</v>
      </c>
      <c r="BD1129" s="2">
        <f>+AN1129*EXP(-0.0495*Y1129)</f>
        <v>6.1504616780046035</v>
      </c>
      <c r="BE1129" s="2">
        <f>+AO1129*EXP(-0.024*Y1129)</f>
        <v>18.954533605762496</v>
      </c>
    </row>
    <row r="1130" spans="1:57" x14ac:dyDescent="0.2">
      <c r="A1130" s="2" t="s">
        <v>4075</v>
      </c>
      <c r="B1130" s="2" t="s">
        <v>19</v>
      </c>
      <c r="C1130" s="2" t="s">
        <v>3245</v>
      </c>
      <c r="D1130" s="2" t="s">
        <v>21</v>
      </c>
      <c r="E1130" s="2" t="s">
        <v>1242</v>
      </c>
      <c r="F1130" s="2">
        <v>4</v>
      </c>
      <c r="G1130" s="2">
        <v>31.5</v>
      </c>
      <c r="H1130" s="2">
        <v>1</v>
      </c>
      <c r="I1130" s="2">
        <v>1</v>
      </c>
      <c r="J1130" s="2">
        <v>0</v>
      </c>
      <c r="K1130" s="2" t="s">
        <v>61</v>
      </c>
      <c r="L1130" s="6" t="s">
        <v>113</v>
      </c>
      <c r="M1130" s="5">
        <v>346500000</v>
      </c>
      <c r="N1130" s="2">
        <v>0</v>
      </c>
      <c r="O1130" s="2">
        <v>4.6475200000000001</v>
      </c>
      <c r="P1130" s="2">
        <v>-74.059820000000002</v>
      </c>
      <c r="Q1130" s="2" t="s">
        <v>4076</v>
      </c>
      <c r="R1130" s="2">
        <v>11000000</v>
      </c>
      <c r="S1130" s="2">
        <v>0</v>
      </c>
      <c r="T1130" s="2" t="s">
        <v>77</v>
      </c>
      <c r="U1130" s="2" t="s">
        <v>78</v>
      </c>
      <c r="V1130" s="2" t="s">
        <v>28</v>
      </c>
      <c r="W1130" s="2" t="s">
        <v>79</v>
      </c>
      <c r="X1130" s="2" t="s">
        <v>80</v>
      </c>
      <c r="Y1130" s="2">
        <v>2.57826800060251</v>
      </c>
      <c r="Z1130" s="2">
        <v>4.6254861111111101</v>
      </c>
      <c r="AA1130" s="2">
        <v>-74.066980555555503</v>
      </c>
      <c r="AB1130" s="2">
        <v>2621</v>
      </c>
      <c r="AC1130" s="2" t="s">
        <v>31</v>
      </c>
      <c r="AD1130" s="2" t="s">
        <v>32</v>
      </c>
      <c r="AE1130" s="2" t="s">
        <v>33</v>
      </c>
      <c r="AF1130" s="2" t="s">
        <v>34</v>
      </c>
      <c r="AG1130" s="2" t="s">
        <v>81</v>
      </c>
      <c r="AH1130" s="2">
        <v>0.56849067648222895</v>
      </c>
      <c r="AI1130" s="2">
        <v>0.73734148311672199</v>
      </c>
      <c r="AJ1130" s="2">
        <v>0.192841274729603</v>
      </c>
      <c r="AK1130" s="2">
        <v>0.16255868724338701</v>
      </c>
      <c r="AL1130" s="2">
        <v>0.25058642058473601</v>
      </c>
      <c r="AN1130" s="2">
        <v>6.8</v>
      </c>
      <c r="AO1130" s="2">
        <v>19.899999999999999</v>
      </c>
      <c r="AP1130" s="2">
        <v>564</v>
      </c>
      <c r="AQ1130" s="2">
        <v>68</v>
      </c>
      <c r="AR1130" s="2">
        <v>1.5</v>
      </c>
      <c r="AS1130" s="2">
        <v>135</v>
      </c>
      <c r="AT1130" s="2">
        <v>0.8</v>
      </c>
      <c r="AU1130" s="2">
        <v>162</v>
      </c>
      <c r="AV1130" s="2">
        <v>9.1</v>
      </c>
      <c r="AW1130" s="2">
        <v>9.1999999999999993</v>
      </c>
      <c r="AX1130" s="2">
        <v>18.3</v>
      </c>
      <c r="AY1130" s="2">
        <v>0.34</v>
      </c>
      <c r="AZ1130" s="2">
        <v>7.3</v>
      </c>
      <c r="BA1130" s="2">
        <v>0.9</v>
      </c>
      <c r="BB1130" s="2">
        <v>7.5</v>
      </c>
      <c r="BC1130" s="2">
        <v>2.9</v>
      </c>
      <c r="BD1130" s="2">
        <f>+AN1130*EXP(-0.0495*Y1130)</f>
        <v>5.9852514180273069</v>
      </c>
      <c r="BE1130" s="2">
        <f>+AO1130*EXP(-0.024*Y1130)</f>
        <v>18.705943352773822</v>
      </c>
    </row>
    <row r="1131" spans="1:57" x14ac:dyDescent="0.2">
      <c r="A1131" s="2" t="s">
        <v>3972</v>
      </c>
      <c r="B1131" s="2" t="s">
        <v>19</v>
      </c>
      <c r="C1131" s="2" t="s">
        <v>3245</v>
      </c>
      <c r="D1131" s="2" t="s">
        <v>21</v>
      </c>
      <c r="E1131" s="2" t="s">
        <v>3869</v>
      </c>
      <c r="F1131" s="2">
        <v>3</v>
      </c>
      <c r="G1131" s="2">
        <v>31.47</v>
      </c>
      <c r="H1131" s="2">
        <v>1</v>
      </c>
      <c r="I1131" s="2">
        <v>1</v>
      </c>
      <c r="J1131" s="2">
        <v>0</v>
      </c>
      <c r="K1131" s="2" t="s">
        <v>61</v>
      </c>
      <c r="L1131" s="6" t="s">
        <v>62</v>
      </c>
      <c r="M1131" s="5">
        <v>309000000</v>
      </c>
      <c r="N1131" s="2">
        <v>0</v>
      </c>
      <c r="O1131" s="2">
        <v>4.6406459809999996</v>
      </c>
      <c r="P1131" s="2">
        <v>-74.072708129999995</v>
      </c>
      <c r="Q1131" s="2" t="s">
        <v>3973</v>
      </c>
      <c r="R1131" s="2">
        <v>9818875.1190000009</v>
      </c>
      <c r="S1131" s="2">
        <v>0</v>
      </c>
      <c r="T1131" s="2" t="s">
        <v>77</v>
      </c>
      <c r="U1131" s="2" t="s">
        <v>78</v>
      </c>
      <c r="V1131" s="2" t="s">
        <v>28</v>
      </c>
      <c r="W1131" s="2" t="s">
        <v>79</v>
      </c>
      <c r="X1131" s="2" t="s">
        <v>80</v>
      </c>
      <c r="Y1131" s="2">
        <v>1.8032820478801099</v>
      </c>
      <c r="Z1131" s="2">
        <v>4.6254861111111101</v>
      </c>
      <c r="AA1131" s="2">
        <v>-74.066980555555503</v>
      </c>
      <c r="AB1131" s="2">
        <v>2621</v>
      </c>
      <c r="AC1131" s="2" t="s">
        <v>31</v>
      </c>
      <c r="AD1131" s="2" t="s">
        <v>32</v>
      </c>
      <c r="AE1131" s="2" t="s">
        <v>33</v>
      </c>
      <c r="AF1131" s="2" t="s">
        <v>34</v>
      </c>
      <c r="AG1131" s="2" t="s">
        <v>35</v>
      </c>
      <c r="AH1131" s="2">
        <v>0.73982396616865598</v>
      </c>
      <c r="AI1131" s="2">
        <v>1.61363396553261</v>
      </c>
      <c r="AJ1131" s="2">
        <v>6.3616362337869603E-2</v>
      </c>
      <c r="AK1131" s="2">
        <v>9.3025974772218203E-2</v>
      </c>
      <c r="AL1131" s="2">
        <v>0.29193096675896901</v>
      </c>
      <c r="AN1131" s="2">
        <v>6.8</v>
      </c>
      <c r="AO1131" s="2">
        <v>19.899999999999999</v>
      </c>
      <c r="AP1131" s="2">
        <v>564</v>
      </c>
      <c r="AQ1131" s="2">
        <v>68</v>
      </c>
      <c r="AR1131" s="2">
        <v>1.5</v>
      </c>
      <c r="AS1131" s="2">
        <v>135</v>
      </c>
      <c r="AT1131" s="2">
        <v>0.8</v>
      </c>
      <c r="AU1131" s="2">
        <v>162</v>
      </c>
      <c r="AV1131" s="2">
        <v>9.1</v>
      </c>
      <c r="AW1131" s="2">
        <v>9.1999999999999993</v>
      </c>
      <c r="AX1131" s="2">
        <v>18.3</v>
      </c>
      <c r="AY1131" s="2">
        <v>0.34</v>
      </c>
      <c r="AZ1131" s="2">
        <v>7.3</v>
      </c>
      <c r="BA1131" s="2">
        <v>0.9</v>
      </c>
      <c r="BB1131" s="2">
        <v>7.5</v>
      </c>
      <c r="BC1131" s="2">
        <v>2.9</v>
      </c>
      <c r="BD1131" s="2">
        <f>+AN1131*EXP(-0.0495*Y1131)</f>
        <v>6.2193173555216728</v>
      </c>
      <c r="BE1131" s="2">
        <f>+AO1131*EXP(-0.024*Y1131)</f>
        <v>19.057123383708838</v>
      </c>
    </row>
    <row r="1132" spans="1:57" x14ac:dyDescent="0.2">
      <c r="A1132" s="2" t="s">
        <v>3426</v>
      </c>
      <c r="B1132" s="2" t="s">
        <v>19</v>
      </c>
      <c r="C1132" s="2" t="s">
        <v>3245</v>
      </c>
      <c r="D1132" s="2" t="s">
        <v>21</v>
      </c>
      <c r="E1132" s="2" t="s">
        <v>35</v>
      </c>
      <c r="F1132" s="2">
        <v>4</v>
      </c>
      <c r="G1132" s="2">
        <v>31.04</v>
      </c>
      <c r="H1132" s="2">
        <v>1</v>
      </c>
      <c r="I1132" s="2">
        <v>1</v>
      </c>
      <c r="J1132" s="2">
        <v>0</v>
      </c>
      <c r="K1132" s="2" t="s">
        <v>61</v>
      </c>
      <c r="L1132" s="6" t="s">
        <v>62</v>
      </c>
      <c r="M1132" s="5">
        <v>340000000</v>
      </c>
      <c r="N1132" s="2">
        <v>0</v>
      </c>
      <c r="O1132" s="2">
        <v>4.6222124100000004</v>
      </c>
      <c r="P1132" s="2">
        <v>-74.06968689</v>
      </c>
      <c r="Q1132" s="2" t="s">
        <v>3427</v>
      </c>
      <c r="R1132" s="2">
        <v>10953608.25</v>
      </c>
      <c r="S1132" s="2">
        <v>0</v>
      </c>
      <c r="T1132" s="2" t="s">
        <v>77</v>
      </c>
      <c r="U1132" s="2" t="s">
        <v>78</v>
      </c>
      <c r="V1132" s="2" t="s">
        <v>28</v>
      </c>
      <c r="W1132" s="2" t="s">
        <v>79</v>
      </c>
      <c r="X1132" s="2" t="s">
        <v>80</v>
      </c>
      <c r="Y1132" s="2">
        <v>0.472206833127507</v>
      </c>
      <c r="Z1132" s="2">
        <v>4.6254861111111101</v>
      </c>
      <c r="AA1132" s="2">
        <v>-74.066980555555503</v>
      </c>
      <c r="AB1132" s="2">
        <v>2621</v>
      </c>
      <c r="AC1132" s="2" t="s">
        <v>31</v>
      </c>
      <c r="AD1132" s="2" t="s">
        <v>32</v>
      </c>
      <c r="AE1132" s="2" t="s">
        <v>33</v>
      </c>
      <c r="AF1132" s="2" t="s">
        <v>34</v>
      </c>
      <c r="AG1132" s="2" t="s">
        <v>35</v>
      </c>
      <c r="AH1132" s="2">
        <v>7.0476233731438104E-2</v>
      </c>
      <c r="AI1132" s="2">
        <v>0.94799266565209706</v>
      </c>
      <c r="AJ1132" s="2">
        <v>0.16802881298367001</v>
      </c>
      <c r="AK1132" s="2">
        <v>3.6351316412109397E-2</v>
      </c>
      <c r="AL1132" s="2">
        <v>0.19510673271340701</v>
      </c>
      <c r="AN1132" s="2">
        <v>6.8</v>
      </c>
      <c r="AO1132" s="2">
        <v>19.899999999999999</v>
      </c>
      <c r="AP1132" s="2">
        <v>564</v>
      </c>
      <c r="AQ1132" s="2">
        <v>68</v>
      </c>
      <c r="AR1132" s="2">
        <v>1.5</v>
      </c>
      <c r="AS1132" s="2">
        <v>135</v>
      </c>
      <c r="AT1132" s="2">
        <v>0.8</v>
      </c>
      <c r="AU1132" s="2">
        <v>162</v>
      </c>
      <c r="AV1132" s="2">
        <v>9.1</v>
      </c>
      <c r="AW1132" s="2">
        <v>9.1999999999999993</v>
      </c>
      <c r="AX1132" s="2">
        <v>18.3</v>
      </c>
      <c r="AY1132" s="2">
        <v>0.34</v>
      </c>
      <c r="AZ1132" s="2">
        <v>7.3</v>
      </c>
      <c r="BA1132" s="2">
        <v>0.9</v>
      </c>
      <c r="BB1132" s="2">
        <v>7.5</v>
      </c>
      <c r="BC1132" s="2">
        <v>2.9</v>
      </c>
      <c r="BD1132" s="2">
        <f>+AN1132*EXP(-0.0495*Y1132)</f>
        <v>6.6428983978134939</v>
      </c>
      <c r="BE1132" s="2">
        <f>+AO1132*EXP(-0.024*Y1132)</f>
        <v>19.67574714145869</v>
      </c>
    </row>
    <row r="1133" spans="1:57" x14ac:dyDescent="0.2">
      <c r="A1133" s="2" t="s">
        <v>3443</v>
      </c>
      <c r="B1133" s="2" t="s">
        <v>19</v>
      </c>
      <c r="C1133" s="2" t="s">
        <v>3245</v>
      </c>
      <c r="D1133" s="2" t="s">
        <v>21</v>
      </c>
      <c r="E1133" s="2" t="s">
        <v>87</v>
      </c>
      <c r="F1133" s="2">
        <v>4</v>
      </c>
      <c r="G1133" s="2">
        <v>31.04</v>
      </c>
      <c r="H1133" s="2">
        <v>1</v>
      </c>
      <c r="I1133" s="2">
        <v>1</v>
      </c>
      <c r="J1133" s="2">
        <v>0</v>
      </c>
      <c r="K1133" s="2" t="s">
        <v>61</v>
      </c>
      <c r="L1133" s="6" t="s">
        <v>62</v>
      </c>
      <c r="M1133" s="5">
        <v>315000000</v>
      </c>
      <c r="N1133" s="2">
        <v>0</v>
      </c>
      <c r="O1133" s="2">
        <v>4.6203341480000004</v>
      </c>
      <c r="P1133" s="2">
        <v>-74.069740300000007</v>
      </c>
      <c r="Q1133" s="2" t="s">
        <v>3444</v>
      </c>
      <c r="R1133" s="2">
        <v>10148195.880000001</v>
      </c>
      <c r="S1133" s="2">
        <v>0</v>
      </c>
      <c r="T1133" s="2" t="s">
        <v>77</v>
      </c>
      <c r="U1133" s="2" t="s">
        <v>78</v>
      </c>
      <c r="V1133" s="2" t="s">
        <v>28</v>
      </c>
      <c r="W1133" s="2" t="s">
        <v>79</v>
      </c>
      <c r="X1133" s="2" t="s">
        <v>80</v>
      </c>
      <c r="Y1133" s="2">
        <v>0.65014241261012795</v>
      </c>
      <c r="Z1133" s="2">
        <v>4.6254861111111101</v>
      </c>
      <c r="AA1133" s="2">
        <v>-74.066980555555503</v>
      </c>
      <c r="AB1133" s="2">
        <v>2621</v>
      </c>
      <c r="AC1133" s="2" t="s">
        <v>31</v>
      </c>
      <c r="AD1133" s="2" t="s">
        <v>32</v>
      </c>
      <c r="AE1133" s="2" t="s">
        <v>33</v>
      </c>
      <c r="AF1133" s="2" t="s">
        <v>34</v>
      </c>
      <c r="AG1133" s="2" t="s">
        <v>89</v>
      </c>
      <c r="AH1133" s="2">
        <v>0.13720579165720401</v>
      </c>
      <c r="AI1133" s="2">
        <v>0.87071666130195202</v>
      </c>
      <c r="AJ1133" s="2">
        <v>0.34510880768399999</v>
      </c>
      <c r="AK1133" s="2">
        <v>4.11443730616032E-2</v>
      </c>
      <c r="AL1133" s="2">
        <v>2.9003813943615401E-2</v>
      </c>
      <c r="AN1133" s="2">
        <v>6.8</v>
      </c>
      <c r="AO1133" s="2">
        <v>19.899999999999999</v>
      </c>
      <c r="AP1133" s="2">
        <v>564</v>
      </c>
      <c r="AQ1133" s="2">
        <v>68</v>
      </c>
      <c r="AR1133" s="2">
        <v>1.5</v>
      </c>
      <c r="AS1133" s="2">
        <v>135</v>
      </c>
      <c r="AT1133" s="2">
        <v>0.8</v>
      </c>
      <c r="AU1133" s="2">
        <v>162</v>
      </c>
      <c r="AV1133" s="2">
        <v>9.1</v>
      </c>
      <c r="AW1133" s="2">
        <v>9.1999999999999993</v>
      </c>
      <c r="AX1133" s="2">
        <v>18.3</v>
      </c>
      <c r="AY1133" s="2">
        <v>0.34</v>
      </c>
      <c r="AZ1133" s="2">
        <v>7.3</v>
      </c>
      <c r="BA1133" s="2">
        <v>0.9</v>
      </c>
      <c r="BB1133" s="2">
        <v>7.5</v>
      </c>
      <c r="BC1133" s="2">
        <v>2.9</v>
      </c>
      <c r="BD1133" s="2">
        <f>+AN1133*EXP(-0.0495*Y1133)</f>
        <v>6.5846459180198327</v>
      </c>
      <c r="BE1133" s="2">
        <f>+AO1133*EXP(-0.024*Y1133)</f>
        <v>19.591901926179613</v>
      </c>
    </row>
    <row r="1134" spans="1:57" x14ac:dyDescent="0.2">
      <c r="A1134" s="2" t="s">
        <v>4029</v>
      </c>
      <c r="B1134" s="2" t="s">
        <v>19</v>
      </c>
      <c r="C1134" s="2" t="s">
        <v>3245</v>
      </c>
      <c r="D1134" s="2" t="s">
        <v>21</v>
      </c>
      <c r="E1134" s="2" t="s">
        <v>4030</v>
      </c>
      <c r="F1134" s="2">
        <v>5</v>
      </c>
      <c r="G1134" s="2">
        <v>31</v>
      </c>
      <c r="H1134" s="2">
        <v>1</v>
      </c>
      <c r="I1134" s="2">
        <v>1</v>
      </c>
      <c r="J1134" s="2">
        <v>0</v>
      </c>
      <c r="K1134" s="2" t="s">
        <v>61</v>
      </c>
      <c r="L1134" s="6" t="s">
        <v>62</v>
      </c>
      <c r="M1134" s="5">
        <v>430000000</v>
      </c>
      <c r="N1134" s="2">
        <v>0</v>
      </c>
      <c r="O1134" s="2">
        <v>4.66215957</v>
      </c>
      <c r="P1134" s="2">
        <v>-74.057109600000004</v>
      </c>
      <c r="Q1134" s="2" t="s">
        <v>4031</v>
      </c>
      <c r="R1134" s="2">
        <v>13870967.74</v>
      </c>
      <c r="S1134" s="2">
        <v>0</v>
      </c>
      <c r="T1134" s="2" t="s">
        <v>26</v>
      </c>
      <c r="U1134" s="2" t="s">
        <v>27</v>
      </c>
      <c r="V1134" s="2" t="s">
        <v>28</v>
      </c>
      <c r="W1134" s="2" t="s">
        <v>29</v>
      </c>
      <c r="X1134" s="2" t="s">
        <v>30</v>
      </c>
      <c r="Y1134" s="2">
        <v>3.0080538106316501</v>
      </c>
      <c r="Z1134" s="2">
        <v>4.6584666666666701</v>
      </c>
      <c r="AA1134" s="2">
        <v>-74.083966666666697</v>
      </c>
      <c r="AB1134" s="2">
        <v>2552</v>
      </c>
      <c r="AC1134" s="2" t="s">
        <v>31</v>
      </c>
      <c r="AD1134" s="2" t="s">
        <v>32</v>
      </c>
      <c r="AE1134" s="2" t="s">
        <v>33</v>
      </c>
      <c r="AF1134" s="2" t="s">
        <v>34</v>
      </c>
      <c r="AG1134" s="2" t="s">
        <v>81</v>
      </c>
      <c r="AH1134" s="2">
        <v>0.470281967987007</v>
      </c>
      <c r="AI1134" s="2">
        <v>1.1560846340222299</v>
      </c>
      <c r="AJ1134" s="2">
        <v>4.7810630647053397E-2</v>
      </c>
      <c r="AK1134" s="2">
        <v>7.6610375033365694E-2</v>
      </c>
      <c r="AL1134" s="2">
        <v>5.5730772655706001E-2</v>
      </c>
      <c r="AN1134" s="2">
        <v>6.8</v>
      </c>
      <c r="AO1134" s="2">
        <v>19.899999999999999</v>
      </c>
      <c r="AP1134" s="2">
        <v>564</v>
      </c>
      <c r="AQ1134" s="2">
        <v>68</v>
      </c>
      <c r="AR1134" s="2">
        <v>1.5</v>
      </c>
      <c r="AS1134" s="2">
        <v>135</v>
      </c>
      <c r="AT1134" s="2">
        <v>0.8</v>
      </c>
      <c r="AU1134" s="2">
        <v>162</v>
      </c>
      <c r="AV1134" s="2">
        <v>9.1</v>
      </c>
      <c r="AW1134" s="2">
        <v>9.1999999999999993</v>
      </c>
      <c r="AX1134" s="2">
        <v>18.3</v>
      </c>
      <c r="AY1134" s="2">
        <v>0.34</v>
      </c>
      <c r="AZ1134" s="2">
        <v>7.3</v>
      </c>
      <c r="BA1134" s="2">
        <v>0.9</v>
      </c>
      <c r="BB1134" s="2">
        <v>7.5</v>
      </c>
      <c r="BC1134" s="2">
        <v>2.9</v>
      </c>
      <c r="BD1134" s="2">
        <f>+AN1134*EXP(-0.0495*Y1134)</f>
        <v>5.8592637077662575</v>
      </c>
      <c r="BE1134" s="2">
        <f>+AO1134*EXP(-0.024*Y1134)</f>
        <v>18.513985885492154</v>
      </c>
    </row>
    <row r="1135" spans="1:57" x14ac:dyDescent="0.2">
      <c r="A1135" s="2" t="s">
        <v>3925</v>
      </c>
      <c r="B1135" s="2" t="s">
        <v>19</v>
      </c>
      <c r="C1135" s="2" t="s">
        <v>3245</v>
      </c>
      <c r="D1135" s="2" t="s">
        <v>21</v>
      </c>
      <c r="E1135" s="2" t="s">
        <v>2472</v>
      </c>
      <c r="F1135" s="2">
        <v>4</v>
      </c>
      <c r="G1135" s="2">
        <v>31</v>
      </c>
      <c r="H1135" s="2">
        <v>1</v>
      </c>
      <c r="I1135" s="2">
        <v>1</v>
      </c>
      <c r="J1135" s="2">
        <v>0</v>
      </c>
      <c r="K1135" s="2" t="s">
        <v>61</v>
      </c>
      <c r="L1135" s="6" t="s">
        <v>62</v>
      </c>
      <c r="M1135" s="5">
        <v>320000000</v>
      </c>
      <c r="N1135" s="2">
        <v>0</v>
      </c>
      <c r="O1135" s="2">
        <v>4.6771053</v>
      </c>
      <c r="P1135" s="2">
        <v>-74.060121300000006</v>
      </c>
      <c r="Q1135" s="2" t="s">
        <v>3926</v>
      </c>
      <c r="R1135" s="2">
        <v>10322580.65</v>
      </c>
      <c r="S1135" s="2">
        <v>0</v>
      </c>
      <c r="T1135" s="2" t="s">
        <v>26</v>
      </c>
      <c r="U1135" s="2" t="s">
        <v>27</v>
      </c>
      <c r="V1135" s="2" t="s">
        <v>28</v>
      </c>
      <c r="W1135" s="2" t="s">
        <v>29</v>
      </c>
      <c r="X1135" s="2" t="s">
        <v>30</v>
      </c>
      <c r="Y1135" s="2">
        <v>3.3622073515233502</v>
      </c>
      <c r="Z1135" s="2">
        <v>4.6584666666666701</v>
      </c>
      <c r="AA1135" s="2">
        <v>-74.083966666666697</v>
      </c>
      <c r="AB1135" s="2">
        <v>2552</v>
      </c>
      <c r="AC1135" s="2" t="s">
        <v>31</v>
      </c>
      <c r="AD1135" s="2" t="s">
        <v>32</v>
      </c>
      <c r="AE1135" s="2" t="s">
        <v>33</v>
      </c>
      <c r="AF1135" s="2" t="s">
        <v>34</v>
      </c>
      <c r="AG1135" s="2" t="s">
        <v>293</v>
      </c>
      <c r="AH1135" s="2">
        <v>0.17296335195675899</v>
      </c>
      <c r="AI1135" s="2">
        <v>2.1097082787294199</v>
      </c>
      <c r="AJ1135" s="2">
        <v>0.27909720226901102</v>
      </c>
      <c r="AK1135" s="2">
        <v>3.2981606645727697E-2</v>
      </c>
      <c r="AL1135" s="2">
        <v>0.37678931657211501</v>
      </c>
      <c r="AN1135" s="2">
        <v>6.8</v>
      </c>
      <c r="AO1135" s="2">
        <v>19.899999999999999</v>
      </c>
      <c r="AP1135" s="2">
        <v>564</v>
      </c>
      <c r="AQ1135" s="2">
        <v>68</v>
      </c>
      <c r="AR1135" s="2">
        <v>1.5</v>
      </c>
      <c r="AS1135" s="2">
        <v>135</v>
      </c>
      <c r="AT1135" s="2">
        <v>0.8</v>
      </c>
      <c r="AU1135" s="2">
        <v>162</v>
      </c>
      <c r="AV1135" s="2">
        <v>9.1</v>
      </c>
      <c r="AW1135" s="2">
        <v>9.1999999999999993</v>
      </c>
      <c r="AX1135" s="2">
        <v>18.3</v>
      </c>
      <c r="AY1135" s="2">
        <v>0.34</v>
      </c>
      <c r="AZ1135" s="2">
        <v>7.3</v>
      </c>
      <c r="BA1135" s="2">
        <v>0.9</v>
      </c>
      <c r="BB1135" s="2">
        <v>7.5</v>
      </c>
      <c r="BC1135" s="2">
        <v>2.9</v>
      </c>
      <c r="BD1135" s="2">
        <f>+AN1135*EXP(-0.0495*Y1135)</f>
        <v>5.7574423997763704</v>
      </c>
      <c r="BE1135" s="2">
        <f>+AO1135*EXP(-0.024*Y1135)</f>
        <v>18.357289715128768</v>
      </c>
    </row>
    <row r="1136" spans="1:57" x14ac:dyDescent="0.2">
      <c r="A1136" s="2" t="s">
        <v>3695</v>
      </c>
      <c r="B1136" s="2" t="s">
        <v>19</v>
      </c>
      <c r="C1136" s="2" t="s">
        <v>3245</v>
      </c>
      <c r="D1136" s="2" t="s">
        <v>21</v>
      </c>
      <c r="E1136" s="2" t="s">
        <v>2759</v>
      </c>
      <c r="F1136" s="2">
        <v>4</v>
      </c>
      <c r="G1136" s="2">
        <v>31</v>
      </c>
      <c r="H1136" s="2">
        <v>1</v>
      </c>
      <c r="I1136" s="2">
        <v>1</v>
      </c>
      <c r="J1136" s="2">
        <v>0</v>
      </c>
      <c r="K1136" s="2" t="s">
        <v>61</v>
      </c>
      <c r="L1136" s="6" t="s">
        <v>62</v>
      </c>
      <c r="M1136" s="5">
        <v>300000000</v>
      </c>
      <c r="N1136" s="2">
        <v>0</v>
      </c>
      <c r="O1136" s="2">
        <v>4.6865899999999998</v>
      </c>
      <c r="P1136" s="2">
        <v>-74.065470000000005</v>
      </c>
      <c r="Q1136" s="2" t="s">
        <v>3696</v>
      </c>
      <c r="R1136" s="2">
        <v>9677419.3550000004</v>
      </c>
      <c r="S1136" s="2">
        <v>0</v>
      </c>
      <c r="T1136" s="2" t="s">
        <v>26</v>
      </c>
      <c r="U1136" s="2" t="s">
        <v>27</v>
      </c>
      <c r="V1136" s="2" t="s">
        <v>28</v>
      </c>
      <c r="W1136" s="2" t="s">
        <v>29</v>
      </c>
      <c r="X1136" s="2" t="s">
        <v>30</v>
      </c>
      <c r="Y1136" s="2">
        <v>3.7433456862367098</v>
      </c>
      <c r="Z1136" s="2">
        <v>4.6584666666666701</v>
      </c>
      <c r="AA1136" s="2">
        <v>-74.083966666666697</v>
      </c>
      <c r="AB1136" s="2">
        <v>2552</v>
      </c>
      <c r="AC1136" s="2" t="s">
        <v>31</v>
      </c>
      <c r="AD1136" s="2" t="s">
        <v>32</v>
      </c>
      <c r="AE1136" s="2" t="s">
        <v>33</v>
      </c>
      <c r="AF1136" s="2" t="s">
        <v>34</v>
      </c>
      <c r="AG1136" s="2" t="s">
        <v>293</v>
      </c>
      <c r="AH1136" s="2">
        <v>0.12132357500667799</v>
      </c>
      <c r="AI1136" s="2">
        <v>3.1855307330283802</v>
      </c>
      <c r="AJ1136" s="2">
        <v>0.92767828434477095</v>
      </c>
      <c r="AK1136" s="2">
        <v>0.14781688437906601</v>
      </c>
      <c r="AL1136" s="2">
        <v>0.376462743853124</v>
      </c>
      <c r="AN1136" s="2">
        <v>6.8</v>
      </c>
      <c r="AO1136" s="2">
        <v>19.899999999999999</v>
      </c>
      <c r="AP1136" s="2">
        <v>564</v>
      </c>
      <c r="AQ1136" s="2">
        <v>68</v>
      </c>
      <c r="AR1136" s="2">
        <v>1.5</v>
      </c>
      <c r="AS1136" s="2">
        <v>135</v>
      </c>
      <c r="AT1136" s="2">
        <v>0.8</v>
      </c>
      <c r="AU1136" s="2">
        <v>162</v>
      </c>
      <c r="AV1136" s="2">
        <v>9.1</v>
      </c>
      <c r="AW1136" s="2">
        <v>9.1999999999999993</v>
      </c>
      <c r="AX1136" s="2">
        <v>18.3</v>
      </c>
      <c r="AY1136" s="2">
        <v>0.34</v>
      </c>
      <c r="AZ1136" s="2">
        <v>7.3</v>
      </c>
      <c r="BA1136" s="2">
        <v>0.9</v>
      </c>
      <c r="BB1136" s="2">
        <v>7.5</v>
      </c>
      <c r="BC1136" s="2">
        <v>2.9</v>
      </c>
      <c r="BD1136" s="2">
        <f>+AN1136*EXP(-0.0495*Y1136)</f>
        <v>5.6498387261874639</v>
      </c>
      <c r="BE1136" s="2">
        <f>+AO1136*EXP(-0.024*Y1136)</f>
        <v>18.190135383775878</v>
      </c>
    </row>
    <row r="1137" spans="1:57" x14ac:dyDescent="0.2">
      <c r="A1137" s="2" t="s">
        <v>4081</v>
      </c>
      <c r="B1137" s="2" t="s">
        <v>19</v>
      </c>
      <c r="C1137" s="2" t="s">
        <v>3245</v>
      </c>
      <c r="D1137" s="2" t="s">
        <v>21</v>
      </c>
      <c r="E1137" s="2" t="s">
        <v>899</v>
      </c>
      <c r="F1137" s="2">
        <v>4</v>
      </c>
      <c r="G1137" s="2">
        <v>31</v>
      </c>
      <c r="H1137" s="2">
        <v>1</v>
      </c>
      <c r="I1137" s="2">
        <v>1</v>
      </c>
      <c r="J1137" s="2">
        <v>1</v>
      </c>
      <c r="K1137" s="2" t="s">
        <v>61</v>
      </c>
      <c r="L1137" s="6" t="s">
        <v>113</v>
      </c>
      <c r="M1137" s="5">
        <v>295000000</v>
      </c>
      <c r="N1137" s="2">
        <v>0</v>
      </c>
      <c r="O1137" s="2">
        <v>4.6355300000000002</v>
      </c>
      <c r="P1137" s="2">
        <v>-74.064689999999999</v>
      </c>
      <c r="Q1137" s="2" t="s">
        <v>4082</v>
      </c>
      <c r="R1137" s="2">
        <v>9516129.0319999997</v>
      </c>
      <c r="S1137" s="2">
        <v>0</v>
      </c>
      <c r="T1137" s="2" t="s">
        <v>77</v>
      </c>
      <c r="U1137" s="2" t="s">
        <v>78</v>
      </c>
      <c r="V1137" s="2" t="s">
        <v>28</v>
      </c>
      <c r="W1137" s="2" t="s">
        <v>79</v>
      </c>
      <c r="X1137" s="2" t="s">
        <v>80</v>
      </c>
      <c r="Y1137" s="2">
        <v>1.1466023999197701</v>
      </c>
      <c r="Z1137" s="2">
        <v>4.6254861111111101</v>
      </c>
      <c r="AA1137" s="2">
        <v>-74.066980555555503</v>
      </c>
      <c r="AB1137" s="2">
        <v>2621</v>
      </c>
      <c r="AC1137" s="2" t="s">
        <v>31</v>
      </c>
      <c r="AD1137" s="2" t="s">
        <v>32</v>
      </c>
      <c r="AE1137" s="2" t="s">
        <v>33</v>
      </c>
      <c r="AF1137" s="2" t="s">
        <v>34</v>
      </c>
      <c r="AG1137" s="2" t="s">
        <v>81</v>
      </c>
      <c r="AH1137" s="2">
        <v>0.32311201017068197</v>
      </c>
      <c r="AI1137" s="2">
        <v>0.56556095559154196</v>
      </c>
      <c r="AJ1137" s="2">
        <v>0.27669359119371101</v>
      </c>
      <c r="AK1137" s="2">
        <v>2.95361703437697E-3</v>
      </c>
      <c r="AL1137" s="2">
        <v>6.2563370171898405E-2</v>
      </c>
      <c r="AN1137" s="2">
        <v>6.8</v>
      </c>
      <c r="AO1137" s="2">
        <v>19.899999999999999</v>
      </c>
      <c r="AP1137" s="2">
        <v>564</v>
      </c>
      <c r="AQ1137" s="2">
        <v>68</v>
      </c>
      <c r="AR1137" s="2">
        <v>1.5</v>
      </c>
      <c r="AS1137" s="2">
        <v>135</v>
      </c>
      <c r="AT1137" s="2">
        <v>0.8</v>
      </c>
      <c r="AU1137" s="2">
        <v>162</v>
      </c>
      <c r="AV1137" s="2">
        <v>9.1</v>
      </c>
      <c r="AW1137" s="2">
        <v>9.1999999999999993</v>
      </c>
      <c r="AX1137" s="2">
        <v>18.3</v>
      </c>
      <c r="AY1137" s="2">
        <v>0.34</v>
      </c>
      <c r="AZ1137" s="2">
        <v>7.3</v>
      </c>
      <c r="BA1137" s="2">
        <v>0.9</v>
      </c>
      <c r="BB1137" s="2">
        <v>7.5</v>
      </c>
      <c r="BC1137" s="2">
        <v>2.9</v>
      </c>
      <c r="BD1137" s="2">
        <f>+AN1137*EXP(-0.0495*Y1137)</f>
        <v>6.4248018727903915</v>
      </c>
      <c r="BE1137" s="2">
        <f>+AO1137*EXP(-0.024*Y1137)</f>
        <v>19.359848843207196</v>
      </c>
    </row>
    <row r="1138" spans="1:57" x14ac:dyDescent="0.2">
      <c r="A1138" s="2" t="s">
        <v>4293</v>
      </c>
      <c r="B1138" s="2" t="s">
        <v>19</v>
      </c>
      <c r="C1138" s="2" t="s">
        <v>3245</v>
      </c>
      <c r="D1138" s="2" t="s">
        <v>21</v>
      </c>
      <c r="E1138" s="2" t="s">
        <v>1941</v>
      </c>
      <c r="F1138" s="2">
        <v>4</v>
      </c>
      <c r="G1138" s="2">
        <v>31</v>
      </c>
      <c r="H1138" s="2">
        <v>1</v>
      </c>
      <c r="I1138" s="2">
        <v>1</v>
      </c>
      <c r="J1138" s="2">
        <v>0</v>
      </c>
      <c r="K1138" s="2" t="s">
        <v>61</v>
      </c>
      <c r="L1138" s="6" t="s">
        <v>62</v>
      </c>
      <c r="M1138" s="5">
        <v>270000000</v>
      </c>
      <c r="N1138" s="2">
        <v>0</v>
      </c>
      <c r="O1138" s="2">
        <v>4.696307182</v>
      </c>
      <c r="P1138" s="2">
        <v>-74.069168090000005</v>
      </c>
      <c r="Q1138" s="2" t="s">
        <v>4294</v>
      </c>
      <c r="R1138" s="2">
        <v>8709677.4189999998</v>
      </c>
      <c r="S1138" s="2">
        <v>0</v>
      </c>
      <c r="T1138" s="2" t="s">
        <v>26</v>
      </c>
      <c r="U1138" s="2" t="s">
        <v>27</v>
      </c>
      <c r="V1138" s="2" t="s">
        <v>28</v>
      </c>
      <c r="W1138" s="2" t="s">
        <v>29</v>
      </c>
      <c r="X1138" s="2" t="s">
        <v>30</v>
      </c>
      <c r="Y1138" s="2">
        <v>4.5210602025830804</v>
      </c>
      <c r="Z1138" s="2">
        <v>4.6584666666666701</v>
      </c>
      <c r="AA1138" s="2">
        <v>-74.083966666666697</v>
      </c>
      <c r="AB1138" s="2">
        <v>2552</v>
      </c>
      <c r="AC1138" s="2" t="s">
        <v>31</v>
      </c>
      <c r="AD1138" s="2" t="s">
        <v>32</v>
      </c>
      <c r="AE1138" s="2" t="s">
        <v>33</v>
      </c>
      <c r="AF1138" s="2" t="s">
        <v>34</v>
      </c>
      <c r="AG1138" s="2" t="s">
        <v>72</v>
      </c>
      <c r="AH1138" s="2">
        <v>0.33278270808345201</v>
      </c>
      <c r="AI1138" s="2">
        <v>4.1095916439740598</v>
      </c>
      <c r="AJ1138" s="2">
        <v>0.17472353726963</v>
      </c>
      <c r="AK1138" s="2">
        <v>9.3087353516690702E-2</v>
      </c>
      <c r="AL1138" s="2">
        <v>4.0412247337270002E-2</v>
      </c>
      <c r="AN1138" s="2">
        <v>6.8</v>
      </c>
      <c r="AO1138" s="2">
        <v>19.899999999999999</v>
      </c>
      <c r="AP1138" s="2">
        <v>564</v>
      </c>
      <c r="AQ1138" s="2">
        <v>68</v>
      </c>
      <c r="AR1138" s="2">
        <v>1.5</v>
      </c>
      <c r="AS1138" s="2">
        <v>135</v>
      </c>
      <c r="AT1138" s="2">
        <v>0.8</v>
      </c>
      <c r="AU1138" s="2">
        <v>162</v>
      </c>
      <c r="AV1138" s="2">
        <v>9.1</v>
      </c>
      <c r="AW1138" s="2">
        <v>9.1999999999999993</v>
      </c>
      <c r="AX1138" s="2">
        <v>18.3</v>
      </c>
      <c r="AY1138" s="2">
        <v>0.34</v>
      </c>
      <c r="AZ1138" s="2">
        <v>7.3</v>
      </c>
      <c r="BA1138" s="2">
        <v>0.9</v>
      </c>
      <c r="BB1138" s="2">
        <v>7.5</v>
      </c>
      <c r="BC1138" s="2">
        <v>2.9</v>
      </c>
      <c r="BD1138" s="2">
        <f>+AN1138*EXP(-0.0495*Y1138)</f>
        <v>5.4364709729650578</v>
      </c>
      <c r="BE1138" s="2">
        <f>+AO1138*EXP(-0.024*Y1138)</f>
        <v>17.853762795318577</v>
      </c>
    </row>
    <row r="1139" spans="1:57" x14ac:dyDescent="0.2">
      <c r="A1139" s="2" t="s">
        <v>256</v>
      </c>
      <c r="B1139" s="2" t="s">
        <v>19</v>
      </c>
      <c r="C1139" s="2" t="s">
        <v>20</v>
      </c>
      <c r="D1139" s="2" t="s">
        <v>21</v>
      </c>
      <c r="E1139" s="2" t="s">
        <v>257</v>
      </c>
      <c r="F1139" s="2">
        <v>3</v>
      </c>
      <c r="G1139" s="2">
        <v>31</v>
      </c>
      <c r="H1139" s="2">
        <v>1</v>
      </c>
      <c r="I1139" s="2">
        <v>1</v>
      </c>
      <c r="J1139" s="2">
        <v>0</v>
      </c>
      <c r="K1139" s="2" t="s">
        <v>61</v>
      </c>
      <c r="L1139" s="6" t="s">
        <v>62</v>
      </c>
      <c r="M1139" s="5">
        <v>258000000</v>
      </c>
      <c r="N1139" s="2">
        <v>0</v>
      </c>
      <c r="O1139" s="2">
        <v>4.6147498000000002</v>
      </c>
      <c r="P1139" s="2">
        <v>-74.084737700000005</v>
      </c>
      <c r="Q1139" s="2" t="s">
        <v>258</v>
      </c>
      <c r="R1139" s="2">
        <v>8322580.6449999996</v>
      </c>
      <c r="S1139" s="2">
        <v>0</v>
      </c>
      <c r="T1139" s="2" t="s">
        <v>77</v>
      </c>
      <c r="U1139" s="2" t="s">
        <v>78</v>
      </c>
      <c r="V1139" s="2" t="s">
        <v>28</v>
      </c>
      <c r="W1139" s="2" t="s">
        <v>79</v>
      </c>
      <c r="X1139" s="2" t="s">
        <v>80</v>
      </c>
      <c r="Y1139" s="2">
        <v>2.3044445185681499</v>
      </c>
      <c r="Z1139" s="2">
        <v>4.6254861111111101</v>
      </c>
      <c r="AA1139" s="2">
        <v>-74.066980555555503</v>
      </c>
      <c r="AB1139" s="2">
        <v>2621</v>
      </c>
      <c r="AC1139" s="2" t="s">
        <v>31</v>
      </c>
      <c r="AD1139" s="2" t="s">
        <v>32</v>
      </c>
      <c r="AE1139" s="2" t="s">
        <v>33</v>
      </c>
      <c r="AF1139" s="2" t="s">
        <v>34</v>
      </c>
      <c r="AG1139" s="2" t="s">
        <v>259</v>
      </c>
      <c r="AH1139" s="2">
        <v>0.58549642971714599</v>
      </c>
      <c r="AI1139" s="2">
        <v>2.30449899230624</v>
      </c>
      <c r="AJ1139" s="2">
        <v>1.0436505085116701</v>
      </c>
      <c r="AK1139" s="2">
        <v>0.36032676370790701</v>
      </c>
      <c r="AL1139" s="2">
        <v>0.110601537129947</v>
      </c>
      <c r="AN1139" s="2">
        <v>6.8</v>
      </c>
      <c r="AO1139" s="2">
        <v>19.899999999999999</v>
      </c>
      <c r="AP1139" s="2">
        <v>564</v>
      </c>
      <c r="AQ1139" s="2">
        <v>68</v>
      </c>
      <c r="AR1139" s="2">
        <v>1.5</v>
      </c>
      <c r="AS1139" s="2">
        <v>135</v>
      </c>
      <c r="AT1139" s="2">
        <v>0.8</v>
      </c>
      <c r="AU1139" s="2">
        <v>162</v>
      </c>
      <c r="AV1139" s="2">
        <v>9.1</v>
      </c>
      <c r="AW1139" s="2">
        <v>9.1999999999999993</v>
      </c>
      <c r="AX1139" s="2">
        <v>18.3</v>
      </c>
      <c r="AY1139" s="2">
        <v>0.34</v>
      </c>
      <c r="AZ1139" s="2">
        <v>7.3</v>
      </c>
      <c r="BA1139" s="2">
        <v>0.9</v>
      </c>
      <c r="BB1139" s="2">
        <v>7.5</v>
      </c>
      <c r="BC1139" s="2">
        <v>2.9</v>
      </c>
      <c r="BD1139" s="2">
        <f>+AN1139*EXP(-0.0495*Y1139)</f>
        <v>6.0669293778177344</v>
      </c>
      <c r="BE1139" s="2">
        <f>+AO1139*EXP(-0.024*Y1139)</f>
        <v>18.829279212990301</v>
      </c>
    </row>
    <row r="1140" spans="1:57" x14ac:dyDescent="0.2">
      <c r="A1140" s="2" t="s">
        <v>4452</v>
      </c>
      <c r="B1140" s="2" t="s">
        <v>19</v>
      </c>
      <c r="C1140" s="2" t="s">
        <v>3245</v>
      </c>
      <c r="D1140" s="2" t="s">
        <v>21</v>
      </c>
      <c r="E1140" s="2" t="s">
        <v>257</v>
      </c>
      <c r="F1140" s="2">
        <v>3</v>
      </c>
      <c r="G1140" s="2">
        <v>31</v>
      </c>
      <c r="H1140" s="2">
        <v>1</v>
      </c>
      <c r="I1140" s="2">
        <v>1</v>
      </c>
      <c r="J1140" s="2">
        <v>0</v>
      </c>
      <c r="K1140" s="2" t="s">
        <v>61</v>
      </c>
      <c r="L1140" s="6" t="s">
        <v>62</v>
      </c>
      <c r="M1140" s="5">
        <v>250000000</v>
      </c>
      <c r="N1140" s="2">
        <v>0</v>
      </c>
      <c r="O1140" s="2">
        <v>4.6148419379999996</v>
      </c>
      <c r="P1140" s="2">
        <v>-74.08454132</v>
      </c>
      <c r="Q1140" s="2" t="s">
        <v>4453</v>
      </c>
      <c r="R1140" s="2">
        <v>8064516.1289999997</v>
      </c>
      <c r="S1140" s="2">
        <v>0</v>
      </c>
      <c r="T1140" s="2" t="s">
        <v>77</v>
      </c>
      <c r="U1140" s="2" t="s">
        <v>78</v>
      </c>
      <c r="V1140" s="2" t="s">
        <v>28</v>
      </c>
      <c r="W1140" s="2" t="s">
        <v>79</v>
      </c>
      <c r="X1140" s="2" t="s">
        <v>80</v>
      </c>
      <c r="Y1140" s="2">
        <v>2.28049603526765</v>
      </c>
      <c r="Z1140" s="2">
        <v>4.6254861111111101</v>
      </c>
      <c r="AA1140" s="2">
        <v>-74.066980555555503</v>
      </c>
      <c r="AB1140" s="2">
        <v>2621</v>
      </c>
      <c r="AC1140" s="2" t="s">
        <v>31</v>
      </c>
      <c r="AD1140" s="2" t="s">
        <v>32</v>
      </c>
      <c r="AE1140" s="2" t="s">
        <v>33</v>
      </c>
      <c r="AF1140" s="2" t="s">
        <v>34</v>
      </c>
      <c r="AG1140" s="2" t="s">
        <v>259</v>
      </c>
      <c r="AH1140" s="2">
        <v>0.60146031743117101</v>
      </c>
      <c r="AI1140" s="2">
        <v>2.2829063847740598</v>
      </c>
      <c r="AJ1140" s="2">
        <v>1.0471133717399399</v>
      </c>
      <c r="AK1140" s="2">
        <v>0.33634084896213701</v>
      </c>
      <c r="AL1140" s="2">
        <v>9.9807681957730501E-2</v>
      </c>
      <c r="AN1140" s="2">
        <v>6.8</v>
      </c>
      <c r="AO1140" s="2">
        <v>19.899999999999999</v>
      </c>
      <c r="AP1140" s="2">
        <v>564</v>
      </c>
      <c r="AQ1140" s="2">
        <v>68</v>
      </c>
      <c r="AR1140" s="2">
        <v>1.5</v>
      </c>
      <c r="AS1140" s="2">
        <v>135</v>
      </c>
      <c r="AT1140" s="2">
        <v>0.8</v>
      </c>
      <c r="AU1140" s="2">
        <v>162</v>
      </c>
      <c r="AV1140" s="2">
        <v>9.1</v>
      </c>
      <c r="AW1140" s="2">
        <v>9.1999999999999993</v>
      </c>
      <c r="AX1140" s="2">
        <v>18.3</v>
      </c>
      <c r="AY1140" s="2">
        <v>0.34</v>
      </c>
      <c r="AZ1140" s="2">
        <v>7.3</v>
      </c>
      <c r="BA1140" s="2">
        <v>0.9</v>
      </c>
      <c r="BB1140" s="2">
        <v>7.5</v>
      </c>
      <c r="BC1140" s="2">
        <v>2.9</v>
      </c>
      <c r="BD1140" s="2">
        <f>+AN1140*EXP(-0.0495*Y1140)</f>
        <v>6.0741256833709798</v>
      </c>
      <c r="BE1140" s="2">
        <f>+AO1140*EXP(-0.024*Y1140)</f>
        <v>18.840104708033557</v>
      </c>
    </row>
    <row r="1141" spans="1:57" x14ac:dyDescent="0.2">
      <c r="A1141" s="2" t="s">
        <v>4460</v>
      </c>
      <c r="B1141" s="2" t="s">
        <v>19</v>
      </c>
      <c r="C1141" s="2" t="s">
        <v>3245</v>
      </c>
      <c r="D1141" s="2" t="s">
        <v>21</v>
      </c>
      <c r="E1141" s="2" t="s">
        <v>257</v>
      </c>
      <c r="F1141" s="2">
        <v>3</v>
      </c>
      <c r="G1141" s="2">
        <v>31</v>
      </c>
      <c r="H1141" s="2">
        <v>1</v>
      </c>
      <c r="I1141" s="2">
        <v>1</v>
      </c>
      <c r="J1141" s="2">
        <v>1</v>
      </c>
      <c r="K1141" s="2" t="s">
        <v>61</v>
      </c>
      <c r="L1141" s="6" t="s">
        <v>62</v>
      </c>
      <c r="M1141" s="5">
        <v>240000000</v>
      </c>
      <c r="N1141" s="2">
        <v>0</v>
      </c>
      <c r="O1141" s="2">
        <v>4.6210193000000004</v>
      </c>
      <c r="P1141" s="2">
        <v>-74.090806799999996</v>
      </c>
      <c r="Q1141" s="2" t="s">
        <v>4461</v>
      </c>
      <c r="R1141" s="2">
        <v>7741935.4840000002</v>
      </c>
      <c r="S1141" s="2">
        <v>0</v>
      </c>
      <c r="T1141" s="2" t="s">
        <v>77</v>
      </c>
      <c r="U1141" s="2" t="s">
        <v>78</v>
      </c>
      <c r="V1141" s="2" t="s">
        <v>28</v>
      </c>
      <c r="W1141" s="2" t="s">
        <v>79</v>
      </c>
      <c r="X1141" s="2" t="s">
        <v>80</v>
      </c>
      <c r="Y1141" s="2">
        <v>2.69005131175023</v>
      </c>
      <c r="Z1141" s="2">
        <v>4.6254861111111101</v>
      </c>
      <c r="AA1141" s="2">
        <v>-74.066980555555503</v>
      </c>
      <c r="AB1141" s="2">
        <v>2621</v>
      </c>
      <c r="AC1141" s="2" t="s">
        <v>31</v>
      </c>
      <c r="AD1141" s="2" t="s">
        <v>32</v>
      </c>
      <c r="AE1141" s="2" t="s">
        <v>33</v>
      </c>
      <c r="AF1141" s="2" t="s">
        <v>34</v>
      </c>
      <c r="AG1141" s="2" t="s">
        <v>239</v>
      </c>
      <c r="AH1141" s="2">
        <v>0.47366863694838102</v>
      </c>
      <c r="AI1141" s="2">
        <v>3.0650703605020402</v>
      </c>
      <c r="AJ1141" s="2">
        <v>1.6633317857083101</v>
      </c>
      <c r="AK1141" s="2">
        <v>0.21274749354120101</v>
      </c>
      <c r="AL1141" s="2">
        <v>0.67133862622526597</v>
      </c>
      <c r="AN1141" s="2">
        <v>6.8</v>
      </c>
      <c r="AO1141" s="2">
        <v>19.899999999999999</v>
      </c>
      <c r="AP1141" s="2">
        <v>564</v>
      </c>
      <c r="AQ1141" s="2">
        <v>68</v>
      </c>
      <c r="AR1141" s="2">
        <v>1.5</v>
      </c>
      <c r="AS1141" s="2">
        <v>135</v>
      </c>
      <c r="AT1141" s="2">
        <v>0.8</v>
      </c>
      <c r="AU1141" s="2">
        <v>162</v>
      </c>
      <c r="AV1141" s="2">
        <v>9.1</v>
      </c>
      <c r="AW1141" s="2">
        <v>9.1999999999999993</v>
      </c>
      <c r="AX1141" s="2">
        <v>18.3</v>
      </c>
      <c r="AY1141" s="2">
        <v>0.34</v>
      </c>
      <c r="AZ1141" s="2">
        <v>7.3</v>
      </c>
      <c r="BA1141" s="2">
        <v>0.9</v>
      </c>
      <c r="BB1141" s="2">
        <v>7.5</v>
      </c>
      <c r="BC1141" s="2">
        <v>2.9</v>
      </c>
      <c r="BD1141" s="2">
        <f>+AN1141*EXP(-0.0495*Y1141)</f>
        <v>5.9522248393778563</v>
      </c>
      <c r="BE1141" s="2">
        <f>+AO1141*EXP(-0.024*Y1141)</f>
        <v>18.655826314947682</v>
      </c>
    </row>
    <row r="1142" spans="1:57" x14ac:dyDescent="0.2">
      <c r="A1142" s="2" t="s">
        <v>3939</v>
      </c>
      <c r="B1142" s="2" t="s">
        <v>19</v>
      </c>
      <c r="C1142" s="2" t="s">
        <v>3245</v>
      </c>
      <c r="D1142" s="2" t="s">
        <v>21</v>
      </c>
      <c r="E1142" s="2" t="s">
        <v>621</v>
      </c>
      <c r="F1142" s="2">
        <v>3</v>
      </c>
      <c r="G1142" s="2">
        <v>31</v>
      </c>
      <c r="H1142" s="2">
        <v>1</v>
      </c>
      <c r="I1142" s="2">
        <v>1</v>
      </c>
      <c r="J1142" s="2">
        <v>0</v>
      </c>
      <c r="K1142" s="2" t="s">
        <v>61</v>
      </c>
      <c r="L1142" s="6" t="s">
        <v>75</v>
      </c>
      <c r="M1142" s="5">
        <v>205000000</v>
      </c>
      <c r="N1142" s="2">
        <v>0</v>
      </c>
      <c r="O1142" s="2">
        <v>4.6435046199999999</v>
      </c>
      <c r="P1142" s="2">
        <v>-74.065963749999995</v>
      </c>
      <c r="Q1142" s="2" t="s">
        <v>3940</v>
      </c>
      <c r="R1142" s="2">
        <v>6612903.2259999998</v>
      </c>
      <c r="S1142" s="2">
        <v>0</v>
      </c>
      <c r="T1142" s="2" t="s">
        <v>77</v>
      </c>
      <c r="U1142" s="2" t="s">
        <v>78</v>
      </c>
      <c r="V1142" s="2" t="s">
        <v>28</v>
      </c>
      <c r="W1142" s="2" t="s">
        <v>79</v>
      </c>
      <c r="X1142" s="2" t="s">
        <v>80</v>
      </c>
      <c r="Y1142" s="2">
        <v>2.0089816085161898</v>
      </c>
      <c r="Z1142" s="2">
        <v>4.6254861111111101</v>
      </c>
      <c r="AA1142" s="2">
        <v>-74.066980555555503</v>
      </c>
      <c r="AB1142" s="2">
        <v>2621</v>
      </c>
      <c r="AC1142" s="2" t="s">
        <v>31</v>
      </c>
      <c r="AD1142" s="2" t="s">
        <v>32</v>
      </c>
      <c r="AE1142" s="2" t="s">
        <v>33</v>
      </c>
      <c r="AF1142" s="2" t="s">
        <v>34</v>
      </c>
      <c r="AG1142" s="2" t="s">
        <v>35</v>
      </c>
      <c r="AH1142" s="2">
        <v>5.9718381335886202E-2</v>
      </c>
      <c r="AI1142" s="2">
        <v>0.975803894622991</v>
      </c>
      <c r="AJ1142" s="2">
        <v>0.14923886348394599</v>
      </c>
      <c r="AK1142" s="2">
        <v>0.103361648629148</v>
      </c>
      <c r="AL1142" s="2">
        <v>0.31309207214416301</v>
      </c>
      <c r="AN1142" s="2">
        <v>6.8</v>
      </c>
      <c r="AO1142" s="2">
        <v>19.899999999999999</v>
      </c>
      <c r="AP1142" s="2">
        <v>564</v>
      </c>
      <c r="AQ1142" s="2">
        <v>68</v>
      </c>
      <c r="AR1142" s="2">
        <v>1.5</v>
      </c>
      <c r="AS1142" s="2">
        <v>135</v>
      </c>
      <c r="AT1142" s="2">
        <v>0.8</v>
      </c>
      <c r="AU1142" s="2">
        <v>162</v>
      </c>
      <c r="AV1142" s="2">
        <v>9.1</v>
      </c>
      <c r="AW1142" s="2">
        <v>9.1999999999999993</v>
      </c>
      <c r="AX1142" s="2">
        <v>18.3</v>
      </c>
      <c r="AY1142" s="2">
        <v>0.34</v>
      </c>
      <c r="AZ1142" s="2">
        <v>7.3</v>
      </c>
      <c r="BA1142" s="2">
        <v>0.9</v>
      </c>
      <c r="BB1142" s="2">
        <v>7.5</v>
      </c>
      <c r="BC1142" s="2">
        <v>2.9</v>
      </c>
      <c r="BD1142" s="2">
        <f>+AN1142*EXP(-0.0495*Y1142)</f>
        <v>6.156312773275749</v>
      </c>
      <c r="BE1142" s="2">
        <f>+AO1142*EXP(-0.024*Y1142)</f>
        <v>18.963274225314915</v>
      </c>
    </row>
    <row r="1143" spans="1:57" x14ac:dyDescent="0.2">
      <c r="A1143" s="2" t="s">
        <v>4417</v>
      </c>
      <c r="B1143" s="2" t="s">
        <v>19</v>
      </c>
      <c r="C1143" s="2" t="s">
        <v>3245</v>
      </c>
      <c r="D1143" s="2" t="s">
        <v>21</v>
      </c>
      <c r="E1143" s="2" t="s">
        <v>621</v>
      </c>
      <c r="F1143" s="2">
        <v>3</v>
      </c>
      <c r="G1143" s="2">
        <v>31</v>
      </c>
      <c r="H1143" s="2">
        <v>1</v>
      </c>
      <c r="I1143" s="2">
        <v>1</v>
      </c>
      <c r="J1143" s="2">
        <v>0</v>
      </c>
      <c r="K1143" s="2" t="s">
        <v>61</v>
      </c>
      <c r="L1143" s="6" t="s">
        <v>75</v>
      </c>
      <c r="M1143" s="5">
        <v>205000000</v>
      </c>
      <c r="N1143" s="2">
        <v>0</v>
      </c>
      <c r="O1143" s="2">
        <v>4.6435046199999999</v>
      </c>
      <c r="P1143" s="2">
        <v>-74.065963749999995</v>
      </c>
      <c r="Q1143" s="2" t="s">
        <v>4418</v>
      </c>
      <c r="R1143" s="2">
        <v>6612903.2259999998</v>
      </c>
      <c r="S1143" s="2">
        <v>0</v>
      </c>
      <c r="T1143" s="2" t="s">
        <v>77</v>
      </c>
      <c r="U1143" s="2" t="s">
        <v>78</v>
      </c>
      <c r="V1143" s="2" t="s">
        <v>28</v>
      </c>
      <c r="W1143" s="2" t="s">
        <v>79</v>
      </c>
      <c r="X1143" s="2" t="s">
        <v>80</v>
      </c>
      <c r="Y1143" s="2">
        <v>2.0089816085161898</v>
      </c>
      <c r="Z1143" s="2">
        <v>4.6254861111111101</v>
      </c>
      <c r="AA1143" s="2">
        <v>-74.066980555555503</v>
      </c>
      <c r="AB1143" s="2">
        <v>2621</v>
      </c>
      <c r="AC1143" s="2" t="s">
        <v>31</v>
      </c>
      <c r="AD1143" s="2" t="s">
        <v>32</v>
      </c>
      <c r="AE1143" s="2" t="s">
        <v>33</v>
      </c>
      <c r="AF1143" s="2" t="s">
        <v>34</v>
      </c>
      <c r="AG1143" s="2" t="s">
        <v>35</v>
      </c>
      <c r="AH1143" s="2">
        <v>5.9718381335886202E-2</v>
      </c>
      <c r="AI1143" s="2">
        <v>0.975803894622991</v>
      </c>
      <c r="AJ1143" s="2">
        <v>0.14923886348394599</v>
      </c>
      <c r="AK1143" s="2">
        <v>0.103361648629148</v>
      </c>
      <c r="AL1143" s="2">
        <v>0.31309207214416301</v>
      </c>
      <c r="AN1143" s="2">
        <v>6.8</v>
      </c>
      <c r="AO1143" s="2">
        <v>19.899999999999999</v>
      </c>
      <c r="AP1143" s="2">
        <v>564</v>
      </c>
      <c r="AQ1143" s="2">
        <v>68</v>
      </c>
      <c r="AR1143" s="2">
        <v>1.5</v>
      </c>
      <c r="AS1143" s="2">
        <v>135</v>
      </c>
      <c r="AT1143" s="2">
        <v>0.8</v>
      </c>
      <c r="AU1143" s="2">
        <v>162</v>
      </c>
      <c r="AV1143" s="2">
        <v>9.1</v>
      </c>
      <c r="AW1143" s="2">
        <v>9.1999999999999993</v>
      </c>
      <c r="AX1143" s="2">
        <v>18.3</v>
      </c>
      <c r="AY1143" s="2">
        <v>0.34</v>
      </c>
      <c r="AZ1143" s="2">
        <v>7.3</v>
      </c>
      <c r="BA1143" s="2">
        <v>0.9</v>
      </c>
      <c r="BB1143" s="2">
        <v>7.5</v>
      </c>
      <c r="BC1143" s="2">
        <v>2.9</v>
      </c>
      <c r="BD1143" s="2">
        <f>+AN1143*EXP(-0.0495*Y1143)</f>
        <v>6.156312773275749</v>
      </c>
      <c r="BE1143" s="2">
        <f>+AO1143*EXP(-0.024*Y1143)</f>
        <v>18.963274225314915</v>
      </c>
    </row>
    <row r="1144" spans="1:57" x14ac:dyDescent="0.2">
      <c r="A1144" s="2" t="s">
        <v>4528</v>
      </c>
      <c r="B1144" s="2" t="s">
        <v>19</v>
      </c>
      <c r="C1144" s="2" t="s">
        <v>3245</v>
      </c>
      <c r="D1144" s="2" t="s">
        <v>21</v>
      </c>
      <c r="E1144" s="2" t="s">
        <v>35</v>
      </c>
      <c r="F1144" s="2">
        <v>3</v>
      </c>
      <c r="G1144" s="2">
        <v>31</v>
      </c>
      <c r="H1144" s="2">
        <v>1</v>
      </c>
      <c r="I1144" s="2">
        <v>1</v>
      </c>
      <c r="J1144" s="2">
        <v>0</v>
      </c>
      <c r="K1144" s="2" t="s">
        <v>61</v>
      </c>
      <c r="L1144" s="6" t="s">
        <v>75</v>
      </c>
      <c r="M1144" s="5">
        <v>204500000</v>
      </c>
      <c r="N1144" s="2">
        <v>0</v>
      </c>
      <c r="O1144" s="2">
        <v>4.6435046</v>
      </c>
      <c r="P1144" s="2">
        <v>-74.065960899999993</v>
      </c>
      <c r="Q1144" s="2" t="s">
        <v>4529</v>
      </c>
      <c r="R1144" s="2">
        <v>6596774.1940000001</v>
      </c>
      <c r="S1144" s="2">
        <v>0</v>
      </c>
      <c r="T1144" s="2" t="s">
        <v>77</v>
      </c>
      <c r="U1144" s="2" t="s">
        <v>78</v>
      </c>
      <c r="V1144" s="2" t="s">
        <v>28</v>
      </c>
      <c r="W1144" s="2" t="s">
        <v>79</v>
      </c>
      <c r="X1144" s="2" t="s">
        <v>80</v>
      </c>
      <c r="Y1144" s="2">
        <v>2.0089971689017698</v>
      </c>
      <c r="Z1144" s="2">
        <v>4.6254861111111101</v>
      </c>
      <c r="AA1144" s="2">
        <v>-74.066980555555503</v>
      </c>
      <c r="AB1144" s="2">
        <v>2621</v>
      </c>
      <c r="AC1144" s="2" t="s">
        <v>31</v>
      </c>
      <c r="AD1144" s="2" t="s">
        <v>32</v>
      </c>
      <c r="AE1144" s="2" t="s">
        <v>33</v>
      </c>
      <c r="AF1144" s="2" t="s">
        <v>34</v>
      </c>
      <c r="AG1144" s="2" t="s">
        <v>35</v>
      </c>
      <c r="AH1144" s="2">
        <v>5.9637515384078903E-2</v>
      </c>
      <c r="AI1144" s="2">
        <v>0.97550235785640704</v>
      </c>
      <c r="AJ1144" s="2">
        <v>0.149365914739581</v>
      </c>
      <c r="AK1144" s="2">
        <v>0.10305359899319599</v>
      </c>
      <c r="AL1144" s="2">
        <v>0.313404422831354</v>
      </c>
      <c r="AN1144" s="2">
        <v>6.8</v>
      </c>
      <c r="AO1144" s="2">
        <v>19.899999999999999</v>
      </c>
      <c r="AP1144" s="2">
        <v>564</v>
      </c>
      <c r="AQ1144" s="2">
        <v>68</v>
      </c>
      <c r="AR1144" s="2">
        <v>1.5</v>
      </c>
      <c r="AS1144" s="2">
        <v>135</v>
      </c>
      <c r="AT1144" s="2">
        <v>0.8</v>
      </c>
      <c r="AU1144" s="2">
        <v>162</v>
      </c>
      <c r="AV1144" s="2">
        <v>9.1</v>
      </c>
      <c r="AW1144" s="2">
        <v>9.1999999999999993</v>
      </c>
      <c r="AX1144" s="2">
        <v>18.3</v>
      </c>
      <c r="AY1144" s="2">
        <v>0.34</v>
      </c>
      <c r="AZ1144" s="2">
        <v>7.3</v>
      </c>
      <c r="BA1144" s="2">
        <v>0.9</v>
      </c>
      <c r="BB1144" s="2">
        <v>7.5</v>
      </c>
      <c r="BC1144" s="2">
        <v>2.9</v>
      </c>
      <c r="BD1144" s="2">
        <f>+AN1144*EXP(-0.0495*Y1144)</f>
        <v>6.1563080314448504</v>
      </c>
      <c r="BE1144" s="2">
        <f>+AO1144*EXP(-0.024*Y1144)</f>
        <v>18.963267143495628</v>
      </c>
    </row>
    <row r="1145" spans="1:57" x14ac:dyDescent="0.2">
      <c r="A1145" s="2" t="s">
        <v>1590</v>
      </c>
      <c r="B1145" s="2" t="s">
        <v>19</v>
      </c>
      <c r="C1145" s="2" t="s">
        <v>20</v>
      </c>
      <c r="D1145" s="2" t="s">
        <v>21</v>
      </c>
      <c r="E1145" s="2" t="s">
        <v>1481</v>
      </c>
      <c r="F1145" s="2">
        <v>3</v>
      </c>
      <c r="G1145" s="2">
        <v>30.97</v>
      </c>
      <c r="H1145" s="2">
        <v>1</v>
      </c>
      <c r="I1145" s="2">
        <v>1</v>
      </c>
      <c r="J1145" s="2">
        <v>0</v>
      </c>
      <c r="K1145" s="2" t="s">
        <v>23</v>
      </c>
      <c r="L1145" s="6" t="s">
        <v>24</v>
      </c>
      <c r="M1145" s="5">
        <v>345636482</v>
      </c>
      <c r="N1145" s="2">
        <v>0</v>
      </c>
      <c r="O1145" s="2">
        <v>4.6218880000000002</v>
      </c>
      <c r="P1145" s="2">
        <v>-74.069320000000005</v>
      </c>
      <c r="Q1145" s="2" t="s">
        <v>1591</v>
      </c>
      <c r="R1145" s="2">
        <v>11160364.289999999</v>
      </c>
      <c r="S1145" s="2">
        <v>0</v>
      </c>
      <c r="T1145" s="2" t="s">
        <v>77</v>
      </c>
      <c r="U1145" s="2" t="s">
        <v>78</v>
      </c>
      <c r="V1145" s="2" t="s">
        <v>28</v>
      </c>
      <c r="W1145" s="2" t="s">
        <v>79</v>
      </c>
      <c r="X1145" s="2" t="s">
        <v>80</v>
      </c>
      <c r="Y1145" s="2">
        <v>0.477297678444431</v>
      </c>
      <c r="Z1145" s="2">
        <v>4.6254861111111101</v>
      </c>
      <c r="AA1145" s="2">
        <v>-74.066980555555503</v>
      </c>
      <c r="AB1145" s="2">
        <v>2621</v>
      </c>
      <c r="AC1145" s="2" t="s">
        <v>31</v>
      </c>
      <c r="AD1145" s="2" t="s">
        <v>32</v>
      </c>
      <c r="AE1145" s="2" t="s">
        <v>33</v>
      </c>
      <c r="AF1145" s="2" t="s">
        <v>34</v>
      </c>
      <c r="AG1145" s="2" t="s">
        <v>89</v>
      </c>
      <c r="AH1145" s="2">
        <v>5.6142650139799702E-2</v>
      </c>
      <c r="AI1145" s="2">
        <v>0.90372310585985105</v>
      </c>
      <c r="AJ1145" s="2">
        <v>0.22218264720956099</v>
      </c>
      <c r="AK1145" s="2">
        <v>4.7684081077489601E-2</v>
      </c>
      <c r="AL1145" s="2">
        <v>0.19304280251591199</v>
      </c>
      <c r="AN1145" s="2">
        <v>6.8</v>
      </c>
      <c r="AO1145" s="2">
        <v>19.899999999999999</v>
      </c>
      <c r="AP1145" s="2">
        <v>564</v>
      </c>
      <c r="AQ1145" s="2">
        <v>68</v>
      </c>
      <c r="AR1145" s="2">
        <v>1.5</v>
      </c>
      <c r="AS1145" s="2">
        <v>135</v>
      </c>
      <c r="AT1145" s="2">
        <v>0.8</v>
      </c>
      <c r="AU1145" s="2">
        <v>162</v>
      </c>
      <c r="AV1145" s="2">
        <v>9.1</v>
      </c>
      <c r="AW1145" s="2">
        <v>9.1999999999999993</v>
      </c>
      <c r="AX1145" s="2">
        <v>18.3</v>
      </c>
      <c r="AY1145" s="2">
        <v>0.34</v>
      </c>
      <c r="AZ1145" s="2">
        <v>7.3</v>
      </c>
      <c r="BA1145" s="2">
        <v>0.9</v>
      </c>
      <c r="BB1145" s="2">
        <v>7.5</v>
      </c>
      <c r="BC1145" s="2">
        <v>2.9</v>
      </c>
      <c r="BD1145" s="2">
        <f>+AN1145*EXP(-0.0495*Y1145)</f>
        <v>6.6412246192899369</v>
      </c>
      <c r="BE1145" s="2">
        <f>+AO1145*EXP(-0.024*Y1145)</f>
        <v>19.673343299868097</v>
      </c>
    </row>
    <row r="1146" spans="1:57" x14ac:dyDescent="0.2">
      <c r="A1146" s="2" t="s">
        <v>3921</v>
      </c>
      <c r="B1146" s="2" t="s">
        <v>19</v>
      </c>
      <c r="C1146" s="2" t="s">
        <v>3245</v>
      </c>
      <c r="D1146" s="2" t="s">
        <v>21</v>
      </c>
      <c r="E1146" s="2" t="s">
        <v>899</v>
      </c>
      <c r="F1146" s="2">
        <v>4</v>
      </c>
      <c r="G1146" s="2">
        <v>30.83</v>
      </c>
      <c r="H1146" s="2">
        <v>1</v>
      </c>
      <c r="I1146" s="2">
        <v>1</v>
      </c>
      <c r="J1146" s="2">
        <v>0</v>
      </c>
      <c r="K1146" s="2" t="s">
        <v>61</v>
      </c>
      <c r="L1146" s="6" t="s">
        <v>62</v>
      </c>
      <c r="M1146" s="5">
        <v>367576000</v>
      </c>
      <c r="N1146" s="2">
        <v>0</v>
      </c>
      <c r="O1146" s="2">
        <v>4.6353600000000004</v>
      </c>
      <c r="P1146" s="2">
        <v>-74.066329999999994</v>
      </c>
      <c r="Q1146" s="2" t="s">
        <v>3922</v>
      </c>
      <c r="R1146" s="2">
        <v>11922672.720000001</v>
      </c>
      <c r="S1146" s="2">
        <v>0</v>
      </c>
      <c r="T1146" s="2" t="s">
        <v>77</v>
      </c>
      <c r="U1146" s="2" t="s">
        <v>78</v>
      </c>
      <c r="V1146" s="2" t="s">
        <v>28</v>
      </c>
      <c r="W1146" s="2" t="s">
        <v>79</v>
      </c>
      <c r="X1146" s="2" t="s">
        <v>80</v>
      </c>
      <c r="Y1146" s="2">
        <v>1.1015239179115</v>
      </c>
      <c r="Z1146" s="2">
        <v>4.6254861111111101</v>
      </c>
      <c r="AA1146" s="2">
        <v>-74.066980555555503</v>
      </c>
      <c r="AB1146" s="2">
        <v>2621</v>
      </c>
      <c r="AC1146" s="2" t="s">
        <v>31</v>
      </c>
      <c r="AD1146" s="2" t="s">
        <v>32</v>
      </c>
      <c r="AE1146" s="2" t="s">
        <v>33</v>
      </c>
      <c r="AF1146" s="2" t="s">
        <v>34</v>
      </c>
      <c r="AG1146" s="2" t="s">
        <v>81</v>
      </c>
      <c r="AH1146" s="2">
        <v>0.248270327741166</v>
      </c>
      <c r="AI1146" s="2">
        <v>0.731600878017301</v>
      </c>
      <c r="AJ1146" s="2">
        <v>0.16345060226298599</v>
      </c>
      <c r="AK1146" s="2">
        <v>4.7015747432402298E-2</v>
      </c>
      <c r="AL1146" s="2">
        <v>0.106999019967031</v>
      </c>
      <c r="AN1146" s="2">
        <v>6.8</v>
      </c>
      <c r="AO1146" s="2">
        <v>19.899999999999999</v>
      </c>
      <c r="AP1146" s="2">
        <v>564</v>
      </c>
      <c r="AQ1146" s="2">
        <v>68</v>
      </c>
      <c r="AR1146" s="2">
        <v>1.5</v>
      </c>
      <c r="AS1146" s="2">
        <v>135</v>
      </c>
      <c r="AT1146" s="2">
        <v>0.8</v>
      </c>
      <c r="AU1146" s="2">
        <v>162</v>
      </c>
      <c r="AV1146" s="2">
        <v>9.1</v>
      </c>
      <c r="AW1146" s="2">
        <v>9.1999999999999993</v>
      </c>
      <c r="AX1146" s="2">
        <v>18.3</v>
      </c>
      <c r="AY1146" s="2">
        <v>0.34</v>
      </c>
      <c r="AZ1146" s="2">
        <v>7.3</v>
      </c>
      <c r="BA1146" s="2">
        <v>0.9</v>
      </c>
      <c r="BB1146" s="2">
        <v>7.5</v>
      </c>
      <c r="BC1146" s="2">
        <v>2.9</v>
      </c>
      <c r="BD1146" s="2">
        <f>+AN1146*EXP(-0.0495*Y1146)</f>
        <v>6.4391540851136133</v>
      </c>
      <c r="BE1146" s="2">
        <f>+AO1146*EXP(-0.024*Y1146)</f>
        <v>19.38080527972155</v>
      </c>
    </row>
    <row r="1147" spans="1:57" x14ac:dyDescent="0.2">
      <c r="A1147" s="2" t="s">
        <v>3593</v>
      </c>
      <c r="B1147" s="2" t="s">
        <v>19</v>
      </c>
      <c r="C1147" s="2" t="s">
        <v>3245</v>
      </c>
      <c r="D1147" s="2" t="s">
        <v>21</v>
      </c>
      <c r="E1147" s="2" t="s">
        <v>899</v>
      </c>
      <c r="F1147" s="2">
        <v>4</v>
      </c>
      <c r="G1147" s="2">
        <v>30.83</v>
      </c>
      <c r="H1147" s="2">
        <v>1</v>
      </c>
      <c r="I1147" s="2">
        <v>1</v>
      </c>
      <c r="J1147" s="2">
        <v>0</v>
      </c>
      <c r="K1147" s="2" t="s">
        <v>61</v>
      </c>
      <c r="L1147" s="6" t="s">
        <v>62</v>
      </c>
      <c r="M1147" s="5">
        <v>352873000</v>
      </c>
      <c r="N1147" s="2">
        <v>0</v>
      </c>
      <c r="O1147" s="2">
        <v>4.6353600000000004</v>
      </c>
      <c r="P1147" s="2">
        <v>-74.066329999999994</v>
      </c>
      <c r="Q1147" s="2" t="s">
        <v>3594</v>
      </c>
      <c r="R1147" s="2">
        <v>11445767.109999999</v>
      </c>
      <c r="S1147" s="2">
        <v>0</v>
      </c>
      <c r="T1147" s="2" t="s">
        <v>77</v>
      </c>
      <c r="U1147" s="2" t="s">
        <v>78</v>
      </c>
      <c r="V1147" s="2" t="s">
        <v>28</v>
      </c>
      <c r="W1147" s="2" t="s">
        <v>79</v>
      </c>
      <c r="X1147" s="2" t="s">
        <v>80</v>
      </c>
      <c r="Y1147" s="2">
        <v>1.1015239179115</v>
      </c>
      <c r="Z1147" s="2">
        <v>4.6254861111111101</v>
      </c>
      <c r="AA1147" s="2">
        <v>-74.066980555555503</v>
      </c>
      <c r="AB1147" s="2">
        <v>2621</v>
      </c>
      <c r="AC1147" s="2" t="s">
        <v>31</v>
      </c>
      <c r="AD1147" s="2" t="s">
        <v>32</v>
      </c>
      <c r="AE1147" s="2" t="s">
        <v>33</v>
      </c>
      <c r="AF1147" s="2" t="s">
        <v>34</v>
      </c>
      <c r="AG1147" s="2" t="s">
        <v>81</v>
      </c>
      <c r="AH1147" s="2">
        <v>0.248270327741166</v>
      </c>
      <c r="AI1147" s="2">
        <v>0.731600878017301</v>
      </c>
      <c r="AJ1147" s="2">
        <v>0.16345060226298599</v>
      </c>
      <c r="AK1147" s="2">
        <v>4.7015747432402298E-2</v>
      </c>
      <c r="AL1147" s="2">
        <v>0.106999019967031</v>
      </c>
      <c r="AN1147" s="2">
        <v>6.8</v>
      </c>
      <c r="AO1147" s="2">
        <v>19.899999999999999</v>
      </c>
      <c r="AP1147" s="2">
        <v>564</v>
      </c>
      <c r="AQ1147" s="2">
        <v>68</v>
      </c>
      <c r="AR1147" s="2">
        <v>1.5</v>
      </c>
      <c r="AS1147" s="2">
        <v>135</v>
      </c>
      <c r="AT1147" s="2">
        <v>0.8</v>
      </c>
      <c r="AU1147" s="2">
        <v>162</v>
      </c>
      <c r="AV1147" s="2">
        <v>9.1</v>
      </c>
      <c r="AW1147" s="2">
        <v>9.1999999999999993</v>
      </c>
      <c r="AX1147" s="2">
        <v>18.3</v>
      </c>
      <c r="AY1147" s="2">
        <v>0.34</v>
      </c>
      <c r="AZ1147" s="2">
        <v>7.3</v>
      </c>
      <c r="BA1147" s="2">
        <v>0.9</v>
      </c>
      <c r="BB1147" s="2">
        <v>7.5</v>
      </c>
      <c r="BC1147" s="2">
        <v>2.9</v>
      </c>
      <c r="BD1147" s="2">
        <f>+AN1147*EXP(-0.0495*Y1147)</f>
        <v>6.4391540851136133</v>
      </c>
      <c r="BE1147" s="2">
        <f>+AO1147*EXP(-0.024*Y1147)</f>
        <v>19.38080527972155</v>
      </c>
    </row>
    <row r="1148" spans="1:57" x14ac:dyDescent="0.2">
      <c r="A1148" s="2" t="s">
        <v>3575</v>
      </c>
      <c r="B1148" s="2" t="s">
        <v>19</v>
      </c>
      <c r="C1148" s="2" t="s">
        <v>3245</v>
      </c>
      <c r="D1148" s="2" t="s">
        <v>21</v>
      </c>
      <c r="E1148" s="2" t="s">
        <v>3576</v>
      </c>
      <c r="F1148" s="2">
        <v>3</v>
      </c>
      <c r="G1148" s="2">
        <v>30.62</v>
      </c>
      <c r="H1148" s="2">
        <v>1</v>
      </c>
      <c r="I1148" s="2">
        <v>1</v>
      </c>
      <c r="J1148" s="2">
        <v>0</v>
      </c>
      <c r="K1148" s="2" t="s">
        <v>61</v>
      </c>
      <c r="L1148" s="6" t="s">
        <v>62</v>
      </c>
      <c r="M1148" s="5">
        <v>210000000</v>
      </c>
      <c r="N1148" s="2">
        <v>0</v>
      </c>
      <c r="O1148" s="2">
        <v>4.5882955000000001</v>
      </c>
      <c r="P1148" s="2">
        <v>-74.124579999999995</v>
      </c>
      <c r="Q1148" s="2" t="s">
        <v>3577</v>
      </c>
      <c r="R1148" s="2">
        <v>6858262.5729999999</v>
      </c>
      <c r="S1148" s="2">
        <v>0</v>
      </c>
      <c r="T1148" s="2" t="s">
        <v>1794</v>
      </c>
      <c r="U1148" s="2" t="s">
        <v>1795</v>
      </c>
      <c r="V1148" s="2" t="s">
        <v>28</v>
      </c>
      <c r="W1148" s="2" t="s">
        <v>1796</v>
      </c>
      <c r="X1148" s="2" t="s">
        <v>1797</v>
      </c>
      <c r="Y1148" s="2">
        <v>1.5185433069285099</v>
      </c>
      <c r="Z1148" s="2">
        <v>4.576225</v>
      </c>
      <c r="AA1148" s="2">
        <v>-74.130955555555502</v>
      </c>
      <c r="AB1148" s="2">
        <v>2589</v>
      </c>
      <c r="AC1148" s="2" t="s">
        <v>31</v>
      </c>
      <c r="AD1148" s="2" t="s">
        <v>58</v>
      </c>
      <c r="AE1148" s="2" t="s">
        <v>33</v>
      </c>
      <c r="AF1148" s="2" t="s">
        <v>34</v>
      </c>
      <c r="AG1148" s="2" t="s">
        <v>1798</v>
      </c>
      <c r="AH1148" s="2">
        <v>0.616197145556173</v>
      </c>
      <c r="AI1148" s="2">
        <v>5.6876877128475698</v>
      </c>
      <c r="AJ1148" s="2">
        <v>0.75526067598862301</v>
      </c>
      <c r="AK1148" s="2">
        <v>0.231431261696422</v>
      </c>
      <c r="AL1148" s="2">
        <v>0.23573997558851201</v>
      </c>
      <c r="AN1148" s="2">
        <v>6.8</v>
      </c>
      <c r="AO1148" s="2">
        <v>19.899999999999999</v>
      </c>
      <c r="AP1148" s="2">
        <v>564</v>
      </c>
      <c r="AQ1148" s="2">
        <v>68</v>
      </c>
      <c r="AR1148" s="2">
        <v>1.5</v>
      </c>
      <c r="AS1148" s="2">
        <v>135</v>
      </c>
      <c r="AT1148" s="2">
        <v>0.8</v>
      </c>
      <c r="AU1148" s="2">
        <v>162</v>
      </c>
      <c r="AV1148" s="2">
        <v>9.1</v>
      </c>
      <c r="AW1148" s="2">
        <v>9.1999999999999993</v>
      </c>
      <c r="AX1148" s="2">
        <v>18.3</v>
      </c>
      <c r="AY1148" s="2">
        <v>0.34</v>
      </c>
      <c r="AZ1148" s="2">
        <v>7.3</v>
      </c>
      <c r="BA1148" s="2">
        <v>0.9</v>
      </c>
      <c r="BB1148" s="2">
        <v>7.5</v>
      </c>
      <c r="BC1148" s="2">
        <v>2.9</v>
      </c>
      <c r="BD1148" s="2">
        <f>+AN1148*EXP(-0.0495*Y1148)</f>
        <v>6.3075966124400233</v>
      </c>
      <c r="BE1148" s="2">
        <f>+AO1148*EXP(-0.024*Y1148)</f>
        <v>19.187800613238672</v>
      </c>
    </row>
    <row r="1149" spans="1:57" x14ac:dyDescent="0.2">
      <c r="A1149" s="2" t="s">
        <v>3487</v>
      </c>
      <c r="B1149" s="2" t="s">
        <v>19</v>
      </c>
      <c r="C1149" s="2" t="s">
        <v>3245</v>
      </c>
      <c r="D1149" s="2" t="s">
        <v>21</v>
      </c>
      <c r="E1149" s="2" t="s">
        <v>81</v>
      </c>
      <c r="F1149" s="2">
        <v>4</v>
      </c>
      <c r="G1149" s="2">
        <v>30.2</v>
      </c>
      <c r="H1149" s="2">
        <v>1</v>
      </c>
      <c r="I1149" s="2">
        <v>1</v>
      </c>
      <c r="J1149" s="2">
        <v>0</v>
      </c>
      <c r="K1149" s="2" t="s">
        <v>61</v>
      </c>
      <c r="L1149" s="6" t="s">
        <v>62</v>
      </c>
      <c r="M1149" s="5">
        <v>275000000</v>
      </c>
      <c r="N1149" s="2">
        <v>0</v>
      </c>
      <c r="O1149" s="2">
        <v>4.6444099999999997</v>
      </c>
      <c r="P1149" s="2">
        <v>-74.054789999999997</v>
      </c>
      <c r="Q1149" s="2" t="s">
        <v>3488</v>
      </c>
      <c r="R1149" s="2">
        <v>9105960.2650000006</v>
      </c>
      <c r="S1149" s="2">
        <v>0</v>
      </c>
      <c r="T1149" s="2" t="s">
        <v>77</v>
      </c>
      <c r="U1149" s="2" t="s">
        <v>78</v>
      </c>
      <c r="V1149" s="2" t="s">
        <v>28</v>
      </c>
      <c r="W1149" s="2" t="s">
        <v>79</v>
      </c>
      <c r="X1149" s="2" t="s">
        <v>80</v>
      </c>
      <c r="Y1149" s="2">
        <v>2.5034583567811999</v>
      </c>
      <c r="Z1149" s="2">
        <v>4.6254861111111101</v>
      </c>
      <c r="AA1149" s="2">
        <v>-74.066980555555503</v>
      </c>
      <c r="AB1149" s="2">
        <v>2621</v>
      </c>
      <c r="AC1149" s="2" t="s">
        <v>31</v>
      </c>
      <c r="AD1149" s="2" t="s">
        <v>32</v>
      </c>
      <c r="AE1149" s="2" t="s">
        <v>33</v>
      </c>
      <c r="AF1149" s="2" t="s">
        <v>34</v>
      </c>
      <c r="AG1149" s="2" t="s">
        <v>81</v>
      </c>
      <c r="AH1149" s="2">
        <v>1.2017817000808899</v>
      </c>
      <c r="AI1149" s="2">
        <v>0.15041522717057601</v>
      </c>
      <c r="AJ1149" s="2">
        <v>0.58559663119874805</v>
      </c>
      <c r="AK1149" s="2">
        <v>0.252845426258689</v>
      </c>
      <c r="AL1149" s="2">
        <v>0.33080019019658502</v>
      </c>
      <c r="AN1149" s="2">
        <v>6.8</v>
      </c>
      <c r="AO1149" s="2">
        <v>19.899999999999999</v>
      </c>
      <c r="AP1149" s="2">
        <v>564</v>
      </c>
      <c r="AQ1149" s="2">
        <v>68</v>
      </c>
      <c r="AR1149" s="2">
        <v>1.5</v>
      </c>
      <c r="AS1149" s="2">
        <v>135</v>
      </c>
      <c r="AT1149" s="2">
        <v>0.8</v>
      </c>
      <c r="AU1149" s="2">
        <v>162</v>
      </c>
      <c r="AV1149" s="2">
        <v>9.1</v>
      </c>
      <c r="AW1149" s="2">
        <v>9.1999999999999993</v>
      </c>
      <c r="AX1149" s="2">
        <v>18.3</v>
      </c>
      <c r="AY1149" s="2">
        <v>0.34</v>
      </c>
      <c r="AZ1149" s="2">
        <v>7.3</v>
      </c>
      <c r="BA1149" s="2">
        <v>0.9</v>
      </c>
      <c r="BB1149" s="2">
        <v>7.5</v>
      </c>
      <c r="BC1149" s="2">
        <v>2.9</v>
      </c>
      <c r="BD1149" s="2">
        <f>+AN1149*EXP(-0.0495*Y1149)</f>
        <v>6.0074563550276681</v>
      </c>
      <c r="BE1149" s="2">
        <f>+AO1149*EXP(-0.024*Y1149)</f>
        <v>18.739558759852745</v>
      </c>
    </row>
    <row r="1150" spans="1:57" x14ac:dyDescent="0.2">
      <c r="A1150" s="2" t="s">
        <v>1700</v>
      </c>
      <c r="B1150" s="2" t="s">
        <v>19</v>
      </c>
      <c r="C1150" s="2" t="s">
        <v>20</v>
      </c>
      <c r="D1150" s="2" t="s">
        <v>21</v>
      </c>
      <c r="E1150" s="2" t="s">
        <v>1481</v>
      </c>
      <c r="F1150" s="2">
        <v>3</v>
      </c>
      <c r="G1150" s="2">
        <v>30.1</v>
      </c>
      <c r="H1150" s="2">
        <v>1</v>
      </c>
      <c r="I1150" s="2">
        <v>1</v>
      </c>
      <c r="J1150" s="2">
        <v>0</v>
      </c>
      <c r="K1150" s="2" t="s">
        <v>23</v>
      </c>
      <c r="L1150" s="6" t="s">
        <v>24</v>
      </c>
      <c r="M1150" s="5">
        <v>338167367</v>
      </c>
      <c r="N1150" s="2">
        <v>0</v>
      </c>
      <c r="O1150" s="2">
        <v>4.6218880000000002</v>
      </c>
      <c r="P1150" s="2">
        <v>-74.069320000000005</v>
      </c>
      <c r="Q1150" s="2" t="s">
        <v>1701</v>
      </c>
      <c r="R1150" s="2">
        <v>11234796.25</v>
      </c>
      <c r="S1150" s="2">
        <v>0</v>
      </c>
      <c r="T1150" s="2" t="s">
        <v>77</v>
      </c>
      <c r="U1150" s="2" t="s">
        <v>78</v>
      </c>
      <c r="V1150" s="2" t="s">
        <v>28</v>
      </c>
      <c r="W1150" s="2" t="s">
        <v>79</v>
      </c>
      <c r="X1150" s="2" t="s">
        <v>80</v>
      </c>
      <c r="Y1150" s="2">
        <v>0.477297678444431</v>
      </c>
      <c r="Z1150" s="2">
        <v>4.6254861111111101</v>
      </c>
      <c r="AA1150" s="2">
        <v>-74.066980555555503</v>
      </c>
      <c r="AB1150" s="2">
        <v>2621</v>
      </c>
      <c r="AC1150" s="2" t="s">
        <v>31</v>
      </c>
      <c r="AD1150" s="2" t="s">
        <v>32</v>
      </c>
      <c r="AE1150" s="2" t="s">
        <v>33</v>
      </c>
      <c r="AF1150" s="2" t="s">
        <v>34</v>
      </c>
      <c r="AG1150" s="2" t="s">
        <v>89</v>
      </c>
      <c r="AH1150" s="2">
        <v>5.6142650139799702E-2</v>
      </c>
      <c r="AI1150" s="2">
        <v>0.90372310585985105</v>
      </c>
      <c r="AJ1150" s="2">
        <v>0.22218264720956099</v>
      </c>
      <c r="AK1150" s="2">
        <v>4.7684081077489601E-2</v>
      </c>
      <c r="AL1150" s="2">
        <v>0.19304280251591199</v>
      </c>
      <c r="AN1150" s="2">
        <v>6.8</v>
      </c>
      <c r="AO1150" s="2">
        <v>19.899999999999999</v>
      </c>
      <c r="AP1150" s="2">
        <v>564</v>
      </c>
      <c r="AQ1150" s="2">
        <v>68</v>
      </c>
      <c r="AR1150" s="2">
        <v>1.5</v>
      </c>
      <c r="AS1150" s="2">
        <v>135</v>
      </c>
      <c r="AT1150" s="2">
        <v>0.8</v>
      </c>
      <c r="AU1150" s="2">
        <v>162</v>
      </c>
      <c r="AV1150" s="2">
        <v>9.1</v>
      </c>
      <c r="AW1150" s="2">
        <v>9.1999999999999993</v>
      </c>
      <c r="AX1150" s="2">
        <v>18.3</v>
      </c>
      <c r="AY1150" s="2">
        <v>0.34</v>
      </c>
      <c r="AZ1150" s="2">
        <v>7.3</v>
      </c>
      <c r="BA1150" s="2">
        <v>0.9</v>
      </c>
      <c r="BB1150" s="2">
        <v>7.5</v>
      </c>
      <c r="BC1150" s="2">
        <v>2.9</v>
      </c>
      <c r="BD1150" s="2">
        <f>+AN1150*EXP(-0.0495*Y1150)</f>
        <v>6.6412246192899369</v>
      </c>
      <c r="BE1150" s="2">
        <f>+AO1150*EXP(-0.024*Y1150)</f>
        <v>19.673343299868097</v>
      </c>
    </row>
    <row r="1151" spans="1:57" x14ac:dyDescent="0.2">
      <c r="A1151" s="2" t="s">
        <v>3714</v>
      </c>
      <c r="B1151" s="2" t="s">
        <v>19</v>
      </c>
      <c r="C1151" s="2" t="s">
        <v>3245</v>
      </c>
      <c r="D1151" s="2" t="s">
        <v>21</v>
      </c>
      <c r="E1151" s="2" t="s">
        <v>578</v>
      </c>
      <c r="F1151" s="2">
        <v>3</v>
      </c>
      <c r="G1151" s="2">
        <v>30</v>
      </c>
      <c r="H1151" s="2">
        <v>2</v>
      </c>
      <c r="I1151" s="2">
        <v>1</v>
      </c>
      <c r="J1151" s="2">
        <v>0</v>
      </c>
      <c r="K1151" s="2" t="s">
        <v>61</v>
      </c>
      <c r="L1151" s="6" t="s">
        <v>84</v>
      </c>
      <c r="M1151" s="5">
        <v>207000000</v>
      </c>
      <c r="N1151" s="2">
        <v>0</v>
      </c>
      <c r="O1151" s="2">
        <v>4.7242665290000003</v>
      </c>
      <c r="P1151" s="2">
        <v>-74.136634830000006</v>
      </c>
      <c r="Q1151" s="2" t="s">
        <v>3715</v>
      </c>
      <c r="R1151" s="2">
        <v>6900000</v>
      </c>
      <c r="S1151" s="2">
        <v>0</v>
      </c>
      <c r="T1151" s="2" t="s">
        <v>370</v>
      </c>
      <c r="U1151" s="2" t="s">
        <v>371</v>
      </c>
      <c r="V1151" s="2" t="s">
        <v>28</v>
      </c>
      <c r="W1151" s="2" t="s">
        <v>29</v>
      </c>
      <c r="X1151" s="2" t="s">
        <v>372</v>
      </c>
      <c r="Y1151" s="2">
        <v>1.7524925789574299</v>
      </c>
      <c r="Z1151" s="2">
        <v>4.7358055555555598</v>
      </c>
      <c r="AA1151" s="2">
        <v>-74.125888888888895</v>
      </c>
      <c r="AB1151" s="2">
        <v>2574</v>
      </c>
      <c r="AC1151" s="2" t="s">
        <v>105</v>
      </c>
      <c r="AD1151" s="2" t="s">
        <v>58</v>
      </c>
      <c r="AE1151" s="2" t="s">
        <v>33</v>
      </c>
      <c r="AF1151" s="2" t="s">
        <v>34</v>
      </c>
      <c r="AG1151" s="2" t="s">
        <v>363</v>
      </c>
      <c r="AH1151" s="2">
        <v>3.3073623583344101</v>
      </c>
      <c r="AI1151" s="2">
        <v>0.110341110390017</v>
      </c>
      <c r="AJ1151" s="2">
        <v>4.6835955212587903</v>
      </c>
      <c r="AK1151" s="2">
        <v>1.0768637000122101</v>
      </c>
      <c r="AL1151" s="2">
        <v>0.14174153864396499</v>
      </c>
      <c r="AN1151" s="2">
        <v>6.8</v>
      </c>
      <c r="AO1151" s="2">
        <v>19.899999999999999</v>
      </c>
      <c r="AP1151" s="2">
        <v>564</v>
      </c>
      <c r="AQ1151" s="2">
        <v>68</v>
      </c>
      <c r="AR1151" s="2">
        <v>1.5</v>
      </c>
      <c r="AS1151" s="2">
        <v>135</v>
      </c>
      <c r="AT1151" s="2">
        <v>0.8</v>
      </c>
      <c r="AU1151" s="2">
        <v>162</v>
      </c>
      <c r="AV1151" s="2">
        <v>9.1</v>
      </c>
      <c r="AW1151" s="2">
        <v>9.1999999999999993</v>
      </c>
      <c r="AX1151" s="2">
        <v>18.3</v>
      </c>
      <c r="AY1151" s="2">
        <v>0.34</v>
      </c>
      <c r="AZ1151" s="2">
        <v>7.3</v>
      </c>
      <c r="BA1151" s="2">
        <v>0.9</v>
      </c>
      <c r="BB1151" s="2">
        <v>7.5</v>
      </c>
      <c r="BC1151" s="2">
        <v>2.9</v>
      </c>
      <c r="BD1151" s="2">
        <f>+AN1151*EXP(-0.0495*Y1151)</f>
        <v>6.2349728802510329</v>
      </c>
      <c r="BE1151" s="2">
        <f>+AO1151*EXP(-0.024*Y1151)</f>
        <v>19.080367175529371</v>
      </c>
    </row>
    <row r="1152" spans="1:57" x14ac:dyDescent="0.2">
      <c r="A1152" s="2" t="s">
        <v>4470</v>
      </c>
      <c r="B1152" s="2" t="s">
        <v>19</v>
      </c>
      <c r="C1152" s="2" t="s">
        <v>3245</v>
      </c>
      <c r="D1152" s="2" t="s">
        <v>21</v>
      </c>
      <c r="E1152" s="2" t="s">
        <v>87</v>
      </c>
      <c r="F1152" s="2">
        <v>3</v>
      </c>
      <c r="G1152" s="2">
        <v>30</v>
      </c>
      <c r="H1152" s="2">
        <v>1</v>
      </c>
      <c r="I1152" s="2">
        <v>1</v>
      </c>
      <c r="J1152" s="2">
        <v>0</v>
      </c>
      <c r="K1152" s="2" t="s">
        <v>61</v>
      </c>
      <c r="L1152" s="6" t="s">
        <v>62</v>
      </c>
      <c r="M1152" s="5">
        <v>330000000</v>
      </c>
      <c r="N1152" s="2">
        <v>0</v>
      </c>
      <c r="O1152" s="2">
        <v>4.621835709</v>
      </c>
      <c r="P1152" s="2">
        <v>-74.069320680000004</v>
      </c>
      <c r="Q1152" s="2" t="s">
        <v>4471</v>
      </c>
      <c r="R1152" s="2">
        <v>11000000</v>
      </c>
      <c r="S1152" s="2">
        <v>0</v>
      </c>
      <c r="T1152" s="2" t="s">
        <v>77</v>
      </c>
      <c r="U1152" s="2" t="s">
        <v>78</v>
      </c>
      <c r="V1152" s="2" t="s">
        <v>28</v>
      </c>
      <c r="W1152" s="2" t="s">
        <v>79</v>
      </c>
      <c r="X1152" s="2" t="s">
        <v>80</v>
      </c>
      <c r="Y1152" s="2">
        <v>0.48223358546770301</v>
      </c>
      <c r="Z1152" s="2">
        <v>4.6254861111111101</v>
      </c>
      <c r="AA1152" s="2">
        <v>-74.066980555555503</v>
      </c>
      <c r="AB1152" s="2">
        <v>2621</v>
      </c>
      <c r="AC1152" s="2" t="s">
        <v>31</v>
      </c>
      <c r="AD1152" s="2" t="s">
        <v>32</v>
      </c>
      <c r="AE1152" s="2" t="s">
        <v>33</v>
      </c>
      <c r="AF1152" s="2" t="s">
        <v>34</v>
      </c>
      <c r="AG1152" s="2" t="s">
        <v>89</v>
      </c>
      <c r="AH1152" s="2">
        <v>5.2721842452662801E-2</v>
      </c>
      <c r="AI1152" s="2">
        <v>0.90329993622719795</v>
      </c>
      <c r="AJ1152" s="2">
        <v>0.226179852982476</v>
      </c>
      <c r="AK1152" s="2">
        <v>4.3319566646475703E-2</v>
      </c>
      <c r="AL1152" s="2">
        <v>0.18836316657674701</v>
      </c>
      <c r="AN1152" s="2">
        <v>6.8</v>
      </c>
      <c r="AO1152" s="2">
        <v>19.899999999999999</v>
      </c>
      <c r="AP1152" s="2">
        <v>564</v>
      </c>
      <c r="AQ1152" s="2">
        <v>68</v>
      </c>
      <c r="AR1152" s="2">
        <v>1.5</v>
      </c>
      <c r="AS1152" s="2">
        <v>135</v>
      </c>
      <c r="AT1152" s="2">
        <v>0.8</v>
      </c>
      <c r="AU1152" s="2">
        <v>162</v>
      </c>
      <c r="AV1152" s="2">
        <v>9.1</v>
      </c>
      <c r="AW1152" s="2">
        <v>9.1999999999999993</v>
      </c>
      <c r="AX1152" s="2">
        <v>18.3</v>
      </c>
      <c r="AY1152" s="2">
        <v>0.34</v>
      </c>
      <c r="AZ1152" s="2">
        <v>7.3</v>
      </c>
      <c r="BA1152" s="2">
        <v>0.9</v>
      </c>
      <c r="BB1152" s="2">
        <v>7.5</v>
      </c>
      <c r="BC1152" s="2">
        <v>2.9</v>
      </c>
      <c r="BD1152" s="2">
        <f>+AN1152*EXP(-0.0495*Y1152)</f>
        <v>6.6396021843722055</v>
      </c>
      <c r="BE1152" s="2">
        <f>+AO1152*EXP(-0.024*Y1152)</f>
        <v>19.671012898861775</v>
      </c>
    </row>
    <row r="1153" spans="1:57" x14ac:dyDescent="0.2">
      <c r="A1153" s="2" t="s">
        <v>3411</v>
      </c>
      <c r="B1153" s="2" t="s">
        <v>19</v>
      </c>
      <c r="C1153" s="2" t="s">
        <v>3245</v>
      </c>
      <c r="D1153" s="2" t="s">
        <v>21</v>
      </c>
      <c r="E1153" s="2" t="s">
        <v>2472</v>
      </c>
      <c r="F1153" s="2">
        <v>4</v>
      </c>
      <c r="G1153" s="2">
        <v>30</v>
      </c>
      <c r="H1153" s="2">
        <v>1</v>
      </c>
      <c r="I1153" s="2">
        <v>1</v>
      </c>
      <c r="J1153" s="2">
        <v>0</v>
      </c>
      <c r="K1153" s="2" t="s">
        <v>61</v>
      </c>
      <c r="L1153" s="6" t="s">
        <v>62</v>
      </c>
      <c r="M1153" s="5">
        <v>310000000</v>
      </c>
      <c r="N1153" s="2">
        <v>0</v>
      </c>
      <c r="O1153" s="2">
        <v>4.6771500000000001</v>
      </c>
      <c r="P1153" s="2">
        <v>-74.060209999999998</v>
      </c>
      <c r="Q1153" s="2" t="s">
        <v>3412</v>
      </c>
      <c r="R1153" s="2">
        <v>10333333.33</v>
      </c>
      <c r="S1153" s="2">
        <v>0</v>
      </c>
      <c r="T1153" s="2" t="s">
        <v>26</v>
      </c>
      <c r="U1153" s="2" t="s">
        <v>27</v>
      </c>
      <c r="V1153" s="2" t="s">
        <v>28</v>
      </c>
      <c r="W1153" s="2" t="s">
        <v>29</v>
      </c>
      <c r="X1153" s="2" t="s">
        <v>30</v>
      </c>
      <c r="Y1153" s="2">
        <v>3.35754895549637</v>
      </c>
      <c r="Z1153" s="2">
        <v>4.6584666666666701</v>
      </c>
      <c r="AA1153" s="2">
        <v>-74.083966666666697</v>
      </c>
      <c r="AB1153" s="2">
        <v>2552</v>
      </c>
      <c r="AC1153" s="2" t="s">
        <v>31</v>
      </c>
      <c r="AD1153" s="2" t="s">
        <v>32</v>
      </c>
      <c r="AE1153" s="2" t="s">
        <v>33</v>
      </c>
      <c r="AF1153" s="2" t="s">
        <v>34</v>
      </c>
      <c r="AG1153" s="2" t="s">
        <v>293</v>
      </c>
      <c r="AH1153" s="2">
        <v>0.18343993801799599</v>
      </c>
      <c r="AI1153" s="2">
        <v>2.12071390569852</v>
      </c>
      <c r="AJ1153" s="2">
        <v>0.26935233367577999</v>
      </c>
      <c r="AK1153" s="2">
        <v>3.8144404175971099E-2</v>
      </c>
      <c r="AL1153" s="2">
        <v>0.37353912656826499</v>
      </c>
      <c r="AN1153" s="2">
        <v>6.8</v>
      </c>
      <c r="AO1153" s="2">
        <v>19.899999999999999</v>
      </c>
      <c r="AP1153" s="2">
        <v>564</v>
      </c>
      <c r="AQ1153" s="2">
        <v>68</v>
      </c>
      <c r="AR1153" s="2">
        <v>1.5</v>
      </c>
      <c r="AS1153" s="2">
        <v>135</v>
      </c>
      <c r="AT1153" s="2">
        <v>0.8</v>
      </c>
      <c r="AU1153" s="2">
        <v>162</v>
      </c>
      <c r="AV1153" s="2">
        <v>9.1</v>
      </c>
      <c r="AW1153" s="2">
        <v>9.1999999999999993</v>
      </c>
      <c r="AX1153" s="2">
        <v>18.3</v>
      </c>
      <c r="AY1153" s="2">
        <v>0.34</v>
      </c>
      <c r="AZ1153" s="2">
        <v>7.3</v>
      </c>
      <c r="BA1153" s="2">
        <v>0.9</v>
      </c>
      <c r="BB1153" s="2">
        <v>7.5</v>
      </c>
      <c r="BC1153" s="2">
        <v>2.9</v>
      </c>
      <c r="BD1153" s="2">
        <f>+AN1153*EXP(-0.0495*Y1153)</f>
        <v>5.7587701649722094</v>
      </c>
      <c r="BE1153" s="2">
        <f>+AO1153*EXP(-0.024*Y1153)</f>
        <v>18.359342202473623</v>
      </c>
    </row>
    <row r="1154" spans="1:57" x14ac:dyDescent="0.2">
      <c r="A1154" s="2" t="s">
        <v>4315</v>
      </c>
      <c r="B1154" s="2" t="s">
        <v>19</v>
      </c>
      <c r="C1154" s="2" t="s">
        <v>3245</v>
      </c>
      <c r="D1154" s="2" t="s">
        <v>21</v>
      </c>
      <c r="E1154" s="2" t="s">
        <v>24</v>
      </c>
      <c r="F1154" s="2">
        <v>4</v>
      </c>
      <c r="G1154" s="2">
        <v>30</v>
      </c>
      <c r="H1154" s="2">
        <v>1</v>
      </c>
      <c r="I1154" s="2">
        <v>1</v>
      </c>
      <c r="J1154" s="2">
        <v>1</v>
      </c>
      <c r="K1154" s="2" t="s">
        <v>61</v>
      </c>
      <c r="L1154" s="6" t="s">
        <v>84</v>
      </c>
      <c r="M1154" s="5">
        <v>280000000</v>
      </c>
      <c r="N1154" s="2">
        <v>0</v>
      </c>
      <c r="O1154" s="2">
        <v>4.6459608079999999</v>
      </c>
      <c r="P1154" s="2">
        <v>-74.067749019999994</v>
      </c>
      <c r="Q1154" s="2" t="s">
        <v>4316</v>
      </c>
      <c r="R1154" s="2">
        <v>9333333.3330000006</v>
      </c>
      <c r="S1154" s="2">
        <v>0</v>
      </c>
      <c r="T1154" s="2" t="s">
        <v>26</v>
      </c>
      <c r="U1154" s="2" t="s">
        <v>27</v>
      </c>
      <c r="V1154" s="2" t="s">
        <v>28</v>
      </c>
      <c r="W1154" s="2" t="s">
        <v>29</v>
      </c>
      <c r="X1154" s="2" t="s">
        <v>30</v>
      </c>
      <c r="Y1154" s="2">
        <v>2.2750565846743398</v>
      </c>
      <c r="Z1154" s="2">
        <v>4.6584666666666701</v>
      </c>
      <c r="AA1154" s="2">
        <v>-74.083966666666697</v>
      </c>
      <c r="AB1154" s="2">
        <v>2552</v>
      </c>
      <c r="AC1154" s="2" t="s">
        <v>31</v>
      </c>
      <c r="AD1154" s="2" t="s">
        <v>32</v>
      </c>
      <c r="AE1154" s="2" t="s">
        <v>33</v>
      </c>
      <c r="AF1154" s="2" t="s">
        <v>34</v>
      </c>
      <c r="AG1154" s="2" t="s">
        <v>35</v>
      </c>
      <c r="AH1154" s="2">
        <v>0.39212266538408203</v>
      </c>
      <c r="AI1154" s="2">
        <v>1.26215438443646</v>
      </c>
      <c r="AJ1154" s="2">
        <v>0.19333355936312499</v>
      </c>
      <c r="AK1154" s="2">
        <v>9.2645351859851996E-2</v>
      </c>
      <c r="AL1154" s="2">
        <v>6.9651924134253002E-2</v>
      </c>
      <c r="AN1154" s="2">
        <v>6.8</v>
      </c>
      <c r="AO1154" s="2">
        <v>19.899999999999999</v>
      </c>
      <c r="AP1154" s="2">
        <v>564</v>
      </c>
      <c r="AQ1154" s="2">
        <v>68</v>
      </c>
      <c r="AR1154" s="2">
        <v>1.5</v>
      </c>
      <c r="AS1154" s="2">
        <v>135</v>
      </c>
      <c r="AT1154" s="2">
        <v>0.8</v>
      </c>
      <c r="AU1154" s="2">
        <v>162</v>
      </c>
      <c r="AV1154" s="2">
        <v>9.1</v>
      </c>
      <c r="AW1154" s="2">
        <v>9.1999999999999993</v>
      </c>
      <c r="AX1154" s="2">
        <v>18.3</v>
      </c>
      <c r="AY1154" s="2">
        <v>0.34</v>
      </c>
      <c r="AZ1154" s="2">
        <v>7.3</v>
      </c>
      <c r="BA1154" s="2">
        <v>0.9</v>
      </c>
      <c r="BB1154" s="2">
        <v>7.5</v>
      </c>
      <c r="BC1154" s="2">
        <v>2.9</v>
      </c>
      <c r="BD1154" s="2">
        <f>+AN1154*EXP(-0.0495*Y1154)</f>
        <v>6.0757613789432439</v>
      </c>
      <c r="BE1154" s="2">
        <f>+AO1154*EXP(-0.024*Y1154)</f>
        <v>18.842564384231078</v>
      </c>
    </row>
    <row r="1155" spans="1:57" x14ac:dyDescent="0.2">
      <c r="A1155" s="2" t="s">
        <v>3602</v>
      </c>
      <c r="B1155" s="2" t="s">
        <v>19</v>
      </c>
      <c r="C1155" s="2" t="s">
        <v>3245</v>
      </c>
      <c r="D1155" s="2" t="s">
        <v>21</v>
      </c>
      <c r="E1155" s="2" t="s">
        <v>3603</v>
      </c>
      <c r="F1155" s="2">
        <v>4</v>
      </c>
      <c r="G1155" s="2">
        <v>30</v>
      </c>
      <c r="H1155" s="2">
        <v>1</v>
      </c>
      <c r="I1155" s="2">
        <v>1</v>
      </c>
      <c r="J1155" s="2">
        <v>1</v>
      </c>
      <c r="K1155" s="2" t="s">
        <v>61</v>
      </c>
      <c r="L1155" s="6" t="s">
        <v>62</v>
      </c>
      <c r="M1155" s="5">
        <v>280000000</v>
      </c>
      <c r="N1155" s="2">
        <v>0</v>
      </c>
      <c r="O1155" s="2">
        <v>4.6142000000000003</v>
      </c>
      <c r="P1155" s="2">
        <v>-74.065190000000001</v>
      </c>
      <c r="Q1155" s="2" t="s">
        <v>3604</v>
      </c>
      <c r="R1155" s="2">
        <v>9333333.3330000006</v>
      </c>
      <c r="S1155" s="2">
        <v>0</v>
      </c>
      <c r="T1155" s="2" t="s">
        <v>77</v>
      </c>
      <c r="U1155" s="2" t="s">
        <v>78</v>
      </c>
      <c r="V1155" s="2" t="s">
        <v>28</v>
      </c>
      <c r="W1155" s="2" t="s">
        <v>79</v>
      </c>
      <c r="X1155" s="2" t="s">
        <v>80</v>
      </c>
      <c r="Y1155" s="2">
        <v>1.27197604734682</v>
      </c>
      <c r="Z1155" s="2">
        <v>4.6254861111111101</v>
      </c>
      <c r="AA1155" s="2">
        <v>-74.066980555555503</v>
      </c>
      <c r="AB1155" s="2">
        <v>2621</v>
      </c>
      <c r="AC1155" s="2" t="s">
        <v>31</v>
      </c>
      <c r="AD1155" s="2" t="s">
        <v>32</v>
      </c>
      <c r="AE1155" s="2" t="s">
        <v>33</v>
      </c>
      <c r="AF1155" s="2" t="s">
        <v>34</v>
      </c>
      <c r="AG1155" s="2" t="s">
        <v>89</v>
      </c>
      <c r="AH1155" s="2">
        <v>0.46232666883041301</v>
      </c>
      <c r="AI1155" s="2">
        <v>0.13882543005643799</v>
      </c>
      <c r="AJ1155" s="2">
        <v>0.415681217613871</v>
      </c>
      <c r="AK1155" s="2">
        <v>0.426270848172626</v>
      </c>
      <c r="AL1155" s="2">
        <v>0.18518585171906299</v>
      </c>
      <c r="AN1155" s="2">
        <v>6.8</v>
      </c>
      <c r="AO1155" s="2">
        <v>19.899999999999999</v>
      </c>
      <c r="AP1155" s="2">
        <v>564</v>
      </c>
      <c r="AQ1155" s="2">
        <v>68</v>
      </c>
      <c r="AR1155" s="2">
        <v>1.5</v>
      </c>
      <c r="AS1155" s="2">
        <v>135</v>
      </c>
      <c r="AT1155" s="2">
        <v>0.8</v>
      </c>
      <c r="AU1155" s="2">
        <v>162</v>
      </c>
      <c r="AV1155" s="2">
        <v>9.1</v>
      </c>
      <c r="AW1155" s="2">
        <v>9.1999999999999993</v>
      </c>
      <c r="AX1155" s="2">
        <v>18.3</v>
      </c>
      <c r="AY1155" s="2">
        <v>0.34</v>
      </c>
      <c r="AZ1155" s="2">
        <v>7.3</v>
      </c>
      <c r="BA1155" s="2">
        <v>0.9</v>
      </c>
      <c r="BB1155" s="2">
        <v>7.5</v>
      </c>
      <c r="BC1155" s="2">
        <v>2.9</v>
      </c>
      <c r="BD1155" s="2">
        <f>+AN1155*EXP(-0.0495*Y1155)</f>
        <v>6.3850530490599677</v>
      </c>
      <c r="BE1155" s="2">
        <f>+AO1155*EXP(-0.024*Y1155)</f>
        <v>19.301683239584534</v>
      </c>
    </row>
    <row r="1156" spans="1:57" x14ac:dyDescent="0.2">
      <c r="A1156" s="2" t="s">
        <v>4516</v>
      </c>
      <c r="B1156" s="2" t="s">
        <v>19</v>
      </c>
      <c r="C1156" s="2" t="s">
        <v>3245</v>
      </c>
      <c r="D1156" s="2" t="s">
        <v>21</v>
      </c>
      <c r="E1156" s="2" t="s">
        <v>1260</v>
      </c>
      <c r="F1156" s="2">
        <v>4</v>
      </c>
      <c r="G1156" s="2">
        <v>30</v>
      </c>
      <c r="H1156" s="2">
        <v>1</v>
      </c>
      <c r="I1156" s="2">
        <v>1</v>
      </c>
      <c r="J1156" s="2">
        <v>0</v>
      </c>
      <c r="K1156" s="2" t="s">
        <v>61</v>
      </c>
      <c r="L1156" s="6" t="s">
        <v>62</v>
      </c>
      <c r="M1156" s="5">
        <v>270000000</v>
      </c>
      <c r="N1156" s="2">
        <v>0</v>
      </c>
      <c r="O1156" s="2">
        <v>4.6444406999999996</v>
      </c>
      <c r="P1156" s="2">
        <v>-74.054779999999994</v>
      </c>
      <c r="Q1156" s="2" t="s">
        <v>4517</v>
      </c>
      <c r="R1156" s="2">
        <v>9000000</v>
      </c>
      <c r="S1156" s="2">
        <v>0</v>
      </c>
      <c r="T1156" s="2" t="s">
        <v>77</v>
      </c>
      <c r="U1156" s="2" t="s">
        <v>78</v>
      </c>
      <c r="V1156" s="2" t="s">
        <v>28</v>
      </c>
      <c r="W1156" s="2" t="s">
        <v>79</v>
      </c>
      <c r="X1156" s="2" t="s">
        <v>80</v>
      </c>
      <c r="Y1156" s="2">
        <v>2.5069337428835001</v>
      </c>
      <c r="Z1156" s="2">
        <v>4.6254861111111101</v>
      </c>
      <c r="AA1156" s="2">
        <v>-74.066980555555503</v>
      </c>
      <c r="AB1156" s="2">
        <v>2621</v>
      </c>
      <c r="AC1156" s="2" t="s">
        <v>31</v>
      </c>
      <c r="AD1156" s="2" t="s">
        <v>32</v>
      </c>
      <c r="AE1156" s="2" t="s">
        <v>33</v>
      </c>
      <c r="AF1156" s="2" t="s">
        <v>34</v>
      </c>
      <c r="AG1156" s="2" t="s">
        <v>81</v>
      </c>
      <c r="AH1156" s="2">
        <v>1.20157227317285</v>
      </c>
      <c r="AI1156" s="2">
        <v>0.150025381320052</v>
      </c>
      <c r="AJ1156" s="2">
        <v>0.58442837611808096</v>
      </c>
      <c r="AK1156" s="2">
        <v>0.25639616209487898</v>
      </c>
      <c r="AL1156" s="2">
        <v>0.33075191316838398</v>
      </c>
      <c r="AN1156" s="2">
        <v>6.8</v>
      </c>
      <c r="AO1156" s="2">
        <v>19.899999999999999</v>
      </c>
      <c r="AP1156" s="2">
        <v>564</v>
      </c>
      <c r="AQ1156" s="2">
        <v>68</v>
      </c>
      <c r="AR1156" s="2">
        <v>1.5</v>
      </c>
      <c r="AS1156" s="2">
        <v>135</v>
      </c>
      <c r="AT1156" s="2">
        <v>0.8</v>
      </c>
      <c r="AU1156" s="2">
        <v>162</v>
      </c>
      <c r="AV1156" s="2">
        <v>9.1</v>
      </c>
      <c r="AW1156" s="2">
        <v>9.1999999999999993</v>
      </c>
      <c r="AX1156" s="2">
        <v>18.3</v>
      </c>
      <c r="AY1156" s="2">
        <v>0.34</v>
      </c>
      <c r="AZ1156" s="2">
        <v>7.3</v>
      </c>
      <c r="BA1156" s="2">
        <v>0.9</v>
      </c>
      <c r="BB1156" s="2">
        <v>7.5</v>
      </c>
      <c r="BC1156" s="2">
        <v>2.9</v>
      </c>
      <c r="BD1156" s="2">
        <f>+AN1156*EXP(-0.0495*Y1156)</f>
        <v>6.0064229715163737</v>
      </c>
      <c r="BE1156" s="2">
        <f>+AO1156*EXP(-0.024*Y1156)</f>
        <v>18.737995772187624</v>
      </c>
    </row>
    <row r="1157" spans="1:57" x14ac:dyDescent="0.2">
      <c r="A1157" s="2" t="s">
        <v>3583</v>
      </c>
      <c r="B1157" s="2" t="s">
        <v>19</v>
      </c>
      <c r="C1157" s="2" t="s">
        <v>3245</v>
      </c>
      <c r="D1157" s="2" t="s">
        <v>21</v>
      </c>
      <c r="E1157" s="2" t="s">
        <v>1260</v>
      </c>
      <c r="F1157" s="2">
        <v>4</v>
      </c>
      <c r="G1157" s="2">
        <v>30</v>
      </c>
      <c r="H1157" s="2">
        <v>1</v>
      </c>
      <c r="I1157" s="2">
        <v>1</v>
      </c>
      <c r="J1157" s="2">
        <v>0</v>
      </c>
      <c r="K1157" s="2" t="s">
        <v>61</v>
      </c>
      <c r="L1157" s="6" t="s">
        <v>62</v>
      </c>
      <c r="M1157" s="5">
        <v>269000000</v>
      </c>
      <c r="N1157" s="2">
        <v>0</v>
      </c>
      <c r="O1157" s="2">
        <v>4.6444406999999996</v>
      </c>
      <c r="P1157" s="2">
        <v>-74.054779999999994</v>
      </c>
      <c r="Q1157" s="2" t="s">
        <v>3584</v>
      </c>
      <c r="R1157" s="2">
        <v>8966666.6669999994</v>
      </c>
      <c r="S1157" s="2">
        <v>0</v>
      </c>
      <c r="T1157" s="2" t="s">
        <v>77</v>
      </c>
      <c r="U1157" s="2" t="s">
        <v>78</v>
      </c>
      <c r="V1157" s="2" t="s">
        <v>28</v>
      </c>
      <c r="W1157" s="2" t="s">
        <v>79</v>
      </c>
      <c r="X1157" s="2" t="s">
        <v>80</v>
      </c>
      <c r="Y1157" s="2">
        <v>2.5069337428835001</v>
      </c>
      <c r="Z1157" s="2">
        <v>4.6254861111111101</v>
      </c>
      <c r="AA1157" s="2">
        <v>-74.066980555555503</v>
      </c>
      <c r="AB1157" s="2">
        <v>2621</v>
      </c>
      <c r="AC1157" s="2" t="s">
        <v>31</v>
      </c>
      <c r="AD1157" s="2" t="s">
        <v>32</v>
      </c>
      <c r="AE1157" s="2" t="s">
        <v>33</v>
      </c>
      <c r="AF1157" s="2" t="s">
        <v>34</v>
      </c>
      <c r="AG1157" s="2" t="s">
        <v>81</v>
      </c>
      <c r="AH1157" s="2">
        <v>1.20157227317285</v>
      </c>
      <c r="AI1157" s="2">
        <v>0.150025381320052</v>
      </c>
      <c r="AJ1157" s="2">
        <v>0.58442837611808096</v>
      </c>
      <c r="AK1157" s="2">
        <v>0.25639616209487898</v>
      </c>
      <c r="AL1157" s="2">
        <v>0.33075191316838398</v>
      </c>
      <c r="AN1157" s="2">
        <v>6.8</v>
      </c>
      <c r="AO1157" s="2">
        <v>19.899999999999999</v>
      </c>
      <c r="AP1157" s="2">
        <v>564</v>
      </c>
      <c r="AQ1157" s="2">
        <v>68</v>
      </c>
      <c r="AR1157" s="2">
        <v>1.5</v>
      </c>
      <c r="AS1157" s="2">
        <v>135</v>
      </c>
      <c r="AT1157" s="2">
        <v>0.8</v>
      </c>
      <c r="AU1157" s="2">
        <v>162</v>
      </c>
      <c r="AV1157" s="2">
        <v>9.1</v>
      </c>
      <c r="AW1157" s="2">
        <v>9.1999999999999993</v>
      </c>
      <c r="AX1157" s="2">
        <v>18.3</v>
      </c>
      <c r="AY1157" s="2">
        <v>0.34</v>
      </c>
      <c r="AZ1157" s="2">
        <v>7.3</v>
      </c>
      <c r="BA1157" s="2">
        <v>0.9</v>
      </c>
      <c r="BB1157" s="2">
        <v>7.5</v>
      </c>
      <c r="BC1157" s="2">
        <v>2.9</v>
      </c>
      <c r="BD1157" s="2">
        <f>+AN1157*EXP(-0.0495*Y1157)</f>
        <v>6.0064229715163737</v>
      </c>
      <c r="BE1157" s="2">
        <f>+AO1157*EXP(-0.024*Y1157)</f>
        <v>18.737995772187624</v>
      </c>
    </row>
    <row r="1158" spans="1:57" x14ac:dyDescent="0.2">
      <c r="A1158" s="2" t="s">
        <v>4023</v>
      </c>
      <c r="B1158" s="2" t="s">
        <v>19</v>
      </c>
      <c r="C1158" s="2" t="s">
        <v>3245</v>
      </c>
      <c r="D1158" s="2" t="s">
        <v>21</v>
      </c>
      <c r="E1158" s="2" t="s">
        <v>1242</v>
      </c>
      <c r="F1158" s="2">
        <v>4</v>
      </c>
      <c r="G1158" s="2">
        <v>30</v>
      </c>
      <c r="H1158" s="2">
        <v>1</v>
      </c>
      <c r="I1158" s="2">
        <v>1</v>
      </c>
      <c r="J1158" s="2">
        <v>0</v>
      </c>
      <c r="K1158" s="2" t="s">
        <v>61</v>
      </c>
      <c r="L1158" s="6" t="s">
        <v>62</v>
      </c>
      <c r="M1158" s="5">
        <v>265000000</v>
      </c>
      <c r="N1158" s="2">
        <v>0</v>
      </c>
      <c r="O1158" s="2">
        <v>4.6444299999999998</v>
      </c>
      <c r="P1158" s="2">
        <v>-74.054270000000002</v>
      </c>
      <c r="Q1158" s="2" t="s">
        <v>4024</v>
      </c>
      <c r="R1158" s="2">
        <v>8833333.3330000006</v>
      </c>
      <c r="S1158" s="2">
        <v>0</v>
      </c>
      <c r="T1158" s="2" t="s">
        <v>77</v>
      </c>
      <c r="U1158" s="2" t="s">
        <v>78</v>
      </c>
      <c r="V1158" s="2" t="s">
        <v>28</v>
      </c>
      <c r="W1158" s="2" t="s">
        <v>79</v>
      </c>
      <c r="X1158" s="2" t="s">
        <v>80</v>
      </c>
      <c r="Y1158" s="2">
        <v>2.5369470335492199</v>
      </c>
      <c r="Z1158" s="2">
        <v>4.6254861111111101</v>
      </c>
      <c r="AA1158" s="2">
        <v>-74.066980555555503</v>
      </c>
      <c r="AB1158" s="2">
        <v>2621</v>
      </c>
      <c r="AC1158" s="2" t="s">
        <v>31</v>
      </c>
      <c r="AD1158" s="2" t="s">
        <v>32</v>
      </c>
      <c r="AE1158" s="2" t="s">
        <v>33</v>
      </c>
      <c r="AF1158" s="2" t="s">
        <v>34</v>
      </c>
      <c r="AG1158" s="2" t="s">
        <v>81</v>
      </c>
      <c r="AH1158" s="2">
        <v>1.25481606266867</v>
      </c>
      <c r="AI1158" s="2">
        <v>9.5207316814099302E-2</v>
      </c>
      <c r="AJ1158" s="2">
        <v>0.61815004059380996</v>
      </c>
      <c r="AK1158" s="2">
        <v>0.28308492129235602</v>
      </c>
      <c r="AL1158" s="2">
        <v>0.38510791537348299</v>
      </c>
      <c r="AN1158" s="2">
        <v>6.8</v>
      </c>
      <c r="AO1158" s="2">
        <v>19.899999999999999</v>
      </c>
      <c r="AP1158" s="2">
        <v>564</v>
      </c>
      <c r="AQ1158" s="2">
        <v>68</v>
      </c>
      <c r="AR1158" s="2">
        <v>1.5</v>
      </c>
      <c r="AS1158" s="2">
        <v>135</v>
      </c>
      <c r="AT1158" s="2">
        <v>0.8</v>
      </c>
      <c r="AU1158" s="2">
        <v>162</v>
      </c>
      <c r="AV1158" s="2">
        <v>9.1</v>
      </c>
      <c r="AW1158" s="2">
        <v>9.1999999999999993</v>
      </c>
      <c r="AX1158" s="2">
        <v>18.3</v>
      </c>
      <c r="AY1158" s="2">
        <v>0.34</v>
      </c>
      <c r="AZ1158" s="2">
        <v>7.3</v>
      </c>
      <c r="BA1158" s="2">
        <v>0.9</v>
      </c>
      <c r="BB1158" s="2">
        <v>7.5</v>
      </c>
      <c r="BC1158" s="2">
        <v>2.9</v>
      </c>
      <c r="BD1158" s="2">
        <f>+AN1158*EXP(-0.0495*Y1158)</f>
        <v>5.997506107195357</v>
      </c>
      <c r="BE1158" s="2">
        <f>+AO1158*EXP(-0.024*Y1158)</f>
        <v>18.724503298287019</v>
      </c>
    </row>
    <row r="1159" spans="1:57" x14ac:dyDescent="0.2">
      <c r="A1159" s="2" t="s">
        <v>3255</v>
      </c>
      <c r="B1159" s="2" t="s">
        <v>19</v>
      </c>
      <c r="C1159" s="2" t="s">
        <v>3245</v>
      </c>
      <c r="D1159" s="2" t="s">
        <v>21</v>
      </c>
      <c r="E1159" s="2" t="s">
        <v>3256</v>
      </c>
      <c r="F1159" s="2">
        <v>3</v>
      </c>
      <c r="G1159" s="2">
        <v>30</v>
      </c>
      <c r="H1159" s="2">
        <v>1</v>
      </c>
      <c r="I1159" s="2">
        <v>1</v>
      </c>
      <c r="J1159" s="2">
        <v>0</v>
      </c>
      <c r="K1159" s="2" t="s">
        <v>61</v>
      </c>
      <c r="L1159" s="6" t="s">
        <v>62</v>
      </c>
      <c r="M1159" s="5">
        <v>224400000</v>
      </c>
      <c r="N1159" s="2">
        <v>0</v>
      </c>
      <c r="O1159" s="2">
        <v>4.7015800609999996</v>
      </c>
      <c r="P1159" s="2">
        <v>-74.107954680000006</v>
      </c>
      <c r="Q1159" s="2" t="s">
        <v>3257</v>
      </c>
      <c r="R1159" s="2">
        <v>7480000</v>
      </c>
      <c r="S1159" s="2">
        <v>0</v>
      </c>
      <c r="T1159" s="2" t="s">
        <v>370</v>
      </c>
      <c r="U1159" s="2" t="s">
        <v>371</v>
      </c>
      <c r="V1159" s="2" t="s">
        <v>28</v>
      </c>
      <c r="W1159" s="2" t="s">
        <v>29</v>
      </c>
      <c r="X1159" s="2" t="s">
        <v>372</v>
      </c>
      <c r="Y1159" s="2">
        <v>4.29820642793515</v>
      </c>
      <c r="Z1159" s="2">
        <v>4.7358055555555598</v>
      </c>
      <c r="AA1159" s="2">
        <v>-74.125888888888895</v>
      </c>
      <c r="AB1159" s="2">
        <v>2574</v>
      </c>
      <c r="AC1159" s="2" t="s">
        <v>105</v>
      </c>
      <c r="AD1159" s="2" t="s">
        <v>58</v>
      </c>
      <c r="AE1159" s="2" t="s">
        <v>33</v>
      </c>
      <c r="AF1159" s="2" t="s">
        <v>34</v>
      </c>
      <c r="AG1159" s="2" t="s">
        <v>363</v>
      </c>
      <c r="AH1159" s="2">
        <v>0.50711242884296504</v>
      </c>
      <c r="AI1159" s="2">
        <v>3.2784408724479199</v>
      </c>
      <c r="AJ1159" s="2">
        <v>1.00531690778489</v>
      </c>
      <c r="AK1159" s="2">
        <v>0.399947429690581</v>
      </c>
      <c r="AL1159" s="2">
        <v>3.2059648451517798E-2</v>
      </c>
      <c r="AN1159" s="2">
        <v>6.8</v>
      </c>
      <c r="AO1159" s="2">
        <v>19.899999999999999</v>
      </c>
      <c r="AP1159" s="2">
        <v>564</v>
      </c>
      <c r="AQ1159" s="2">
        <v>68</v>
      </c>
      <c r="AR1159" s="2">
        <v>1.5</v>
      </c>
      <c r="AS1159" s="2">
        <v>135</v>
      </c>
      <c r="AT1159" s="2">
        <v>0.8</v>
      </c>
      <c r="AU1159" s="2">
        <v>162</v>
      </c>
      <c r="AV1159" s="2">
        <v>9.1</v>
      </c>
      <c r="AW1159" s="2">
        <v>9.1999999999999993</v>
      </c>
      <c r="AX1159" s="2">
        <v>18.3</v>
      </c>
      <c r="AY1159" s="2">
        <v>0.34</v>
      </c>
      <c r="AZ1159" s="2">
        <v>7.3</v>
      </c>
      <c r="BA1159" s="2">
        <v>0.9</v>
      </c>
      <c r="BB1159" s="2">
        <v>7.5</v>
      </c>
      <c r="BC1159" s="2">
        <v>2.9</v>
      </c>
      <c r="BD1159" s="2">
        <f>+AN1159*EXP(-0.0495*Y1159)</f>
        <v>5.4967741060903235</v>
      </c>
      <c r="BE1159" s="2">
        <f>+AO1159*EXP(-0.024*Y1159)</f>
        <v>17.949509299043882</v>
      </c>
    </row>
    <row r="1160" spans="1:57" x14ac:dyDescent="0.2">
      <c r="A1160" s="2" t="s">
        <v>3338</v>
      </c>
      <c r="B1160" s="2" t="s">
        <v>19</v>
      </c>
      <c r="C1160" s="2" t="s">
        <v>3245</v>
      </c>
      <c r="D1160" s="2" t="s">
        <v>21</v>
      </c>
      <c r="E1160" s="2" t="s">
        <v>1260</v>
      </c>
      <c r="F1160" s="2">
        <v>4</v>
      </c>
      <c r="G1160" s="2">
        <v>30</v>
      </c>
      <c r="H1160" s="2">
        <v>1</v>
      </c>
      <c r="I1160" s="2">
        <v>1</v>
      </c>
      <c r="J1160" s="2">
        <v>1</v>
      </c>
      <c r="K1160" s="2" t="s">
        <v>61</v>
      </c>
      <c r="L1160" s="6" t="s">
        <v>62</v>
      </c>
      <c r="M1160" s="5">
        <v>260000000</v>
      </c>
      <c r="N1160" s="2">
        <v>0</v>
      </c>
      <c r="O1160" s="2">
        <v>4.6444902419999998</v>
      </c>
      <c r="P1160" s="2">
        <v>-74.055084230000006</v>
      </c>
      <c r="Q1160" s="2" t="s">
        <v>3339</v>
      </c>
      <c r="R1160" s="2">
        <v>8666666.6669999994</v>
      </c>
      <c r="S1160" s="2">
        <v>0</v>
      </c>
      <c r="T1160" s="2" t="s">
        <v>77</v>
      </c>
      <c r="U1160" s="2" t="s">
        <v>78</v>
      </c>
      <c r="V1160" s="2" t="s">
        <v>28</v>
      </c>
      <c r="W1160" s="2" t="s">
        <v>79</v>
      </c>
      <c r="X1160" s="2" t="s">
        <v>80</v>
      </c>
      <c r="Y1160" s="2">
        <v>2.4935452320537799</v>
      </c>
      <c r="Z1160" s="2">
        <v>4.6254861111111101</v>
      </c>
      <c r="AA1160" s="2">
        <v>-74.066980555555503</v>
      </c>
      <c r="AB1160" s="2">
        <v>2621</v>
      </c>
      <c r="AC1160" s="2" t="s">
        <v>31</v>
      </c>
      <c r="AD1160" s="2" t="s">
        <v>32</v>
      </c>
      <c r="AE1160" s="2" t="s">
        <v>33</v>
      </c>
      <c r="AF1160" s="2" t="s">
        <v>34</v>
      </c>
      <c r="AG1160" s="2" t="s">
        <v>81</v>
      </c>
      <c r="AH1160" s="2">
        <v>1.1681848572302</v>
      </c>
      <c r="AI1160" s="2">
        <v>0.18415593219535401</v>
      </c>
      <c r="AJ1160" s="2">
        <v>0.55253449907653496</v>
      </c>
      <c r="AK1160" s="2">
        <v>0.24992540301235799</v>
      </c>
      <c r="AL1160" s="2">
        <v>0.297081149293562</v>
      </c>
      <c r="AN1160" s="2">
        <v>6.8</v>
      </c>
      <c r="AO1160" s="2">
        <v>19.899999999999999</v>
      </c>
      <c r="AP1160" s="2">
        <v>564</v>
      </c>
      <c r="AQ1160" s="2">
        <v>68</v>
      </c>
      <c r="AR1160" s="2">
        <v>1.5</v>
      </c>
      <c r="AS1160" s="2">
        <v>135</v>
      </c>
      <c r="AT1160" s="2">
        <v>0.8</v>
      </c>
      <c r="AU1160" s="2">
        <v>162</v>
      </c>
      <c r="AV1160" s="2">
        <v>9.1</v>
      </c>
      <c r="AW1160" s="2">
        <v>9.1999999999999993</v>
      </c>
      <c r="AX1160" s="2">
        <v>18.3</v>
      </c>
      <c r="AY1160" s="2">
        <v>0.34</v>
      </c>
      <c r="AZ1160" s="2">
        <v>7.3</v>
      </c>
      <c r="BA1160" s="2">
        <v>0.9</v>
      </c>
      <c r="BB1160" s="2">
        <v>7.5</v>
      </c>
      <c r="BC1160" s="2">
        <v>2.9</v>
      </c>
      <c r="BD1160" s="2">
        <f>+AN1160*EXP(-0.0495*Y1160)</f>
        <v>6.0104049352772115</v>
      </c>
      <c r="BE1160" s="2">
        <f>+AO1160*EXP(-0.024*Y1160)</f>
        <v>18.744017712257286</v>
      </c>
    </row>
    <row r="1161" spans="1:57" x14ac:dyDescent="0.2">
      <c r="A1161" s="2" t="s">
        <v>4509</v>
      </c>
      <c r="B1161" s="2" t="s">
        <v>19</v>
      </c>
      <c r="C1161" s="2" t="s">
        <v>3245</v>
      </c>
      <c r="D1161" s="2" t="s">
        <v>21</v>
      </c>
      <c r="E1161" s="2" t="s">
        <v>1242</v>
      </c>
      <c r="F1161" s="2">
        <v>4</v>
      </c>
      <c r="G1161" s="2">
        <v>30</v>
      </c>
      <c r="H1161" s="2">
        <v>1</v>
      </c>
      <c r="I1161" s="2">
        <v>1</v>
      </c>
      <c r="J1161" s="2">
        <v>0</v>
      </c>
      <c r="K1161" s="2" t="s">
        <v>61</v>
      </c>
      <c r="L1161" s="6" t="s">
        <v>62</v>
      </c>
      <c r="M1161" s="5">
        <v>259000000</v>
      </c>
      <c r="N1161" s="2">
        <v>0</v>
      </c>
      <c r="O1161" s="2">
        <v>4.6442595000000004</v>
      </c>
      <c r="P1161" s="2">
        <v>-74.054248200000004</v>
      </c>
      <c r="Q1161" s="2" t="s">
        <v>4510</v>
      </c>
      <c r="R1161" s="2">
        <v>8633333.3330000006</v>
      </c>
      <c r="S1161" s="2">
        <v>0</v>
      </c>
      <c r="T1161" s="2" t="s">
        <v>77</v>
      </c>
      <c r="U1161" s="2" t="s">
        <v>78</v>
      </c>
      <c r="V1161" s="2" t="s">
        <v>28</v>
      </c>
      <c r="W1161" s="2" t="s">
        <v>79</v>
      </c>
      <c r="X1161" s="2" t="s">
        <v>80</v>
      </c>
      <c r="Y1161" s="2">
        <v>2.5225460450050599</v>
      </c>
      <c r="Z1161" s="2">
        <v>4.6254861111111101</v>
      </c>
      <c r="AA1161" s="2">
        <v>-74.066980555555503</v>
      </c>
      <c r="AB1161" s="2">
        <v>2621</v>
      </c>
      <c r="AC1161" s="2" t="s">
        <v>31</v>
      </c>
      <c r="AD1161" s="2" t="s">
        <v>32</v>
      </c>
      <c r="AE1161" s="2" t="s">
        <v>33</v>
      </c>
      <c r="AF1161" s="2" t="s">
        <v>34</v>
      </c>
      <c r="AG1161" s="2" t="s">
        <v>81</v>
      </c>
      <c r="AH1161" s="2">
        <v>1.26378694360799</v>
      </c>
      <c r="AI1161" s="2">
        <v>8.8379404242702797E-2</v>
      </c>
      <c r="AJ1161" s="2">
        <v>0.63463681079020395</v>
      </c>
      <c r="AK1161" s="2">
        <v>0.26923077998385297</v>
      </c>
      <c r="AL1161" s="2">
        <v>0.393028265791664</v>
      </c>
      <c r="AN1161" s="2">
        <v>6.8</v>
      </c>
      <c r="AO1161" s="2">
        <v>19.899999999999999</v>
      </c>
      <c r="AP1161" s="2">
        <v>564</v>
      </c>
      <c r="AQ1161" s="2">
        <v>68</v>
      </c>
      <c r="AR1161" s="2">
        <v>1.5</v>
      </c>
      <c r="AS1161" s="2">
        <v>135</v>
      </c>
      <c r="AT1161" s="2">
        <v>0.8</v>
      </c>
      <c r="AU1161" s="2">
        <v>162</v>
      </c>
      <c r="AV1161" s="2">
        <v>9.1</v>
      </c>
      <c r="AW1161" s="2">
        <v>9.1999999999999993</v>
      </c>
      <c r="AX1161" s="2">
        <v>18.3</v>
      </c>
      <c r="AY1161" s="2">
        <v>0.34</v>
      </c>
      <c r="AZ1161" s="2">
        <v>7.3</v>
      </c>
      <c r="BA1161" s="2">
        <v>0.9</v>
      </c>
      <c r="BB1161" s="2">
        <v>7.5</v>
      </c>
      <c r="BC1161" s="2">
        <v>2.9</v>
      </c>
      <c r="BD1161" s="2">
        <f>+AN1161*EXP(-0.0495*Y1161)</f>
        <v>6.0017829472134618</v>
      </c>
      <c r="BE1161" s="2">
        <f>+AO1161*EXP(-0.024*Y1161)</f>
        <v>18.730976049370604</v>
      </c>
    </row>
    <row r="1162" spans="1:57" x14ac:dyDescent="0.2">
      <c r="A1162" s="2" t="s">
        <v>3405</v>
      </c>
      <c r="B1162" s="2" t="s">
        <v>19</v>
      </c>
      <c r="C1162" s="2" t="s">
        <v>3245</v>
      </c>
      <c r="D1162" s="2" t="s">
        <v>21</v>
      </c>
      <c r="E1162" s="2" t="s">
        <v>2243</v>
      </c>
      <c r="F1162" s="2">
        <v>4</v>
      </c>
      <c r="G1162" s="2">
        <v>30</v>
      </c>
      <c r="H1162" s="2">
        <v>1</v>
      </c>
      <c r="I1162" s="2">
        <v>1</v>
      </c>
      <c r="J1162" s="2">
        <v>0</v>
      </c>
      <c r="K1162" s="2" t="s">
        <v>61</v>
      </c>
      <c r="L1162" s="6" t="s">
        <v>62</v>
      </c>
      <c r="M1162" s="5">
        <v>220000000</v>
      </c>
      <c r="N1162" s="2">
        <v>0</v>
      </c>
      <c r="O1162" s="2">
        <v>4.62059</v>
      </c>
      <c r="P1162" s="2">
        <v>-74.066370000000006</v>
      </c>
      <c r="Q1162" s="2" t="s">
        <v>3406</v>
      </c>
      <c r="R1162" s="2">
        <v>7333333.3329999996</v>
      </c>
      <c r="S1162" s="2">
        <v>0</v>
      </c>
      <c r="T1162" s="2" t="s">
        <v>77</v>
      </c>
      <c r="U1162" s="2" t="s">
        <v>78</v>
      </c>
      <c r="V1162" s="2" t="s">
        <v>28</v>
      </c>
      <c r="W1162" s="2" t="s">
        <v>79</v>
      </c>
      <c r="X1162" s="2" t="s">
        <v>80</v>
      </c>
      <c r="Y1162" s="2">
        <v>0.54922672707338205</v>
      </c>
      <c r="Z1162" s="2">
        <v>4.6254861111111101</v>
      </c>
      <c r="AA1162" s="2">
        <v>-74.066980555555503</v>
      </c>
      <c r="AB1162" s="2">
        <v>2621</v>
      </c>
      <c r="AC1162" s="2" t="s">
        <v>31</v>
      </c>
      <c r="AD1162" s="2" t="s">
        <v>32</v>
      </c>
      <c r="AE1162" s="2" t="s">
        <v>33</v>
      </c>
      <c r="AF1162" s="2" t="s">
        <v>34</v>
      </c>
      <c r="AG1162" s="2" t="s">
        <v>89</v>
      </c>
      <c r="AH1162" s="2">
        <v>0.38703205569758098</v>
      </c>
      <c r="AI1162" s="2">
        <v>0.57639128591139999</v>
      </c>
      <c r="AJ1162" s="2">
        <v>4.4418592757160501E-2</v>
      </c>
      <c r="AK1162" s="2">
        <v>0.11636813478164</v>
      </c>
      <c r="AL1162" s="2">
        <v>2.9641849110330801E-2</v>
      </c>
      <c r="AN1162" s="2">
        <v>6.8</v>
      </c>
      <c r="AO1162" s="2">
        <v>19.899999999999999</v>
      </c>
      <c r="AP1162" s="2">
        <v>564</v>
      </c>
      <c r="AQ1162" s="2">
        <v>68</v>
      </c>
      <c r="AR1162" s="2">
        <v>1.5</v>
      </c>
      <c r="AS1162" s="2">
        <v>135</v>
      </c>
      <c r="AT1162" s="2">
        <v>0.8</v>
      </c>
      <c r="AU1162" s="2">
        <v>162</v>
      </c>
      <c r="AV1162" s="2">
        <v>9.1</v>
      </c>
      <c r="AW1162" s="2">
        <v>9.1999999999999993</v>
      </c>
      <c r="AX1162" s="2">
        <v>18.3</v>
      </c>
      <c r="AY1162" s="2">
        <v>0.34</v>
      </c>
      <c r="AZ1162" s="2">
        <v>7.3</v>
      </c>
      <c r="BA1162" s="2">
        <v>0.9</v>
      </c>
      <c r="BB1162" s="2">
        <v>7.5</v>
      </c>
      <c r="BC1162" s="2">
        <v>2.9</v>
      </c>
      <c r="BD1162" s="2">
        <f>+AN1162*EXP(-0.0495*Y1162)</f>
        <v>6.6176206650769203</v>
      </c>
      <c r="BE1162" s="2">
        <f>+AO1162*EXP(-0.024*Y1162)</f>
        <v>19.639410560485107</v>
      </c>
    </row>
    <row r="1163" spans="1:57" x14ac:dyDescent="0.2">
      <c r="A1163" s="2" t="s">
        <v>3651</v>
      </c>
      <c r="B1163" s="2" t="s">
        <v>19</v>
      </c>
      <c r="C1163" s="2" t="s">
        <v>3245</v>
      </c>
      <c r="D1163" s="2" t="s">
        <v>21</v>
      </c>
      <c r="E1163" s="2" t="s">
        <v>3652</v>
      </c>
      <c r="F1163" s="2">
        <v>3</v>
      </c>
      <c r="G1163" s="2">
        <v>30</v>
      </c>
      <c r="H1163" s="2">
        <v>1</v>
      </c>
      <c r="I1163" s="2">
        <v>1</v>
      </c>
      <c r="J1163" s="2">
        <v>0</v>
      </c>
      <c r="K1163" s="2" t="s">
        <v>61</v>
      </c>
      <c r="L1163" s="6" t="s">
        <v>62</v>
      </c>
      <c r="M1163" s="5">
        <v>185000000</v>
      </c>
      <c r="N1163" s="2">
        <v>0</v>
      </c>
      <c r="O1163" s="2">
        <v>4.6750825000000003</v>
      </c>
      <c r="P1163" s="2">
        <v>-74.077228000000005</v>
      </c>
      <c r="Q1163" s="2" t="s">
        <v>3653</v>
      </c>
      <c r="R1163" s="2">
        <v>6166666.6670000004</v>
      </c>
      <c r="S1163" s="2">
        <v>0</v>
      </c>
      <c r="T1163" s="2" t="s">
        <v>26</v>
      </c>
      <c r="U1163" s="2" t="s">
        <v>27</v>
      </c>
      <c r="V1163" s="2" t="s">
        <v>28</v>
      </c>
      <c r="W1163" s="2" t="s">
        <v>29</v>
      </c>
      <c r="X1163" s="2" t="s">
        <v>30</v>
      </c>
      <c r="Y1163" s="2">
        <v>1.9950581952814199</v>
      </c>
      <c r="Z1163" s="2">
        <v>4.6584666666666701</v>
      </c>
      <c r="AA1163" s="2">
        <v>-74.083966666666697</v>
      </c>
      <c r="AB1163" s="2">
        <v>2552</v>
      </c>
      <c r="AC1163" s="2" t="s">
        <v>31</v>
      </c>
      <c r="AD1163" s="2" t="s">
        <v>32</v>
      </c>
      <c r="AE1163" s="2" t="s">
        <v>33</v>
      </c>
      <c r="AF1163" s="2" t="s">
        <v>34</v>
      </c>
      <c r="AG1163" s="2" t="s">
        <v>293</v>
      </c>
      <c r="AH1163" s="2">
        <v>0.53044475919828704</v>
      </c>
      <c r="AI1163" s="2">
        <v>3.73518719581954</v>
      </c>
      <c r="AJ1163" s="2">
        <v>1.3100437185348801</v>
      </c>
      <c r="AK1163" s="2">
        <v>7.9582812902045094E-2</v>
      </c>
      <c r="AL1163" s="2">
        <v>6.5380032345988298E-2</v>
      </c>
      <c r="AN1163" s="2">
        <v>6.8</v>
      </c>
      <c r="AO1163" s="2">
        <v>19.899999999999999</v>
      </c>
      <c r="AP1163" s="2">
        <v>564</v>
      </c>
      <c r="AQ1163" s="2">
        <v>68</v>
      </c>
      <c r="AR1163" s="2">
        <v>1.5</v>
      </c>
      <c r="AS1163" s="2">
        <v>135</v>
      </c>
      <c r="AT1163" s="2">
        <v>0.8</v>
      </c>
      <c r="AU1163" s="2">
        <v>162</v>
      </c>
      <c r="AV1163" s="2">
        <v>9.1</v>
      </c>
      <c r="AW1163" s="2">
        <v>9.1999999999999993</v>
      </c>
      <c r="AX1163" s="2">
        <v>18.3</v>
      </c>
      <c r="AY1163" s="2">
        <v>0.34</v>
      </c>
      <c r="AZ1163" s="2">
        <v>7.3</v>
      </c>
      <c r="BA1163" s="2">
        <v>0.9</v>
      </c>
      <c r="BB1163" s="2">
        <v>7.5</v>
      </c>
      <c r="BC1163" s="2">
        <v>2.9</v>
      </c>
      <c r="BD1163" s="2">
        <f>+AN1163*EXP(-0.0495*Y1163)</f>
        <v>6.1605572216575215</v>
      </c>
      <c r="BE1163" s="2">
        <f>+AO1163*EXP(-0.024*Y1163)</f>
        <v>18.969612088271919</v>
      </c>
    </row>
    <row r="1164" spans="1:57" x14ac:dyDescent="0.2">
      <c r="A1164" s="2" t="s">
        <v>3562</v>
      </c>
      <c r="B1164" s="2" t="s">
        <v>19</v>
      </c>
      <c r="C1164" s="2" t="s">
        <v>3245</v>
      </c>
      <c r="D1164" s="2" t="s">
        <v>21</v>
      </c>
      <c r="E1164" s="2" t="s">
        <v>762</v>
      </c>
      <c r="F1164" s="2">
        <v>4</v>
      </c>
      <c r="G1164" s="2">
        <v>29.85</v>
      </c>
      <c r="H1164" s="2">
        <v>1</v>
      </c>
      <c r="I1164" s="2">
        <v>1</v>
      </c>
      <c r="J1164" s="2">
        <v>0</v>
      </c>
      <c r="K1164" s="2" t="s">
        <v>61</v>
      </c>
      <c r="L1164" s="6" t="s">
        <v>113</v>
      </c>
      <c r="M1164" s="5">
        <v>328350000</v>
      </c>
      <c r="N1164" s="2">
        <v>0</v>
      </c>
      <c r="O1164" s="2">
        <v>4.6475200000000001</v>
      </c>
      <c r="P1164" s="2">
        <v>-74.059820000000002</v>
      </c>
      <c r="Q1164" s="2" t="s">
        <v>3563</v>
      </c>
      <c r="R1164" s="2">
        <v>11000000</v>
      </c>
      <c r="S1164" s="2">
        <v>0</v>
      </c>
      <c r="T1164" s="2" t="s">
        <v>77</v>
      </c>
      <c r="U1164" s="2" t="s">
        <v>78</v>
      </c>
      <c r="V1164" s="2" t="s">
        <v>28</v>
      </c>
      <c r="W1164" s="2" t="s">
        <v>79</v>
      </c>
      <c r="X1164" s="2" t="s">
        <v>80</v>
      </c>
      <c r="Y1164" s="2">
        <v>2.57826800060251</v>
      </c>
      <c r="Z1164" s="2">
        <v>4.6254861111111101</v>
      </c>
      <c r="AA1164" s="2">
        <v>-74.066980555555503</v>
      </c>
      <c r="AB1164" s="2">
        <v>2621</v>
      </c>
      <c r="AC1164" s="2" t="s">
        <v>31</v>
      </c>
      <c r="AD1164" s="2" t="s">
        <v>32</v>
      </c>
      <c r="AE1164" s="2" t="s">
        <v>33</v>
      </c>
      <c r="AF1164" s="2" t="s">
        <v>34</v>
      </c>
      <c r="AG1164" s="2" t="s">
        <v>81</v>
      </c>
      <c r="AH1164" s="2">
        <v>0.56849067648222895</v>
      </c>
      <c r="AI1164" s="2">
        <v>0.73734148311672199</v>
      </c>
      <c r="AJ1164" s="2">
        <v>0.192841274729603</v>
      </c>
      <c r="AK1164" s="2">
        <v>0.16255868724338701</v>
      </c>
      <c r="AL1164" s="2">
        <v>0.25058642058473601</v>
      </c>
      <c r="AN1164" s="2">
        <v>6.8</v>
      </c>
      <c r="AO1164" s="2">
        <v>19.899999999999999</v>
      </c>
      <c r="AP1164" s="2">
        <v>564</v>
      </c>
      <c r="AQ1164" s="2">
        <v>68</v>
      </c>
      <c r="AR1164" s="2">
        <v>1.5</v>
      </c>
      <c r="AS1164" s="2">
        <v>135</v>
      </c>
      <c r="AT1164" s="2">
        <v>0.8</v>
      </c>
      <c r="AU1164" s="2">
        <v>162</v>
      </c>
      <c r="AV1164" s="2">
        <v>9.1</v>
      </c>
      <c r="AW1164" s="2">
        <v>9.1999999999999993</v>
      </c>
      <c r="AX1164" s="2">
        <v>18.3</v>
      </c>
      <c r="AY1164" s="2">
        <v>0.34</v>
      </c>
      <c r="AZ1164" s="2">
        <v>7.3</v>
      </c>
      <c r="BA1164" s="2">
        <v>0.9</v>
      </c>
      <c r="BB1164" s="2">
        <v>7.5</v>
      </c>
      <c r="BC1164" s="2">
        <v>2.9</v>
      </c>
      <c r="BD1164" s="2">
        <f>+AN1164*EXP(-0.0495*Y1164)</f>
        <v>5.9852514180273069</v>
      </c>
      <c r="BE1164" s="2">
        <f>+AO1164*EXP(-0.024*Y1164)</f>
        <v>18.705943352773822</v>
      </c>
    </row>
    <row r="1165" spans="1:57" x14ac:dyDescent="0.2">
      <c r="A1165" s="2" t="s">
        <v>18</v>
      </c>
      <c r="B1165" s="2" t="s">
        <v>19</v>
      </c>
      <c r="C1165" s="2" t="s">
        <v>20</v>
      </c>
      <c r="D1165" s="2" t="s">
        <v>21</v>
      </c>
      <c r="E1165" s="2" t="s">
        <v>22</v>
      </c>
      <c r="F1165" s="2">
        <v>4</v>
      </c>
      <c r="G1165" s="2">
        <v>29.58</v>
      </c>
      <c r="H1165" s="2">
        <v>1</v>
      </c>
      <c r="I1165" s="2">
        <v>1</v>
      </c>
      <c r="J1165" s="2">
        <v>0</v>
      </c>
      <c r="K1165" s="2" t="s">
        <v>23</v>
      </c>
      <c r="L1165" s="6" t="s">
        <v>24</v>
      </c>
      <c r="M1165" s="5">
        <v>241951000</v>
      </c>
      <c r="N1165" s="2">
        <v>0</v>
      </c>
      <c r="O1165" s="2">
        <v>4.6444000000000001</v>
      </c>
      <c r="P1165" s="2">
        <v>-74.071950000000001</v>
      </c>
      <c r="Q1165" s="2" t="s">
        <v>25</v>
      </c>
      <c r="R1165" s="2">
        <v>8179546.9910000004</v>
      </c>
      <c r="S1165" s="2">
        <v>0</v>
      </c>
      <c r="T1165" s="2" t="s">
        <v>26</v>
      </c>
      <c r="U1165" s="2" t="s">
        <v>27</v>
      </c>
      <c r="V1165" s="2" t="s">
        <v>28</v>
      </c>
      <c r="W1165" s="2" t="s">
        <v>29</v>
      </c>
      <c r="X1165" s="2" t="s">
        <v>30</v>
      </c>
      <c r="Y1165" s="2">
        <v>2.0566160241458</v>
      </c>
      <c r="Z1165" s="2">
        <v>4.6584666666666701</v>
      </c>
      <c r="AA1165" s="2">
        <v>-74.083966666666697</v>
      </c>
      <c r="AB1165" s="2">
        <v>2552</v>
      </c>
      <c r="AC1165" s="2" t="s">
        <v>31</v>
      </c>
      <c r="AD1165" s="2" t="s">
        <v>32</v>
      </c>
      <c r="AE1165" s="2" t="s">
        <v>33</v>
      </c>
      <c r="AF1165" s="2" t="s">
        <v>34</v>
      </c>
      <c r="AG1165" s="2" t="s">
        <v>35</v>
      </c>
      <c r="AH1165" s="2">
        <v>0.69668438249942499</v>
      </c>
      <c r="AI1165" s="2">
        <v>1.64165379517924</v>
      </c>
      <c r="AJ1165" s="2">
        <v>0.10918898860987</v>
      </c>
      <c r="AK1165" s="2">
        <v>3.6981298402529603E-2</v>
      </c>
      <c r="AL1165" s="2">
        <v>0.28743956610268701</v>
      </c>
      <c r="AN1165" s="2">
        <v>6.8</v>
      </c>
      <c r="AO1165" s="2">
        <v>19.899999999999999</v>
      </c>
      <c r="AP1165" s="2">
        <v>564</v>
      </c>
      <c r="AQ1165" s="2">
        <v>68</v>
      </c>
      <c r="AR1165" s="2">
        <v>1.5</v>
      </c>
      <c r="AS1165" s="2">
        <v>135</v>
      </c>
      <c r="AT1165" s="2">
        <v>0.8</v>
      </c>
      <c r="AU1165" s="2">
        <v>162</v>
      </c>
      <c r="AV1165" s="2">
        <v>9.1</v>
      </c>
      <c r="AW1165" s="2">
        <v>9.1999999999999993</v>
      </c>
      <c r="AX1165" s="2">
        <v>18.3</v>
      </c>
      <c r="AY1165" s="2">
        <v>0.34</v>
      </c>
      <c r="AZ1165" s="2">
        <v>7.3</v>
      </c>
      <c r="BA1165" s="2">
        <v>0.9</v>
      </c>
      <c r="BB1165" s="2">
        <v>7.5</v>
      </c>
      <c r="BC1165" s="2">
        <v>2.9</v>
      </c>
      <c r="BD1165" s="2">
        <f>+AN1165*EXP(-0.0495*Y1165)</f>
        <v>6.1418138815987557</v>
      </c>
      <c r="BE1165" s="2">
        <f>+AO1165*EXP(-0.024*Y1165)</f>
        <v>18.941607305100209</v>
      </c>
    </row>
    <row r="1166" spans="1:57" x14ac:dyDescent="0.2">
      <c r="A1166" s="2" t="s">
        <v>4083</v>
      </c>
      <c r="B1166" s="2" t="s">
        <v>19</v>
      </c>
      <c r="C1166" s="2" t="s">
        <v>3245</v>
      </c>
      <c r="D1166" s="2" t="s">
        <v>21</v>
      </c>
      <c r="E1166" s="2" t="s">
        <v>1242</v>
      </c>
      <c r="F1166" s="2">
        <v>4</v>
      </c>
      <c r="G1166" s="2">
        <v>29.5</v>
      </c>
      <c r="H1166" s="2">
        <v>1</v>
      </c>
      <c r="I1166" s="2">
        <v>1</v>
      </c>
      <c r="J1166" s="2">
        <v>0</v>
      </c>
      <c r="K1166" s="2" t="s">
        <v>61</v>
      </c>
      <c r="L1166" s="6" t="s">
        <v>113</v>
      </c>
      <c r="M1166" s="5">
        <v>324500000</v>
      </c>
      <c r="N1166" s="2">
        <v>0</v>
      </c>
      <c r="O1166" s="2">
        <v>4.6475200000000001</v>
      </c>
      <c r="P1166" s="2">
        <v>-74.059820000000002</v>
      </c>
      <c r="Q1166" s="2" t="s">
        <v>4084</v>
      </c>
      <c r="R1166" s="2">
        <v>11000000</v>
      </c>
      <c r="S1166" s="2">
        <v>0</v>
      </c>
      <c r="T1166" s="2" t="s">
        <v>77</v>
      </c>
      <c r="U1166" s="2" t="s">
        <v>78</v>
      </c>
      <c r="V1166" s="2" t="s">
        <v>28</v>
      </c>
      <c r="W1166" s="2" t="s">
        <v>79</v>
      </c>
      <c r="X1166" s="2" t="s">
        <v>80</v>
      </c>
      <c r="Y1166" s="2">
        <v>2.57826800060251</v>
      </c>
      <c r="Z1166" s="2">
        <v>4.6254861111111101</v>
      </c>
      <c r="AA1166" s="2">
        <v>-74.066980555555503</v>
      </c>
      <c r="AB1166" s="2">
        <v>2621</v>
      </c>
      <c r="AC1166" s="2" t="s">
        <v>31</v>
      </c>
      <c r="AD1166" s="2" t="s">
        <v>32</v>
      </c>
      <c r="AE1166" s="2" t="s">
        <v>33</v>
      </c>
      <c r="AF1166" s="2" t="s">
        <v>34</v>
      </c>
      <c r="AG1166" s="2" t="s">
        <v>81</v>
      </c>
      <c r="AH1166" s="2">
        <v>0.56849067648222895</v>
      </c>
      <c r="AI1166" s="2">
        <v>0.73734148311672199</v>
      </c>
      <c r="AJ1166" s="2">
        <v>0.192841274729603</v>
      </c>
      <c r="AK1166" s="2">
        <v>0.16255868724338701</v>
      </c>
      <c r="AL1166" s="2">
        <v>0.25058642058473601</v>
      </c>
      <c r="AN1166" s="2">
        <v>6.8</v>
      </c>
      <c r="AO1166" s="2">
        <v>19.899999999999999</v>
      </c>
      <c r="AP1166" s="2">
        <v>564</v>
      </c>
      <c r="AQ1166" s="2">
        <v>68</v>
      </c>
      <c r="AR1166" s="2">
        <v>1.5</v>
      </c>
      <c r="AS1166" s="2">
        <v>135</v>
      </c>
      <c r="AT1166" s="2">
        <v>0.8</v>
      </c>
      <c r="AU1166" s="2">
        <v>162</v>
      </c>
      <c r="AV1166" s="2">
        <v>9.1</v>
      </c>
      <c r="AW1166" s="2">
        <v>9.1999999999999993</v>
      </c>
      <c r="AX1166" s="2">
        <v>18.3</v>
      </c>
      <c r="AY1166" s="2">
        <v>0.34</v>
      </c>
      <c r="AZ1166" s="2">
        <v>7.3</v>
      </c>
      <c r="BA1166" s="2">
        <v>0.9</v>
      </c>
      <c r="BB1166" s="2">
        <v>7.5</v>
      </c>
      <c r="BC1166" s="2">
        <v>2.9</v>
      </c>
      <c r="BD1166" s="2">
        <f>+AN1166*EXP(-0.0495*Y1166)</f>
        <v>5.9852514180273069</v>
      </c>
      <c r="BE1166" s="2">
        <f>+AO1166*EXP(-0.024*Y1166)</f>
        <v>18.705943352773822</v>
      </c>
    </row>
    <row r="1167" spans="1:57" x14ac:dyDescent="0.2">
      <c r="A1167" s="2" t="s">
        <v>4287</v>
      </c>
      <c r="B1167" s="2" t="s">
        <v>19</v>
      </c>
      <c r="C1167" s="2" t="s">
        <v>3245</v>
      </c>
      <c r="D1167" s="2" t="s">
        <v>21</v>
      </c>
      <c r="E1167" s="2" t="s">
        <v>1242</v>
      </c>
      <c r="F1167" s="2">
        <v>4</v>
      </c>
      <c r="G1167" s="2">
        <v>29.45</v>
      </c>
      <c r="H1167" s="2">
        <v>1</v>
      </c>
      <c r="I1167" s="2">
        <v>1</v>
      </c>
      <c r="J1167" s="2">
        <v>0</v>
      </c>
      <c r="K1167" s="2" t="s">
        <v>61</v>
      </c>
      <c r="L1167" s="6" t="s">
        <v>113</v>
      </c>
      <c r="M1167" s="5">
        <v>336930000</v>
      </c>
      <c r="N1167" s="2">
        <v>0</v>
      </c>
      <c r="O1167" s="2">
        <v>4.6475200000000001</v>
      </c>
      <c r="P1167" s="2">
        <v>-74.059820000000002</v>
      </c>
      <c r="Q1167" s="2" t="s">
        <v>4288</v>
      </c>
      <c r="R1167" s="2">
        <v>11440747.029999999</v>
      </c>
      <c r="S1167" s="2">
        <v>0</v>
      </c>
      <c r="T1167" s="2" t="s">
        <v>77</v>
      </c>
      <c r="U1167" s="2" t="s">
        <v>78</v>
      </c>
      <c r="V1167" s="2" t="s">
        <v>28</v>
      </c>
      <c r="W1167" s="2" t="s">
        <v>79</v>
      </c>
      <c r="X1167" s="2" t="s">
        <v>80</v>
      </c>
      <c r="Y1167" s="2">
        <v>2.57826800060251</v>
      </c>
      <c r="Z1167" s="2">
        <v>4.6254861111111101</v>
      </c>
      <c r="AA1167" s="2">
        <v>-74.066980555555503</v>
      </c>
      <c r="AB1167" s="2">
        <v>2621</v>
      </c>
      <c r="AC1167" s="2" t="s">
        <v>31</v>
      </c>
      <c r="AD1167" s="2" t="s">
        <v>32</v>
      </c>
      <c r="AE1167" s="2" t="s">
        <v>33</v>
      </c>
      <c r="AF1167" s="2" t="s">
        <v>34</v>
      </c>
      <c r="AG1167" s="2" t="s">
        <v>81</v>
      </c>
      <c r="AH1167" s="2">
        <v>0.56849067648222895</v>
      </c>
      <c r="AI1167" s="2">
        <v>0.73734148311672199</v>
      </c>
      <c r="AJ1167" s="2">
        <v>0.192841274729603</v>
      </c>
      <c r="AK1167" s="2">
        <v>0.16255868724338701</v>
      </c>
      <c r="AL1167" s="2">
        <v>0.25058642058473601</v>
      </c>
      <c r="AN1167" s="2">
        <v>6.8</v>
      </c>
      <c r="AO1167" s="2">
        <v>19.899999999999999</v>
      </c>
      <c r="AP1167" s="2">
        <v>564</v>
      </c>
      <c r="AQ1167" s="2">
        <v>68</v>
      </c>
      <c r="AR1167" s="2">
        <v>1.5</v>
      </c>
      <c r="AS1167" s="2">
        <v>135</v>
      </c>
      <c r="AT1167" s="2">
        <v>0.8</v>
      </c>
      <c r="AU1167" s="2">
        <v>162</v>
      </c>
      <c r="AV1167" s="2">
        <v>9.1</v>
      </c>
      <c r="AW1167" s="2">
        <v>9.1999999999999993</v>
      </c>
      <c r="AX1167" s="2">
        <v>18.3</v>
      </c>
      <c r="AY1167" s="2">
        <v>0.34</v>
      </c>
      <c r="AZ1167" s="2">
        <v>7.3</v>
      </c>
      <c r="BA1167" s="2">
        <v>0.9</v>
      </c>
      <c r="BB1167" s="2">
        <v>7.5</v>
      </c>
      <c r="BC1167" s="2">
        <v>2.9</v>
      </c>
      <c r="BD1167" s="2">
        <f>+AN1167*EXP(-0.0495*Y1167)</f>
        <v>5.9852514180273069</v>
      </c>
      <c r="BE1167" s="2">
        <f>+AO1167*EXP(-0.024*Y1167)</f>
        <v>18.705943352773822</v>
      </c>
    </row>
    <row r="1168" spans="1:57" x14ac:dyDescent="0.2">
      <c r="A1168" s="2" t="s">
        <v>4392</v>
      </c>
      <c r="B1168" s="2" t="s">
        <v>19</v>
      </c>
      <c r="C1168" s="2" t="s">
        <v>3245</v>
      </c>
      <c r="D1168" s="2" t="s">
        <v>21</v>
      </c>
      <c r="E1168" s="2" t="s">
        <v>1242</v>
      </c>
      <c r="F1168" s="2">
        <v>4</v>
      </c>
      <c r="G1168" s="2">
        <v>29.45</v>
      </c>
      <c r="H1168" s="2">
        <v>1</v>
      </c>
      <c r="I1168" s="2">
        <v>1</v>
      </c>
      <c r="J1168" s="2">
        <v>0</v>
      </c>
      <c r="K1168" s="2" t="s">
        <v>61</v>
      </c>
      <c r="L1168" s="6" t="s">
        <v>113</v>
      </c>
      <c r="M1168" s="5">
        <v>336930000</v>
      </c>
      <c r="N1168" s="2">
        <v>0</v>
      </c>
      <c r="O1168" s="2">
        <v>4.6475200000000001</v>
      </c>
      <c r="P1168" s="2">
        <v>-74.059820000000002</v>
      </c>
      <c r="Q1168" s="2" t="s">
        <v>4393</v>
      </c>
      <c r="R1168" s="2">
        <v>11440747.029999999</v>
      </c>
      <c r="S1168" s="2">
        <v>0</v>
      </c>
      <c r="T1168" s="2" t="s">
        <v>77</v>
      </c>
      <c r="U1168" s="2" t="s">
        <v>78</v>
      </c>
      <c r="V1168" s="2" t="s">
        <v>28</v>
      </c>
      <c r="W1168" s="2" t="s">
        <v>79</v>
      </c>
      <c r="X1168" s="2" t="s">
        <v>80</v>
      </c>
      <c r="Y1168" s="2">
        <v>2.57826800060251</v>
      </c>
      <c r="Z1168" s="2">
        <v>4.6254861111111101</v>
      </c>
      <c r="AA1168" s="2">
        <v>-74.066980555555503</v>
      </c>
      <c r="AB1168" s="2">
        <v>2621</v>
      </c>
      <c r="AC1168" s="2" t="s">
        <v>31</v>
      </c>
      <c r="AD1168" s="2" t="s">
        <v>32</v>
      </c>
      <c r="AE1168" s="2" t="s">
        <v>33</v>
      </c>
      <c r="AF1168" s="2" t="s">
        <v>34</v>
      </c>
      <c r="AG1168" s="2" t="s">
        <v>81</v>
      </c>
      <c r="AH1168" s="2">
        <v>0.56849067648222895</v>
      </c>
      <c r="AI1168" s="2">
        <v>0.73734148311672199</v>
      </c>
      <c r="AJ1168" s="2">
        <v>0.192841274729603</v>
      </c>
      <c r="AK1168" s="2">
        <v>0.16255868724338701</v>
      </c>
      <c r="AL1168" s="2">
        <v>0.25058642058473601</v>
      </c>
      <c r="AN1168" s="2">
        <v>6.8</v>
      </c>
      <c r="AO1168" s="2">
        <v>19.899999999999999</v>
      </c>
      <c r="AP1168" s="2">
        <v>564</v>
      </c>
      <c r="AQ1168" s="2">
        <v>68</v>
      </c>
      <c r="AR1168" s="2">
        <v>1.5</v>
      </c>
      <c r="AS1168" s="2">
        <v>135</v>
      </c>
      <c r="AT1168" s="2">
        <v>0.8</v>
      </c>
      <c r="AU1168" s="2">
        <v>162</v>
      </c>
      <c r="AV1168" s="2">
        <v>9.1</v>
      </c>
      <c r="AW1168" s="2">
        <v>9.1999999999999993</v>
      </c>
      <c r="AX1168" s="2">
        <v>18.3</v>
      </c>
      <c r="AY1168" s="2">
        <v>0.34</v>
      </c>
      <c r="AZ1168" s="2">
        <v>7.3</v>
      </c>
      <c r="BA1168" s="2">
        <v>0.9</v>
      </c>
      <c r="BB1168" s="2">
        <v>7.5</v>
      </c>
      <c r="BC1168" s="2">
        <v>2.9</v>
      </c>
      <c r="BD1168" s="2">
        <f>+AN1168*EXP(-0.0495*Y1168)</f>
        <v>5.9852514180273069</v>
      </c>
      <c r="BE1168" s="2">
        <f>+AO1168*EXP(-0.024*Y1168)</f>
        <v>18.705943352773822</v>
      </c>
    </row>
    <row r="1169" spans="1:57" x14ac:dyDescent="0.2">
      <c r="A1169" s="2" t="s">
        <v>3290</v>
      </c>
      <c r="B1169" s="2" t="s">
        <v>19</v>
      </c>
      <c r="C1169" s="2" t="s">
        <v>3245</v>
      </c>
      <c r="D1169" s="2" t="s">
        <v>21</v>
      </c>
      <c r="E1169" s="2" t="s">
        <v>762</v>
      </c>
      <c r="F1169" s="2">
        <v>4</v>
      </c>
      <c r="G1169" s="2">
        <v>29.45</v>
      </c>
      <c r="H1169" s="2">
        <v>1</v>
      </c>
      <c r="I1169" s="2">
        <v>1</v>
      </c>
      <c r="J1169" s="2">
        <v>0</v>
      </c>
      <c r="K1169" s="2" t="s">
        <v>61</v>
      </c>
      <c r="L1169" s="6" t="s">
        <v>62</v>
      </c>
      <c r="M1169" s="5">
        <v>336930000</v>
      </c>
      <c r="N1169" s="2">
        <v>0</v>
      </c>
      <c r="O1169" s="2">
        <v>4.6421700000000001</v>
      </c>
      <c r="P1169" s="2">
        <v>-74.062619999999995</v>
      </c>
      <c r="Q1169" s="2" t="s">
        <v>3291</v>
      </c>
      <c r="R1169" s="2">
        <v>11440747.029999999</v>
      </c>
      <c r="S1169" s="2">
        <v>0</v>
      </c>
      <c r="T1169" s="2" t="s">
        <v>77</v>
      </c>
      <c r="U1169" s="2" t="s">
        <v>78</v>
      </c>
      <c r="V1169" s="2" t="s">
        <v>28</v>
      </c>
      <c r="W1169" s="2" t="s">
        <v>79</v>
      </c>
      <c r="X1169" s="2" t="s">
        <v>80</v>
      </c>
      <c r="Y1169" s="2">
        <v>1.91922838807675</v>
      </c>
      <c r="Z1169" s="2">
        <v>4.6254861111111101</v>
      </c>
      <c r="AA1169" s="2">
        <v>-74.066980555555503</v>
      </c>
      <c r="AB1169" s="2">
        <v>2621</v>
      </c>
      <c r="AC1169" s="2" t="s">
        <v>31</v>
      </c>
      <c r="AD1169" s="2" t="s">
        <v>32</v>
      </c>
      <c r="AE1169" s="2" t="s">
        <v>33</v>
      </c>
      <c r="AF1169" s="2" t="s">
        <v>34</v>
      </c>
      <c r="AG1169" s="2" t="s">
        <v>81</v>
      </c>
      <c r="AH1169" s="2">
        <v>0.36688709197208902</v>
      </c>
      <c r="AI1169" s="2">
        <v>0.57830557945604999</v>
      </c>
      <c r="AJ1169" s="2">
        <v>0.40083768395434699</v>
      </c>
      <c r="AK1169" s="2">
        <v>5.1942815949417701E-2</v>
      </c>
      <c r="AL1169" s="2">
        <v>0.25878570025696601</v>
      </c>
      <c r="AN1169" s="2">
        <v>6.8</v>
      </c>
      <c r="AO1169" s="2">
        <v>19.899999999999999</v>
      </c>
      <c r="AP1169" s="2">
        <v>564</v>
      </c>
      <c r="AQ1169" s="2">
        <v>68</v>
      </c>
      <c r="AR1169" s="2">
        <v>1.5</v>
      </c>
      <c r="AS1169" s="2">
        <v>135</v>
      </c>
      <c r="AT1169" s="2">
        <v>0.8</v>
      </c>
      <c r="AU1169" s="2">
        <v>162</v>
      </c>
      <c r="AV1169" s="2">
        <v>9.1</v>
      </c>
      <c r="AW1169" s="2">
        <v>9.1999999999999993</v>
      </c>
      <c r="AX1169" s="2">
        <v>18.3</v>
      </c>
      <c r="AY1169" s="2">
        <v>0.34</v>
      </c>
      <c r="AZ1169" s="2">
        <v>7.3</v>
      </c>
      <c r="BA1169" s="2">
        <v>0.9</v>
      </c>
      <c r="BB1169" s="2">
        <v>7.5</v>
      </c>
      <c r="BC1169" s="2">
        <v>2.9</v>
      </c>
      <c r="BD1169" s="2">
        <f>+AN1169*EXP(-0.0495*Y1169)</f>
        <v>6.1837247914533089</v>
      </c>
      <c r="BE1169" s="2">
        <f>+AO1169*EXP(-0.024*Y1169)</f>
        <v>19.004166610545376</v>
      </c>
    </row>
    <row r="1170" spans="1:57" x14ac:dyDescent="0.2">
      <c r="A1170" s="2" t="s">
        <v>3560</v>
      </c>
      <c r="B1170" s="2" t="s">
        <v>19</v>
      </c>
      <c r="C1170" s="2" t="s">
        <v>3245</v>
      </c>
      <c r="D1170" s="2" t="s">
        <v>21</v>
      </c>
      <c r="E1170" s="2" t="s">
        <v>762</v>
      </c>
      <c r="F1170" s="2">
        <v>4</v>
      </c>
      <c r="G1170" s="2">
        <v>29.45</v>
      </c>
      <c r="H1170" s="2">
        <v>1</v>
      </c>
      <c r="I1170" s="2">
        <v>1</v>
      </c>
      <c r="J1170" s="2">
        <v>0</v>
      </c>
      <c r="K1170" s="2" t="s">
        <v>61</v>
      </c>
      <c r="L1170" s="6" t="s">
        <v>113</v>
      </c>
      <c r="M1170" s="5">
        <v>323950000</v>
      </c>
      <c r="N1170" s="2">
        <v>0</v>
      </c>
      <c r="O1170" s="2">
        <v>4.6475200000000001</v>
      </c>
      <c r="P1170" s="2">
        <v>-74.059820000000002</v>
      </c>
      <c r="Q1170" s="2" t="s">
        <v>3561</v>
      </c>
      <c r="R1170" s="2">
        <v>11000000</v>
      </c>
      <c r="S1170" s="2">
        <v>0</v>
      </c>
      <c r="T1170" s="2" t="s">
        <v>77</v>
      </c>
      <c r="U1170" s="2" t="s">
        <v>78</v>
      </c>
      <c r="V1170" s="2" t="s">
        <v>28</v>
      </c>
      <c r="W1170" s="2" t="s">
        <v>79</v>
      </c>
      <c r="X1170" s="2" t="s">
        <v>80</v>
      </c>
      <c r="Y1170" s="2">
        <v>2.57826800060251</v>
      </c>
      <c r="Z1170" s="2">
        <v>4.6254861111111101</v>
      </c>
      <c r="AA1170" s="2">
        <v>-74.066980555555503</v>
      </c>
      <c r="AB1170" s="2">
        <v>2621</v>
      </c>
      <c r="AC1170" s="2" t="s">
        <v>31</v>
      </c>
      <c r="AD1170" s="2" t="s">
        <v>32</v>
      </c>
      <c r="AE1170" s="2" t="s">
        <v>33</v>
      </c>
      <c r="AF1170" s="2" t="s">
        <v>34</v>
      </c>
      <c r="AG1170" s="2" t="s">
        <v>81</v>
      </c>
      <c r="AH1170" s="2">
        <v>0.56849067648222895</v>
      </c>
      <c r="AI1170" s="2">
        <v>0.73734148311672199</v>
      </c>
      <c r="AJ1170" s="2">
        <v>0.192841274729603</v>
      </c>
      <c r="AK1170" s="2">
        <v>0.16255868724338701</v>
      </c>
      <c r="AL1170" s="2">
        <v>0.25058642058473601</v>
      </c>
      <c r="AN1170" s="2">
        <v>6.8</v>
      </c>
      <c r="AO1170" s="2">
        <v>19.899999999999999</v>
      </c>
      <c r="AP1170" s="2">
        <v>564</v>
      </c>
      <c r="AQ1170" s="2">
        <v>68</v>
      </c>
      <c r="AR1170" s="2">
        <v>1.5</v>
      </c>
      <c r="AS1170" s="2">
        <v>135</v>
      </c>
      <c r="AT1170" s="2">
        <v>0.8</v>
      </c>
      <c r="AU1170" s="2">
        <v>162</v>
      </c>
      <c r="AV1170" s="2">
        <v>9.1</v>
      </c>
      <c r="AW1170" s="2">
        <v>9.1999999999999993</v>
      </c>
      <c r="AX1170" s="2">
        <v>18.3</v>
      </c>
      <c r="AY1170" s="2">
        <v>0.34</v>
      </c>
      <c r="AZ1170" s="2">
        <v>7.3</v>
      </c>
      <c r="BA1170" s="2">
        <v>0.9</v>
      </c>
      <c r="BB1170" s="2">
        <v>7.5</v>
      </c>
      <c r="BC1170" s="2">
        <v>2.9</v>
      </c>
      <c r="BD1170" s="2">
        <f>+AN1170*EXP(-0.0495*Y1170)</f>
        <v>5.9852514180273069</v>
      </c>
      <c r="BE1170" s="2">
        <f>+AO1170*EXP(-0.024*Y1170)</f>
        <v>18.705943352773822</v>
      </c>
    </row>
    <row r="1171" spans="1:57" x14ac:dyDescent="0.2">
      <c r="A1171" s="2" t="s">
        <v>4506</v>
      </c>
      <c r="B1171" s="2" t="s">
        <v>19</v>
      </c>
      <c r="C1171" s="2" t="s">
        <v>3245</v>
      </c>
      <c r="D1171" s="2" t="s">
        <v>21</v>
      </c>
      <c r="E1171" s="2" t="s">
        <v>4507</v>
      </c>
      <c r="F1171" s="2">
        <v>3</v>
      </c>
      <c r="G1171" s="2">
        <v>29.45</v>
      </c>
      <c r="H1171" s="2">
        <v>1</v>
      </c>
      <c r="I1171" s="2">
        <v>1</v>
      </c>
      <c r="J1171" s="2">
        <v>0</v>
      </c>
      <c r="K1171" s="2" t="s">
        <v>61</v>
      </c>
      <c r="L1171" s="6" t="s">
        <v>62</v>
      </c>
      <c r="M1171" s="5">
        <v>215000000</v>
      </c>
      <c r="N1171" s="2">
        <v>0</v>
      </c>
      <c r="O1171" s="2">
        <v>4.6776847840000002</v>
      </c>
      <c r="P1171" s="2">
        <v>-74.088371280000004</v>
      </c>
      <c r="Q1171" s="2" t="s">
        <v>4508</v>
      </c>
      <c r="R1171" s="2">
        <v>7300509.3380000005</v>
      </c>
      <c r="S1171" s="2">
        <v>0</v>
      </c>
      <c r="T1171" s="2" t="s">
        <v>26</v>
      </c>
      <c r="U1171" s="2" t="s">
        <v>27</v>
      </c>
      <c r="V1171" s="2" t="s">
        <v>28</v>
      </c>
      <c r="W1171" s="2" t="s">
        <v>29</v>
      </c>
      <c r="X1171" s="2" t="s">
        <v>30</v>
      </c>
      <c r="Y1171" s="2">
        <v>2.1944574662193701</v>
      </c>
      <c r="Z1171" s="2">
        <v>4.6584666666666701</v>
      </c>
      <c r="AA1171" s="2">
        <v>-74.083966666666697</v>
      </c>
      <c r="AB1171" s="2">
        <v>2552</v>
      </c>
      <c r="AC1171" s="2" t="s">
        <v>31</v>
      </c>
      <c r="AD1171" s="2" t="s">
        <v>32</v>
      </c>
      <c r="AE1171" s="2" t="s">
        <v>33</v>
      </c>
      <c r="AF1171" s="2" t="s">
        <v>34</v>
      </c>
      <c r="AG1171" s="2" t="s">
        <v>363</v>
      </c>
      <c r="AH1171" s="2">
        <v>1.2555950397656499</v>
      </c>
      <c r="AI1171" s="2">
        <v>5.0000398909721602</v>
      </c>
      <c r="AJ1171" s="2">
        <v>1.7896435313804</v>
      </c>
      <c r="AK1171" s="2">
        <v>0.239874523296179</v>
      </c>
      <c r="AL1171" s="2">
        <v>0.22703550711000001</v>
      </c>
      <c r="AN1171" s="2">
        <v>6.8</v>
      </c>
      <c r="AO1171" s="2">
        <v>19.899999999999999</v>
      </c>
      <c r="AP1171" s="2">
        <v>564</v>
      </c>
      <c r="AQ1171" s="2">
        <v>68</v>
      </c>
      <c r="AR1171" s="2">
        <v>1.5</v>
      </c>
      <c r="AS1171" s="2">
        <v>135</v>
      </c>
      <c r="AT1171" s="2">
        <v>0.8</v>
      </c>
      <c r="AU1171" s="2">
        <v>162</v>
      </c>
      <c r="AV1171" s="2">
        <v>9.1</v>
      </c>
      <c r="AW1171" s="2">
        <v>9.1999999999999993</v>
      </c>
      <c r="AX1171" s="2">
        <v>18.3</v>
      </c>
      <c r="AY1171" s="2">
        <v>0.34</v>
      </c>
      <c r="AZ1171" s="2">
        <v>7.3</v>
      </c>
      <c r="BA1171" s="2">
        <v>0.9</v>
      </c>
      <c r="BB1171" s="2">
        <v>7.5</v>
      </c>
      <c r="BC1171" s="2">
        <v>2.9</v>
      </c>
      <c r="BD1171" s="2">
        <f>+AN1171*EXP(-0.0495*Y1171)</f>
        <v>6.1000499983970178</v>
      </c>
      <c r="BE1171" s="2">
        <f>+AO1171*EXP(-0.024*Y1171)</f>
        <v>18.879048317620345</v>
      </c>
    </row>
    <row r="1172" spans="1:57" x14ac:dyDescent="0.2">
      <c r="A1172" s="2" t="s">
        <v>4002</v>
      </c>
      <c r="B1172" s="2" t="s">
        <v>19</v>
      </c>
      <c r="C1172" s="2" t="s">
        <v>3245</v>
      </c>
      <c r="D1172" s="2" t="s">
        <v>21</v>
      </c>
      <c r="E1172" s="2" t="s">
        <v>3727</v>
      </c>
      <c r="F1172" s="2">
        <v>4</v>
      </c>
      <c r="G1172" s="2">
        <v>29</v>
      </c>
      <c r="H1172" s="2">
        <v>1</v>
      </c>
      <c r="I1172" s="2">
        <v>1</v>
      </c>
      <c r="J1172" s="2">
        <v>0</v>
      </c>
      <c r="K1172" s="2" t="s">
        <v>61</v>
      </c>
      <c r="L1172" s="6" t="s">
        <v>62</v>
      </c>
      <c r="M1172" s="5">
        <v>330000000</v>
      </c>
      <c r="N1172" s="2">
        <v>0</v>
      </c>
      <c r="O1172" s="2">
        <v>4.6175569999999997</v>
      </c>
      <c r="P1172" s="2">
        <v>-74.071899999999999</v>
      </c>
      <c r="Q1172" s="2" t="s">
        <v>4003</v>
      </c>
      <c r="R1172" s="2">
        <v>11379310.34</v>
      </c>
      <c r="S1172" s="2">
        <v>0</v>
      </c>
      <c r="T1172" s="2" t="s">
        <v>77</v>
      </c>
      <c r="U1172" s="2" t="s">
        <v>78</v>
      </c>
      <c r="V1172" s="2" t="s">
        <v>28</v>
      </c>
      <c r="W1172" s="2" t="s">
        <v>79</v>
      </c>
      <c r="X1172" s="2" t="s">
        <v>80</v>
      </c>
      <c r="Y1172" s="2">
        <v>1.0378094850252599</v>
      </c>
      <c r="Z1172" s="2">
        <v>4.6254861111111101</v>
      </c>
      <c r="AA1172" s="2">
        <v>-74.066980555555503</v>
      </c>
      <c r="AB1172" s="2">
        <v>2621</v>
      </c>
      <c r="AC1172" s="2" t="s">
        <v>31</v>
      </c>
      <c r="AD1172" s="2" t="s">
        <v>32</v>
      </c>
      <c r="AE1172" s="2" t="s">
        <v>33</v>
      </c>
      <c r="AF1172" s="2" t="s">
        <v>34</v>
      </c>
      <c r="AG1172" s="2" t="s">
        <v>35</v>
      </c>
      <c r="AH1172" s="2">
        <v>0.104087267774247</v>
      </c>
      <c r="AI1172" s="2">
        <v>0.94612825159584002</v>
      </c>
      <c r="AJ1172" s="2">
        <v>0.37704699037030698</v>
      </c>
      <c r="AK1172" s="2">
        <v>9.9160182203619301E-2</v>
      </c>
      <c r="AL1172" s="2">
        <v>0.32341150256688</v>
      </c>
      <c r="AN1172" s="2">
        <v>6.8</v>
      </c>
      <c r="AO1172" s="2">
        <v>19.899999999999999</v>
      </c>
      <c r="AP1172" s="2">
        <v>564</v>
      </c>
      <c r="AQ1172" s="2">
        <v>68</v>
      </c>
      <c r="AR1172" s="2">
        <v>1.5</v>
      </c>
      <c r="AS1172" s="2">
        <v>135</v>
      </c>
      <c r="AT1172" s="2">
        <v>0.8</v>
      </c>
      <c r="AU1172" s="2">
        <v>162</v>
      </c>
      <c r="AV1172" s="2">
        <v>9.1</v>
      </c>
      <c r="AW1172" s="2">
        <v>9.1999999999999993</v>
      </c>
      <c r="AX1172" s="2">
        <v>18.3</v>
      </c>
      <c r="AY1172" s="2">
        <v>0.34</v>
      </c>
      <c r="AZ1172" s="2">
        <v>7.3</v>
      </c>
      <c r="BA1172" s="2">
        <v>0.9</v>
      </c>
      <c r="BB1172" s="2">
        <v>7.5</v>
      </c>
      <c r="BC1172" s="2">
        <v>2.9</v>
      </c>
      <c r="BD1172" s="2">
        <f>+AN1172*EXP(-0.0495*Y1172)</f>
        <v>6.4594943625067245</v>
      </c>
      <c r="BE1172" s="2">
        <f>+AO1172*EXP(-0.024*Y1172)</f>
        <v>19.41046403864901</v>
      </c>
    </row>
    <row r="1173" spans="1:57" x14ac:dyDescent="0.2">
      <c r="A1173" s="2" t="s">
        <v>4550</v>
      </c>
      <c r="B1173" s="2" t="s">
        <v>19</v>
      </c>
      <c r="C1173" s="2" t="s">
        <v>3245</v>
      </c>
      <c r="D1173" s="2" t="s">
        <v>21</v>
      </c>
      <c r="E1173" s="2" t="s">
        <v>4551</v>
      </c>
      <c r="F1173" s="2">
        <v>3</v>
      </c>
      <c r="G1173" s="2">
        <v>29</v>
      </c>
      <c r="H1173" s="2">
        <v>1</v>
      </c>
      <c r="I1173" s="2">
        <v>1</v>
      </c>
      <c r="J1173" s="2">
        <v>0</v>
      </c>
      <c r="K1173" s="2" t="s">
        <v>61</v>
      </c>
      <c r="L1173" s="6" t="s">
        <v>62</v>
      </c>
      <c r="M1173" s="5">
        <v>290000000</v>
      </c>
      <c r="N1173" s="2">
        <v>0</v>
      </c>
      <c r="O1173" s="2">
        <v>4.6578626630000004</v>
      </c>
      <c r="P1173" s="2">
        <v>-74.067825319999997</v>
      </c>
      <c r="Q1173" s="2" t="s">
        <v>4552</v>
      </c>
      <c r="R1173" s="2">
        <v>10000000</v>
      </c>
      <c r="S1173" s="2">
        <v>0</v>
      </c>
      <c r="T1173" s="2" t="s">
        <v>26</v>
      </c>
      <c r="U1173" s="2" t="s">
        <v>27</v>
      </c>
      <c r="V1173" s="2" t="s">
        <v>28</v>
      </c>
      <c r="W1173" s="2" t="s">
        <v>29</v>
      </c>
      <c r="X1173" s="2" t="s">
        <v>30</v>
      </c>
      <c r="Y1173" s="2">
        <v>1.7921731417286899</v>
      </c>
      <c r="Z1173" s="2">
        <v>4.6584666666666701</v>
      </c>
      <c r="AA1173" s="2">
        <v>-74.083966666666697</v>
      </c>
      <c r="AB1173" s="2">
        <v>2552</v>
      </c>
      <c r="AC1173" s="2" t="s">
        <v>31</v>
      </c>
      <c r="AD1173" s="2" t="s">
        <v>32</v>
      </c>
      <c r="AE1173" s="2" t="s">
        <v>33</v>
      </c>
      <c r="AF1173" s="2" t="s">
        <v>34</v>
      </c>
      <c r="AG1173" s="2" t="s">
        <v>293</v>
      </c>
      <c r="AH1173" s="2">
        <v>0.62624492558576805</v>
      </c>
      <c r="AI1173" s="2">
        <v>2.1044855512899199</v>
      </c>
      <c r="AJ1173" s="2">
        <v>0.45082389281891599</v>
      </c>
      <c r="AK1173" s="2">
        <v>0.25469440401538801</v>
      </c>
      <c r="AL1173" s="2">
        <v>0.17978854013884199</v>
      </c>
      <c r="AN1173" s="2">
        <v>6.8</v>
      </c>
      <c r="AO1173" s="2">
        <v>19.899999999999999</v>
      </c>
      <c r="AP1173" s="2">
        <v>564</v>
      </c>
      <c r="AQ1173" s="2">
        <v>68</v>
      </c>
      <c r="AR1173" s="2">
        <v>1.5</v>
      </c>
      <c r="AS1173" s="2">
        <v>135</v>
      </c>
      <c r="AT1173" s="2">
        <v>0.8</v>
      </c>
      <c r="AU1173" s="2">
        <v>162</v>
      </c>
      <c r="AV1173" s="2">
        <v>9.1</v>
      </c>
      <c r="AW1173" s="2">
        <v>9.1999999999999993</v>
      </c>
      <c r="AX1173" s="2">
        <v>18.3</v>
      </c>
      <c r="AY1173" s="2">
        <v>0.34</v>
      </c>
      <c r="AZ1173" s="2">
        <v>7.3</v>
      </c>
      <c r="BA1173" s="2">
        <v>0.9</v>
      </c>
      <c r="BB1173" s="2">
        <v>7.5</v>
      </c>
      <c r="BC1173" s="2">
        <v>2.9</v>
      </c>
      <c r="BD1173" s="2">
        <f>+AN1173*EXP(-0.0495*Y1173)</f>
        <v>6.2227382417274963</v>
      </c>
      <c r="BE1173" s="2">
        <f>+AO1173*EXP(-0.024*Y1173)</f>
        <v>19.062204952171196</v>
      </c>
    </row>
    <row r="1174" spans="1:57" x14ac:dyDescent="0.2">
      <c r="A1174" s="2" t="s">
        <v>4547</v>
      </c>
      <c r="B1174" s="2" t="s">
        <v>19</v>
      </c>
      <c r="C1174" s="2" t="s">
        <v>3245</v>
      </c>
      <c r="D1174" s="2" t="s">
        <v>21</v>
      </c>
      <c r="E1174" s="2" t="s">
        <v>4548</v>
      </c>
      <c r="F1174" s="2">
        <v>4</v>
      </c>
      <c r="G1174" s="2">
        <v>29</v>
      </c>
      <c r="H1174" s="2">
        <v>1</v>
      </c>
      <c r="I1174" s="2">
        <v>1</v>
      </c>
      <c r="J1174" s="2">
        <v>0</v>
      </c>
      <c r="K1174" s="2" t="s">
        <v>61</v>
      </c>
      <c r="L1174" s="6" t="s">
        <v>84</v>
      </c>
      <c r="M1174" s="5">
        <v>280000000</v>
      </c>
      <c r="N1174" s="2">
        <v>0</v>
      </c>
      <c r="O1174" s="2">
        <v>4.6502299999999996</v>
      </c>
      <c r="P1174" s="2">
        <v>-74.073099999999997</v>
      </c>
      <c r="Q1174" s="2" t="s">
        <v>4549</v>
      </c>
      <c r="R1174" s="2">
        <v>9655172.4140000008</v>
      </c>
      <c r="S1174" s="2">
        <v>0</v>
      </c>
      <c r="T1174" s="2" t="s">
        <v>26</v>
      </c>
      <c r="U1174" s="2" t="s">
        <v>27</v>
      </c>
      <c r="V1174" s="2" t="s">
        <v>28</v>
      </c>
      <c r="W1174" s="2" t="s">
        <v>29</v>
      </c>
      <c r="X1174" s="2" t="s">
        <v>30</v>
      </c>
      <c r="Y1174" s="2">
        <v>1.5147208603591999</v>
      </c>
      <c r="Z1174" s="2">
        <v>4.6584666666666701</v>
      </c>
      <c r="AA1174" s="2">
        <v>-74.083966666666697</v>
      </c>
      <c r="AB1174" s="2">
        <v>2552</v>
      </c>
      <c r="AC1174" s="2" t="s">
        <v>31</v>
      </c>
      <c r="AD1174" s="2" t="s">
        <v>32</v>
      </c>
      <c r="AE1174" s="2" t="s">
        <v>33</v>
      </c>
      <c r="AF1174" s="2" t="s">
        <v>34</v>
      </c>
      <c r="AG1174" s="2" t="s">
        <v>35</v>
      </c>
      <c r="AH1174" s="2">
        <v>0.58391280504443799</v>
      </c>
      <c r="AI1174" s="2">
        <v>2.0095416792069098</v>
      </c>
      <c r="AJ1174" s="2">
        <v>0.16931749752906899</v>
      </c>
      <c r="AK1174" s="2">
        <v>5.7111840206613099E-2</v>
      </c>
      <c r="AL1174" s="2">
        <v>0.348005981273381</v>
      </c>
      <c r="AN1174" s="2">
        <v>6.8</v>
      </c>
      <c r="AO1174" s="2">
        <v>19.899999999999999</v>
      </c>
      <c r="AP1174" s="2">
        <v>564</v>
      </c>
      <c r="AQ1174" s="2">
        <v>68</v>
      </c>
      <c r="AR1174" s="2">
        <v>1.5</v>
      </c>
      <c r="AS1174" s="2">
        <v>135</v>
      </c>
      <c r="AT1174" s="2">
        <v>0.8</v>
      </c>
      <c r="AU1174" s="2">
        <v>162</v>
      </c>
      <c r="AV1174" s="2">
        <v>9.1</v>
      </c>
      <c r="AW1174" s="2">
        <v>9.1999999999999993</v>
      </c>
      <c r="AX1174" s="2">
        <v>18.3</v>
      </c>
      <c r="AY1174" s="2">
        <v>0.34</v>
      </c>
      <c r="AZ1174" s="2">
        <v>7.3</v>
      </c>
      <c r="BA1174" s="2">
        <v>0.9</v>
      </c>
      <c r="BB1174" s="2">
        <v>7.5</v>
      </c>
      <c r="BC1174" s="2">
        <v>2.9</v>
      </c>
      <c r="BD1174" s="2">
        <f>+AN1174*EXP(-0.0495*Y1174)</f>
        <v>6.3087901926818564</v>
      </c>
      <c r="BE1174" s="2">
        <f>+AO1174*EXP(-0.024*Y1174)</f>
        <v>19.189560958206375</v>
      </c>
    </row>
    <row r="1175" spans="1:57" x14ac:dyDescent="0.2">
      <c r="A1175" s="2" t="s">
        <v>4311</v>
      </c>
      <c r="B1175" s="2" t="s">
        <v>19</v>
      </c>
      <c r="C1175" s="2" t="s">
        <v>3245</v>
      </c>
      <c r="D1175" s="2" t="s">
        <v>21</v>
      </c>
      <c r="E1175" s="2" t="s">
        <v>1871</v>
      </c>
      <c r="F1175" s="2">
        <v>3</v>
      </c>
      <c r="G1175" s="2">
        <v>29</v>
      </c>
      <c r="H1175" s="2">
        <v>1</v>
      </c>
      <c r="I1175" s="2">
        <v>1</v>
      </c>
      <c r="J1175" s="2">
        <v>0</v>
      </c>
      <c r="K1175" s="2" t="s">
        <v>61</v>
      </c>
      <c r="L1175" s="6" t="s">
        <v>62</v>
      </c>
      <c r="M1175" s="5">
        <v>250000000</v>
      </c>
      <c r="N1175" s="2">
        <v>0</v>
      </c>
      <c r="O1175" s="2">
        <v>4.6383967999999998</v>
      </c>
      <c r="P1175" s="2">
        <v>-74.075856000000002</v>
      </c>
      <c r="Q1175" s="2" t="s">
        <v>4312</v>
      </c>
      <c r="R1175" s="2">
        <v>8620689.6549999993</v>
      </c>
      <c r="S1175" s="2">
        <v>0</v>
      </c>
      <c r="T1175" s="2" t="s">
        <v>77</v>
      </c>
      <c r="U1175" s="2" t="s">
        <v>78</v>
      </c>
      <c r="V1175" s="2" t="s">
        <v>28</v>
      </c>
      <c r="W1175" s="2" t="s">
        <v>79</v>
      </c>
      <c r="X1175" s="2" t="s">
        <v>80</v>
      </c>
      <c r="Y1175" s="2">
        <v>1.7422325234375</v>
      </c>
      <c r="Z1175" s="2">
        <v>4.6254861111111101</v>
      </c>
      <c r="AA1175" s="2">
        <v>-74.066980555555503</v>
      </c>
      <c r="AB1175" s="2">
        <v>2621</v>
      </c>
      <c r="AC1175" s="2" t="s">
        <v>31</v>
      </c>
      <c r="AD1175" s="2" t="s">
        <v>32</v>
      </c>
      <c r="AE1175" s="2" t="s">
        <v>33</v>
      </c>
      <c r="AF1175" s="2" t="s">
        <v>34</v>
      </c>
      <c r="AG1175" s="2" t="s">
        <v>35</v>
      </c>
      <c r="AH1175" s="2">
        <v>0.40981709902563801</v>
      </c>
      <c r="AI1175" s="2">
        <v>1.8396917563758499</v>
      </c>
      <c r="AJ1175" s="2">
        <v>0.25120461628216101</v>
      </c>
      <c r="AK1175" s="2">
        <v>9.5186537926169296E-2</v>
      </c>
      <c r="AL1175" s="2">
        <v>0.37265415008887598</v>
      </c>
      <c r="AN1175" s="2">
        <v>6.8</v>
      </c>
      <c r="AO1175" s="2">
        <v>19.899999999999999</v>
      </c>
      <c r="AP1175" s="2">
        <v>564</v>
      </c>
      <c r="AQ1175" s="2">
        <v>68</v>
      </c>
      <c r="AR1175" s="2">
        <v>1.5</v>
      </c>
      <c r="AS1175" s="2">
        <v>135</v>
      </c>
      <c r="AT1175" s="2">
        <v>0.8</v>
      </c>
      <c r="AU1175" s="2">
        <v>162</v>
      </c>
      <c r="AV1175" s="2">
        <v>9.1</v>
      </c>
      <c r="AW1175" s="2">
        <v>9.1999999999999993</v>
      </c>
      <c r="AX1175" s="2">
        <v>18.3</v>
      </c>
      <c r="AY1175" s="2">
        <v>0.34</v>
      </c>
      <c r="AZ1175" s="2">
        <v>7.3</v>
      </c>
      <c r="BA1175" s="2">
        <v>0.9</v>
      </c>
      <c r="BB1175" s="2">
        <v>7.5</v>
      </c>
      <c r="BC1175" s="2">
        <v>2.9</v>
      </c>
      <c r="BD1175" s="2">
        <f>+AN1175*EXP(-0.0495*Y1175)</f>
        <v>6.2381402573070694</v>
      </c>
      <c r="BE1175" s="2">
        <f>+AO1175*EXP(-0.024*Y1175)</f>
        <v>19.085066129081401</v>
      </c>
    </row>
    <row r="1176" spans="1:57" x14ac:dyDescent="0.2">
      <c r="A1176" s="2" t="s">
        <v>3784</v>
      </c>
      <c r="B1176" s="2" t="s">
        <v>19</v>
      </c>
      <c r="C1176" s="2" t="s">
        <v>3245</v>
      </c>
      <c r="D1176" s="2" t="s">
        <v>21</v>
      </c>
      <c r="E1176" s="2" t="s">
        <v>1597</v>
      </c>
      <c r="F1176" s="2">
        <v>3</v>
      </c>
      <c r="G1176" s="2">
        <v>28.67</v>
      </c>
      <c r="H1176" s="2">
        <v>1</v>
      </c>
      <c r="I1176" s="2">
        <v>1</v>
      </c>
      <c r="J1176" s="2">
        <v>0</v>
      </c>
      <c r="K1176" s="2" t="s">
        <v>61</v>
      </c>
      <c r="L1176" s="6" t="s">
        <v>62</v>
      </c>
      <c r="M1176" s="5">
        <v>310000000</v>
      </c>
      <c r="N1176" s="2">
        <v>0</v>
      </c>
      <c r="O1176" s="2">
        <v>4.6108148</v>
      </c>
      <c r="P1176" s="2">
        <v>-74.070130399999996</v>
      </c>
      <c r="Q1176" s="2" t="s">
        <v>3785</v>
      </c>
      <c r="R1176" s="2">
        <v>10812696.199999999</v>
      </c>
      <c r="S1176" s="2">
        <v>0</v>
      </c>
      <c r="T1176" s="2" t="s">
        <v>77</v>
      </c>
      <c r="U1176" s="2" t="s">
        <v>78</v>
      </c>
      <c r="V1176" s="2" t="s">
        <v>28</v>
      </c>
      <c r="W1176" s="2" t="s">
        <v>79</v>
      </c>
      <c r="X1176" s="2" t="s">
        <v>80</v>
      </c>
      <c r="Y1176" s="2">
        <v>1.6701803479913799</v>
      </c>
      <c r="Z1176" s="2">
        <v>4.6254861111111101</v>
      </c>
      <c r="AA1176" s="2">
        <v>-74.066980555555503</v>
      </c>
      <c r="AB1176" s="2">
        <v>2621</v>
      </c>
      <c r="AC1176" s="2" t="s">
        <v>31</v>
      </c>
      <c r="AD1176" s="2" t="s">
        <v>32</v>
      </c>
      <c r="AE1176" s="2" t="s">
        <v>33</v>
      </c>
      <c r="AF1176" s="2" t="s">
        <v>34</v>
      </c>
      <c r="AG1176" s="2" t="s">
        <v>89</v>
      </c>
      <c r="AH1176" s="2">
        <v>0.152171584704172</v>
      </c>
      <c r="AI1176" s="2">
        <v>0.62893358527237297</v>
      </c>
      <c r="AJ1176" s="2">
        <v>0.27521620825673698</v>
      </c>
      <c r="AK1176" s="2">
        <v>0.33092285654416997</v>
      </c>
      <c r="AL1176" s="2">
        <v>4.9164984995367998E-2</v>
      </c>
      <c r="AN1176" s="2">
        <v>6.8</v>
      </c>
      <c r="AO1176" s="2">
        <v>19.899999999999999</v>
      </c>
      <c r="AP1176" s="2">
        <v>564</v>
      </c>
      <c r="AQ1176" s="2">
        <v>68</v>
      </c>
      <c r="AR1176" s="2">
        <v>1.5</v>
      </c>
      <c r="AS1176" s="2">
        <v>135</v>
      </c>
      <c r="AT1176" s="2">
        <v>0.8</v>
      </c>
      <c r="AU1176" s="2">
        <v>162</v>
      </c>
      <c r="AV1176" s="2">
        <v>9.1</v>
      </c>
      <c r="AW1176" s="2">
        <v>9.1999999999999993</v>
      </c>
      <c r="AX1176" s="2">
        <v>18.3</v>
      </c>
      <c r="AY1176" s="2">
        <v>0.34</v>
      </c>
      <c r="AZ1176" s="2">
        <v>7.3</v>
      </c>
      <c r="BA1176" s="2">
        <v>0.9</v>
      </c>
      <c r="BB1176" s="2">
        <v>7.5</v>
      </c>
      <c r="BC1176" s="2">
        <v>2.9</v>
      </c>
      <c r="BD1176" s="2">
        <f>+AN1176*EXP(-0.0495*Y1176)</f>
        <v>6.2604288237134593</v>
      </c>
      <c r="BE1176" s="2">
        <f>+AO1176*EXP(-0.024*Y1176)</f>
        <v>19.118097573494541</v>
      </c>
    </row>
    <row r="1177" spans="1:57" x14ac:dyDescent="0.2">
      <c r="A1177" s="2" t="s">
        <v>4333</v>
      </c>
      <c r="B1177" s="2" t="s">
        <v>19</v>
      </c>
      <c r="C1177" s="2" t="s">
        <v>3245</v>
      </c>
      <c r="D1177" s="2" t="s">
        <v>21</v>
      </c>
      <c r="E1177" s="2" t="s">
        <v>3510</v>
      </c>
      <c r="F1177" s="2">
        <v>3</v>
      </c>
      <c r="G1177" s="2">
        <v>28.67</v>
      </c>
      <c r="H1177" s="2">
        <v>1</v>
      </c>
      <c r="I1177" s="2">
        <v>1</v>
      </c>
      <c r="J1177" s="2">
        <v>0</v>
      </c>
      <c r="K1177" s="2" t="s">
        <v>61</v>
      </c>
      <c r="L1177" s="6" t="s">
        <v>62</v>
      </c>
      <c r="M1177" s="5">
        <v>290000000</v>
      </c>
      <c r="N1177" s="2">
        <v>0</v>
      </c>
      <c r="O1177" s="2">
        <v>4.6102999999999996</v>
      </c>
      <c r="P1177" s="2">
        <v>-74.070300000000003</v>
      </c>
      <c r="Q1177" s="2" t="s">
        <v>4334</v>
      </c>
      <c r="R1177" s="2">
        <v>10115102.9</v>
      </c>
      <c r="S1177" s="2">
        <v>0</v>
      </c>
      <c r="T1177" s="2" t="s">
        <v>77</v>
      </c>
      <c r="U1177" s="2" t="s">
        <v>78</v>
      </c>
      <c r="V1177" s="2" t="s">
        <v>28</v>
      </c>
      <c r="W1177" s="2" t="s">
        <v>79</v>
      </c>
      <c r="X1177" s="2" t="s">
        <v>80</v>
      </c>
      <c r="Y1177" s="2">
        <v>1.73016869515159</v>
      </c>
      <c r="Z1177" s="2">
        <v>4.6254861111111101</v>
      </c>
      <c r="AA1177" s="2">
        <v>-74.066980555555503</v>
      </c>
      <c r="AB1177" s="2">
        <v>2621</v>
      </c>
      <c r="AC1177" s="2" t="s">
        <v>31</v>
      </c>
      <c r="AD1177" s="2" t="s">
        <v>32</v>
      </c>
      <c r="AE1177" s="2" t="s">
        <v>33</v>
      </c>
      <c r="AF1177" s="2" t="s">
        <v>34</v>
      </c>
      <c r="AG1177" s="2" t="s">
        <v>89</v>
      </c>
      <c r="AH1177" s="2">
        <v>0.14863813906381901</v>
      </c>
      <c r="AI1177" s="2">
        <v>0.63136889955848396</v>
      </c>
      <c r="AJ1177" s="2">
        <v>0.28046374973949001</v>
      </c>
      <c r="AK1177" s="2">
        <v>0.27109003560582401</v>
      </c>
      <c r="AL1177" s="2">
        <v>6.12402926326596E-2</v>
      </c>
      <c r="AN1177" s="2">
        <v>6.8</v>
      </c>
      <c r="AO1177" s="2">
        <v>19.899999999999999</v>
      </c>
      <c r="AP1177" s="2">
        <v>564</v>
      </c>
      <c r="AQ1177" s="2">
        <v>68</v>
      </c>
      <c r="AR1177" s="2">
        <v>1.5</v>
      </c>
      <c r="AS1177" s="2">
        <v>135</v>
      </c>
      <c r="AT1177" s="2">
        <v>0.8</v>
      </c>
      <c r="AU1177" s="2">
        <v>162</v>
      </c>
      <c r="AV1177" s="2">
        <v>9.1</v>
      </c>
      <c r="AW1177" s="2">
        <v>9.1999999999999993</v>
      </c>
      <c r="AX1177" s="2">
        <v>18.3</v>
      </c>
      <c r="AY1177" s="2">
        <v>0.34</v>
      </c>
      <c r="AZ1177" s="2">
        <v>7.3</v>
      </c>
      <c r="BA1177" s="2">
        <v>0.9</v>
      </c>
      <c r="BB1177" s="2">
        <v>7.5</v>
      </c>
      <c r="BC1177" s="2">
        <v>2.9</v>
      </c>
      <c r="BD1177" s="2">
        <f>+AN1177*EXP(-0.0495*Y1177)</f>
        <v>6.2418665345051867</v>
      </c>
      <c r="BE1177" s="2">
        <f>+AO1177*EXP(-0.024*Y1177)</f>
        <v>19.090592664151391</v>
      </c>
    </row>
    <row r="1178" spans="1:57" x14ac:dyDescent="0.2">
      <c r="A1178" s="2" t="s">
        <v>1592</v>
      </c>
      <c r="B1178" s="2" t="s">
        <v>19</v>
      </c>
      <c r="C1178" s="2" t="s">
        <v>20</v>
      </c>
      <c r="D1178" s="2" t="s">
        <v>21</v>
      </c>
      <c r="E1178" s="2" t="s">
        <v>1481</v>
      </c>
      <c r="F1178" s="2">
        <v>3</v>
      </c>
      <c r="G1178" s="2">
        <v>28.65</v>
      </c>
      <c r="H1178" s="2">
        <v>1</v>
      </c>
      <c r="I1178" s="2">
        <v>1</v>
      </c>
      <c r="J1178" s="2">
        <v>0</v>
      </c>
      <c r="K1178" s="2" t="s">
        <v>23</v>
      </c>
      <c r="L1178" s="6" t="s">
        <v>24</v>
      </c>
      <c r="M1178" s="5">
        <v>321645309</v>
      </c>
      <c r="N1178" s="2">
        <v>0</v>
      </c>
      <c r="O1178" s="2">
        <v>4.6218880000000002</v>
      </c>
      <c r="P1178" s="2">
        <v>-74.069320000000005</v>
      </c>
      <c r="Q1178" s="2" t="s">
        <v>1593</v>
      </c>
      <c r="R1178" s="2">
        <v>11226712.359999999</v>
      </c>
      <c r="S1178" s="2">
        <v>0</v>
      </c>
      <c r="T1178" s="2" t="s">
        <v>77</v>
      </c>
      <c r="U1178" s="2" t="s">
        <v>78</v>
      </c>
      <c r="V1178" s="2" t="s">
        <v>28</v>
      </c>
      <c r="W1178" s="2" t="s">
        <v>79</v>
      </c>
      <c r="X1178" s="2" t="s">
        <v>80</v>
      </c>
      <c r="Y1178" s="2">
        <v>0.477297678444431</v>
      </c>
      <c r="Z1178" s="2">
        <v>4.6254861111111101</v>
      </c>
      <c r="AA1178" s="2">
        <v>-74.066980555555503</v>
      </c>
      <c r="AB1178" s="2">
        <v>2621</v>
      </c>
      <c r="AC1178" s="2" t="s">
        <v>31</v>
      </c>
      <c r="AD1178" s="2" t="s">
        <v>32</v>
      </c>
      <c r="AE1178" s="2" t="s">
        <v>33</v>
      </c>
      <c r="AF1178" s="2" t="s">
        <v>34</v>
      </c>
      <c r="AG1178" s="2" t="s">
        <v>89</v>
      </c>
      <c r="AH1178" s="2">
        <v>5.6142650139799702E-2</v>
      </c>
      <c r="AI1178" s="2">
        <v>0.90372310585985105</v>
      </c>
      <c r="AJ1178" s="2">
        <v>0.22218264720956099</v>
      </c>
      <c r="AK1178" s="2">
        <v>4.7684081077489601E-2</v>
      </c>
      <c r="AL1178" s="2">
        <v>0.19304280251591199</v>
      </c>
      <c r="AN1178" s="2">
        <v>6.8</v>
      </c>
      <c r="AO1178" s="2">
        <v>19.899999999999999</v>
      </c>
      <c r="AP1178" s="2">
        <v>564</v>
      </c>
      <c r="AQ1178" s="2">
        <v>68</v>
      </c>
      <c r="AR1178" s="2">
        <v>1.5</v>
      </c>
      <c r="AS1178" s="2">
        <v>135</v>
      </c>
      <c r="AT1178" s="2">
        <v>0.8</v>
      </c>
      <c r="AU1178" s="2">
        <v>162</v>
      </c>
      <c r="AV1178" s="2">
        <v>9.1</v>
      </c>
      <c r="AW1178" s="2">
        <v>9.1999999999999993</v>
      </c>
      <c r="AX1178" s="2">
        <v>18.3</v>
      </c>
      <c r="AY1178" s="2">
        <v>0.34</v>
      </c>
      <c r="AZ1178" s="2">
        <v>7.3</v>
      </c>
      <c r="BA1178" s="2">
        <v>0.9</v>
      </c>
      <c r="BB1178" s="2">
        <v>7.5</v>
      </c>
      <c r="BC1178" s="2">
        <v>2.9</v>
      </c>
      <c r="BD1178" s="2">
        <f>+AN1178*EXP(-0.0495*Y1178)</f>
        <v>6.6412246192899369</v>
      </c>
      <c r="BE1178" s="2">
        <f>+AO1178*EXP(-0.024*Y1178)</f>
        <v>19.673343299868097</v>
      </c>
    </row>
    <row r="1179" spans="1:57" x14ac:dyDescent="0.2">
      <c r="A1179" s="2" t="s">
        <v>4038</v>
      </c>
      <c r="B1179" s="2" t="s">
        <v>19</v>
      </c>
      <c r="C1179" s="2" t="s">
        <v>3245</v>
      </c>
      <c r="D1179" s="2" t="s">
        <v>21</v>
      </c>
      <c r="E1179" s="2" t="s">
        <v>3510</v>
      </c>
      <c r="F1179" s="2">
        <v>3</v>
      </c>
      <c r="G1179" s="2">
        <v>28.07</v>
      </c>
      <c r="H1179" s="2">
        <v>1</v>
      </c>
      <c r="I1179" s="2">
        <v>1</v>
      </c>
      <c r="J1179" s="2">
        <v>0</v>
      </c>
      <c r="K1179" s="2" t="s">
        <v>61</v>
      </c>
      <c r="L1179" s="6" t="s">
        <v>62</v>
      </c>
      <c r="M1179" s="5">
        <v>343500000</v>
      </c>
      <c r="N1179" s="2">
        <v>0</v>
      </c>
      <c r="O1179" s="2">
        <v>4.6318061000000004</v>
      </c>
      <c r="P1179" s="2">
        <v>-74.0639903</v>
      </c>
      <c r="Q1179" s="2" t="s">
        <v>4039</v>
      </c>
      <c r="R1179" s="2">
        <v>12237263.98</v>
      </c>
      <c r="S1179" s="2">
        <v>0</v>
      </c>
      <c r="T1179" s="2" t="s">
        <v>77</v>
      </c>
      <c r="U1179" s="2" t="s">
        <v>78</v>
      </c>
      <c r="V1179" s="2" t="s">
        <v>28</v>
      </c>
      <c r="W1179" s="2" t="s">
        <v>79</v>
      </c>
      <c r="X1179" s="2" t="s">
        <v>80</v>
      </c>
      <c r="Y1179" s="2">
        <v>0.77784895064422999</v>
      </c>
      <c r="Z1179" s="2">
        <v>4.6254861111111101</v>
      </c>
      <c r="AA1179" s="2">
        <v>-74.066980555555503</v>
      </c>
      <c r="AB1179" s="2">
        <v>2621</v>
      </c>
      <c r="AC1179" s="2" t="s">
        <v>31</v>
      </c>
      <c r="AD1179" s="2" t="s">
        <v>32</v>
      </c>
      <c r="AE1179" s="2" t="s">
        <v>33</v>
      </c>
      <c r="AF1179" s="2" t="s">
        <v>34</v>
      </c>
      <c r="AG1179" s="2" t="s">
        <v>81</v>
      </c>
      <c r="AH1179" s="2">
        <v>0.43295064725290799</v>
      </c>
      <c r="AI1179" s="2">
        <v>0.45973649605725903</v>
      </c>
      <c r="AJ1179" s="2">
        <v>0.18318921822877199</v>
      </c>
      <c r="AK1179" s="2">
        <v>0.103482540603006</v>
      </c>
      <c r="AL1179" s="2">
        <v>7.6124657875659002E-2</v>
      </c>
      <c r="AN1179" s="2">
        <v>6.8</v>
      </c>
      <c r="AO1179" s="2">
        <v>19.899999999999999</v>
      </c>
      <c r="AP1179" s="2">
        <v>564</v>
      </c>
      <c r="AQ1179" s="2">
        <v>68</v>
      </c>
      <c r="AR1179" s="2">
        <v>1.5</v>
      </c>
      <c r="AS1179" s="2">
        <v>135</v>
      </c>
      <c r="AT1179" s="2">
        <v>0.8</v>
      </c>
      <c r="AU1179" s="2">
        <v>162</v>
      </c>
      <c r="AV1179" s="2">
        <v>9.1</v>
      </c>
      <c r="AW1179" s="2">
        <v>9.1999999999999993</v>
      </c>
      <c r="AX1179" s="2">
        <v>18.3</v>
      </c>
      <c r="AY1179" s="2">
        <v>0.34</v>
      </c>
      <c r="AZ1179" s="2">
        <v>7.3</v>
      </c>
      <c r="BA1179" s="2">
        <v>0.9</v>
      </c>
      <c r="BB1179" s="2">
        <v>7.5</v>
      </c>
      <c r="BC1179" s="2">
        <v>2.9</v>
      </c>
      <c r="BD1179" s="2">
        <f>+AN1179*EXP(-0.0495*Y1179)</f>
        <v>6.5431525402915165</v>
      </c>
      <c r="BE1179" s="2">
        <f>+AO1179*EXP(-0.024*Y1179)</f>
        <v>19.53194551977252</v>
      </c>
    </row>
    <row r="1180" spans="1:57" x14ac:dyDescent="0.2">
      <c r="A1180" s="2" t="s">
        <v>3552</v>
      </c>
      <c r="B1180" s="2" t="s">
        <v>19</v>
      </c>
      <c r="C1180" s="2" t="s">
        <v>3245</v>
      </c>
      <c r="D1180" s="2" t="s">
        <v>21</v>
      </c>
      <c r="E1180" s="2" t="s">
        <v>3437</v>
      </c>
      <c r="F1180" s="2">
        <v>4</v>
      </c>
      <c r="G1180" s="2">
        <v>28</v>
      </c>
      <c r="H1180" s="2">
        <v>1</v>
      </c>
      <c r="I1180" s="2">
        <v>1</v>
      </c>
      <c r="J1180" s="2">
        <v>0</v>
      </c>
      <c r="K1180" s="2" t="s">
        <v>61</v>
      </c>
      <c r="L1180" s="6" t="s">
        <v>62</v>
      </c>
      <c r="M1180" s="5">
        <v>360000000</v>
      </c>
      <c r="N1180" s="2">
        <v>0</v>
      </c>
      <c r="O1180" s="2">
        <v>4.6286144260000004</v>
      </c>
      <c r="P1180" s="2">
        <v>-74.085868840000003</v>
      </c>
      <c r="Q1180" s="2" t="s">
        <v>3553</v>
      </c>
      <c r="R1180" s="2">
        <v>12857142.859999999</v>
      </c>
      <c r="S1180" s="2">
        <v>0</v>
      </c>
      <c r="T1180" s="2" t="s">
        <v>77</v>
      </c>
      <c r="U1180" s="2" t="s">
        <v>78</v>
      </c>
      <c r="V1180" s="2" t="s">
        <v>28</v>
      </c>
      <c r="W1180" s="2" t="s">
        <v>79</v>
      </c>
      <c r="X1180" s="2" t="s">
        <v>80</v>
      </c>
      <c r="Y1180" s="2">
        <v>2.1245171124844502</v>
      </c>
      <c r="Z1180" s="2">
        <v>4.6254861111111101</v>
      </c>
      <c r="AA1180" s="2">
        <v>-74.066980555555503</v>
      </c>
      <c r="AB1180" s="2">
        <v>2621</v>
      </c>
      <c r="AC1180" s="2" t="s">
        <v>31</v>
      </c>
      <c r="AD1180" s="2" t="s">
        <v>32</v>
      </c>
      <c r="AE1180" s="2" t="s">
        <v>33</v>
      </c>
      <c r="AF1180" s="2" t="s">
        <v>34</v>
      </c>
      <c r="AG1180" s="2" t="s">
        <v>35</v>
      </c>
      <c r="AH1180" s="2">
        <v>0.36035865627563901</v>
      </c>
      <c r="AI1180" s="2">
        <v>2.7637126742206899</v>
      </c>
      <c r="AJ1180" s="2">
        <v>0.685125481214933</v>
      </c>
      <c r="AK1180" s="2">
        <v>0.267194372774544</v>
      </c>
      <c r="AL1180" s="2">
        <v>3.09214848177491E-2</v>
      </c>
      <c r="AN1180" s="2">
        <v>6.8</v>
      </c>
      <c r="AO1180" s="2">
        <v>19.899999999999999</v>
      </c>
      <c r="AP1180" s="2">
        <v>564</v>
      </c>
      <c r="AQ1180" s="2">
        <v>68</v>
      </c>
      <c r="AR1180" s="2">
        <v>1.5</v>
      </c>
      <c r="AS1180" s="2">
        <v>135</v>
      </c>
      <c r="AT1180" s="2">
        <v>0.8</v>
      </c>
      <c r="AU1180" s="2">
        <v>162</v>
      </c>
      <c r="AV1180" s="2">
        <v>9.1</v>
      </c>
      <c r="AW1180" s="2">
        <v>9.1999999999999993</v>
      </c>
      <c r="AX1180" s="2">
        <v>18.3</v>
      </c>
      <c r="AY1180" s="2">
        <v>0.34</v>
      </c>
      <c r="AZ1180" s="2">
        <v>7.3</v>
      </c>
      <c r="BA1180" s="2">
        <v>0.9</v>
      </c>
      <c r="BB1180" s="2">
        <v>7.5</v>
      </c>
      <c r="BC1180" s="2">
        <v>2.9</v>
      </c>
      <c r="BD1180" s="2">
        <f>+AN1180*EXP(-0.0495*Y1180)</f>
        <v>6.1212052604350555</v>
      </c>
      <c r="BE1180" s="2">
        <f>+AO1180*EXP(-0.024*Y1180)</f>
        <v>18.91076470485778</v>
      </c>
    </row>
    <row r="1181" spans="1:57" x14ac:dyDescent="0.2">
      <c r="A1181" s="2" t="s">
        <v>4240</v>
      </c>
      <c r="B1181" s="2" t="s">
        <v>19</v>
      </c>
      <c r="C1181" s="2" t="s">
        <v>3245</v>
      </c>
      <c r="D1181" s="2" t="s">
        <v>21</v>
      </c>
      <c r="E1181" s="2" t="s">
        <v>3510</v>
      </c>
      <c r="F1181" s="2">
        <v>3</v>
      </c>
      <c r="G1181" s="2">
        <v>28</v>
      </c>
      <c r="H1181" s="2">
        <v>1</v>
      </c>
      <c r="I1181" s="2">
        <v>1</v>
      </c>
      <c r="J1181" s="2">
        <v>0</v>
      </c>
      <c r="K1181" s="2" t="s">
        <v>61</v>
      </c>
      <c r="L1181" s="6" t="s">
        <v>62</v>
      </c>
      <c r="M1181" s="5">
        <v>350000000</v>
      </c>
      <c r="N1181" s="2">
        <v>0</v>
      </c>
      <c r="O1181" s="2">
        <v>4.6133962999999998</v>
      </c>
      <c r="P1181" s="2">
        <v>-74.0695956</v>
      </c>
      <c r="Q1181" s="2" t="s">
        <v>4241</v>
      </c>
      <c r="R1181" s="2">
        <v>12500000</v>
      </c>
      <c r="S1181" s="2">
        <v>0</v>
      </c>
      <c r="T1181" s="2" t="s">
        <v>77</v>
      </c>
      <c r="U1181" s="2" t="s">
        <v>78</v>
      </c>
      <c r="V1181" s="2" t="s">
        <v>28</v>
      </c>
      <c r="W1181" s="2" t="s">
        <v>79</v>
      </c>
      <c r="X1181" s="2" t="s">
        <v>80</v>
      </c>
      <c r="Y1181" s="2">
        <v>1.3767554048533599</v>
      </c>
      <c r="Z1181" s="2">
        <v>4.6254861111111101</v>
      </c>
      <c r="AA1181" s="2">
        <v>-74.066980555555503</v>
      </c>
      <c r="AB1181" s="2">
        <v>2621</v>
      </c>
      <c r="AC1181" s="2" t="s">
        <v>31</v>
      </c>
      <c r="AD1181" s="2" t="s">
        <v>32</v>
      </c>
      <c r="AE1181" s="2" t="s">
        <v>33</v>
      </c>
      <c r="AF1181" s="2" t="s">
        <v>34</v>
      </c>
      <c r="AG1181" s="2" t="s">
        <v>89</v>
      </c>
      <c r="AH1181" s="2">
        <v>0.20859495229956401</v>
      </c>
      <c r="AI1181" s="2">
        <v>0.63537759075358202</v>
      </c>
      <c r="AJ1181" s="2">
        <v>0.19026566687762</v>
      </c>
      <c r="AK1181" s="2">
        <v>9.3815307045673396E-2</v>
      </c>
      <c r="AL1181" s="2">
        <v>1.06945947541207E-2</v>
      </c>
      <c r="AN1181" s="2">
        <v>6.8</v>
      </c>
      <c r="AO1181" s="2">
        <v>19.899999999999999</v>
      </c>
      <c r="AP1181" s="2">
        <v>564</v>
      </c>
      <c r="AQ1181" s="2">
        <v>68</v>
      </c>
      <c r="AR1181" s="2">
        <v>1.5</v>
      </c>
      <c r="AS1181" s="2">
        <v>135</v>
      </c>
      <c r="AT1181" s="2">
        <v>0.8</v>
      </c>
      <c r="AU1181" s="2">
        <v>162</v>
      </c>
      <c r="AV1181" s="2">
        <v>9.1</v>
      </c>
      <c r="AW1181" s="2">
        <v>9.1999999999999993</v>
      </c>
      <c r="AX1181" s="2">
        <v>18.3</v>
      </c>
      <c r="AY1181" s="2">
        <v>0.34</v>
      </c>
      <c r="AZ1181" s="2">
        <v>7.3</v>
      </c>
      <c r="BA1181" s="2">
        <v>0.9</v>
      </c>
      <c r="BB1181" s="2">
        <v>7.5</v>
      </c>
      <c r="BC1181" s="2">
        <v>2.9</v>
      </c>
      <c r="BD1181" s="2">
        <f>+AN1181*EXP(-0.0495*Y1181)</f>
        <v>6.3520222047060599</v>
      </c>
      <c r="BE1181" s="2">
        <f>+AO1181*EXP(-0.024*Y1181)</f>
        <v>19.253206186617128</v>
      </c>
    </row>
    <row r="1182" spans="1:57" x14ac:dyDescent="0.2">
      <c r="A1182" s="2" t="s">
        <v>4541</v>
      </c>
      <c r="B1182" s="2" t="s">
        <v>19</v>
      </c>
      <c r="C1182" s="2" t="s">
        <v>3245</v>
      </c>
      <c r="D1182" s="2" t="s">
        <v>21</v>
      </c>
      <c r="E1182" s="2" t="s">
        <v>1049</v>
      </c>
      <c r="F1182" s="2">
        <v>3</v>
      </c>
      <c r="G1182" s="2">
        <v>28</v>
      </c>
      <c r="H1182" s="2">
        <v>1</v>
      </c>
      <c r="I1182" s="2">
        <v>1</v>
      </c>
      <c r="J1182" s="2">
        <v>1</v>
      </c>
      <c r="K1182" s="2" t="s">
        <v>61</v>
      </c>
      <c r="L1182" s="6" t="s">
        <v>62</v>
      </c>
      <c r="M1182" s="5">
        <v>340000000</v>
      </c>
      <c r="N1182" s="2">
        <v>0</v>
      </c>
      <c r="O1182" s="2">
        <v>4.6102980999999996</v>
      </c>
      <c r="P1182" s="2">
        <v>-74.070298399999999</v>
      </c>
      <c r="Q1182" s="2" t="s">
        <v>4542</v>
      </c>
      <c r="R1182" s="2">
        <v>12142857.140000001</v>
      </c>
      <c r="S1182" s="2">
        <v>0</v>
      </c>
      <c r="T1182" s="2" t="s">
        <v>77</v>
      </c>
      <c r="U1182" s="2" t="s">
        <v>78</v>
      </c>
      <c r="V1182" s="2" t="s">
        <v>28</v>
      </c>
      <c r="W1182" s="2" t="s">
        <v>79</v>
      </c>
      <c r="X1182" s="2" t="s">
        <v>80</v>
      </c>
      <c r="Y1182" s="2">
        <v>1.7303375746377301</v>
      </c>
      <c r="Z1182" s="2">
        <v>4.6254861111111101</v>
      </c>
      <c r="AA1182" s="2">
        <v>-74.066980555555503</v>
      </c>
      <c r="AB1182" s="2">
        <v>2621</v>
      </c>
      <c r="AC1182" s="2" t="s">
        <v>31</v>
      </c>
      <c r="AD1182" s="2" t="s">
        <v>32</v>
      </c>
      <c r="AE1182" s="2" t="s">
        <v>33</v>
      </c>
      <c r="AF1182" s="2" t="s">
        <v>34</v>
      </c>
      <c r="AG1182" s="2" t="s">
        <v>89</v>
      </c>
      <c r="AH1182" s="2">
        <v>0.14889056018687899</v>
      </c>
      <c r="AI1182" s="2">
        <v>0.63114810933434495</v>
      </c>
      <c r="AJ1182" s="2">
        <v>0.28072151144425</v>
      </c>
      <c r="AK1182" s="2">
        <v>0.270932764878279</v>
      </c>
      <c r="AL1182" s="2">
        <v>6.1498804287053697E-2</v>
      </c>
      <c r="AN1182" s="2">
        <v>6.8</v>
      </c>
      <c r="AO1182" s="2">
        <v>19.899999999999999</v>
      </c>
      <c r="AP1182" s="2">
        <v>564</v>
      </c>
      <c r="AQ1182" s="2">
        <v>68</v>
      </c>
      <c r="AR1182" s="2">
        <v>1.5</v>
      </c>
      <c r="AS1182" s="2">
        <v>135</v>
      </c>
      <c r="AT1182" s="2">
        <v>0.8</v>
      </c>
      <c r="AU1182" s="2">
        <v>162</v>
      </c>
      <c r="AV1182" s="2">
        <v>9.1</v>
      </c>
      <c r="AW1182" s="2">
        <v>9.1999999999999993</v>
      </c>
      <c r="AX1182" s="2">
        <v>18.3</v>
      </c>
      <c r="AY1182" s="2">
        <v>0.34</v>
      </c>
      <c r="AZ1182" s="2">
        <v>7.3</v>
      </c>
      <c r="BA1182" s="2">
        <v>0.9</v>
      </c>
      <c r="BB1182" s="2">
        <v>7.5</v>
      </c>
      <c r="BC1182" s="2">
        <v>2.9</v>
      </c>
      <c r="BD1182" s="2">
        <f>+AN1182*EXP(-0.0495*Y1182)</f>
        <v>6.2418143556242436</v>
      </c>
      <c r="BE1182" s="2">
        <f>+AO1182*EXP(-0.024*Y1182)</f>
        <v>19.090515288080695</v>
      </c>
    </row>
    <row r="1183" spans="1:57" x14ac:dyDescent="0.2">
      <c r="A1183" s="2" t="s">
        <v>4555</v>
      </c>
      <c r="B1183" s="2" t="s">
        <v>19</v>
      </c>
      <c r="C1183" s="2" t="s">
        <v>3245</v>
      </c>
      <c r="D1183" s="2" t="s">
        <v>21</v>
      </c>
      <c r="E1183" s="2" t="s">
        <v>1597</v>
      </c>
      <c r="F1183" s="2">
        <v>3</v>
      </c>
      <c r="G1183" s="2">
        <v>28</v>
      </c>
      <c r="H1183" s="2">
        <v>1</v>
      </c>
      <c r="I1183" s="2">
        <v>1</v>
      </c>
      <c r="J1183" s="2">
        <v>0</v>
      </c>
      <c r="K1183" s="2" t="s">
        <v>61</v>
      </c>
      <c r="L1183" s="6" t="s">
        <v>62</v>
      </c>
      <c r="M1183" s="5">
        <v>320000000</v>
      </c>
      <c r="N1183" s="2">
        <v>0</v>
      </c>
      <c r="O1183" s="2">
        <v>4.6102980999999996</v>
      </c>
      <c r="P1183" s="2">
        <v>-74.070298399999999</v>
      </c>
      <c r="Q1183" s="2" t="s">
        <v>4556</v>
      </c>
      <c r="R1183" s="2">
        <v>11428571.43</v>
      </c>
      <c r="S1183" s="2">
        <v>0</v>
      </c>
      <c r="T1183" s="2" t="s">
        <v>77</v>
      </c>
      <c r="U1183" s="2" t="s">
        <v>78</v>
      </c>
      <c r="V1183" s="2" t="s">
        <v>28</v>
      </c>
      <c r="W1183" s="2" t="s">
        <v>79</v>
      </c>
      <c r="X1183" s="2" t="s">
        <v>80</v>
      </c>
      <c r="Y1183" s="2">
        <v>1.7303375746377301</v>
      </c>
      <c r="Z1183" s="2">
        <v>4.6254861111111101</v>
      </c>
      <c r="AA1183" s="2">
        <v>-74.066980555555503</v>
      </c>
      <c r="AB1183" s="2">
        <v>2621</v>
      </c>
      <c r="AC1183" s="2" t="s">
        <v>31</v>
      </c>
      <c r="AD1183" s="2" t="s">
        <v>32</v>
      </c>
      <c r="AE1183" s="2" t="s">
        <v>33</v>
      </c>
      <c r="AF1183" s="2" t="s">
        <v>34</v>
      </c>
      <c r="AG1183" s="2" t="s">
        <v>89</v>
      </c>
      <c r="AH1183" s="2">
        <v>0.14889056018687899</v>
      </c>
      <c r="AI1183" s="2">
        <v>0.63114810933434495</v>
      </c>
      <c r="AJ1183" s="2">
        <v>0.28072151144425</v>
      </c>
      <c r="AK1183" s="2">
        <v>0.270932764878279</v>
      </c>
      <c r="AL1183" s="2">
        <v>6.1498804287053697E-2</v>
      </c>
      <c r="AN1183" s="2">
        <v>6.8</v>
      </c>
      <c r="AO1183" s="2">
        <v>19.899999999999999</v>
      </c>
      <c r="AP1183" s="2">
        <v>564</v>
      </c>
      <c r="AQ1183" s="2">
        <v>68</v>
      </c>
      <c r="AR1183" s="2">
        <v>1.5</v>
      </c>
      <c r="AS1183" s="2">
        <v>135</v>
      </c>
      <c r="AT1183" s="2">
        <v>0.8</v>
      </c>
      <c r="AU1183" s="2">
        <v>162</v>
      </c>
      <c r="AV1183" s="2">
        <v>9.1</v>
      </c>
      <c r="AW1183" s="2">
        <v>9.1999999999999993</v>
      </c>
      <c r="AX1183" s="2">
        <v>18.3</v>
      </c>
      <c r="AY1183" s="2">
        <v>0.34</v>
      </c>
      <c r="AZ1183" s="2">
        <v>7.3</v>
      </c>
      <c r="BA1183" s="2">
        <v>0.9</v>
      </c>
      <c r="BB1183" s="2">
        <v>7.5</v>
      </c>
      <c r="BC1183" s="2">
        <v>2.9</v>
      </c>
      <c r="BD1183" s="2">
        <f>+AN1183*EXP(-0.0495*Y1183)</f>
        <v>6.2418143556242436</v>
      </c>
      <c r="BE1183" s="2">
        <f>+AO1183*EXP(-0.024*Y1183)</f>
        <v>19.090515288080695</v>
      </c>
    </row>
    <row r="1184" spans="1:57" x14ac:dyDescent="0.2">
      <c r="A1184" s="2" t="s">
        <v>4502</v>
      </c>
      <c r="B1184" s="2" t="s">
        <v>19</v>
      </c>
      <c r="C1184" s="2" t="s">
        <v>3245</v>
      </c>
      <c r="D1184" s="2" t="s">
        <v>21</v>
      </c>
      <c r="E1184" s="2" t="s">
        <v>3510</v>
      </c>
      <c r="F1184" s="2">
        <v>3</v>
      </c>
      <c r="G1184" s="2">
        <v>28</v>
      </c>
      <c r="H1184" s="2">
        <v>1</v>
      </c>
      <c r="I1184" s="2">
        <v>1</v>
      </c>
      <c r="J1184" s="2">
        <v>0</v>
      </c>
      <c r="K1184" s="2" t="s">
        <v>61</v>
      </c>
      <c r="L1184" s="6" t="s">
        <v>62</v>
      </c>
      <c r="M1184" s="5">
        <v>320000000</v>
      </c>
      <c r="N1184" s="2">
        <v>0</v>
      </c>
      <c r="O1184" s="2">
        <v>4.6208900000000002</v>
      </c>
      <c r="P1184" s="2">
        <v>-74.070120000000003</v>
      </c>
      <c r="Q1184" s="2" t="s">
        <v>4503</v>
      </c>
      <c r="R1184" s="2">
        <v>11428571.43</v>
      </c>
      <c r="S1184" s="2">
        <v>0</v>
      </c>
      <c r="T1184" s="2" t="s">
        <v>77</v>
      </c>
      <c r="U1184" s="2" t="s">
        <v>78</v>
      </c>
      <c r="V1184" s="2" t="s">
        <v>28</v>
      </c>
      <c r="W1184" s="2" t="s">
        <v>79</v>
      </c>
      <c r="X1184" s="2" t="s">
        <v>80</v>
      </c>
      <c r="Y1184" s="2">
        <v>0.61896355962907001</v>
      </c>
      <c r="Z1184" s="2">
        <v>4.6254861111111101</v>
      </c>
      <c r="AA1184" s="2">
        <v>-74.066980555555503</v>
      </c>
      <c r="AB1184" s="2">
        <v>2621</v>
      </c>
      <c r="AC1184" s="2" t="s">
        <v>31</v>
      </c>
      <c r="AD1184" s="2" t="s">
        <v>32</v>
      </c>
      <c r="AE1184" s="2" t="s">
        <v>33</v>
      </c>
      <c r="AF1184" s="2" t="s">
        <v>34</v>
      </c>
      <c r="AG1184" s="2" t="s">
        <v>35</v>
      </c>
      <c r="AH1184" s="2">
        <v>8.7833549809609904E-2</v>
      </c>
      <c r="AI1184" s="2">
        <v>0.94048365361414599</v>
      </c>
      <c r="AJ1184" s="2">
        <v>0.27396478629899601</v>
      </c>
      <c r="AK1184" s="2">
        <v>6.2837241780012904E-2</v>
      </c>
      <c r="AL1184" s="2">
        <v>5.2060812331275998E-2</v>
      </c>
      <c r="AN1184" s="2">
        <v>6.8</v>
      </c>
      <c r="AO1184" s="2">
        <v>19.899999999999999</v>
      </c>
      <c r="AP1184" s="2">
        <v>564</v>
      </c>
      <c r="AQ1184" s="2">
        <v>68</v>
      </c>
      <c r="AR1184" s="2">
        <v>1.5</v>
      </c>
      <c r="AS1184" s="2">
        <v>135</v>
      </c>
      <c r="AT1184" s="2">
        <v>0.8</v>
      </c>
      <c r="AU1184" s="2">
        <v>162</v>
      </c>
      <c r="AV1184" s="2">
        <v>9.1</v>
      </c>
      <c r="AW1184" s="2">
        <v>9.1999999999999993</v>
      </c>
      <c r="AX1184" s="2">
        <v>18.3</v>
      </c>
      <c r="AY1184" s="2">
        <v>0.34</v>
      </c>
      <c r="AZ1184" s="2">
        <v>7.3</v>
      </c>
      <c r="BA1184" s="2">
        <v>0.9</v>
      </c>
      <c r="BB1184" s="2">
        <v>7.5</v>
      </c>
      <c r="BC1184" s="2">
        <v>2.9</v>
      </c>
      <c r="BD1184" s="2">
        <f>+AN1184*EXP(-0.0495*Y1184)</f>
        <v>6.5948161986657965</v>
      </c>
      <c r="BE1184" s="2">
        <f>+AO1184*EXP(-0.024*Y1184)</f>
        <v>19.606567885423331</v>
      </c>
    </row>
    <row r="1185" spans="1:57" x14ac:dyDescent="0.2">
      <c r="A1185" s="2" t="s">
        <v>3469</v>
      </c>
      <c r="B1185" s="2" t="s">
        <v>19</v>
      </c>
      <c r="C1185" s="2" t="s">
        <v>3245</v>
      </c>
      <c r="D1185" s="2" t="s">
        <v>21</v>
      </c>
      <c r="E1185" s="2" t="s">
        <v>3437</v>
      </c>
      <c r="F1185" s="2">
        <v>4</v>
      </c>
      <c r="G1185" s="2">
        <v>28</v>
      </c>
      <c r="H1185" s="2">
        <v>1</v>
      </c>
      <c r="I1185" s="2">
        <v>1</v>
      </c>
      <c r="J1185" s="2">
        <v>0</v>
      </c>
      <c r="K1185" s="2" t="s">
        <v>61</v>
      </c>
      <c r="L1185" s="6" t="s">
        <v>62</v>
      </c>
      <c r="M1185" s="5">
        <v>285000000</v>
      </c>
      <c r="N1185" s="2">
        <v>0</v>
      </c>
      <c r="O1185" s="2">
        <v>4.6284390000000002</v>
      </c>
      <c r="P1185" s="2">
        <v>-74.085700000000003</v>
      </c>
      <c r="Q1185" s="2" t="s">
        <v>3470</v>
      </c>
      <c r="R1185" s="2">
        <v>10178571.43</v>
      </c>
      <c r="S1185" s="2">
        <v>0</v>
      </c>
      <c r="T1185" s="2" t="s">
        <v>77</v>
      </c>
      <c r="U1185" s="2" t="s">
        <v>78</v>
      </c>
      <c r="V1185" s="2" t="s">
        <v>28</v>
      </c>
      <c r="W1185" s="2" t="s">
        <v>79</v>
      </c>
      <c r="X1185" s="2" t="s">
        <v>80</v>
      </c>
      <c r="Y1185" s="2">
        <v>2.1028981716062001</v>
      </c>
      <c r="Z1185" s="2">
        <v>4.6254861111111101</v>
      </c>
      <c r="AA1185" s="2">
        <v>-74.066980555555503</v>
      </c>
      <c r="AB1185" s="2">
        <v>2621</v>
      </c>
      <c r="AC1185" s="2" t="s">
        <v>31</v>
      </c>
      <c r="AD1185" s="2" t="s">
        <v>32</v>
      </c>
      <c r="AE1185" s="2" t="s">
        <v>33</v>
      </c>
      <c r="AF1185" s="2" t="s">
        <v>34</v>
      </c>
      <c r="AG1185" s="2" t="s">
        <v>35</v>
      </c>
      <c r="AH1185" s="2">
        <v>0.36131715156067201</v>
      </c>
      <c r="AI1185" s="2">
        <v>2.74533267347236</v>
      </c>
      <c r="AJ1185" s="2">
        <v>0.68245242345756996</v>
      </c>
      <c r="AK1185" s="2">
        <v>0.24040570764153599</v>
      </c>
      <c r="AL1185" s="2">
        <v>4.5197172594674097E-3</v>
      </c>
      <c r="AN1185" s="2">
        <v>6.8</v>
      </c>
      <c r="AO1185" s="2">
        <v>19.899999999999999</v>
      </c>
      <c r="AP1185" s="2">
        <v>564</v>
      </c>
      <c r="AQ1185" s="2">
        <v>68</v>
      </c>
      <c r="AR1185" s="2">
        <v>1.5</v>
      </c>
      <c r="AS1185" s="2">
        <v>135</v>
      </c>
      <c r="AT1185" s="2">
        <v>0.8</v>
      </c>
      <c r="AU1185" s="2">
        <v>162</v>
      </c>
      <c r="AV1185" s="2">
        <v>9.1</v>
      </c>
      <c r="AW1185" s="2">
        <v>9.1999999999999993</v>
      </c>
      <c r="AX1185" s="2">
        <v>18.3</v>
      </c>
      <c r="AY1185" s="2">
        <v>0.34</v>
      </c>
      <c r="AZ1185" s="2">
        <v>7.3</v>
      </c>
      <c r="BA1185" s="2">
        <v>0.9</v>
      </c>
      <c r="BB1185" s="2">
        <v>7.5</v>
      </c>
      <c r="BC1185" s="2">
        <v>2.9</v>
      </c>
      <c r="BD1185" s="2">
        <f>+AN1185*EXP(-0.0495*Y1185)</f>
        <v>6.127759298414869</v>
      </c>
      <c r="BE1185" s="2">
        <f>+AO1185*EXP(-0.024*Y1185)</f>
        <v>18.920579187681092</v>
      </c>
    </row>
    <row r="1186" spans="1:57" x14ac:dyDescent="0.2">
      <c r="A1186" s="2" t="s">
        <v>3541</v>
      </c>
      <c r="B1186" s="2" t="s">
        <v>19</v>
      </c>
      <c r="C1186" s="2" t="s">
        <v>3245</v>
      </c>
      <c r="D1186" s="2" t="s">
        <v>21</v>
      </c>
      <c r="E1186" s="2" t="s">
        <v>1260</v>
      </c>
      <c r="F1186" s="2">
        <v>4</v>
      </c>
      <c r="G1186" s="2">
        <v>28</v>
      </c>
      <c r="H1186" s="2">
        <v>1</v>
      </c>
      <c r="I1186" s="2">
        <v>1</v>
      </c>
      <c r="J1186" s="2">
        <v>0</v>
      </c>
      <c r="K1186" s="2" t="s">
        <v>61</v>
      </c>
      <c r="L1186" s="6" t="s">
        <v>62</v>
      </c>
      <c r="M1186" s="5">
        <v>280000000</v>
      </c>
      <c r="N1186" s="2">
        <v>0</v>
      </c>
      <c r="O1186" s="2">
        <v>4.6445121770000002</v>
      </c>
      <c r="P1186" s="2">
        <v>-74.055099490000003</v>
      </c>
      <c r="Q1186" s="2" t="s">
        <v>3542</v>
      </c>
      <c r="R1186" s="2">
        <v>10000000</v>
      </c>
      <c r="S1186" s="2">
        <v>0</v>
      </c>
      <c r="T1186" s="2" t="s">
        <v>77</v>
      </c>
      <c r="U1186" s="2" t="s">
        <v>78</v>
      </c>
      <c r="V1186" s="2" t="s">
        <v>28</v>
      </c>
      <c r="W1186" s="2" t="s">
        <v>79</v>
      </c>
      <c r="X1186" s="2" t="s">
        <v>80</v>
      </c>
      <c r="Y1186" s="2">
        <v>2.4947220498855098</v>
      </c>
      <c r="Z1186" s="2">
        <v>4.6254861111111101</v>
      </c>
      <c r="AA1186" s="2">
        <v>-74.066980555555503</v>
      </c>
      <c r="AB1186" s="2">
        <v>2621</v>
      </c>
      <c r="AC1186" s="2" t="s">
        <v>31</v>
      </c>
      <c r="AD1186" s="2" t="s">
        <v>32</v>
      </c>
      <c r="AE1186" s="2" t="s">
        <v>33</v>
      </c>
      <c r="AF1186" s="2" t="s">
        <v>34</v>
      </c>
      <c r="AG1186" s="2" t="s">
        <v>81</v>
      </c>
      <c r="AH1186" s="2">
        <v>1.1657166022590799</v>
      </c>
      <c r="AI1186" s="2">
        <v>0.18632239684627599</v>
      </c>
      <c r="AJ1186" s="2">
        <v>0.550732057438302</v>
      </c>
      <c r="AK1186" s="2">
        <v>0.25178737052865402</v>
      </c>
      <c r="AL1186" s="2">
        <v>0.29467782700002199</v>
      </c>
      <c r="AN1186" s="2">
        <v>6.8</v>
      </c>
      <c r="AO1186" s="2">
        <v>19.899999999999999</v>
      </c>
      <c r="AP1186" s="2">
        <v>564</v>
      </c>
      <c r="AQ1186" s="2">
        <v>68</v>
      </c>
      <c r="AR1186" s="2">
        <v>1.5</v>
      </c>
      <c r="AS1186" s="2">
        <v>135</v>
      </c>
      <c r="AT1186" s="2">
        <v>0.8</v>
      </c>
      <c r="AU1186" s="2">
        <v>162</v>
      </c>
      <c r="AV1186" s="2">
        <v>9.1</v>
      </c>
      <c r="AW1186" s="2">
        <v>9.1999999999999993</v>
      </c>
      <c r="AX1186" s="2">
        <v>18.3</v>
      </c>
      <c r="AY1186" s="2">
        <v>0.34</v>
      </c>
      <c r="AZ1186" s="2">
        <v>7.3</v>
      </c>
      <c r="BA1186" s="2">
        <v>0.9</v>
      </c>
      <c r="BB1186" s="2">
        <v>7.5</v>
      </c>
      <c r="BC1186" s="2">
        <v>2.9</v>
      </c>
      <c r="BD1186" s="2">
        <f>+AN1186*EXP(-0.0495*Y1186)</f>
        <v>6.0100548244653869</v>
      </c>
      <c r="BE1186" s="2">
        <f>+AO1186*EXP(-0.024*Y1186)</f>
        <v>18.743488320670522</v>
      </c>
    </row>
    <row r="1187" spans="1:57" x14ac:dyDescent="0.2">
      <c r="A1187" s="2" t="s">
        <v>3871</v>
      </c>
      <c r="B1187" s="2" t="s">
        <v>19</v>
      </c>
      <c r="C1187" s="2" t="s">
        <v>3245</v>
      </c>
      <c r="D1187" s="2" t="s">
        <v>21</v>
      </c>
      <c r="E1187" s="2" t="s">
        <v>74</v>
      </c>
      <c r="F1187" s="2">
        <v>3</v>
      </c>
      <c r="G1187" s="2">
        <v>28</v>
      </c>
      <c r="H1187" s="2">
        <v>1</v>
      </c>
      <c r="I1187" s="2">
        <v>1</v>
      </c>
      <c r="J1187" s="2">
        <v>0</v>
      </c>
      <c r="K1187" s="2" t="s">
        <v>61</v>
      </c>
      <c r="L1187" s="6" t="s">
        <v>62</v>
      </c>
      <c r="M1187" s="5">
        <v>270000000</v>
      </c>
      <c r="N1187" s="2">
        <v>0</v>
      </c>
      <c r="O1187" s="2">
        <v>4.6446699999999996</v>
      </c>
      <c r="P1187" s="2">
        <v>-74.062569999999994</v>
      </c>
      <c r="Q1187" s="2" t="s">
        <v>3872</v>
      </c>
      <c r="R1187" s="2">
        <v>9642857.1429999992</v>
      </c>
      <c r="S1187" s="2">
        <v>0</v>
      </c>
      <c r="T1187" s="2" t="s">
        <v>77</v>
      </c>
      <c r="U1187" s="2" t="s">
        <v>78</v>
      </c>
      <c r="V1187" s="2" t="s">
        <v>28</v>
      </c>
      <c r="W1187" s="2" t="s">
        <v>79</v>
      </c>
      <c r="X1187" s="2" t="s">
        <v>80</v>
      </c>
      <c r="Y1187" s="2">
        <v>2.1908953056558902</v>
      </c>
      <c r="Z1187" s="2">
        <v>4.6254861111111101</v>
      </c>
      <c r="AA1187" s="2">
        <v>-74.066980555555503</v>
      </c>
      <c r="AB1187" s="2">
        <v>2621</v>
      </c>
      <c r="AC1187" s="2" t="s">
        <v>31</v>
      </c>
      <c r="AD1187" s="2" t="s">
        <v>32</v>
      </c>
      <c r="AE1187" s="2" t="s">
        <v>33</v>
      </c>
      <c r="AF1187" s="2" t="s">
        <v>34</v>
      </c>
      <c r="AG1187" s="2" t="s">
        <v>81</v>
      </c>
      <c r="AH1187" s="2">
        <v>0.40663326196583</v>
      </c>
      <c r="AI1187" s="2">
        <v>0.69521114586403798</v>
      </c>
      <c r="AJ1187" s="2">
        <v>0.27826797994408897</v>
      </c>
      <c r="AK1187" s="2">
        <v>0.170145770123345</v>
      </c>
      <c r="AL1187" s="2">
        <v>0.34651480415778102</v>
      </c>
      <c r="AN1187" s="2">
        <v>6.8</v>
      </c>
      <c r="AO1187" s="2">
        <v>19.899999999999999</v>
      </c>
      <c r="AP1187" s="2">
        <v>564</v>
      </c>
      <c r="AQ1187" s="2">
        <v>68</v>
      </c>
      <c r="AR1187" s="2">
        <v>1.5</v>
      </c>
      <c r="AS1187" s="2">
        <v>135</v>
      </c>
      <c r="AT1187" s="2">
        <v>0.8</v>
      </c>
      <c r="AU1187" s="2">
        <v>162</v>
      </c>
      <c r="AV1187" s="2">
        <v>9.1</v>
      </c>
      <c r="AW1187" s="2">
        <v>9.1999999999999993</v>
      </c>
      <c r="AX1187" s="2">
        <v>18.3</v>
      </c>
      <c r="AY1187" s="2">
        <v>0.34</v>
      </c>
      <c r="AZ1187" s="2">
        <v>7.3</v>
      </c>
      <c r="BA1187" s="2">
        <v>0.9</v>
      </c>
      <c r="BB1187" s="2">
        <v>7.5</v>
      </c>
      <c r="BC1187" s="2">
        <v>2.9</v>
      </c>
      <c r="BD1187" s="2">
        <f>+AN1187*EXP(-0.0495*Y1187)</f>
        <v>6.1011256964297127</v>
      </c>
      <c r="BE1187" s="2">
        <f>+AO1187*EXP(-0.024*Y1187)</f>
        <v>18.880662391447878</v>
      </c>
    </row>
    <row r="1188" spans="1:57" x14ac:dyDescent="0.2">
      <c r="A1188" s="2" t="s">
        <v>4602</v>
      </c>
      <c r="B1188" s="2" t="s">
        <v>19</v>
      </c>
      <c r="C1188" s="2" t="s">
        <v>3245</v>
      </c>
      <c r="D1188" s="2" t="s">
        <v>21</v>
      </c>
      <c r="E1188" s="2" t="s">
        <v>1242</v>
      </c>
      <c r="F1188" s="2">
        <v>4</v>
      </c>
      <c r="G1188" s="2">
        <v>28</v>
      </c>
      <c r="H1188" s="2">
        <v>1</v>
      </c>
      <c r="I1188" s="2">
        <v>1</v>
      </c>
      <c r="J1188" s="2">
        <v>0</v>
      </c>
      <c r="K1188" s="2" t="s">
        <v>61</v>
      </c>
      <c r="L1188" s="6" t="s">
        <v>66</v>
      </c>
      <c r="M1188" s="5">
        <v>265000000</v>
      </c>
      <c r="N1188" s="2">
        <v>0</v>
      </c>
      <c r="O1188" s="2">
        <v>4.6444900000000002</v>
      </c>
      <c r="P1188" s="2">
        <v>-74.055090000000007</v>
      </c>
      <c r="Q1188" s="2" t="s">
        <v>4603</v>
      </c>
      <c r="R1188" s="2">
        <v>9464285.7139999997</v>
      </c>
      <c r="S1188" s="2">
        <v>0</v>
      </c>
      <c r="T1188" s="2" t="s">
        <v>77</v>
      </c>
      <c r="U1188" s="2" t="s">
        <v>78</v>
      </c>
      <c r="V1188" s="2" t="s">
        <v>28</v>
      </c>
      <c r="W1188" s="2" t="s">
        <v>79</v>
      </c>
      <c r="X1188" s="2" t="s">
        <v>80</v>
      </c>
      <c r="Y1188" s="2">
        <v>2.4931835351758398</v>
      </c>
      <c r="Z1188" s="2">
        <v>4.6254861111111101</v>
      </c>
      <c r="AA1188" s="2">
        <v>-74.066980555555503</v>
      </c>
      <c r="AB1188" s="2">
        <v>2621</v>
      </c>
      <c r="AC1188" s="2" t="s">
        <v>31</v>
      </c>
      <c r="AD1188" s="2" t="s">
        <v>32</v>
      </c>
      <c r="AE1188" s="2" t="s">
        <v>33</v>
      </c>
      <c r="AF1188" s="2" t="s">
        <v>34</v>
      </c>
      <c r="AG1188" s="2" t="s">
        <v>81</v>
      </c>
      <c r="AH1188" s="2">
        <v>1.1676004444752801</v>
      </c>
      <c r="AI1188" s="2">
        <v>0.184776560153708</v>
      </c>
      <c r="AJ1188" s="2">
        <v>0.55189673021987495</v>
      </c>
      <c r="AK1188" s="2">
        <v>0.249720817413813</v>
      </c>
      <c r="AL1188" s="2">
        <v>0.29648762524665101</v>
      </c>
      <c r="AN1188" s="2">
        <v>6.8</v>
      </c>
      <c r="AO1188" s="2">
        <v>19.899999999999999</v>
      </c>
      <c r="AP1188" s="2">
        <v>564</v>
      </c>
      <c r="AQ1188" s="2">
        <v>68</v>
      </c>
      <c r="AR1188" s="2">
        <v>1.5</v>
      </c>
      <c r="AS1188" s="2">
        <v>135</v>
      </c>
      <c r="AT1188" s="2">
        <v>0.8</v>
      </c>
      <c r="AU1188" s="2">
        <v>162</v>
      </c>
      <c r="AV1188" s="2">
        <v>9.1</v>
      </c>
      <c r="AW1188" s="2">
        <v>9.1999999999999993</v>
      </c>
      <c r="AX1188" s="2">
        <v>18.3</v>
      </c>
      <c r="AY1188" s="2">
        <v>0.34</v>
      </c>
      <c r="AZ1188" s="2">
        <v>7.3</v>
      </c>
      <c r="BA1188" s="2">
        <v>0.9</v>
      </c>
      <c r="BB1188" s="2">
        <v>7.5</v>
      </c>
      <c r="BC1188" s="2">
        <v>2.9</v>
      </c>
      <c r="BD1188" s="2">
        <f>+AN1188*EXP(-0.0495*Y1188)</f>
        <v>6.0105125465032065</v>
      </c>
      <c r="BE1188" s="2">
        <f>+AO1188*EXP(-0.024*Y1188)</f>
        <v>18.744180424627995</v>
      </c>
    </row>
    <row r="1189" spans="1:57" x14ac:dyDescent="0.2">
      <c r="A1189" s="2" t="s">
        <v>3384</v>
      </c>
      <c r="B1189" s="2" t="s">
        <v>19</v>
      </c>
      <c r="C1189" s="2" t="s">
        <v>3245</v>
      </c>
      <c r="D1189" s="2" t="s">
        <v>21</v>
      </c>
      <c r="E1189" s="2" t="s">
        <v>81</v>
      </c>
      <c r="F1189" s="2">
        <v>3</v>
      </c>
      <c r="G1189" s="2">
        <v>27.83</v>
      </c>
      <c r="H1189" s="2">
        <v>1</v>
      </c>
      <c r="I1189" s="2">
        <v>1</v>
      </c>
      <c r="J1189" s="2">
        <v>0</v>
      </c>
      <c r="K1189" s="2" t="s">
        <v>61</v>
      </c>
      <c r="L1189" s="6" t="s">
        <v>75</v>
      </c>
      <c r="M1189" s="5">
        <v>215000000</v>
      </c>
      <c r="N1189" s="2">
        <v>0</v>
      </c>
      <c r="O1189" s="2">
        <v>4.6452900000000001</v>
      </c>
      <c r="P1189" s="2">
        <v>-74.061819999999997</v>
      </c>
      <c r="Q1189" s="2" t="s">
        <v>3385</v>
      </c>
      <c r="R1189" s="2">
        <v>7725476.1050000004</v>
      </c>
      <c r="S1189" s="2">
        <v>0</v>
      </c>
      <c r="T1189" s="2" t="s">
        <v>77</v>
      </c>
      <c r="U1189" s="2" t="s">
        <v>78</v>
      </c>
      <c r="V1189" s="2" t="s">
        <v>28</v>
      </c>
      <c r="W1189" s="2" t="s">
        <v>79</v>
      </c>
      <c r="X1189" s="2" t="s">
        <v>80</v>
      </c>
      <c r="Y1189" s="2">
        <v>2.277705104591</v>
      </c>
      <c r="Z1189" s="2">
        <v>4.6254861111111101</v>
      </c>
      <c r="AA1189" s="2">
        <v>-74.066980555555503</v>
      </c>
      <c r="AB1189" s="2">
        <v>2621</v>
      </c>
      <c r="AC1189" s="2" t="s">
        <v>31</v>
      </c>
      <c r="AD1189" s="2" t="s">
        <v>32</v>
      </c>
      <c r="AE1189" s="2" t="s">
        <v>33</v>
      </c>
      <c r="AF1189" s="2" t="s">
        <v>34</v>
      </c>
      <c r="AG1189" s="2" t="s">
        <v>81</v>
      </c>
      <c r="AH1189" s="2">
        <v>0.48254336151400501</v>
      </c>
      <c r="AI1189" s="2">
        <v>0.67461500054604695</v>
      </c>
      <c r="AJ1189" s="2">
        <v>0.20453264397811999</v>
      </c>
      <c r="AK1189" s="2">
        <v>0.12713968777851201</v>
      </c>
      <c r="AL1189" s="2">
        <v>0.31914250286318202</v>
      </c>
      <c r="AN1189" s="2">
        <v>6.8</v>
      </c>
      <c r="AO1189" s="2">
        <v>19.899999999999999</v>
      </c>
      <c r="AP1189" s="2">
        <v>564</v>
      </c>
      <c r="AQ1189" s="2">
        <v>68</v>
      </c>
      <c r="AR1189" s="2">
        <v>1.5</v>
      </c>
      <c r="AS1189" s="2">
        <v>135</v>
      </c>
      <c r="AT1189" s="2">
        <v>0.8</v>
      </c>
      <c r="AU1189" s="2">
        <v>162</v>
      </c>
      <c r="AV1189" s="2">
        <v>9.1</v>
      </c>
      <c r="AW1189" s="2">
        <v>9.1999999999999993</v>
      </c>
      <c r="AX1189" s="2">
        <v>18.3</v>
      </c>
      <c r="AY1189" s="2">
        <v>0.34</v>
      </c>
      <c r="AZ1189" s="2">
        <v>7.3</v>
      </c>
      <c r="BA1189" s="2">
        <v>0.9</v>
      </c>
      <c r="BB1189" s="2">
        <v>7.5</v>
      </c>
      <c r="BC1189" s="2">
        <v>2.9</v>
      </c>
      <c r="BD1189" s="2">
        <f>+AN1189*EXP(-0.0495*Y1189)</f>
        <v>6.0749648882914986</v>
      </c>
      <c r="BE1189" s="2">
        <f>+AO1189*EXP(-0.024*Y1189)</f>
        <v>18.841366704527164</v>
      </c>
    </row>
    <row r="1190" spans="1:57" x14ac:dyDescent="0.2">
      <c r="A1190" s="2" t="s">
        <v>3960</v>
      </c>
      <c r="B1190" s="2" t="s">
        <v>19</v>
      </c>
      <c r="C1190" s="2" t="s">
        <v>3245</v>
      </c>
      <c r="D1190" s="2" t="s">
        <v>21</v>
      </c>
      <c r="E1190" s="2" t="s">
        <v>3869</v>
      </c>
      <c r="F1190" s="2">
        <v>3</v>
      </c>
      <c r="G1190" s="2">
        <v>27.82</v>
      </c>
      <c r="H1190" s="2">
        <v>1</v>
      </c>
      <c r="I1190" s="2">
        <v>1</v>
      </c>
      <c r="J1190" s="2">
        <v>0</v>
      </c>
      <c r="K1190" s="2" t="s">
        <v>61</v>
      </c>
      <c r="L1190" s="6" t="s">
        <v>62</v>
      </c>
      <c r="M1190" s="5">
        <v>275200000</v>
      </c>
      <c r="N1190" s="2">
        <v>0</v>
      </c>
      <c r="O1190" s="2">
        <v>4.6406459809999996</v>
      </c>
      <c r="P1190" s="2">
        <v>-74.072708129999995</v>
      </c>
      <c r="Q1190" s="2" t="s">
        <v>3961</v>
      </c>
      <c r="R1190" s="2">
        <v>9892163.9110000003</v>
      </c>
      <c r="S1190" s="2">
        <v>0</v>
      </c>
      <c r="T1190" s="2" t="s">
        <v>77</v>
      </c>
      <c r="U1190" s="2" t="s">
        <v>78</v>
      </c>
      <c r="V1190" s="2" t="s">
        <v>28</v>
      </c>
      <c r="W1190" s="2" t="s">
        <v>79</v>
      </c>
      <c r="X1190" s="2" t="s">
        <v>80</v>
      </c>
      <c r="Y1190" s="2">
        <v>1.8032820478801099</v>
      </c>
      <c r="Z1190" s="2">
        <v>4.6254861111111101</v>
      </c>
      <c r="AA1190" s="2">
        <v>-74.066980555555503</v>
      </c>
      <c r="AB1190" s="2">
        <v>2621</v>
      </c>
      <c r="AC1190" s="2" t="s">
        <v>31</v>
      </c>
      <c r="AD1190" s="2" t="s">
        <v>32</v>
      </c>
      <c r="AE1190" s="2" t="s">
        <v>33</v>
      </c>
      <c r="AF1190" s="2" t="s">
        <v>34</v>
      </c>
      <c r="AG1190" s="2" t="s">
        <v>35</v>
      </c>
      <c r="AH1190" s="2">
        <v>0.73982396616865598</v>
      </c>
      <c r="AI1190" s="2">
        <v>1.61363396553261</v>
      </c>
      <c r="AJ1190" s="2">
        <v>6.3616362337869603E-2</v>
      </c>
      <c r="AK1190" s="2">
        <v>9.3025974772218203E-2</v>
      </c>
      <c r="AL1190" s="2">
        <v>0.29193096675896901</v>
      </c>
      <c r="AN1190" s="2">
        <v>6.8</v>
      </c>
      <c r="AO1190" s="2">
        <v>19.899999999999999</v>
      </c>
      <c r="AP1190" s="2">
        <v>564</v>
      </c>
      <c r="AQ1190" s="2">
        <v>68</v>
      </c>
      <c r="AR1190" s="2">
        <v>1.5</v>
      </c>
      <c r="AS1190" s="2">
        <v>135</v>
      </c>
      <c r="AT1190" s="2">
        <v>0.8</v>
      </c>
      <c r="AU1190" s="2">
        <v>162</v>
      </c>
      <c r="AV1190" s="2">
        <v>9.1</v>
      </c>
      <c r="AW1190" s="2">
        <v>9.1999999999999993</v>
      </c>
      <c r="AX1190" s="2">
        <v>18.3</v>
      </c>
      <c r="AY1190" s="2">
        <v>0.34</v>
      </c>
      <c r="AZ1190" s="2">
        <v>7.3</v>
      </c>
      <c r="BA1190" s="2">
        <v>0.9</v>
      </c>
      <c r="BB1190" s="2">
        <v>7.5</v>
      </c>
      <c r="BC1190" s="2">
        <v>2.9</v>
      </c>
      <c r="BD1190" s="2">
        <f>+AN1190*EXP(-0.0495*Y1190)</f>
        <v>6.2193173555216728</v>
      </c>
      <c r="BE1190" s="2">
        <f>+AO1190*EXP(-0.024*Y1190)</f>
        <v>19.057123383708838</v>
      </c>
    </row>
    <row r="1191" spans="1:57" x14ac:dyDescent="0.2">
      <c r="A1191" s="2" t="s">
        <v>1346</v>
      </c>
      <c r="B1191" s="2" t="s">
        <v>19</v>
      </c>
      <c r="C1191" s="2" t="s">
        <v>20</v>
      </c>
      <c r="D1191" s="2" t="s">
        <v>21</v>
      </c>
      <c r="E1191" s="2" t="s">
        <v>1197</v>
      </c>
      <c r="F1191" s="2">
        <v>5</v>
      </c>
      <c r="G1191" s="2">
        <v>27.5</v>
      </c>
      <c r="H1191" s="2">
        <v>1</v>
      </c>
      <c r="I1191" s="2">
        <v>1</v>
      </c>
      <c r="J1191" s="2">
        <v>0</v>
      </c>
      <c r="K1191" s="2" t="s">
        <v>23</v>
      </c>
      <c r="L1191" s="6" t="s">
        <v>24</v>
      </c>
      <c r="M1191" s="5">
        <v>449000000</v>
      </c>
      <c r="N1191" s="2">
        <v>0</v>
      </c>
      <c r="O1191" s="2">
        <v>4.6722479999999997</v>
      </c>
      <c r="P1191" s="2">
        <v>-74.058210000000003</v>
      </c>
      <c r="Q1191" s="2" t="s">
        <v>1347</v>
      </c>
      <c r="R1191" s="2">
        <v>16327272.73</v>
      </c>
      <c r="S1191" s="2">
        <v>0</v>
      </c>
      <c r="T1191" s="2" t="s">
        <v>26</v>
      </c>
      <c r="U1191" s="2" t="s">
        <v>27</v>
      </c>
      <c r="V1191" s="2" t="s">
        <v>28</v>
      </c>
      <c r="W1191" s="2" t="s">
        <v>29</v>
      </c>
      <c r="X1191" s="2" t="s">
        <v>30</v>
      </c>
      <c r="Y1191" s="2">
        <v>3.2434729711424199</v>
      </c>
      <c r="Z1191" s="2">
        <v>4.6584666666666701</v>
      </c>
      <c r="AA1191" s="2">
        <v>-74.083966666666697</v>
      </c>
      <c r="AB1191" s="2">
        <v>2552</v>
      </c>
      <c r="AC1191" s="2" t="s">
        <v>31</v>
      </c>
      <c r="AD1191" s="2" t="s">
        <v>32</v>
      </c>
      <c r="AE1191" s="2" t="s">
        <v>33</v>
      </c>
      <c r="AF1191" s="2" t="s">
        <v>34</v>
      </c>
      <c r="AG1191" s="2" t="s">
        <v>81</v>
      </c>
      <c r="AH1191" s="2">
        <v>0.159125330979347</v>
      </c>
      <c r="AI1191" s="2">
        <v>1.6714273734279199</v>
      </c>
      <c r="AJ1191" s="2">
        <v>0.485889339747969</v>
      </c>
      <c r="AK1191" s="2">
        <v>5.4385552229093997E-2</v>
      </c>
      <c r="AL1191" s="2">
        <v>0.79239885688924305</v>
      </c>
      <c r="AN1191" s="2">
        <v>6.8</v>
      </c>
      <c r="AO1191" s="2">
        <v>19.899999999999999</v>
      </c>
      <c r="AP1191" s="2">
        <v>564</v>
      </c>
      <c r="AQ1191" s="2">
        <v>68</v>
      </c>
      <c r="AR1191" s="2">
        <v>1.5</v>
      </c>
      <c r="AS1191" s="2">
        <v>135</v>
      </c>
      <c r="AT1191" s="2">
        <v>0.8</v>
      </c>
      <c r="AU1191" s="2">
        <v>162</v>
      </c>
      <c r="AV1191" s="2">
        <v>9.1</v>
      </c>
      <c r="AW1191" s="2">
        <v>9.1999999999999993</v>
      </c>
      <c r="AX1191" s="2">
        <v>18.3</v>
      </c>
      <c r="AY1191" s="2">
        <v>0.34</v>
      </c>
      <c r="AZ1191" s="2">
        <v>7.3</v>
      </c>
      <c r="BA1191" s="2">
        <v>0.9</v>
      </c>
      <c r="BB1191" s="2">
        <v>7.5</v>
      </c>
      <c r="BC1191" s="2">
        <v>2.9</v>
      </c>
      <c r="BD1191" s="2">
        <f>+AN1191*EXP(-0.0495*Y1191)</f>
        <v>5.7913805499241633</v>
      </c>
      <c r="BE1191" s="2">
        <f>+AO1191*EXP(-0.024*Y1191)</f>
        <v>18.409675713983884</v>
      </c>
    </row>
    <row r="1192" spans="1:57" x14ac:dyDescent="0.2">
      <c r="A1192" s="2" t="s">
        <v>3321</v>
      </c>
      <c r="B1192" s="2" t="s">
        <v>19</v>
      </c>
      <c r="C1192" s="2" t="s">
        <v>3245</v>
      </c>
      <c r="D1192" s="2" t="s">
        <v>21</v>
      </c>
      <c r="E1192" s="2" t="s">
        <v>87</v>
      </c>
      <c r="F1192" s="2">
        <v>4</v>
      </c>
      <c r="G1192" s="2">
        <v>27.45</v>
      </c>
      <c r="H1192" s="2">
        <v>1</v>
      </c>
      <c r="I1192" s="2">
        <v>1</v>
      </c>
      <c r="J1192" s="2">
        <v>0</v>
      </c>
      <c r="K1192" s="2" t="s">
        <v>61</v>
      </c>
      <c r="L1192" s="6" t="s">
        <v>62</v>
      </c>
      <c r="M1192" s="5">
        <v>360000000</v>
      </c>
      <c r="N1192" s="2">
        <v>0</v>
      </c>
      <c r="O1192" s="2">
        <v>4.6203341480000004</v>
      </c>
      <c r="P1192" s="2">
        <v>-74.069740300000007</v>
      </c>
      <c r="Q1192" s="2" t="s">
        <v>3322</v>
      </c>
      <c r="R1192" s="2">
        <v>13114754.1</v>
      </c>
      <c r="S1192" s="2">
        <v>0</v>
      </c>
      <c r="T1192" s="2" t="s">
        <v>77</v>
      </c>
      <c r="U1192" s="2" t="s">
        <v>78</v>
      </c>
      <c r="V1192" s="2" t="s">
        <v>28</v>
      </c>
      <c r="W1192" s="2" t="s">
        <v>79</v>
      </c>
      <c r="X1192" s="2" t="s">
        <v>80</v>
      </c>
      <c r="Y1192" s="2">
        <v>0.65014241261012795</v>
      </c>
      <c r="Z1192" s="2">
        <v>4.6254861111111101</v>
      </c>
      <c r="AA1192" s="2">
        <v>-74.066980555555503</v>
      </c>
      <c r="AB1192" s="2">
        <v>2621</v>
      </c>
      <c r="AC1192" s="2" t="s">
        <v>31</v>
      </c>
      <c r="AD1192" s="2" t="s">
        <v>32</v>
      </c>
      <c r="AE1192" s="2" t="s">
        <v>33</v>
      </c>
      <c r="AF1192" s="2" t="s">
        <v>34</v>
      </c>
      <c r="AG1192" s="2" t="s">
        <v>89</v>
      </c>
      <c r="AH1192" s="2">
        <v>0.13720579165720401</v>
      </c>
      <c r="AI1192" s="2">
        <v>0.87071666130195202</v>
      </c>
      <c r="AJ1192" s="2">
        <v>0.34510880768399999</v>
      </c>
      <c r="AK1192" s="2">
        <v>4.11443730616032E-2</v>
      </c>
      <c r="AL1192" s="2">
        <v>2.9003813943615401E-2</v>
      </c>
      <c r="AN1192" s="2">
        <v>6.8</v>
      </c>
      <c r="AO1192" s="2">
        <v>19.899999999999999</v>
      </c>
      <c r="AP1192" s="2">
        <v>564</v>
      </c>
      <c r="AQ1192" s="2">
        <v>68</v>
      </c>
      <c r="AR1192" s="2">
        <v>1.5</v>
      </c>
      <c r="AS1192" s="2">
        <v>135</v>
      </c>
      <c r="AT1192" s="2">
        <v>0.8</v>
      </c>
      <c r="AU1192" s="2">
        <v>162</v>
      </c>
      <c r="AV1192" s="2">
        <v>9.1</v>
      </c>
      <c r="AW1192" s="2">
        <v>9.1999999999999993</v>
      </c>
      <c r="AX1192" s="2">
        <v>18.3</v>
      </c>
      <c r="AY1192" s="2">
        <v>0.34</v>
      </c>
      <c r="AZ1192" s="2">
        <v>7.3</v>
      </c>
      <c r="BA1192" s="2">
        <v>0.9</v>
      </c>
      <c r="BB1192" s="2">
        <v>7.5</v>
      </c>
      <c r="BC1192" s="2">
        <v>2.9</v>
      </c>
      <c r="BD1192" s="2">
        <f>+AN1192*EXP(-0.0495*Y1192)</f>
        <v>6.5846459180198327</v>
      </c>
      <c r="BE1192" s="2">
        <f>+AO1192*EXP(-0.024*Y1192)</f>
        <v>19.591901926179613</v>
      </c>
    </row>
    <row r="1193" spans="1:57" x14ac:dyDescent="0.2">
      <c r="A1193" s="2" t="s">
        <v>3566</v>
      </c>
      <c r="B1193" s="2" t="s">
        <v>19</v>
      </c>
      <c r="C1193" s="2" t="s">
        <v>3245</v>
      </c>
      <c r="D1193" s="2" t="s">
        <v>21</v>
      </c>
      <c r="E1193" s="2" t="s">
        <v>1260</v>
      </c>
      <c r="F1193" s="2">
        <v>4</v>
      </c>
      <c r="G1193" s="2">
        <v>27.4</v>
      </c>
      <c r="H1193" s="2">
        <v>1</v>
      </c>
      <c r="I1193" s="2">
        <v>1</v>
      </c>
      <c r="J1193" s="2">
        <v>0</v>
      </c>
      <c r="K1193" s="2" t="s">
        <v>61</v>
      </c>
      <c r="L1193" s="6" t="s">
        <v>62</v>
      </c>
      <c r="M1193" s="5">
        <v>280000000</v>
      </c>
      <c r="N1193" s="2">
        <v>0</v>
      </c>
      <c r="O1193" s="2">
        <v>4.6441999999999997</v>
      </c>
      <c r="P1193" s="2">
        <v>-74.054150000000007</v>
      </c>
      <c r="Q1193" s="2" t="s">
        <v>3567</v>
      </c>
      <c r="R1193" s="2">
        <v>10218978.1</v>
      </c>
      <c r="S1193" s="2">
        <v>0</v>
      </c>
      <c r="T1193" s="2" t="s">
        <v>77</v>
      </c>
      <c r="U1193" s="2" t="s">
        <v>78</v>
      </c>
      <c r="V1193" s="2" t="s">
        <v>28</v>
      </c>
      <c r="W1193" s="2" t="s">
        <v>79</v>
      </c>
      <c r="X1193" s="2" t="s">
        <v>80</v>
      </c>
      <c r="Y1193" s="2">
        <v>2.5231929581694099</v>
      </c>
      <c r="Z1193" s="2">
        <v>4.6254861111111101</v>
      </c>
      <c r="AA1193" s="2">
        <v>-74.066980555555503</v>
      </c>
      <c r="AB1193" s="2">
        <v>2621</v>
      </c>
      <c r="AC1193" s="2" t="s">
        <v>31</v>
      </c>
      <c r="AD1193" s="2" t="s">
        <v>32</v>
      </c>
      <c r="AE1193" s="2" t="s">
        <v>33</v>
      </c>
      <c r="AF1193" s="2" t="s">
        <v>34</v>
      </c>
      <c r="AG1193" s="2" t="s">
        <v>81</v>
      </c>
      <c r="AH1193" s="2">
        <v>1.2763206417194599</v>
      </c>
      <c r="AI1193" s="2">
        <v>7.6833166125395605E-2</v>
      </c>
      <c r="AJ1193" s="2">
        <v>0.64643170480862</v>
      </c>
      <c r="AK1193" s="2">
        <v>0.27087838865604302</v>
      </c>
      <c r="AL1193" s="2">
        <v>0.40545503965880197</v>
      </c>
      <c r="AN1193" s="2">
        <v>6.8</v>
      </c>
      <c r="AO1193" s="2">
        <v>19.899999999999999</v>
      </c>
      <c r="AP1193" s="2">
        <v>564</v>
      </c>
      <c r="AQ1193" s="2">
        <v>68</v>
      </c>
      <c r="AR1193" s="2">
        <v>1.5</v>
      </c>
      <c r="AS1193" s="2">
        <v>135</v>
      </c>
      <c r="AT1193" s="2">
        <v>0.8</v>
      </c>
      <c r="AU1193" s="2">
        <v>162</v>
      </c>
      <c r="AV1193" s="2">
        <v>9.1</v>
      </c>
      <c r="AW1193" s="2">
        <v>9.1999999999999993</v>
      </c>
      <c r="AX1193" s="2">
        <v>18.3</v>
      </c>
      <c r="AY1193" s="2">
        <v>0.34</v>
      </c>
      <c r="AZ1193" s="2">
        <v>7.3</v>
      </c>
      <c r="BA1193" s="2">
        <v>0.9</v>
      </c>
      <c r="BB1193" s="2">
        <v>7.5</v>
      </c>
      <c r="BC1193" s="2">
        <v>2.9</v>
      </c>
      <c r="BD1193" s="2">
        <f>+AN1193*EXP(-0.0495*Y1193)</f>
        <v>6.0015907599869003</v>
      </c>
      <c r="BE1193" s="2">
        <f>+AO1193*EXP(-0.024*Y1193)</f>
        <v>18.730685236068481</v>
      </c>
    </row>
    <row r="1194" spans="1:57" x14ac:dyDescent="0.2">
      <c r="A1194" s="2" t="s">
        <v>3388</v>
      </c>
      <c r="B1194" s="2" t="s">
        <v>19</v>
      </c>
      <c r="C1194" s="2" t="s">
        <v>3245</v>
      </c>
      <c r="D1194" s="2" t="s">
        <v>21</v>
      </c>
      <c r="E1194" s="2" t="s">
        <v>1242</v>
      </c>
      <c r="F1194" s="2">
        <v>4</v>
      </c>
      <c r="G1194" s="2">
        <v>27.4</v>
      </c>
      <c r="H1194" s="2">
        <v>1</v>
      </c>
      <c r="I1194" s="2">
        <v>1</v>
      </c>
      <c r="J1194" s="2">
        <v>0</v>
      </c>
      <c r="K1194" s="2" t="s">
        <v>61</v>
      </c>
      <c r="L1194" s="6" t="s">
        <v>62</v>
      </c>
      <c r="M1194" s="5">
        <v>275000000</v>
      </c>
      <c r="N1194" s="2">
        <v>0</v>
      </c>
      <c r="O1194" s="2">
        <v>4.6444099999999997</v>
      </c>
      <c r="P1194" s="2">
        <v>-74.054789999999997</v>
      </c>
      <c r="Q1194" s="2" t="s">
        <v>3389</v>
      </c>
      <c r="R1194" s="2">
        <v>10036496.35</v>
      </c>
      <c r="S1194" s="2">
        <v>0</v>
      </c>
      <c r="T1194" s="2" t="s">
        <v>77</v>
      </c>
      <c r="U1194" s="2" t="s">
        <v>78</v>
      </c>
      <c r="V1194" s="2" t="s">
        <v>28</v>
      </c>
      <c r="W1194" s="2" t="s">
        <v>79</v>
      </c>
      <c r="X1194" s="2" t="s">
        <v>80</v>
      </c>
      <c r="Y1194" s="2">
        <v>2.5034583567811999</v>
      </c>
      <c r="Z1194" s="2">
        <v>4.6254861111111101</v>
      </c>
      <c r="AA1194" s="2">
        <v>-74.066980555555503</v>
      </c>
      <c r="AB1194" s="2">
        <v>2621</v>
      </c>
      <c r="AC1194" s="2" t="s">
        <v>31</v>
      </c>
      <c r="AD1194" s="2" t="s">
        <v>32</v>
      </c>
      <c r="AE1194" s="2" t="s">
        <v>33</v>
      </c>
      <c r="AF1194" s="2" t="s">
        <v>34</v>
      </c>
      <c r="AG1194" s="2" t="s">
        <v>81</v>
      </c>
      <c r="AH1194" s="2">
        <v>1.2017817000808899</v>
      </c>
      <c r="AI1194" s="2">
        <v>0.15041522717057601</v>
      </c>
      <c r="AJ1194" s="2">
        <v>0.58559663119874805</v>
      </c>
      <c r="AK1194" s="2">
        <v>0.252845426258689</v>
      </c>
      <c r="AL1194" s="2">
        <v>0.33080019019658502</v>
      </c>
      <c r="AN1194" s="2">
        <v>6.8</v>
      </c>
      <c r="AO1194" s="2">
        <v>19.899999999999999</v>
      </c>
      <c r="AP1194" s="2">
        <v>564</v>
      </c>
      <c r="AQ1194" s="2">
        <v>68</v>
      </c>
      <c r="AR1194" s="2">
        <v>1.5</v>
      </c>
      <c r="AS1194" s="2">
        <v>135</v>
      </c>
      <c r="AT1194" s="2">
        <v>0.8</v>
      </c>
      <c r="AU1194" s="2">
        <v>162</v>
      </c>
      <c r="AV1194" s="2">
        <v>9.1</v>
      </c>
      <c r="AW1194" s="2">
        <v>9.1999999999999993</v>
      </c>
      <c r="AX1194" s="2">
        <v>18.3</v>
      </c>
      <c r="AY1194" s="2">
        <v>0.34</v>
      </c>
      <c r="AZ1194" s="2">
        <v>7.3</v>
      </c>
      <c r="BA1194" s="2">
        <v>0.9</v>
      </c>
      <c r="BB1194" s="2">
        <v>7.5</v>
      </c>
      <c r="BC1194" s="2">
        <v>2.9</v>
      </c>
      <c r="BD1194" s="2">
        <f>+AN1194*EXP(-0.0495*Y1194)</f>
        <v>6.0074563550276681</v>
      </c>
      <c r="BE1194" s="2">
        <f>+AO1194*EXP(-0.024*Y1194)</f>
        <v>18.739558759852745</v>
      </c>
    </row>
    <row r="1195" spans="1:57" x14ac:dyDescent="0.2">
      <c r="A1195" s="2" t="s">
        <v>3516</v>
      </c>
      <c r="B1195" s="2" t="s">
        <v>19</v>
      </c>
      <c r="C1195" s="2" t="s">
        <v>3245</v>
      </c>
      <c r="D1195" s="2" t="s">
        <v>21</v>
      </c>
      <c r="E1195" s="2" t="s">
        <v>3517</v>
      </c>
      <c r="F1195" s="2">
        <v>3</v>
      </c>
      <c r="G1195" s="2">
        <v>27.23</v>
      </c>
      <c r="H1195" s="2">
        <v>1</v>
      </c>
      <c r="I1195" s="2">
        <v>1</v>
      </c>
      <c r="J1195" s="2">
        <v>0</v>
      </c>
      <c r="K1195" s="2" t="s">
        <v>61</v>
      </c>
      <c r="L1195" s="6" t="s">
        <v>62</v>
      </c>
      <c r="M1195" s="5">
        <v>362000000</v>
      </c>
      <c r="N1195" s="2">
        <v>0</v>
      </c>
      <c r="O1195" s="2">
        <v>4.6173599999999997</v>
      </c>
      <c r="P1195" s="2">
        <v>-74.070430000000002</v>
      </c>
      <c r="Q1195" s="2" t="s">
        <v>3518</v>
      </c>
      <c r="R1195" s="2">
        <v>13294160.85</v>
      </c>
      <c r="S1195" s="2">
        <v>0</v>
      </c>
      <c r="T1195" s="2" t="s">
        <v>77</v>
      </c>
      <c r="U1195" s="2" t="s">
        <v>78</v>
      </c>
      <c r="V1195" s="2" t="s">
        <v>28</v>
      </c>
      <c r="W1195" s="2" t="s">
        <v>79</v>
      </c>
      <c r="X1195" s="2" t="s">
        <v>80</v>
      </c>
      <c r="Y1195" s="2">
        <v>0.98223353801940205</v>
      </c>
      <c r="Z1195" s="2">
        <v>4.6254861111111101</v>
      </c>
      <c r="AA1195" s="2">
        <v>-74.066980555555503</v>
      </c>
      <c r="AB1195" s="2">
        <v>2621</v>
      </c>
      <c r="AC1195" s="2" t="s">
        <v>31</v>
      </c>
      <c r="AD1195" s="2" t="s">
        <v>32</v>
      </c>
      <c r="AE1195" s="2" t="s">
        <v>33</v>
      </c>
      <c r="AF1195" s="2" t="s">
        <v>34</v>
      </c>
      <c r="AG1195" s="2" t="s">
        <v>89</v>
      </c>
      <c r="AH1195" s="2">
        <v>0.20704464562475</v>
      </c>
      <c r="AI1195" s="2">
        <v>0.78742712534808401</v>
      </c>
      <c r="AJ1195" s="2">
        <v>0.26393443088864899</v>
      </c>
      <c r="AK1195" s="2">
        <v>8.3380222805574999E-2</v>
      </c>
      <c r="AL1195" s="2">
        <v>0.17837450320187501</v>
      </c>
      <c r="AN1195" s="2">
        <v>6.8</v>
      </c>
      <c r="AO1195" s="2">
        <v>19.899999999999999</v>
      </c>
      <c r="AP1195" s="2">
        <v>564</v>
      </c>
      <c r="AQ1195" s="2">
        <v>68</v>
      </c>
      <c r="AR1195" s="2">
        <v>1.5</v>
      </c>
      <c r="AS1195" s="2">
        <v>135</v>
      </c>
      <c r="AT1195" s="2">
        <v>0.8</v>
      </c>
      <c r="AU1195" s="2">
        <v>162</v>
      </c>
      <c r="AV1195" s="2">
        <v>9.1</v>
      </c>
      <c r="AW1195" s="2">
        <v>9.1999999999999993</v>
      </c>
      <c r="AX1195" s="2">
        <v>18.3</v>
      </c>
      <c r="AY1195" s="2">
        <v>0.34</v>
      </c>
      <c r="AZ1195" s="2">
        <v>7.3</v>
      </c>
      <c r="BA1195" s="2">
        <v>0.9</v>
      </c>
      <c r="BB1195" s="2">
        <v>7.5</v>
      </c>
      <c r="BC1195" s="2">
        <v>2.9</v>
      </c>
      <c r="BD1195" s="2">
        <f>+AN1195*EXP(-0.0495*Y1195)</f>
        <v>6.4772889573934629</v>
      </c>
      <c r="BE1195" s="2">
        <f>+AO1195*EXP(-0.024*Y1195)</f>
        <v>19.436371430840833</v>
      </c>
    </row>
    <row r="1196" spans="1:57" x14ac:dyDescent="0.2">
      <c r="A1196" s="2" t="s">
        <v>3704</v>
      </c>
      <c r="B1196" s="2" t="s">
        <v>19</v>
      </c>
      <c r="C1196" s="2" t="s">
        <v>3245</v>
      </c>
      <c r="D1196" s="2" t="s">
        <v>21</v>
      </c>
      <c r="E1196" s="2" t="s">
        <v>35</v>
      </c>
      <c r="F1196" s="2">
        <v>4</v>
      </c>
      <c r="G1196" s="2">
        <v>27.21</v>
      </c>
      <c r="H1196" s="2">
        <v>1</v>
      </c>
      <c r="I1196" s="2">
        <v>1</v>
      </c>
      <c r="J1196" s="2">
        <v>0</v>
      </c>
      <c r="K1196" s="2" t="s">
        <v>61</v>
      </c>
      <c r="L1196" s="6" t="s">
        <v>62</v>
      </c>
      <c r="M1196" s="5">
        <v>360000000</v>
      </c>
      <c r="N1196" s="2">
        <v>0</v>
      </c>
      <c r="O1196" s="2">
        <v>4.61761</v>
      </c>
      <c r="P1196" s="2">
        <v>-74.071899999999999</v>
      </c>
      <c r="Q1196" s="2" t="s">
        <v>3705</v>
      </c>
      <c r="R1196" s="2">
        <v>13230429.99</v>
      </c>
      <c r="S1196" s="2">
        <v>0</v>
      </c>
      <c r="T1196" s="2" t="s">
        <v>77</v>
      </c>
      <c r="U1196" s="2" t="s">
        <v>78</v>
      </c>
      <c r="V1196" s="2" t="s">
        <v>28</v>
      </c>
      <c r="W1196" s="2" t="s">
        <v>79</v>
      </c>
      <c r="X1196" s="2" t="s">
        <v>80</v>
      </c>
      <c r="Y1196" s="2">
        <v>1.0327961996380799</v>
      </c>
      <c r="Z1196" s="2">
        <v>4.6254861111111101</v>
      </c>
      <c r="AA1196" s="2">
        <v>-74.066980555555503</v>
      </c>
      <c r="AB1196" s="2">
        <v>2621</v>
      </c>
      <c r="AC1196" s="2" t="s">
        <v>31</v>
      </c>
      <c r="AD1196" s="2" t="s">
        <v>32</v>
      </c>
      <c r="AE1196" s="2" t="s">
        <v>33</v>
      </c>
      <c r="AF1196" s="2" t="s">
        <v>34</v>
      </c>
      <c r="AG1196" s="2" t="s">
        <v>35</v>
      </c>
      <c r="AH1196" s="2">
        <v>0.10972985600465</v>
      </c>
      <c r="AI1196" s="2">
        <v>0.94828536010518805</v>
      </c>
      <c r="AJ1196" s="2">
        <v>0.37155732940323399</v>
      </c>
      <c r="AK1196" s="2">
        <v>9.3474478767834698E-2</v>
      </c>
      <c r="AL1196" s="2">
        <v>0.32126983629466899</v>
      </c>
      <c r="AN1196" s="2">
        <v>6.8</v>
      </c>
      <c r="AO1196" s="2">
        <v>19.899999999999999</v>
      </c>
      <c r="AP1196" s="2">
        <v>564</v>
      </c>
      <c r="AQ1196" s="2">
        <v>68</v>
      </c>
      <c r="AR1196" s="2">
        <v>1.5</v>
      </c>
      <c r="AS1196" s="2">
        <v>135</v>
      </c>
      <c r="AT1196" s="2">
        <v>0.8</v>
      </c>
      <c r="AU1196" s="2">
        <v>162</v>
      </c>
      <c r="AV1196" s="2">
        <v>9.1</v>
      </c>
      <c r="AW1196" s="2">
        <v>9.1999999999999993</v>
      </c>
      <c r="AX1196" s="2">
        <v>18.3</v>
      </c>
      <c r="AY1196" s="2">
        <v>0.34</v>
      </c>
      <c r="AZ1196" s="2">
        <v>7.3</v>
      </c>
      <c r="BA1196" s="2">
        <v>0.9</v>
      </c>
      <c r="BB1196" s="2">
        <v>7.5</v>
      </c>
      <c r="BC1196" s="2">
        <v>2.9</v>
      </c>
      <c r="BD1196" s="2">
        <f>+AN1196*EXP(-0.0495*Y1196)</f>
        <v>6.4610975342085988</v>
      </c>
      <c r="BE1196" s="2">
        <f>+AO1196*EXP(-0.024*Y1196)</f>
        <v>19.412799623851015</v>
      </c>
    </row>
    <row r="1197" spans="1:57" x14ac:dyDescent="0.2">
      <c r="A1197" s="2" t="s">
        <v>4367</v>
      </c>
      <c r="B1197" s="2" t="s">
        <v>19</v>
      </c>
      <c r="C1197" s="2" t="s">
        <v>3245</v>
      </c>
      <c r="D1197" s="2" t="s">
        <v>21</v>
      </c>
      <c r="E1197" s="2" t="s">
        <v>3510</v>
      </c>
      <c r="F1197" s="2">
        <v>3</v>
      </c>
      <c r="G1197" s="2">
        <v>27.13</v>
      </c>
      <c r="H1197" s="2">
        <v>1</v>
      </c>
      <c r="I1197" s="2">
        <v>1</v>
      </c>
      <c r="J1197" s="2">
        <v>0</v>
      </c>
      <c r="K1197" s="2" t="s">
        <v>61</v>
      </c>
      <c r="L1197" s="6" t="s">
        <v>62</v>
      </c>
      <c r="M1197" s="5">
        <v>330000000</v>
      </c>
      <c r="N1197" s="2">
        <v>0</v>
      </c>
      <c r="O1197" s="2">
        <v>4.6195500000000003</v>
      </c>
      <c r="P1197" s="2">
        <v>-74.069429999999997</v>
      </c>
      <c r="Q1197" s="2" t="s">
        <v>4368</v>
      </c>
      <c r="R1197" s="2">
        <v>12163656.470000001</v>
      </c>
      <c r="S1197" s="2">
        <v>0</v>
      </c>
      <c r="T1197" s="2" t="s">
        <v>77</v>
      </c>
      <c r="U1197" s="2" t="s">
        <v>78</v>
      </c>
      <c r="V1197" s="2" t="s">
        <v>28</v>
      </c>
      <c r="W1197" s="2" t="s">
        <v>79</v>
      </c>
      <c r="X1197" s="2" t="s">
        <v>80</v>
      </c>
      <c r="Y1197" s="2">
        <v>0.71451354539833001</v>
      </c>
      <c r="Z1197" s="2">
        <v>4.6254861111111101</v>
      </c>
      <c r="AA1197" s="2">
        <v>-74.066980555555503</v>
      </c>
      <c r="AB1197" s="2">
        <v>2621</v>
      </c>
      <c r="AC1197" s="2" t="s">
        <v>31</v>
      </c>
      <c r="AD1197" s="2" t="s">
        <v>32</v>
      </c>
      <c r="AE1197" s="2" t="s">
        <v>33</v>
      </c>
      <c r="AF1197" s="2" t="s">
        <v>34</v>
      </c>
      <c r="AG1197" s="2" t="s">
        <v>89</v>
      </c>
      <c r="AH1197" s="2">
        <v>0.226129041416258</v>
      </c>
      <c r="AI1197" s="2">
        <v>0.79521948094735695</v>
      </c>
      <c r="AJ1197" s="2">
        <v>0.393892350464079</v>
      </c>
      <c r="AK1197" s="2">
        <v>0.113901348766456</v>
      </c>
      <c r="AL1197" s="2">
        <v>1.76685858881161E-3</v>
      </c>
      <c r="AN1197" s="2">
        <v>6.8</v>
      </c>
      <c r="AO1197" s="2">
        <v>19.899999999999999</v>
      </c>
      <c r="AP1197" s="2">
        <v>564</v>
      </c>
      <c r="AQ1197" s="2">
        <v>68</v>
      </c>
      <c r="AR1197" s="2">
        <v>1.5</v>
      </c>
      <c r="AS1197" s="2">
        <v>135</v>
      </c>
      <c r="AT1197" s="2">
        <v>0.8</v>
      </c>
      <c r="AU1197" s="2">
        <v>162</v>
      </c>
      <c r="AV1197" s="2">
        <v>9.1</v>
      </c>
      <c r="AW1197" s="2">
        <v>9.1999999999999993</v>
      </c>
      <c r="AX1197" s="2">
        <v>18.3</v>
      </c>
      <c r="AY1197" s="2">
        <v>0.34</v>
      </c>
      <c r="AZ1197" s="2">
        <v>7.3</v>
      </c>
      <c r="BA1197" s="2">
        <v>0.9</v>
      </c>
      <c r="BB1197" s="2">
        <v>7.5</v>
      </c>
      <c r="BC1197" s="2">
        <v>2.9</v>
      </c>
      <c r="BD1197" s="2">
        <f>+AN1197*EXP(-0.0495*Y1197)</f>
        <v>6.5636981840907769</v>
      </c>
      <c r="BE1197" s="2">
        <f>+AO1197*EXP(-0.024*Y1197)</f>
        <v>19.561657624423496</v>
      </c>
    </row>
    <row r="1198" spans="1:57" x14ac:dyDescent="0.2">
      <c r="A1198" s="2" t="s">
        <v>3382</v>
      </c>
      <c r="B1198" s="2" t="s">
        <v>19</v>
      </c>
      <c r="C1198" s="2" t="s">
        <v>3245</v>
      </c>
      <c r="D1198" s="2" t="s">
        <v>21</v>
      </c>
      <c r="E1198" s="2" t="s">
        <v>81</v>
      </c>
      <c r="F1198" s="2">
        <v>5</v>
      </c>
      <c r="G1198" s="2">
        <v>27</v>
      </c>
      <c r="H1198" s="2">
        <v>1</v>
      </c>
      <c r="I1198" s="2">
        <v>1</v>
      </c>
      <c r="J1198" s="2">
        <v>0</v>
      </c>
      <c r="K1198" s="2" t="s">
        <v>61</v>
      </c>
      <c r="L1198" s="6" t="s">
        <v>62</v>
      </c>
      <c r="M1198" s="5">
        <v>320000000</v>
      </c>
      <c r="N1198" s="2">
        <v>0</v>
      </c>
      <c r="O1198" s="2">
        <v>4.6421945999999998</v>
      </c>
      <c r="P1198" s="2">
        <v>-74.062605500000004</v>
      </c>
      <c r="Q1198" s="2" t="s">
        <v>3383</v>
      </c>
      <c r="R1198" s="2">
        <v>11851851.85</v>
      </c>
      <c r="S1198" s="2">
        <v>0</v>
      </c>
      <c r="T1198" s="2" t="s">
        <v>77</v>
      </c>
      <c r="U1198" s="2" t="s">
        <v>78</v>
      </c>
      <c r="V1198" s="2" t="s">
        <v>28</v>
      </c>
      <c r="W1198" s="2" t="s">
        <v>79</v>
      </c>
      <c r="X1198" s="2" t="s">
        <v>80</v>
      </c>
      <c r="Y1198" s="2">
        <v>1.92228418014633</v>
      </c>
      <c r="Z1198" s="2">
        <v>4.6254861111111101</v>
      </c>
      <c r="AA1198" s="2">
        <v>-74.066980555555503</v>
      </c>
      <c r="AB1198" s="2">
        <v>2621</v>
      </c>
      <c r="AC1198" s="2" t="s">
        <v>31</v>
      </c>
      <c r="AD1198" s="2" t="s">
        <v>32</v>
      </c>
      <c r="AE1198" s="2" t="s">
        <v>33</v>
      </c>
      <c r="AF1198" s="2" t="s">
        <v>34</v>
      </c>
      <c r="AG1198" s="2" t="s">
        <v>81</v>
      </c>
      <c r="AH1198" s="2">
        <v>0.36779400701085901</v>
      </c>
      <c r="AI1198" s="2">
        <v>0.57747214030441896</v>
      </c>
      <c r="AJ1198" s="2">
        <v>0.39778000992044699</v>
      </c>
      <c r="AK1198" s="2">
        <v>5.1588213277125997E-2</v>
      </c>
      <c r="AL1198" s="2">
        <v>0.25807732996056598</v>
      </c>
      <c r="AN1198" s="2">
        <v>6.8</v>
      </c>
      <c r="AO1198" s="2">
        <v>19.899999999999999</v>
      </c>
      <c r="AP1198" s="2">
        <v>564</v>
      </c>
      <c r="AQ1198" s="2">
        <v>68</v>
      </c>
      <c r="AR1198" s="2">
        <v>1.5</v>
      </c>
      <c r="AS1198" s="2">
        <v>135</v>
      </c>
      <c r="AT1198" s="2">
        <v>0.8</v>
      </c>
      <c r="AU1198" s="2">
        <v>162</v>
      </c>
      <c r="AV1198" s="2">
        <v>9.1</v>
      </c>
      <c r="AW1198" s="2">
        <v>9.1999999999999993</v>
      </c>
      <c r="AX1198" s="2">
        <v>18.3</v>
      </c>
      <c r="AY1198" s="2">
        <v>0.34</v>
      </c>
      <c r="AZ1198" s="2">
        <v>7.3</v>
      </c>
      <c r="BA1198" s="2">
        <v>0.9</v>
      </c>
      <c r="BB1198" s="2">
        <v>7.5</v>
      </c>
      <c r="BC1198" s="2">
        <v>2.9</v>
      </c>
      <c r="BD1198" s="2">
        <f>+AN1198*EXP(-0.0495*Y1198)</f>
        <v>6.1827895014215564</v>
      </c>
      <c r="BE1198" s="2">
        <f>+AO1198*EXP(-0.024*Y1198)</f>
        <v>19.00277291489331</v>
      </c>
    </row>
    <row r="1199" spans="1:57" x14ac:dyDescent="0.2">
      <c r="A1199" s="2" t="s">
        <v>3548</v>
      </c>
      <c r="B1199" s="2" t="s">
        <v>19</v>
      </c>
      <c r="C1199" s="2" t="s">
        <v>3245</v>
      </c>
      <c r="D1199" s="2" t="s">
        <v>21</v>
      </c>
      <c r="E1199" s="2" t="s">
        <v>635</v>
      </c>
      <c r="F1199" s="2">
        <v>4</v>
      </c>
      <c r="G1199" s="2">
        <v>27</v>
      </c>
      <c r="H1199" s="2">
        <v>1</v>
      </c>
      <c r="I1199" s="2">
        <v>1</v>
      </c>
      <c r="J1199" s="2">
        <v>0</v>
      </c>
      <c r="K1199" s="2" t="s">
        <v>61</v>
      </c>
      <c r="L1199" s="6" t="s">
        <v>62</v>
      </c>
      <c r="M1199" s="5">
        <v>315000000</v>
      </c>
      <c r="N1199" s="2">
        <v>0</v>
      </c>
      <c r="O1199" s="2">
        <v>4.6819591520000001</v>
      </c>
      <c r="P1199" s="2">
        <v>-74.060119630000003</v>
      </c>
      <c r="Q1199" s="2" t="s">
        <v>3549</v>
      </c>
      <c r="R1199" s="2">
        <v>11666666.67</v>
      </c>
      <c r="S1199" s="2">
        <v>0</v>
      </c>
      <c r="T1199" s="2" t="s">
        <v>26</v>
      </c>
      <c r="U1199" s="2" t="s">
        <v>27</v>
      </c>
      <c r="V1199" s="2" t="s">
        <v>28</v>
      </c>
      <c r="W1199" s="2" t="s">
        <v>29</v>
      </c>
      <c r="X1199" s="2" t="s">
        <v>30</v>
      </c>
      <c r="Y1199" s="2">
        <v>3.7201502736668299</v>
      </c>
      <c r="Z1199" s="2">
        <v>4.6584666666666701</v>
      </c>
      <c r="AA1199" s="2">
        <v>-74.083966666666697</v>
      </c>
      <c r="AB1199" s="2">
        <v>2552</v>
      </c>
      <c r="AC1199" s="2" t="s">
        <v>31</v>
      </c>
      <c r="AD1199" s="2" t="s">
        <v>32</v>
      </c>
      <c r="AE1199" s="2" t="s">
        <v>33</v>
      </c>
      <c r="AF1199" s="2" t="s">
        <v>34</v>
      </c>
      <c r="AG1199" s="2" t="s">
        <v>293</v>
      </c>
      <c r="AH1199" s="2">
        <v>0.34587266877892497</v>
      </c>
      <c r="AI1199" s="2">
        <v>2.4024577575369901</v>
      </c>
      <c r="AJ1199" s="2">
        <v>0.35207398162009501</v>
      </c>
      <c r="AK1199" s="2">
        <v>4.72882752515634E-2</v>
      </c>
      <c r="AL1199" s="2">
        <v>0.15216010680202099</v>
      </c>
      <c r="AN1199" s="2">
        <v>6.8</v>
      </c>
      <c r="AO1199" s="2">
        <v>19.899999999999999</v>
      </c>
      <c r="AP1199" s="2">
        <v>564</v>
      </c>
      <c r="AQ1199" s="2">
        <v>68</v>
      </c>
      <c r="AR1199" s="2">
        <v>1.5</v>
      </c>
      <c r="AS1199" s="2">
        <v>135</v>
      </c>
      <c r="AT1199" s="2">
        <v>0.8</v>
      </c>
      <c r="AU1199" s="2">
        <v>162</v>
      </c>
      <c r="AV1199" s="2">
        <v>9.1</v>
      </c>
      <c r="AW1199" s="2">
        <v>9.1999999999999993</v>
      </c>
      <c r="AX1199" s="2">
        <v>18.3</v>
      </c>
      <c r="AY1199" s="2">
        <v>0.34</v>
      </c>
      <c r="AZ1199" s="2">
        <v>7.3</v>
      </c>
      <c r="BA1199" s="2">
        <v>0.9</v>
      </c>
      <c r="BB1199" s="2">
        <v>7.5</v>
      </c>
      <c r="BC1199" s="2">
        <v>2.9</v>
      </c>
      <c r="BD1199" s="2">
        <f>+AN1199*EXP(-0.0495*Y1199)</f>
        <v>5.6563294435476204</v>
      </c>
      <c r="BE1199" s="2">
        <f>+AO1199*EXP(-0.024*Y1199)</f>
        <v>18.200264467571909</v>
      </c>
    </row>
    <row r="1200" spans="1:57" x14ac:dyDescent="0.2">
      <c r="A1200" s="2" t="s">
        <v>4434</v>
      </c>
      <c r="B1200" s="2" t="s">
        <v>19</v>
      </c>
      <c r="C1200" s="2" t="s">
        <v>3245</v>
      </c>
      <c r="D1200" s="2" t="s">
        <v>21</v>
      </c>
      <c r="E1200" s="2" t="s">
        <v>3524</v>
      </c>
      <c r="F1200" s="2">
        <v>3</v>
      </c>
      <c r="G1200" s="2">
        <v>27</v>
      </c>
      <c r="H1200" s="2">
        <v>1</v>
      </c>
      <c r="I1200" s="2">
        <v>1</v>
      </c>
      <c r="J1200" s="2">
        <v>0</v>
      </c>
      <c r="K1200" s="2" t="s">
        <v>61</v>
      </c>
      <c r="L1200" s="6" t="s">
        <v>62</v>
      </c>
      <c r="M1200" s="5">
        <v>290000000</v>
      </c>
      <c r="N1200" s="2">
        <v>2150000</v>
      </c>
      <c r="O1200" s="2">
        <v>4.6024799999999999</v>
      </c>
      <c r="P1200" s="2">
        <v>-74.068950000000001</v>
      </c>
      <c r="Q1200" s="2" t="s">
        <v>4435</v>
      </c>
      <c r="R1200" s="2">
        <v>10740740.74</v>
      </c>
      <c r="S1200" s="2">
        <v>79629.629629999996</v>
      </c>
      <c r="T1200" s="2" t="s">
        <v>77</v>
      </c>
      <c r="U1200" s="2" t="s">
        <v>78</v>
      </c>
      <c r="V1200" s="2" t="s">
        <v>28</v>
      </c>
      <c r="W1200" s="2" t="s">
        <v>79</v>
      </c>
      <c r="X1200" s="2" t="s">
        <v>80</v>
      </c>
      <c r="Y1200" s="2">
        <v>2.5703348875502599</v>
      </c>
      <c r="Z1200" s="2">
        <v>4.6254861111111101</v>
      </c>
      <c r="AA1200" s="2">
        <v>-74.066980555555503</v>
      </c>
      <c r="AB1200" s="2">
        <v>2621</v>
      </c>
      <c r="AC1200" s="2" t="s">
        <v>31</v>
      </c>
      <c r="AD1200" s="2" t="s">
        <v>32</v>
      </c>
      <c r="AE1200" s="2" t="s">
        <v>33</v>
      </c>
      <c r="AF1200" s="2" t="s">
        <v>34</v>
      </c>
      <c r="AG1200" s="2" t="s">
        <v>89</v>
      </c>
      <c r="AH1200" s="2">
        <v>6.1822755343333403E-2</v>
      </c>
      <c r="AI1200" s="2">
        <v>0.56536290912041898</v>
      </c>
      <c r="AJ1200" s="2">
        <v>0.118797344164446</v>
      </c>
      <c r="AK1200" s="2">
        <v>0.13251561716663801</v>
      </c>
      <c r="AL1200" s="2">
        <v>0.21116693836901401</v>
      </c>
      <c r="AN1200" s="2">
        <v>6.8</v>
      </c>
      <c r="AO1200" s="2">
        <v>19.899999999999999</v>
      </c>
      <c r="AP1200" s="2">
        <v>564</v>
      </c>
      <c r="AQ1200" s="2">
        <v>68</v>
      </c>
      <c r="AR1200" s="2">
        <v>1.5</v>
      </c>
      <c r="AS1200" s="2">
        <v>135</v>
      </c>
      <c r="AT1200" s="2">
        <v>0.8</v>
      </c>
      <c r="AU1200" s="2">
        <v>162</v>
      </c>
      <c r="AV1200" s="2">
        <v>9.1</v>
      </c>
      <c r="AW1200" s="2">
        <v>9.1999999999999993</v>
      </c>
      <c r="AX1200" s="2">
        <v>18.3</v>
      </c>
      <c r="AY1200" s="2">
        <v>0.34</v>
      </c>
      <c r="AZ1200" s="2">
        <v>7.3</v>
      </c>
      <c r="BA1200" s="2">
        <v>0.9</v>
      </c>
      <c r="BB1200" s="2">
        <v>7.5</v>
      </c>
      <c r="BC1200" s="2">
        <v>2.9</v>
      </c>
      <c r="BD1200" s="2">
        <f>+AN1200*EXP(-0.0495*Y1200)</f>
        <v>5.9876022225339405</v>
      </c>
      <c r="BE1200" s="2">
        <f>+AO1200*EXP(-0.024*Y1200)</f>
        <v>18.709505204562735</v>
      </c>
    </row>
    <row r="1201" spans="1:57" x14ac:dyDescent="0.2">
      <c r="A1201" s="2" t="s">
        <v>3302</v>
      </c>
      <c r="B1201" s="2" t="s">
        <v>19</v>
      </c>
      <c r="C1201" s="2" t="s">
        <v>3245</v>
      </c>
      <c r="D1201" s="2" t="s">
        <v>21</v>
      </c>
      <c r="E1201" s="2" t="s">
        <v>1260</v>
      </c>
      <c r="F1201" s="2">
        <v>4</v>
      </c>
      <c r="G1201" s="2">
        <v>27</v>
      </c>
      <c r="H1201" s="2">
        <v>1</v>
      </c>
      <c r="I1201" s="2">
        <v>1</v>
      </c>
      <c r="J1201" s="2">
        <v>0</v>
      </c>
      <c r="K1201" s="2" t="s">
        <v>61</v>
      </c>
      <c r="L1201" s="6" t="s">
        <v>62</v>
      </c>
      <c r="M1201" s="5">
        <v>280000000</v>
      </c>
      <c r="N1201" s="2">
        <v>0</v>
      </c>
      <c r="O1201" s="2">
        <v>4.6444407229999998</v>
      </c>
      <c r="P1201" s="2">
        <v>-74.0547811</v>
      </c>
      <c r="Q1201" s="2" t="s">
        <v>3303</v>
      </c>
      <c r="R1201" s="2">
        <v>10370370.369999999</v>
      </c>
      <c r="S1201" s="2">
        <v>0</v>
      </c>
      <c r="T1201" s="2" t="s">
        <v>77</v>
      </c>
      <c r="U1201" s="2" t="s">
        <v>78</v>
      </c>
      <c r="V1201" s="2" t="s">
        <v>28</v>
      </c>
      <c r="W1201" s="2" t="s">
        <v>79</v>
      </c>
      <c r="X1201" s="2" t="s">
        <v>80</v>
      </c>
      <c r="Y1201" s="2">
        <v>2.5068699937411298</v>
      </c>
      <c r="Z1201" s="2">
        <v>4.6254861111111101</v>
      </c>
      <c r="AA1201" s="2">
        <v>-74.066980555555503</v>
      </c>
      <c r="AB1201" s="2">
        <v>2621</v>
      </c>
      <c r="AC1201" s="2" t="s">
        <v>31</v>
      </c>
      <c r="AD1201" s="2" t="s">
        <v>32</v>
      </c>
      <c r="AE1201" s="2" t="s">
        <v>33</v>
      </c>
      <c r="AF1201" s="2" t="s">
        <v>34</v>
      </c>
      <c r="AG1201" s="2" t="s">
        <v>81</v>
      </c>
      <c r="AH1201" s="2">
        <v>1.20145776476549</v>
      </c>
      <c r="AI1201" s="2">
        <v>0.15014501464350699</v>
      </c>
      <c r="AJ1201" s="2">
        <v>0.58435946466575495</v>
      </c>
      <c r="AK1201" s="2">
        <v>0.25634907655609701</v>
      </c>
      <c r="AL1201" s="2">
        <v>0.33063547817967298</v>
      </c>
      <c r="AN1201" s="2">
        <v>6.8</v>
      </c>
      <c r="AO1201" s="2">
        <v>19.899999999999999</v>
      </c>
      <c r="AP1201" s="2">
        <v>564</v>
      </c>
      <c r="AQ1201" s="2">
        <v>68</v>
      </c>
      <c r="AR1201" s="2">
        <v>1.5</v>
      </c>
      <c r="AS1201" s="2">
        <v>135</v>
      </c>
      <c r="AT1201" s="2">
        <v>0.8</v>
      </c>
      <c r="AU1201" s="2">
        <v>162</v>
      </c>
      <c r="AV1201" s="2">
        <v>9.1</v>
      </c>
      <c r="AW1201" s="2">
        <v>9.1999999999999993</v>
      </c>
      <c r="AX1201" s="2">
        <v>18.3</v>
      </c>
      <c r="AY1201" s="2">
        <v>0.34</v>
      </c>
      <c r="AZ1201" s="2">
        <v>7.3</v>
      </c>
      <c r="BA1201" s="2">
        <v>0.9</v>
      </c>
      <c r="BB1201" s="2">
        <v>7.5</v>
      </c>
      <c r="BC1201" s="2">
        <v>2.9</v>
      </c>
      <c r="BD1201" s="2">
        <f>+AN1201*EXP(-0.0495*Y1201)</f>
        <v>6.0064419253097787</v>
      </c>
      <c r="BE1201" s="2">
        <f>+AO1201*EXP(-0.024*Y1201)</f>
        <v>18.7380244409574</v>
      </c>
    </row>
    <row r="1202" spans="1:57" x14ac:dyDescent="0.2">
      <c r="A1202" s="2" t="s">
        <v>4379</v>
      </c>
      <c r="B1202" s="2" t="s">
        <v>19</v>
      </c>
      <c r="C1202" s="2" t="s">
        <v>3245</v>
      </c>
      <c r="D1202" s="2" t="s">
        <v>21</v>
      </c>
      <c r="E1202" s="2" t="s">
        <v>4380</v>
      </c>
      <c r="F1202" s="2">
        <v>3</v>
      </c>
      <c r="G1202" s="2">
        <v>27</v>
      </c>
      <c r="H1202" s="2">
        <v>1</v>
      </c>
      <c r="I1202" s="2">
        <v>1</v>
      </c>
      <c r="J1202" s="2">
        <v>0</v>
      </c>
      <c r="K1202" s="2" t="s">
        <v>61</v>
      </c>
      <c r="L1202" s="6" t="s">
        <v>62</v>
      </c>
      <c r="M1202" s="5">
        <v>277500000</v>
      </c>
      <c r="N1202" s="2">
        <v>0</v>
      </c>
      <c r="O1202" s="2">
        <v>4.6025239999999998</v>
      </c>
      <c r="P1202" s="2">
        <v>-74.068940100000006</v>
      </c>
      <c r="Q1202" s="2" t="s">
        <v>4381</v>
      </c>
      <c r="R1202" s="2">
        <v>10277777.779999999</v>
      </c>
      <c r="S1202" s="2">
        <v>0</v>
      </c>
      <c r="T1202" s="2" t="s">
        <v>77</v>
      </c>
      <c r="U1202" s="2" t="s">
        <v>78</v>
      </c>
      <c r="V1202" s="2" t="s">
        <v>28</v>
      </c>
      <c r="W1202" s="2" t="s">
        <v>79</v>
      </c>
      <c r="X1202" s="2" t="s">
        <v>80</v>
      </c>
      <c r="Y1202" s="2">
        <v>2.5653612606682401</v>
      </c>
      <c r="Z1202" s="2">
        <v>4.6254861111111101</v>
      </c>
      <c r="AA1202" s="2">
        <v>-74.066980555555503</v>
      </c>
      <c r="AB1202" s="2">
        <v>2621</v>
      </c>
      <c r="AC1202" s="2" t="s">
        <v>31</v>
      </c>
      <c r="AD1202" s="2" t="s">
        <v>32</v>
      </c>
      <c r="AE1202" s="2" t="s">
        <v>33</v>
      </c>
      <c r="AF1202" s="2" t="s">
        <v>34</v>
      </c>
      <c r="AG1202" s="2" t="s">
        <v>89</v>
      </c>
      <c r="AH1202" s="2">
        <v>6.0050996090324098E-2</v>
      </c>
      <c r="AI1202" s="2">
        <v>0.56295732149286803</v>
      </c>
      <c r="AJ1202" s="2">
        <v>0.117346809666504</v>
      </c>
      <c r="AK1202" s="2">
        <v>0.127641106683269</v>
      </c>
      <c r="AL1202" s="2">
        <v>0.21012248847772799</v>
      </c>
      <c r="AN1202" s="2">
        <v>6.8</v>
      </c>
      <c r="AO1202" s="2">
        <v>19.899999999999999</v>
      </c>
      <c r="AP1202" s="2">
        <v>564</v>
      </c>
      <c r="AQ1202" s="2">
        <v>68</v>
      </c>
      <c r="AR1202" s="2">
        <v>1.5</v>
      </c>
      <c r="AS1202" s="2">
        <v>135</v>
      </c>
      <c r="AT1202" s="2">
        <v>0.8</v>
      </c>
      <c r="AU1202" s="2">
        <v>162</v>
      </c>
      <c r="AV1202" s="2">
        <v>9.1</v>
      </c>
      <c r="AW1202" s="2">
        <v>9.1999999999999993</v>
      </c>
      <c r="AX1202" s="2">
        <v>18.3</v>
      </c>
      <c r="AY1202" s="2">
        <v>0.34</v>
      </c>
      <c r="AZ1202" s="2">
        <v>7.3</v>
      </c>
      <c r="BA1202" s="2">
        <v>0.9</v>
      </c>
      <c r="BB1202" s="2">
        <v>7.5</v>
      </c>
      <c r="BC1202" s="2">
        <v>2.9</v>
      </c>
      <c r="BD1202" s="2">
        <f>+AN1202*EXP(-0.0495*Y1202)</f>
        <v>5.9890765189273036</v>
      </c>
      <c r="BE1202" s="2">
        <f>+AO1202*EXP(-0.024*Y1202)</f>
        <v>18.711738636211983</v>
      </c>
    </row>
    <row r="1203" spans="1:57" x14ac:dyDescent="0.2">
      <c r="A1203" s="2" t="s">
        <v>3550</v>
      </c>
      <c r="B1203" s="2" t="s">
        <v>19</v>
      </c>
      <c r="C1203" s="2" t="s">
        <v>3245</v>
      </c>
      <c r="D1203" s="2" t="s">
        <v>21</v>
      </c>
      <c r="E1203" s="2" t="s">
        <v>81</v>
      </c>
      <c r="F1203" s="2">
        <v>4</v>
      </c>
      <c r="G1203" s="2">
        <v>27</v>
      </c>
      <c r="H1203" s="2">
        <v>1</v>
      </c>
      <c r="I1203" s="2">
        <v>1</v>
      </c>
      <c r="J1203" s="2">
        <v>0</v>
      </c>
      <c r="K1203" s="2" t="s">
        <v>61</v>
      </c>
      <c r="L1203" s="6" t="s">
        <v>62</v>
      </c>
      <c r="M1203" s="5">
        <v>265000000</v>
      </c>
      <c r="N1203" s="2">
        <v>0</v>
      </c>
      <c r="O1203" s="2">
        <v>4.6439271719999997</v>
      </c>
      <c r="P1203" s="2">
        <v>-74.054819019999996</v>
      </c>
      <c r="Q1203" s="2" t="s">
        <v>3551</v>
      </c>
      <c r="R1203" s="2">
        <v>9814814.8149999995</v>
      </c>
      <c r="S1203" s="2">
        <v>0</v>
      </c>
      <c r="T1203" s="2" t="s">
        <v>77</v>
      </c>
      <c r="U1203" s="2" t="s">
        <v>78</v>
      </c>
      <c r="V1203" s="2" t="s">
        <v>28</v>
      </c>
      <c r="W1203" s="2" t="s">
        <v>79</v>
      </c>
      <c r="X1203" s="2" t="s">
        <v>80</v>
      </c>
      <c r="Y1203" s="2">
        <v>2.4566322664124001</v>
      </c>
      <c r="Z1203" s="2">
        <v>4.6254861111111101</v>
      </c>
      <c r="AA1203" s="2">
        <v>-74.066980555555503</v>
      </c>
      <c r="AB1203" s="2">
        <v>2621</v>
      </c>
      <c r="AC1203" s="2" t="s">
        <v>31</v>
      </c>
      <c r="AD1203" s="2" t="s">
        <v>32</v>
      </c>
      <c r="AE1203" s="2" t="s">
        <v>33</v>
      </c>
      <c r="AF1203" s="2" t="s">
        <v>34</v>
      </c>
      <c r="AG1203" s="2" t="s">
        <v>81</v>
      </c>
      <c r="AH1203" s="2">
        <v>1.21944510811881</v>
      </c>
      <c r="AI1203" s="2">
        <v>0.150148544424757</v>
      </c>
      <c r="AJ1203" s="2">
        <v>0.58806273918228102</v>
      </c>
      <c r="AK1203" s="2">
        <v>0.20365372575238599</v>
      </c>
      <c r="AL1203" s="2">
        <v>0.349005166854648</v>
      </c>
      <c r="AN1203" s="2">
        <v>6.8</v>
      </c>
      <c r="AO1203" s="2">
        <v>19.899999999999999</v>
      </c>
      <c r="AP1203" s="2">
        <v>564</v>
      </c>
      <c r="AQ1203" s="2">
        <v>68</v>
      </c>
      <c r="AR1203" s="2">
        <v>1.5</v>
      </c>
      <c r="AS1203" s="2">
        <v>135</v>
      </c>
      <c r="AT1203" s="2">
        <v>0.8</v>
      </c>
      <c r="AU1203" s="2">
        <v>162</v>
      </c>
      <c r="AV1203" s="2">
        <v>9.1</v>
      </c>
      <c r="AW1203" s="2">
        <v>9.1999999999999993</v>
      </c>
      <c r="AX1203" s="2">
        <v>18.3</v>
      </c>
      <c r="AY1203" s="2">
        <v>0.34</v>
      </c>
      <c r="AZ1203" s="2">
        <v>7.3</v>
      </c>
      <c r="BA1203" s="2">
        <v>0.9</v>
      </c>
      <c r="BB1203" s="2">
        <v>7.5</v>
      </c>
      <c r="BC1203" s="2">
        <v>2.9</v>
      </c>
      <c r="BD1203" s="2">
        <f>+AN1203*EXP(-0.0495*Y1203)</f>
        <v>6.0213971372575275</v>
      </c>
      <c r="BE1203" s="2">
        <f>+AO1203*EXP(-0.024*Y1203)</f>
        <v>18.760630604707345</v>
      </c>
    </row>
    <row r="1204" spans="1:57" x14ac:dyDescent="0.2">
      <c r="A1204" s="2" t="s">
        <v>3386</v>
      </c>
      <c r="B1204" s="2" t="s">
        <v>19</v>
      </c>
      <c r="C1204" s="2" t="s">
        <v>3245</v>
      </c>
      <c r="D1204" s="2" t="s">
        <v>21</v>
      </c>
      <c r="E1204" s="2" t="s">
        <v>1049</v>
      </c>
      <c r="F1204" s="2">
        <v>3</v>
      </c>
      <c r="G1204" s="2">
        <v>27</v>
      </c>
      <c r="H1204" s="2">
        <v>1</v>
      </c>
      <c r="I1204" s="2">
        <v>1</v>
      </c>
      <c r="J1204" s="2">
        <v>0</v>
      </c>
      <c r="K1204" s="2" t="s">
        <v>61</v>
      </c>
      <c r="L1204" s="6" t="s">
        <v>62</v>
      </c>
      <c r="M1204" s="5">
        <v>254000000</v>
      </c>
      <c r="N1204" s="2">
        <v>0</v>
      </c>
      <c r="O1204" s="2">
        <v>4.6109518999999999</v>
      </c>
      <c r="P1204" s="2">
        <v>-74.071258540000002</v>
      </c>
      <c r="Q1204" s="2" t="s">
        <v>3387</v>
      </c>
      <c r="R1204" s="2">
        <v>9407407.4069999997</v>
      </c>
      <c r="S1204" s="2">
        <v>0</v>
      </c>
      <c r="T1204" s="2" t="s">
        <v>77</v>
      </c>
      <c r="U1204" s="2" t="s">
        <v>78</v>
      </c>
      <c r="V1204" s="2" t="s">
        <v>28</v>
      </c>
      <c r="W1204" s="2" t="s">
        <v>79</v>
      </c>
      <c r="X1204" s="2" t="s">
        <v>80</v>
      </c>
      <c r="Y1204" s="2">
        <v>1.6861349831747201</v>
      </c>
      <c r="Z1204" s="2">
        <v>4.6254861111111101</v>
      </c>
      <c r="AA1204" s="2">
        <v>-74.066980555555503</v>
      </c>
      <c r="AB1204" s="2">
        <v>2621</v>
      </c>
      <c r="AC1204" s="2" t="s">
        <v>31</v>
      </c>
      <c r="AD1204" s="2" t="s">
        <v>32</v>
      </c>
      <c r="AE1204" s="2" t="s">
        <v>33</v>
      </c>
      <c r="AF1204" s="2" t="s">
        <v>34</v>
      </c>
      <c r="AG1204" s="2" t="s">
        <v>89</v>
      </c>
      <c r="AH1204" s="2">
        <v>2.7412834686535398E-2</v>
      </c>
      <c r="AI1204" s="2">
        <v>0.75273406931437203</v>
      </c>
      <c r="AJ1204" s="2">
        <v>0.15284068796981101</v>
      </c>
      <c r="AK1204" s="2">
        <v>0.33604796087546401</v>
      </c>
      <c r="AL1204" s="2">
        <v>5.1275955074568502E-2</v>
      </c>
      <c r="AN1204" s="2">
        <v>6.8</v>
      </c>
      <c r="AO1204" s="2">
        <v>19.899999999999999</v>
      </c>
      <c r="AP1204" s="2">
        <v>564</v>
      </c>
      <c r="AQ1204" s="2">
        <v>68</v>
      </c>
      <c r="AR1204" s="2">
        <v>1.5</v>
      </c>
      <c r="AS1204" s="2">
        <v>135</v>
      </c>
      <c r="AT1204" s="2">
        <v>0.8</v>
      </c>
      <c r="AU1204" s="2">
        <v>162</v>
      </c>
      <c r="AV1204" s="2">
        <v>9.1</v>
      </c>
      <c r="AW1204" s="2">
        <v>9.1999999999999993</v>
      </c>
      <c r="AX1204" s="2">
        <v>18.3</v>
      </c>
      <c r="AY1204" s="2">
        <v>0.34</v>
      </c>
      <c r="AZ1204" s="2">
        <v>7.3</v>
      </c>
      <c r="BA1204" s="2">
        <v>0.9</v>
      </c>
      <c r="BB1204" s="2">
        <v>7.5</v>
      </c>
      <c r="BC1204" s="2">
        <v>2.9</v>
      </c>
      <c r="BD1204" s="2">
        <f>+AN1204*EXP(-0.0495*Y1204)</f>
        <v>6.2554865740824424</v>
      </c>
      <c r="BE1204" s="2">
        <f>+AO1204*EXP(-0.024*Y1204)</f>
        <v>19.110778440340731</v>
      </c>
    </row>
    <row r="1205" spans="1:57" x14ac:dyDescent="0.2">
      <c r="A1205" s="2" t="s">
        <v>1259</v>
      </c>
      <c r="B1205" s="2" t="s">
        <v>19</v>
      </c>
      <c r="C1205" s="2" t="s">
        <v>20</v>
      </c>
      <c r="D1205" s="2" t="s">
        <v>21</v>
      </c>
      <c r="E1205" s="2" t="s">
        <v>1260</v>
      </c>
      <c r="F1205" s="2">
        <v>4</v>
      </c>
      <c r="G1205" s="2">
        <v>27</v>
      </c>
      <c r="H1205" s="2">
        <v>1</v>
      </c>
      <c r="I1205" s="2">
        <v>1</v>
      </c>
      <c r="J1205" s="2">
        <v>0</v>
      </c>
      <c r="K1205" s="2" t="s">
        <v>61</v>
      </c>
      <c r="L1205" s="6" t="s">
        <v>62</v>
      </c>
      <c r="M1205" s="5">
        <v>250000000</v>
      </c>
      <c r="N1205" s="2">
        <v>0</v>
      </c>
      <c r="O1205" s="2">
        <v>4.6444407229999998</v>
      </c>
      <c r="P1205" s="2">
        <v>-74.0547811</v>
      </c>
      <c r="Q1205" s="2" t="s">
        <v>1261</v>
      </c>
      <c r="R1205" s="2">
        <v>9259259.2589999996</v>
      </c>
      <c r="S1205" s="2">
        <v>0</v>
      </c>
      <c r="T1205" s="2" t="s">
        <v>77</v>
      </c>
      <c r="U1205" s="2" t="s">
        <v>78</v>
      </c>
      <c r="V1205" s="2" t="s">
        <v>28</v>
      </c>
      <c r="W1205" s="2" t="s">
        <v>79</v>
      </c>
      <c r="X1205" s="2" t="s">
        <v>80</v>
      </c>
      <c r="Y1205" s="2">
        <v>2.5068699937411298</v>
      </c>
      <c r="Z1205" s="2">
        <v>4.6254861111111101</v>
      </c>
      <c r="AA1205" s="2">
        <v>-74.066980555555503</v>
      </c>
      <c r="AB1205" s="2">
        <v>2621</v>
      </c>
      <c r="AC1205" s="2" t="s">
        <v>31</v>
      </c>
      <c r="AD1205" s="2" t="s">
        <v>32</v>
      </c>
      <c r="AE1205" s="2" t="s">
        <v>33</v>
      </c>
      <c r="AF1205" s="2" t="s">
        <v>34</v>
      </c>
      <c r="AG1205" s="2" t="s">
        <v>81</v>
      </c>
      <c r="AH1205" s="2">
        <v>1.20145776476549</v>
      </c>
      <c r="AI1205" s="2">
        <v>0.15014501464350699</v>
      </c>
      <c r="AJ1205" s="2">
        <v>0.58435946466575495</v>
      </c>
      <c r="AK1205" s="2">
        <v>0.25634907655609701</v>
      </c>
      <c r="AL1205" s="2">
        <v>0.33063547817967298</v>
      </c>
      <c r="AN1205" s="2">
        <v>6.8</v>
      </c>
      <c r="AO1205" s="2">
        <v>19.899999999999999</v>
      </c>
      <c r="AP1205" s="2">
        <v>564</v>
      </c>
      <c r="AQ1205" s="2">
        <v>68</v>
      </c>
      <c r="AR1205" s="2">
        <v>1.5</v>
      </c>
      <c r="AS1205" s="2">
        <v>135</v>
      </c>
      <c r="AT1205" s="2">
        <v>0.8</v>
      </c>
      <c r="AU1205" s="2">
        <v>162</v>
      </c>
      <c r="AV1205" s="2">
        <v>9.1</v>
      </c>
      <c r="AW1205" s="2">
        <v>9.1999999999999993</v>
      </c>
      <c r="AX1205" s="2">
        <v>18.3</v>
      </c>
      <c r="AY1205" s="2">
        <v>0.34</v>
      </c>
      <c r="AZ1205" s="2">
        <v>7.3</v>
      </c>
      <c r="BA1205" s="2">
        <v>0.9</v>
      </c>
      <c r="BB1205" s="2">
        <v>7.5</v>
      </c>
      <c r="BC1205" s="2">
        <v>2.9</v>
      </c>
      <c r="BD1205" s="2">
        <f>+AN1205*EXP(-0.0495*Y1205)</f>
        <v>6.0064419253097787</v>
      </c>
      <c r="BE1205" s="2">
        <f>+AO1205*EXP(-0.024*Y1205)</f>
        <v>18.7380244409574</v>
      </c>
    </row>
    <row r="1206" spans="1:57" x14ac:dyDescent="0.2">
      <c r="A1206" s="2" t="s">
        <v>4122</v>
      </c>
      <c r="B1206" s="2" t="s">
        <v>19</v>
      </c>
      <c r="C1206" s="2" t="s">
        <v>3245</v>
      </c>
      <c r="D1206" s="2" t="s">
        <v>21</v>
      </c>
      <c r="E1206" s="2" t="s">
        <v>1871</v>
      </c>
      <c r="F1206" s="2">
        <v>3</v>
      </c>
      <c r="G1206" s="2">
        <v>27</v>
      </c>
      <c r="H1206" s="2">
        <v>1</v>
      </c>
      <c r="I1206" s="2">
        <v>1</v>
      </c>
      <c r="J1206" s="2">
        <v>0</v>
      </c>
      <c r="K1206" s="2" t="s">
        <v>61</v>
      </c>
      <c r="L1206" s="6" t="s">
        <v>84</v>
      </c>
      <c r="M1206" s="5">
        <v>235000000</v>
      </c>
      <c r="N1206" s="2">
        <v>0</v>
      </c>
      <c r="O1206" s="2">
        <v>4.6410200000000001</v>
      </c>
      <c r="P1206" s="2">
        <v>-74.067310000000006</v>
      </c>
      <c r="Q1206" s="2" t="s">
        <v>4123</v>
      </c>
      <c r="R1206" s="2">
        <v>8703703.7039999999</v>
      </c>
      <c r="S1206" s="2">
        <v>0</v>
      </c>
      <c r="T1206" s="2" t="s">
        <v>77</v>
      </c>
      <c r="U1206" s="2" t="s">
        <v>78</v>
      </c>
      <c r="V1206" s="2" t="s">
        <v>28</v>
      </c>
      <c r="W1206" s="2" t="s">
        <v>79</v>
      </c>
      <c r="X1206" s="2" t="s">
        <v>80</v>
      </c>
      <c r="Y1206" s="2">
        <v>1.72961090926757</v>
      </c>
      <c r="Z1206" s="2">
        <v>4.6254861111111101</v>
      </c>
      <c r="AA1206" s="2">
        <v>-74.066980555555503</v>
      </c>
      <c r="AB1206" s="2">
        <v>2621</v>
      </c>
      <c r="AC1206" s="2" t="s">
        <v>31</v>
      </c>
      <c r="AD1206" s="2" t="s">
        <v>32</v>
      </c>
      <c r="AE1206" s="2" t="s">
        <v>33</v>
      </c>
      <c r="AF1206" s="2" t="s">
        <v>34</v>
      </c>
      <c r="AG1206" s="2" t="s">
        <v>35</v>
      </c>
      <c r="AH1206" s="2">
        <v>0.27201392614980002</v>
      </c>
      <c r="AI1206" s="2">
        <v>1.07085652280223</v>
      </c>
      <c r="AJ1206" s="2">
        <v>0.42150503857328597</v>
      </c>
      <c r="AK1206" s="2">
        <v>9.3626563413766295E-2</v>
      </c>
      <c r="AL1206" s="2">
        <v>0.21464860799265501</v>
      </c>
      <c r="AN1206" s="2">
        <v>6.8</v>
      </c>
      <c r="AO1206" s="2">
        <v>19.899999999999999</v>
      </c>
      <c r="AP1206" s="2">
        <v>564</v>
      </c>
      <c r="AQ1206" s="2">
        <v>68</v>
      </c>
      <c r="AR1206" s="2">
        <v>1.5</v>
      </c>
      <c r="AS1206" s="2">
        <v>135</v>
      </c>
      <c r="AT1206" s="2">
        <v>0.8</v>
      </c>
      <c r="AU1206" s="2">
        <v>162</v>
      </c>
      <c r="AV1206" s="2">
        <v>9.1</v>
      </c>
      <c r="AW1206" s="2">
        <v>9.1999999999999993</v>
      </c>
      <c r="AX1206" s="2">
        <v>18.3</v>
      </c>
      <c r="AY1206" s="2">
        <v>0.34</v>
      </c>
      <c r="AZ1206" s="2">
        <v>7.3</v>
      </c>
      <c r="BA1206" s="2">
        <v>0.9</v>
      </c>
      <c r="BB1206" s="2">
        <v>7.5</v>
      </c>
      <c r="BC1206" s="2">
        <v>2.9</v>
      </c>
      <c r="BD1206" s="2">
        <f>+AN1206*EXP(-0.0495*Y1206)</f>
        <v>6.2420388773240258</v>
      </c>
      <c r="BE1206" s="2">
        <f>+AO1206*EXP(-0.024*Y1206)</f>
        <v>19.090848228976526</v>
      </c>
    </row>
    <row r="1207" spans="1:57" x14ac:dyDescent="0.2">
      <c r="A1207" s="2" t="s">
        <v>4085</v>
      </c>
      <c r="B1207" s="2" t="s">
        <v>19</v>
      </c>
      <c r="C1207" s="2" t="s">
        <v>3245</v>
      </c>
      <c r="D1207" s="2" t="s">
        <v>21</v>
      </c>
      <c r="E1207" s="2" t="s">
        <v>3524</v>
      </c>
      <c r="F1207" s="2">
        <v>3</v>
      </c>
      <c r="G1207" s="2">
        <v>27</v>
      </c>
      <c r="H1207" s="2">
        <v>1</v>
      </c>
      <c r="I1207" s="2">
        <v>1</v>
      </c>
      <c r="J1207" s="2">
        <v>0</v>
      </c>
      <c r="K1207" s="2" t="s">
        <v>61</v>
      </c>
      <c r="L1207" s="6" t="s">
        <v>62</v>
      </c>
      <c r="M1207" s="5">
        <v>215000000</v>
      </c>
      <c r="N1207" s="2">
        <v>0</v>
      </c>
      <c r="O1207" s="2">
        <v>4.6021799999999997</v>
      </c>
      <c r="P1207" s="2">
        <v>-74.07056</v>
      </c>
      <c r="Q1207" s="2" t="s">
        <v>4086</v>
      </c>
      <c r="R1207" s="2">
        <v>7962962.9630000005</v>
      </c>
      <c r="S1207" s="2">
        <v>0</v>
      </c>
      <c r="T1207" s="2" t="s">
        <v>77</v>
      </c>
      <c r="U1207" s="2" t="s">
        <v>78</v>
      </c>
      <c r="V1207" s="2" t="s">
        <v>28</v>
      </c>
      <c r="W1207" s="2" t="s">
        <v>79</v>
      </c>
      <c r="X1207" s="2" t="s">
        <v>80</v>
      </c>
      <c r="Y1207" s="2">
        <v>2.62464905266684</v>
      </c>
      <c r="Z1207" s="2">
        <v>4.6254861111111101</v>
      </c>
      <c r="AA1207" s="2">
        <v>-74.066980555555503</v>
      </c>
      <c r="AB1207" s="2">
        <v>2621</v>
      </c>
      <c r="AC1207" s="2" t="s">
        <v>31</v>
      </c>
      <c r="AD1207" s="2" t="s">
        <v>32</v>
      </c>
      <c r="AE1207" s="2" t="s">
        <v>33</v>
      </c>
      <c r="AF1207" s="2" t="s">
        <v>34</v>
      </c>
      <c r="AG1207" s="2" t="s">
        <v>89</v>
      </c>
      <c r="AH1207" s="2">
        <v>0.24341301346566699</v>
      </c>
      <c r="AI1207" s="2">
        <v>0.746241704632153</v>
      </c>
      <c r="AJ1207" s="2">
        <v>0.30009552510182502</v>
      </c>
      <c r="AK1207" s="2">
        <v>0.13673465698249901</v>
      </c>
      <c r="AL1207" s="2">
        <v>6.1467964696571203E-2</v>
      </c>
      <c r="AN1207" s="2">
        <v>6.8</v>
      </c>
      <c r="AO1207" s="2">
        <v>19.899999999999999</v>
      </c>
      <c r="AP1207" s="2">
        <v>564</v>
      </c>
      <c r="AQ1207" s="2">
        <v>68</v>
      </c>
      <c r="AR1207" s="2">
        <v>1.5</v>
      </c>
      <c r="AS1207" s="2">
        <v>135</v>
      </c>
      <c r="AT1207" s="2">
        <v>0.8</v>
      </c>
      <c r="AU1207" s="2">
        <v>162</v>
      </c>
      <c r="AV1207" s="2">
        <v>9.1</v>
      </c>
      <c r="AW1207" s="2">
        <v>9.1999999999999993</v>
      </c>
      <c r="AX1207" s="2">
        <v>18.3</v>
      </c>
      <c r="AY1207" s="2">
        <v>0.34</v>
      </c>
      <c r="AZ1207" s="2">
        <v>7.3</v>
      </c>
      <c r="BA1207" s="2">
        <v>0.9</v>
      </c>
      <c r="BB1207" s="2">
        <v>7.5</v>
      </c>
      <c r="BC1207" s="2">
        <v>2.9</v>
      </c>
      <c r="BD1207" s="2">
        <f>+AN1207*EXP(-0.0495*Y1207)</f>
        <v>5.9715258682877383</v>
      </c>
      <c r="BE1207" s="2">
        <f>+AO1207*EXP(-0.024*Y1207)</f>
        <v>18.685132505689111</v>
      </c>
    </row>
    <row r="1208" spans="1:57" x14ac:dyDescent="0.2">
      <c r="A1208" s="2" t="s">
        <v>4326</v>
      </c>
      <c r="B1208" s="2" t="s">
        <v>19</v>
      </c>
      <c r="C1208" s="2" t="s">
        <v>3245</v>
      </c>
      <c r="D1208" s="2" t="s">
        <v>21</v>
      </c>
      <c r="E1208" s="2" t="s">
        <v>4327</v>
      </c>
      <c r="F1208" s="2">
        <v>3</v>
      </c>
      <c r="G1208" s="2">
        <v>27</v>
      </c>
      <c r="H1208" s="2">
        <v>1</v>
      </c>
      <c r="I1208" s="2">
        <v>1</v>
      </c>
      <c r="J1208" s="2">
        <v>0</v>
      </c>
      <c r="K1208" s="2" t="s">
        <v>61</v>
      </c>
      <c r="L1208" s="6" t="s">
        <v>62</v>
      </c>
      <c r="M1208" s="5">
        <v>198000000</v>
      </c>
      <c r="N1208" s="2">
        <v>0</v>
      </c>
      <c r="O1208" s="2">
        <v>4.6753315930000001</v>
      </c>
      <c r="P1208" s="2">
        <v>-74.081169130000006</v>
      </c>
      <c r="Q1208" s="2" t="s">
        <v>4328</v>
      </c>
      <c r="R1208" s="2">
        <v>7333333.3329999996</v>
      </c>
      <c r="S1208" s="2">
        <v>0</v>
      </c>
      <c r="T1208" s="2" t="s">
        <v>26</v>
      </c>
      <c r="U1208" s="2" t="s">
        <v>27</v>
      </c>
      <c r="V1208" s="2" t="s">
        <v>28</v>
      </c>
      <c r="W1208" s="2" t="s">
        <v>29</v>
      </c>
      <c r="X1208" s="2" t="s">
        <v>30</v>
      </c>
      <c r="Y1208" s="2">
        <v>1.90288009435997</v>
      </c>
      <c r="Z1208" s="2">
        <v>4.6584666666666701</v>
      </c>
      <c r="AA1208" s="2">
        <v>-74.083966666666697</v>
      </c>
      <c r="AB1208" s="2">
        <v>2552</v>
      </c>
      <c r="AC1208" s="2" t="s">
        <v>31</v>
      </c>
      <c r="AD1208" s="2" t="s">
        <v>32</v>
      </c>
      <c r="AE1208" s="2" t="s">
        <v>33</v>
      </c>
      <c r="AF1208" s="2" t="s">
        <v>34</v>
      </c>
      <c r="AG1208" s="2" t="s">
        <v>293</v>
      </c>
      <c r="AH1208" s="2">
        <v>0.82730567763525797</v>
      </c>
      <c r="AI1208" s="2">
        <v>4.1603634542597803</v>
      </c>
      <c r="AJ1208" s="2">
        <v>1.4336426087470699</v>
      </c>
      <c r="AK1208" s="2">
        <v>0.16715372192469299</v>
      </c>
      <c r="AL1208" s="2">
        <v>8.1272822290410301E-2</v>
      </c>
      <c r="AN1208" s="2">
        <v>6.8</v>
      </c>
      <c r="AO1208" s="2">
        <v>19.899999999999999</v>
      </c>
      <c r="AP1208" s="2">
        <v>564</v>
      </c>
      <c r="AQ1208" s="2">
        <v>68</v>
      </c>
      <c r="AR1208" s="2">
        <v>1.5</v>
      </c>
      <c r="AS1208" s="2">
        <v>135</v>
      </c>
      <c r="AT1208" s="2">
        <v>0.8</v>
      </c>
      <c r="AU1208" s="2">
        <v>162</v>
      </c>
      <c r="AV1208" s="2">
        <v>9.1</v>
      </c>
      <c r="AW1208" s="2">
        <v>9.1999999999999993</v>
      </c>
      <c r="AX1208" s="2">
        <v>18.3</v>
      </c>
      <c r="AY1208" s="2">
        <v>0.34</v>
      </c>
      <c r="AZ1208" s="2">
        <v>7.3</v>
      </c>
      <c r="BA1208" s="2">
        <v>0.9</v>
      </c>
      <c r="BB1208" s="2">
        <v>7.5</v>
      </c>
      <c r="BC1208" s="2">
        <v>2.9</v>
      </c>
      <c r="BD1208" s="2">
        <f>+AN1208*EXP(-0.0495*Y1208)</f>
        <v>6.1887309375514379</v>
      </c>
      <c r="BE1208" s="2">
        <f>+AO1208*EXP(-0.024*Y1208)</f>
        <v>19.011624530283051</v>
      </c>
    </row>
    <row r="1209" spans="1:57" x14ac:dyDescent="0.2">
      <c r="A1209" s="2" t="s">
        <v>4530</v>
      </c>
      <c r="B1209" s="2" t="s">
        <v>19</v>
      </c>
      <c r="C1209" s="2" t="s">
        <v>3245</v>
      </c>
      <c r="D1209" s="2" t="s">
        <v>21</v>
      </c>
      <c r="E1209" s="2" t="s">
        <v>3869</v>
      </c>
      <c r="F1209" s="2">
        <v>4</v>
      </c>
      <c r="G1209" s="2">
        <v>26.8</v>
      </c>
      <c r="H1209" s="2">
        <v>1</v>
      </c>
      <c r="I1209" s="2">
        <v>1</v>
      </c>
      <c r="J1209" s="2">
        <v>0</v>
      </c>
      <c r="K1209" s="2" t="s">
        <v>61</v>
      </c>
      <c r="L1209" s="6" t="s">
        <v>113</v>
      </c>
      <c r="M1209" s="5">
        <v>240000000</v>
      </c>
      <c r="N1209" s="2">
        <v>0</v>
      </c>
      <c r="O1209" s="2">
        <v>4.6438531879999996</v>
      </c>
      <c r="P1209" s="2">
        <v>-74.075881960000004</v>
      </c>
      <c r="Q1209" s="2" t="s">
        <v>4531</v>
      </c>
      <c r="R1209" s="2">
        <v>8955223.8809999991</v>
      </c>
      <c r="S1209" s="2">
        <v>0</v>
      </c>
      <c r="T1209" s="2" t="s">
        <v>26</v>
      </c>
      <c r="U1209" s="2" t="s">
        <v>27</v>
      </c>
      <c r="V1209" s="2" t="s">
        <v>28</v>
      </c>
      <c r="W1209" s="2" t="s">
        <v>29</v>
      </c>
      <c r="X1209" s="2" t="s">
        <v>30</v>
      </c>
      <c r="Y1209" s="2">
        <v>1.85769002628036</v>
      </c>
      <c r="Z1209" s="2">
        <v>4.6584666666666701</v>
      </c>
      <c r="AA1209" s="2">
        <v>-74.083966666666697</v>
      </c>
      <c r="AB1209" s="2">
        <v>2552</v>
      </c>
      <c r="AC1209" s="2" t="s">
        <v>31</v>
      </c>
      <c r="AD1209" s="2" t="s">
        <v>32</v>
      </c>
      <c r="AE1209" s="2" t="s">
        <v>33</v>
      </c>
      <c r="AF1209" s="2" t="s">
        <v>34</v>
      </c>
      <c r="AG1209" s="2" t="s">
        <v>35</v>
      </c>
      <c r="AH1209" s="2">
        <v>0.35703850497298001</v>
      </c>
      <c r="AI1209" s="2">
        <v>2.05453812574887</v>
      </c>
      <c r="AJ1209" s="2">
        <v>0.45553833342630601</v>
      </c>
      <c r="AK1209" s="2">
        <v>4.7928314638535599E-2</v>
      </c>
      <c r="AL1209" s="2">
        <v>0.70500320790027804</v>
      </c>
      <c r="AN1209" s="2">
        <v>6.8</v>
      </c>
      <c r="AO1209" s="2">
        <v>19.899999999999999</v>
      </c>
      <c r="AP1209" s="2">
        <v>564</v>
      </c>
      <c r="AQ1209" s="2">
        <v>68</v>
      </c>
      <c r="AR1209" s="2">
        <v>1.5</v>
      </c>
      <c r="AS1209" s="2">
        <v>135</v>
      </c>
      <c r="AT1209" s="2">
        <v>0.8</v>
      </c>
      <c r="AU1209" s="2">
        <v>162</v>
      </c>
      <c r="AV1209" s="2">
        <v>9.1</v>
      </c>
      <c r="AW1209" s="2">
        <v>9.1999999999999993</v>
      </c>
      <c r="AX1209" s="2">
        <v>18.3</v>
      </c>
      <c r="AY1209" s="2">
        <v>0.34</v>
      </c>
      <c r="AZ1209" s="2">
        <v>7.3</v>
      </c>
      <c r="BA1209" s="2">
        <v>0.9</v>
      </c>
      <c r="BB1209" s="2">
        <v>7.5</v>
      </c>
      <c r="BC1209" s="2">
        <v>2.9</v>
      </c>
      <c r="BD1209" s="2">
        <f>+AN1209*EXP(-0.0495*Y1209)</f>
        <v>6.2025900565956782</v>
      </c>
      <c r="BE1209" s="2">
        <f>+AO1209*EXP(-0.024*Y1209)</f>
        <v>19.032254994329552</v>
      </c>
    </row>
    <row r="1210" spans="1:57" x14ac:dyDescent="0.2">
      <c r="A1210" s="2" t="s">
        <v>3738</v>
      </c>
      <c r="B1210" s="2" t="s">
        <v>19</v>
      </c>
      <c r="C1210" s="2" t="s">
        <v>3245</v>
      </c>
      <c r="D1210" s="2" t="s">
        <v>21</v>
      </c>
      <c r="E1210" s="2" t="s">
        <v>3510</v>
      </c>
      <c r="F1210" s="2">
        <v>4</v>
      </c>
      <c r="G1210" s="2">
        <v>26.6</v>
      </c>
      <c r="H1210" s="2">
        <v>1</v>
      </c>
      <c r="I1210" s="2">
        <v>1</v>
      </c>
      <c r="J1210" s="2">
        <v>1</v>
      </c>
      <c r="K1210" s="2" t="s">
        <v>61</v>
      </c>
      <c r="L1210" s="6" t="s">
        <v>62</v>
      </c>
      <c r="M1210" s="5">
        <v>400000000</v>
      </c>
      <c r="N1210" s="2">
        <v>0</v>
      </c>
      <c r="O1210" s="2">
        <v>4.6175800000000002</v>
      </c>
      <c r="P1210" s="2">
        <v>-74.071889999999996</v>
      </c>
      <c r="Q1210" s="2" t="s">
        <v>3739</v>
      </c>
      <c r="R1210" s="2">
        <v>15037593.98</v>
      </c>
      <c r="S1210" s="2">
        <v>0</v>
      </c>
      <c r="T1210" s="2" t="s">
        <v>77</v>
      </c>
      <c r="U1210" s="2" t="s">
        <v>78</v>
      </c>
      <c r="V1210" s="2" t="s">
        <v>28</v>
      </c>
      <c r="W1210" s="2" t="s">
        <v>79</v>
      </c>
      <c r="X1210" s="2" t="s">
        <v>80</v>
      </c>
      <c r="Y1210" s="2">
        <v>1.0350483678901501</v>
      </c>
      <c r="Z1210" s="2">
        <v>4.6254861111111101</v>
      </c>
      <c r="AA1210" s="2">
        <v>-74.066980555555503</v>
      </c>
      <c r="AB1210" s="2">
        <v>2621</v>
      </c>
      <c r="AC1210" s="2" t="s">
        <v>31</v>
      </c>
      <c r="AD1210" s="2" t="s">
        <v>32</v>
      </c>
      <c r="AE1210" s="2" t="s">
        <v>33</v>
      </c>
      <c r="AF1210" s="2" t="s">
        <v>34</v>
      </c>
      <c r="AG1210" s="2" t="s">
        <v>35</v>
      </c>
      <c r="AH1210" s="2">
        <v>0.10683676434970001</v>
      </c>
      <c r="AI1210" s="2">
        <v>0.946029473851972</v>
      </c>
      <c r="AJ1210" s="2">
        <v>0.375050983051466</v>
      </c>
      <c r="AK1210" s="2">
        <v>9.6961456818564204E-2</v>
      </c>
      <c r="AL1210" s="2">
        <v>0.32144997734523201</v>
      </c>
      <c r="AN1210" s="2">
        <v>6.8</v>
      </c>
      <c r="AO1210" s="2">
        <v>19.899999999999999</v>
      </c>
      <c r="AP1210" s="2">
        <v>564</v>
      </c>
      <c r="AQ1210" s="2">
        <v>68</v>
      </c>
      <c r="AR1210" s="2">
        <v>1.5</v>
      </c>
      <c r="AS1210" s="2">
        <v>135</v>
      </c>
      <c r="AT1210" s="2">
        <v>0.8</v>
      </c>
      <c r="AU1210" s="2">
        <v>162</v>
      </c>
      <c r="AV1210" s="2">
        <v>9.1</v>
      </c>
      <c r="AW1210" s="2">
        <v>9.1999999999999993</v>
      </c>
      <c r="AX1210" s="2">
        <v>18.3</v>
      </c>
      <c r="AY1210" s="2">
        <v>0.34</v>
      </c>
      <c r="AZ1210" s="2">
        <v>7.3</v>
      </c>
      <c r="BA1210" s="2">
        <v>0.9</v>
      </c>
      <c r="BB1210" s="2">
        <v>7.5</v>
      </c>
      <c r="BC1210" s="2">
        <v>2.9</v>
      </c>
      <c r="BD1210" s="2">
        <f>+AN1210*EXP(-0.0495*Y1210)</f>
        <v>6.4603772761597336</v>
      </c>
      <c r="BE1210" s="2">
        <f>+AO1210*EXP(-0.024*Y1210)</f>
        <v>19.411750350825024</v>
      </c>
    </row>
    <row r="1211" spans="1:57" x14ac:dyDescent="0.2">
      <c r="A1211" s="2" t="s">
        <v>3573</v>
      </c>
      <c r="B1211" s="2" t="s">
        <v>19</v>
      </c>
      <c r="C1211" s="2" t="s">
        <v>3245</v>
      </c>
      <c r="D1211" s="2" t="s">
        <v>21</v>
      </c>
      <c r="E1211" s="2" t="s">
        <v>74</v>
      </c>
      <c r="F1211" s="2">
        <v>4</v>
      </c>
      <c r="G1211" s="2">
        <v>26.27</v>
      </c>
      <c r="H1211" s="2">
        <v>1</v>
      </c>
      <c r="I1211" s="2">
        <v>1</v>
      </c>
      <c r="J1211" s="2">
        <v>0</v>
      </c>
      <c r="K1211" s="2" t="s">
        <v>61</v>
      </c>
      <c r="L1211" s="6" t="s">
        <v>62</v>
      </c>
      <c r="M1211" s="5">
        <v>290000000</v>
      </c>
      <c r="N1211" s="2">
        <v>0</v>
      </c>
      <c r="O1211" s="2">
        <v>4.6436099999999998</v>
      </c>
      <c r="P1211" s="2">
        <v>-74.062870000000004</v>
      </c>
      <c r="Q1211" s="2" t="s">
        <v>3574</v>
      </c>
      <c r="R1211" s="2">
        <v>11039208.220000001</v>
      </c>
      <c r="S1211" s="2">
        <v>0</v>
      </c>
      <c r="T1211" s="2" t="s">
        <v>77</v>
      </c>
      <c r="U1211" s="2" t="s">
        <v>78</v>
      </c>
      <c r="V1211" s="2" t="s">
        <v>28</v>
      </c>
      <c r="W1211" s="2" t="s">
        <v>79</v>
      </c>
      <c r="X1211" s="2" t="s">
        <v>80</v>
      </c>
      <c r="Y1211" s="2">
        <v>2.0684518483558998</v>
      </c>
      <c r="Z1211" s="2">
        <v>4.6254861111111101</v>
      </c>
      <c r="AA1211" s="2">
        <v>-74.066980555555503</v>
      </c>
      <c r="AB1211" s="2">
        <v>2621</v>
      </c>
      <c r="AC1211" s="2" t="s">
        <v>31</v>
      </c>
      <c r="AD1211" s="2" t="s">
        <v>32</v>
      </c>
      <c r="AE1211" s="2" t="s">
        <v>33</v>
      </c>
      <c r="AF1211" s="2" t="s">
        <v>34</v>
      </c>
      <c r="AG1211" s="2" t="s">
        <v>81</v>
      </c>
      <c r="AH1211" s="2">
        <v>0.33530205799346802</v>
      </c>
      <c r="AI1211" s="2">
        <v>0.662089042632513</v>
      </c>
      <c r="AJ1211" s="2">
        <v>0.33522814157397501</v>
      </c>
      <c r="AK1211" s="2">
        <v>0.14840382070050101</v>
      </c>
      <c r="AL1211" s="2">
        <v>0.33356605628388297</v>
      </c>
      <c r="AN1211" s="2">
        <v>6.8</v>
      </c>
      <c r="AO1211" s="2">
        <v>19.899999999999999</v>
      </c>
      <c r="AP1211" s="2">
        <v>564</v>
      </c>
      <c r="AQ1211" s="2">
        <v>68</v>
      </c>
      <c r="AR1211" s="2">
        <v>1.5</v>
      </c>
      <c r="AS1211" s="2">
        <v>135</v>
      </c>
      <c r="AT1211" s="2">
        <v>0.8</v>
      </c>
      <c r="AU1211" s="2">
        <v>162</v>
      </c>
      <c r="AV1211" s="2">
        <v>9.1</v>
      </c>
      <c r="AW1211" s="2">
        <v>9.1999999999999993</v>
      </c>
      <c r="AX1211" s="2">
        <v>18.3</v>
      </c>
      <c r="AY1211" s="2">
        <v>0.34</v>
      </c>
      <c r="AZ1211" s="2">
        <v>7.3</v>
      </c>
      <c r="BA1211" s="2">
        <v>0.9</v>
      </c>
      <c r="BB1211" s="2">
        <v>7.5</v>
      </c>
      <c r="BC1211" s="2">
        <v>2.9</v>
      </c>
      <c r="BD1211" s="2">
        <f>+AN1211*EXP(-0.0495*Y1211)</f>
        <v>6.1382166107171594</v>
      </c>
      <c r="BE1211" s="2">
        <f>+AO1211*EXP(-0.024*Y1211)</f>
        <v>18.936227520402941</v>
      </c>
    </row>
    <row r="1212" spans="1:57" x14ac:dyDescent="0.2">
      <c r="A1212" s="2" t="s">
        <v>4061</v>
      </c>
      <c r="B1212" s="2" t="s">
        <v>19</v>
      </c>
      <c r="C1212" s="2" t="s">
        <v>3245</v>
      </c>
      <c r="D1212" s="2" t="s">
        <v>21</v>
      </c>
      <c r="E1212" s="2" t="s">
        <v>355</v>
      </c>
      <c r="F1212" s="2">
        <v>6</v>
      </c>
      <c r="G1212" s="2">
        <v>26</v>
      </c>
      <c r="H1212" s="2">
        <v>1</v>
      </c>
      <c r="I1212" s="2">
        <v>1</v>
      </c>
      <c r="J1212" s="2">
        <v>0</v>
      </c>
      <c r="K1212" s="2" t="s">
        <v>61</v>
      </c>
      <c r="L1212" s="6" t="s">
        <v>62</v>
      </c>
      <c r="M1212" s="5">
        <v>470000000</v>
      </c>
      <c r="N1212" s="2">
        <v>0</v>
      </c>
      <c r="O1212" s="2">
        <v>4.6713709000000003</v>
      </c>
      <c r="P1212" s="2">
        <v>-74.056571000000005</v>
      </c>
      <c r="Q1212" s="2" t="s">
        <v>4062</v>
      </c>
      <c r="R1212" s="2">
        <v>18076923.079999998</v>
      </c>
      <c r="S1212" s="2">
        <v>0</v>
      </c>
      <c r="T1212" s="2" t="s">
        <v>26</v>
      </c>
      <c r="U1212" s="2" t="s">
        <v>27</v>
      </c>
      <c r="V1212" s="2" t="s">
        <v>28</v>
      </c>
      <c r="W1212" s="2" t="s">
        <v>29</v>
      </c>
      <c r="X1212" s="2" t="s">
        <v>30</v>
      </c>
      <c r="Y1212" s="2">
        <v>3.3619179468485099</v>
      </c>
      <c r="Z1212" s="2">
        <v>4.6584666666666701</v>
      </c>
      <c r="AA1212" s="2">
        <v>-74.083966666666697</v>
      </c>
      <c r="AB1212" s="2">
        <v>2552</v>
      </c>
      <c r="AC1212" s="2" t="s">
        <v>31</v>
      </c>
      <c r="AD1212" s="2" t="s">
        <v>32</v>
      </c>
      <c r="AE1212" s="2" t="s">
        <v>33</v>
      </c>
      <c r="AF1212" s="2" t="s">
        <v>34</v>
      </c>
      <c r="AG1212" s="2" t="s">
        <v>81</v>
      </c>
      <c r="AH1212" s="2">
        <v>0.356246175288847</v>
      </c>
      <c r="AI1212" s="2">
        <v>1.4655885442219101</v>
      </c>
      <c r="AJ1212" s="2">
        <v>0.44132073827891299</v>
      </c>
      <c r="AK1212" s="2">
        <v>3.84293402236459E-2</v>
      </c>
      <c r="AL1212" s="2">
        <v>0.84417667437911703</v>
      </c>
      <c r="AN1212" s="2">
        <v>6.8</v>
      </c>
      <c r="AO1212" s="2">
        <v>19.899999999999999</v>
      </c>
      <c r="AP1212" s="2">
        <v>564</v>
      </c>
      <c r="AQ1212" s="2">
        <v>68</v>
      </c>
      <c r="AR1212" s="2">
        <v>1.5</v>
      </c>
      <c r="AS1212" s="2">
        <v>135</v>
      </c>
      <c r="AT1212" s="2">
        <v>0.8</v>
      </c>
      <c r="AU1212" s="2">
        <v>162</v>
      </c>
      <c r="AV1212" s="2">
        <v>9.1</v>
      </c>
      <c r="AW1212" s="2">
        <v>9.1999999999999993</v>
      </c>
      <c r="AX1212" s="2">
        <v>18.3</v>
      </c>
      <c r="AY1212" s="2">
        <v>0.34</v>
      </c>
      <c r="AZ1212" s="2">
        <v>7.3</v>
      </c>
      <c r="BA1212" s="2">
        <v>0.9</v>
      </c>
      <c r="BB1212" s="2">
        <v>7.5</v>
      </c>
      <c r="BC1212" s="2">
        <v>2.9</v>
      </c>
      <c r="BD1212" s="2">
        <f>+AN1212*EXP(-0.0495*Y1212)</f>
        <v>5.7575248787890549</v>
      </c>
      <c r="BE1212" s="2">
        <f>+AO1212*EXP(-0.024*Y1212)</f>
        <v>18.35741722002264</v>
      </c>
    </row>
    <row r="1213" spans="1:57" x14ac:dyDescent="0.2">
      <c r="A1213" s="2" t="s">
        <v>4163</v>
      </c>
      <c r="B1213" s="2" t="s">
        <v>19</v>
      </c>
      <c r="C1213" s="2" t="s">
        <v>3245</v>
      </c>
      <c r="D1213" s="2" t="s">
        <v>21</v>
      </c>
      <c r="E1213" s="2" t="s">
        <v>3437</v>
      </c>
      <c r="F1213" s="2">
        <v>4</v>
      </c>
      <c r="G1213" s="2">
        <v>26</v>
      </c>
      <c r="H1213" s="2">
        <v>1</v>
      </c>
      <c r="I1213" s="2">
        <v>1</v>
      </c>
      <c r="J1213" s="2">
        <v>0</v>
      </c>
      <c r="K1213" s="2" t="s">
        <v>61</v>
      </c>
      <c r="L1213" s="6" t="s">
        <v>62</v>
      </c>
      <c r="M1213" s="5">
        <v>365000000</v>
      </c>
      <c r="N1213" s="2">
        <v>0</v>
      </c>
      <c r="O1213" s="2">
        <v>4.6286144260000004</v>
      </c>
      <c r="P1213" s="2">
        <v>-74.085868840000003</v>
      </c>
      <c r="Q1213" s="2" t="s">
        <v>4164</v>
      </c>
      <c r="R1213" s="2">
        <v>14038461.539999999</v>
      </c>
      <c r="S1213" s="2">
        <v>0</v>
      </c>
      <c r="T1213" s="2" t="s">
        <v>77</v>
      </c>
      <c r="U1213" s="2" t="s">
        <v>78</v>
      </c>
      <c r="V1213" s="2" t="s">
        <v>28</v>
      </c>
      <c r="W1213" s="2" t="s">
        <v>79</v>
      </c>
      <c r="X1213" s="2" t="s">
        <v>80</v>
      </c>
      <c r="Y1213" s="2">
        <v>2.1245171124844502</v>
      </c>
      <c r="Z1213" s="2">
        <v>4.6254861111111101</v>
      </c>
      <c r="AA1213" s="2">
        <v>-74.066980555555503</v>
      </c>
      <c r="AB1213" s="2">
        <v>2621</v>
      </c>
      <c r="AC1213" s="2" t="s">
        <v>31</v>
      </c>
      <c r="AD1213" s="2" t="s">
        <v>32</v>
      </c>
      <c r="AE1213" s="2" t="s">
        <v>33</v>
      </c>
      <c r="AF1213" s="2" t="s">
        <v>34</v>
      </c>
      <c r="AG1213" s="2" t="s">
        <v>35</v>
      </c>
      <c r="AH1213" s="2">
        <v>0.36035865627563901</v>
      </c>
      <c r="AI1213" s="2">
        <v>2.7637126742206899</v>
      </c>
      <c r="AJ1213" s="2">
        <v>0.685125481214933</v>
      </c>
      <c r="AK1213" s="2">
        <v>0.267194372774544</v>
      </c>
      <c r="AL1213" s="2">
        <v>3.09214848177491E-2</v>
      </c>
      <c r="AN1213" s="2">
        <v>6.8</v>
      </c>
      <c r="AO1213" s="2">
        <v>19.899999999999999</v>
      </c>
      <c r="AP1213" s="2">
        <v>564</v>
      </c>
      <c r="AQ1213" s="2">
        <v>68</v>
      </c>
      <c r="AR1213" s="2">
        <v>1.5</v>
      </c>
      <c r="AS1213" s="2">
        <v>135</v>
      </c>
      <c r="AT1213" s="2">
        <v>0.8</v>
      </c>
      <c r="AU1213" s="2">
        <v>162</v>
      </c>
      <c r="AV1213" s="2">
        <v>9.1</v>
      </c>
      <c r="AW1213" s="2">
        <v>9.1999999999999993</v>
      </c>
      <c r="AX1213" s="2">
        <v>18.3</v>
      </c>
      <c r="AY1213" s="2">
        <v>0.34</v>
      </c>
      <c r="AZ1213" s="2">
        <v>7.3</v>
      </c>
      <c r="BA1213" s="2">
        <v>0.9</v>
      </c>
      <c r="BB1213" s="2">
        <v>7.5</v>
      </c>
      <c r="BC1213" s="2">
        <v>2.9</v>
      </c>
      <c r="BD1213" s="2">
        <f>+AN1213*EXP(-0.0495*Y1213)</f>
        <v>6.1212052604350555</v>
      </c>
      <c r="BE1213" s="2">
        <f>+AO1213*EXP(-0.024*Y1213)</f>
        <v>18.91076470485778</v>
      </c>
    </row>
    <row r="1214" spans="1:57" x14ac:dyDescent="0.2">
      <c r="A1214" s="2" t="s">
        <v>3616</v>
      </c>
      <c r="B1214" s="2" t="s">
        <v>19</v>
      </c>
      <c r="C1214" s="2" t="s">
        <v>3245</v>
      </c>
      <c r="D1214" s="2" t="s">
        <v>21</v>
      </c>
      <c r="E1214" s="2" t="s">
        <v>35</v>
      </c>
      <c r="F1214" s="2">
        <v>4</v>
      </c>
      <c r="G1214" s="2">
        <v>26</v>
      </c>
      <c r="H1214" s="2">
        <v>1</v>
      </c>
      <c r="I1214" s="2">
        <v>1</v>
      </c>
      <c r="J1214" s="2">
        <v>0</v>
      </c>
      <c r="K1214" s="2" t="s">
        <v>61</v>
      </c>
      <c r="L1214" s="6" t="s">
        <v>62</v>
      </c>
      <c r="M1214" s="5">
        <v>365000000</v>
      </c>
      <c r="N1214" s="2">
        <v>0</v>
      </c>
      <c r="O1214" s="2">
        <v>4.6286145999999997</v>
      </c>
      <c r="P1214" s="2">
        <v>-74.085868500000004</v>
      </c>
      <c r="Q1214" s="2" t="s">
        <v>3617</v>
      </c>
      <c r="R1214" s="2">
        <v>14038461.539999999</v>
      </c>
      <c r="S1214" s="2">
        <v>0</v>
      </c>
      <c r="T1214" s="2" t="s">
        <v>77</v>
      </c>
      <c r="U1214" s="2" t="s">
        <v>78</v>
      </c>
      <c r="V1214" s="2" t="s">
        <v>28</v>
      </c>
      <c r="W1214" s="2" t="s">
        <v>79</v>
      </c>
      <c r="X1214" s="2" t="s">
        <v>80</v>
      </c>
      <c r="Y1214" s="2">
        <v>2.1244830723541299</v>
      </c>
      <c r="Z1214" s="2">
        <v>4.6254861111111101</v>
      </c>
      <c r="AA1214" s="2">
        <v>-74.066980555555503</v>
      </c>
      <c r="AB1214" s="2">
        <v>2621</v>
      </c>
      <c r="AC1214" s="2" t="s">
        <v>31</v>
      </c>
      <c r="AD1214" s="2" t="s">
        <v>32</v>
      </c>
      <c r="AE1214" s="2" t="s">
        <v>33</v>
      </c>
      <c r="AF1214" s="2" t="s">
        <v>34</v>
      </c>
      <c r="AG1214" s="2" t="s">
        <v>35</v>
      </c>
      <c r="AH1214" s="2">
        <v>0.36031815609449702</v>
      </c>
      <c r="AI1214" s="2">
        <v>2.7636747069971102</v>
      </c>
      <c r="AJ1214" s="2">
        <v>0.68508382233137</v>
      </c>
      <c r="AK1214" s="2">
        <v>0.26717786838521002</v>
      </c>
      <c r="AL1214" s="2">
        <v>3.0917512207096199E-2</v>
      </c>
      <c r="AN1214" s="2">
        <v>6.8</v>
      </c>
      <c r="AO1214" s="2">
        <v>19.899999999999999</v>
      </c>
      <c r="AP1214" s="2">
        <v>564</v>
      </c>
      <c r="AQ1214" s="2">
        <v>68</v>
      </c>
      <c r="AR1214" s="2">
        <v>1.5</v>
      </c>
      <c r="AS1214" s="2">
        <v>135</v>
      </c>
      <c r="AT1214" s="2">
        <v>0.8</v>
      </c>
      <c r="AU1214" s="2">
        <v>162</v>
      </c>
      <c r="AV1214" s="2">
        <v>9.1</v>
      </c>
      <c r="AW1214" s="2">
        <v>9.1999999999999993</v>
      </c>
      <c r="AX1214" s="2">
        <v>18.3</v>
      </c>
      <c r="AY1214" s="2">
        <v>0.34</v>
      </c>
      <c r="AZ1214" s="2">
        <v>7.3</v>
      </c>
      <c r="BA1214" s="2">
        <v>0.9</v>
      </c>
      <c r="BB1214" s="2">
        <v>7.5</v>
      </c>
      <c r="BC1214" s="2">
        <v>2.9</v>
      </c>
      <c r="BD1214" s="2">
        <f>+AN1214*EXP(-0.0495*Y1214)</f>
        <v>6.1212155745916723</v>
      </c>
      <c r="BE1214" s="2">
        <f>+AO1214*EXP(-0.024*Y1214)</f>
        <v>18.910780154261573</v>
      </c>
    </row>
    <row r="1215" spans="1:57" x14ac:dyDescent="0.2">
      <c r="A1215" s="2" t="s">
        <v>3956</v>
      </c>
      <c r="B1215" s="2" t="s">
        <v>19</v>
      </c>
      <c r="C1215" s="2" t="s">
        <v>3245</v>
      </c>
      <c r="D1215" s="2" t="s">
        <v>21</v>
      </c>
      <c r="E1215" s="2" t="s">
        <v>635</v>
      </c>
      <c r="F1215" s="2">
        <v>4</v>
      </c>
      <c r="G1215" s="2">
        <v>26</v>
      </c>
      <c r="H1215" s="2">
        <v>1</v>
      </c>
      <c r="I1215" s="2">
        <v>1</v>
      </c>
      <c r="J1215" s="2">
        <v>0</v>
      </c>
      <c r="K1215" s="2" t="s">
        <v>61</v>
      </c>
      <c r="L1215" s="6" t="s">
        <v>62</v>
      </c>
      <c r="M1215" s="5">
        <v>340000000</v>
      </c>
      <c r="N1215" s="2">
        <v>0</v>
      </c>
      <c r="O1215" s="2">
        <v>4.6807599069999997</v>
      </c>
      <c r="P1215" s="2">
        <v>-74.061386110000001</v>
      </c>
      <c r="Q1215" s="2" t="s">
        <v>3957</v>
      </c>
      <c r="R1215" s="2">
        <v>13076923.08</v>
      </c>
      <c r="S1215" s="2">
        <v>0</v>
      </c>
      <c r="T1215" s="2" t="s">
        <v>26</v>
      </c>
      <c r="U1215" s="2" t="s">
        <v>27</v>
      </c>
      <c r="V1215" s="2" t="s">
        <v>28</v>
      </c>
      <c r="W1215" s="2" t="s">
        <v>29</v>
      </c>
      <c r="X1215" s="2" t="s">
        <v>30</v>
      </c>
      <c r="Y1215" s="2">
        <v>3.52637027985087</v>
      </c>
      <c r="Z1215" s="2">
        <v>4.6584666666666701</v>
      </c>
      <c r="AA1215" s="2">
        <v>-74.083966666666697</v>
      </c>
      <c r="AB1215" s="2">
        <v>2552</v>
      </c>
      <c r="AC1215" s="2" t="s">
        <v>31</v>
      </c>
      <c r="AD1215" s="2" t="s">
        <v>32</v>
      </c>
      <c r="AE1215" s="2" t="s">
        <v>33</v>
      </c>
      <c r="AF1215" s="2" t="s">
        <v>34</v>
      </c>
      <c r="AG1215" s="2" t="s">
        <v>293</v>
      </c>
      <c r="AH1215" s="2">
        <v>0.38305319544269301</v>
      </c>
      <c r="AI1215" s="2">
        <v>2.4369043302477298</v>
      </c>
      <c r="AJ1215" s="2">
        <v>0.18021716224250001</v>
      </c>
      <c r="AK1215" s="2">
        <v>4.3686383777035598E-2</v>
      </c>
      <c r="AL1215" s="2">
        <v>1.7184752842940799E-3</v>
      </c>
      <c r="AN1215" s="2">
        <v>6.8</v>
      </c>
      <c r="AO1215" s="2">
        <v>19.899999999999999</v>
      </c>
      <c r="AP1215" s="2">
        <v>564</v>
      </c>
      <c r="AQ1215" s="2">
        <v>68</v>
      </c>
      <c r="AR1215" s="2">
        <v>1.5</v>
      </c>
      <c r="AS1215" s="2">
        <v>135</v>
      </c>
      <c r="AT1215" s="2">
        <v>0.8</v>
      </c>
      <c r="AU1215" s="2">
        <v>162</v>
      </c>
      <c r="AV1215" s="2">
        <v>9.1</v>
      </c>
      <c r="AW1215" s="2">
        <v>9.1999999999999993</v>
      </c>
      <c r="AX1215" s="2">
        <v>18.3</v>
      </c>
      <c r="AY1215" s="2">
        <v>0.34</v>
      </c>
      <c r="AZ1215" s="2">
        <v>7.3</v>
      </c>
      <c r="BA1215" s="2">
        <v>0.9</v>
      </c>
      <c r="BB1215" s="2">
        <v>7.5</v>
      </c>
      <c r="BC1215" s="2">
        <v>2.9</v>
      </c>
      <c r="BD1215" s="2">
        <f>+AN1215*EXP(-0.0495*Y1215)</f>
        <v>5.7108466254259511</v>
      </c>
      <c r="BE1215" s="2">
        <f>+AO1215*EXP(-0.024*Y1215)</f>
        <v>18.285105932857732</v>
      </c>
    </row>
    <row r="1216" spans="1:57" x14ac:dyDescent="0.2">
      <c r="A1216" s="2" t="s">
        <v>1067</v>
      </c>
      <c r="B1216" s="2" t="s">
        <v>19</v>
      </c>
      <c r="C1216" s="2" t="s">
        <v>20</v>
      </c>
      <c r="D1216" s="2" t="s">
        <v>21</v>
      </c>
      <c r="E1216" s="2" t="s">
        <v>1068</v>
      </c>
      <c r="F1216" s="2">
        <v>4</v>
      </c>
      <c r="G1216" s="2">
        <v>26</v>
      </c>
      <c r="H1216" s="2">
        <v>1</v>
      </c>
      <c r="I1216" s="2">
        <v>1</v>
      </c>
      <c r="J1216" s="2">
        <v>0</v>
      </c>
      <c r="K1216" s="2" t="s">
        <v>61</v>
      </c>
      <c r="L1216" s="6" t="s">
        <v>62</v>
      </c>
      <c r="M1216" s="5">
        <v>309000000</v>
      </c>
      <c r="N1216" s="2">
        <v>0</v>
      </c>
      <c r="O1216" s="2">
        <v>4.6687190000000003</v>
      </c>
      <c r="P1216" s="2">
        <v>-74.084360000000004</v>
      </c>
      <c r="Q1216" s="2" t="s">
        <v>1069</v>
      </c>
      <c r="R1216" s="2">
        <v>11884615.380000001</v>
      </c>
      <c r="S1216" s="2">
        <v>0</v>
      </c>
      <c r="T1216" s="2" t="s">
        <v>26</v>
      </c>
      <c r="U1216" s="2" t="s">
        <v>27</v>
      </c>
      <c r="V1216" s="2" t="s">
        <v>28</v>
      </c>
      <c r="W1216" s="2" t="s">
        <v>29</v>
      </c>
      <c r="X1216" s="2" t="s">
        <v>30</v>
      </c>
      <c r="Y1216" s="2">
        <v>1.14211859300779</v>
      </c>
      <c r="Z1216" s="2">
        <v>4.6584666666666701</v>
      </c>
      <c r="AA1216" s="2">
        <v>-74.083966666666697</v>
      </c>
      <c r="AB1216" s="2">
        <v>2552</v>
      </c>
      <c r="AC1216" s="2" t="s">
        <v>31</v>
      </c>
      <c r="AD1216" s="2" t="s">
        <v>32</v>
      </c>
      <c r="AE1216" s="2" t="s">
        <v>33</v>
      </c>
      <c r="AF1216" s="2" t="s">
        <v>34</v>
      </c>
      <c r="AG1216" s="2" t="s">
        <v>293</v>
      </c>
      <c r="AH1216" s="2">
        <v>1.1161159963620999</v>
      </c>
      <c r="AI1216" s="2">
        <v>4.2634285887281598</v>
      </c>
      <c r="AJ1216" s="2">
        <v>2.0753380285105099</v>
      </c>
      <c r="AK1216" s="2">
        <v>0.10233111284253001</v>
      </c>
      <c r="AL1216" s="2">
        <v>0.22177523993720399</v>
      </c>
      <c r="AN1216" s="2">
        <v>6.8</v>
      </c>
      <c r="AO1216" s="2">
        <v>19.899999999999999</v>
      </c>
      <c r="AP1216" s="2">
        <v>564</v>
      </c>
      <c r="AQ1216" s="2">
        <v>68</v>
      </c>
      <c r="AR1216" s="2">
        <v>1.5</v>
      </c>
      <c r="AS1216" s="2">
        <v>135</v>
      </c>
      <c r="AT1216" s="2">
        <v>0.8</v>
      </c>
      <c r="AU1216" s="2">
        <v>162</v>
      </c>
      <c r="AV1216" s="2">
        <v>9.1</v>
      </c>
      <c r="AW1216" s="2">
        <v>9.1999999999999993</v>
      </c>
      <c r="AX1216" s="2">
        <v>18.3</v>
      </c>
      <c r="AY1216" s="2">
        <v>0.34</v>
      </c>
      <c r="AZ1216" s="2">
        <v>7.3</v>
      </c>
      <c r="BA1216" s="2">
        <v>0.9</v>
      </c>
      <c r="BB1216" s="2">
        <v>7.5</v>
      </c>
      <c r="BC1216" s="2">
        <v>2.9</v>
      </c>
      <c r="BD1216" s="2">
        <f>+AN1216*EXP(-0.0495*Y1216)</f>
        <v>6.4262280058152808</v>
      </c>
      <c r="BE1216" s="2">
        <f>+AO1216*EXP(-0.024*Y1216)</f>
        <v>19.361932295084131</v>
      </c>
    </row>
    <row r="1217" spans="1:57" x14ac:dyDescent="0.2">
      <c r="A1217" s="2" t="s">
        <v>4014</v>
      </c>
      <c r="B1217" s="2" t="s">
        <v>19</v>
      </c>
      <c r="C1217" s="2" t="s">
        <v>3245</v>
      </c>
      <c r="D1217" s="2" t="s">
        <v>21</v>
      </c>
      <c r="E1217" s="2" t="s">
        <v>74</v>
      </c>
      <c r="F1217" s="2">
        <v>3</v>
      </c>
      <c r="G1217" s="2">
        <v>26</v>
      </c>
      <c r="H1217" s="2">
        <v>1</v>
      </c>
      <c r="I1217" s="2">
        <v>1</v>
      </c>
      <c r="J1217" s="2">
        <v>0</v>
      </c>
      <c r="K1217" s="2" t="s">
        <v>61</v>
      </c>
      <c r="L1217" s="6" t="s">
        <v>62</v>
      </c>
      <c r="M1217" s="5">
        <v>300000000</v>
      </c>
      <c r="N1217" s="2">
        <v>0</v>
      </c>
      <c r="O1217" s="2">
        <v>4.6422100000000004</v>
      </c>
      <c r="P1217" s="2">
        <v>-74.062619999999995</v>
      </c>
      <c r="Q1217" s="2" t="s">
        <v>4015</v>
      </c>
      <c r="R1217" s="2">
        <v>11538461.539999999</v>
      </c>
      <c r="S1217" s="2">
        <v>0</v>
      </c>
      <c r="T1217" s="2" t="s">
        <v>77</v>
      </c>
      <c r="U1217" s="2" t="s">
        <v>78</v>
      </c>
      <c r="V1217" s="2" t="s">
        <v>28</v>
      </c>
      <c r="W1217" s="2" t="s">
        <v>79</v>
      </c>
      <c r="X1217" s="2" t="s">
        <v>80</v>
      </c>
      <c r="Y1217" s="2">
        <v>1.9235376779331499</v>
      </c>
      <c r="Z1217" s="2">
        <v>4.6254861111111101</v>
      </c>
      <c r="AA1217" s="2">
        <v>-74.066980555555503</v>
      </c>
      <c r="AB1217" s="2">
        <v>2621</v>
      </c>
      <c r="AC1217" s="2" t="s">
        <v>31</v>
      </c>
      <c r="AD1217" s="2" t="s">
        <v>32</v>
      </c>
      <c r="AE1217" s="2" t="s">
        <v>33</v>
      </c>
      <c r="AF1217" s="2" t="s">
        <v>34</v>
      </c>
      <c r="AG1217" s="2" t="s">
        <v>81</v>
      </c>
      <c r="AH1217" s="2">
        <v>0.3658315017971</v>
      </c>
      <c r="AI1217" s="2">
        <v>0.57947659648408401</v>
      </c>
      <c r="AJ1217" s="2">
        <v>0.397727470249298</v>
      </c>
      <c r="AK1217" s="2">
        <v>5.3784284060380598E-2</v>
      </c>
      <c r="AL1217" s="2">
        <v>0.26013448866688299</v>
      </c>
      <c r="AN1217" s="2">
        <v>6.8</v>
      </c>
      <c r="AO1217" s="2">
        <v>19.899999999999999</v>
      </c>
      <c r="AP1217" s="2">
        <v>564</v>
      </c>
      <c r="AQ1217" s="2">
        <v>68</v>
      </c>
      <c r="AR1217" s="2">
        <v>1.5</v>
      </c>
      <c r="AS1217" s="2">
        <v>135</v>
      </c>
      <c r="AT1217" s="2">
        <v>0.8</v>
      </c>
      <c r="AU1217" s="2">
        <v>162</v>
      </c>
      <c r="AV1217" s="2">
        <v>9.1</v>
      </c>
      <c r="AW1217" s="2">
        <v>9.1999999999999993</v>
      </c>
      <c r="AX1217" s="2">
        <v>18.3</v>
      </c>
      <c r="AY1217" s="2">
        <v>0.34</v>
      </c>
      <c r="AZ1217" s="2">
        <v>7.3</v>
      </c>
      <c r="BA1217" s="2">
        <v>0.9</v>
      </c>
      <c r="BB1217" s="2">
        <v>7.5</v>
      </c>
      <c r="BC1217" s="2">
        <v>2.9</v>
      </c>
      <c r="BD1217" s="2">
        <f>+AN1217*EXP(-0.0495*Y1217)</f>
        <v>6.1824058827317501</v>
      </c>
      <c r="BE1217" s="2">
        <f>+AO1217*EXP(-0.024*Y1217)</f>
        <v>19.00220124508138</v>
      </c>
    </row>
    <row r="1218" spans="1:57" x14ac:dyDescent="0.2">
      <c r="A1218" s="2" t="s">
        <v>4089</v>
      </c>
      <c r="B1218" s="2" t="s">
        <v>19</v>
      </c>
      <c r="C1218" s="2" t="s">
        <v>3245</v>
      </c>
      <c r="D1218" s="2" t="s">
        <v>21</v>
      </c>
      <c r="E1218" s="2" t="s">
        <v>4090</v>
      </c>
      <c r="F1218" s="2">
        <v>4</v>
      </c>
      <c r="G1218" s="2">
        <v>26</v>
      </c>
      <c r="H1218" s="2">
        <v>1</v>
      </c>
      <c r="I1218" s="2">
        <v>1</v>
      </c>
      <c r="J1218" s="2">
        <v>0</v>
      </c>
      <c r="K1218" s="2" t="s">
        <v>61</v>
      </c>
      <c r="L1218" s="6" t="s">
        <v>62</v>
      </c>
      <c r="M1218" s="5">
        <v>270000000</v>
      </c>
      <c r="N1218" s="2">
        <v>0</v>
      </c>
      <c r="O1218" s="2">
        <v>4.6674036980000002</v>
      </c>
      <c r="P1218" s="2">
        <v>-74.105834959999996</v>
      </c>
      <c r="Q1218" s="2" t="s">
        <v>4091</v>
      </c>
      <c r="R1218" s="2">
        <v>10384615.380000001</v>
      </c>
      <c r="S1218" s="2">
        <v>0</v>
      </c>
      <c r="T1218" s="2" t="s">
        <v>26</v>
      </c>
      <c r="U1218" s="2" t="s">
        <v>27</v>
      </c>
      <c r="V1218" s="2" t="s">
        <v>28</v>
      </c>
      <c r="W1218" s="2" t="s">
        <v>29</v>
      </c>
      <c r="X1218" s="2" t="s">
        <v>30</v>
      </c>
      <c r="Y1218" s="2">
        <v>2.62235351966258</v>
      </c>
      <c r="Z1218" s="2">
        <v>4.6584666666666701</v>
      </c>
      <c r="AA1218" s="2">
        <v>-74.083966666666697</v>
      </c>
      <c r="AB1218" s="2">
        <v>2552</v>
      </c>
      <c r="AC1218" s="2" t="s">
        <v>31</v>
      </c>
      <c r="AD1218" s="2" t="s">
        <v>32</v>
      </c>
      <c r="AE1218" s="2" t="s">
        <v>33</v>
      </c>
      <c r="AF1218" s="2" t="s">
        <v>34</v>
      </c>
      <c r="AG1218" s="2" t="s">
        <v>363</v>
      </c>
      <c r="AH1218" s="2">
        <v>0.68561119276312998</v>
      </c>
      <c r="AI1218" s="2">
        <v>5.7550437962749204</v>
      </c>
      <c r="AJ1218" s="2">
        <v>1.06239528642328</v>
      </c>
      <c r="AK1218" s="2">
        <v>4.62978219053055E-2</v>
      </c>
      <c r="AL1218" s="2">
        <v>0.115361400758654</v>
      </c>
      <c r="AN1218" s="2">
        <v>6.8</v>
      </c>
      <c r="AO1218" s="2">
        <v>19.899999999999999</v>
      </c>
      <c r="AP1218" s="2">
        <v>564</v>
      </c>
      <c r="AQ1218" s="2">
        <v>68</v>
      </c>
      <c r="AR1218" s="2">
        <v>1.5</v>
      </c>
      <c r="AS1218" s="2">
        <v>135</v>
      </c>
      <c r="AT1218" s="2">
        <v>0.8</v>
      </c>
      <c r="AU1218" s="2">
        <v>162</v>
      </c>
      <c r="AV1218" s="2">
        <v>9.1</v>
      </c>
      <c r="AW1218" s="2">
        <v>9.1999999999999993</v>
      </c>
      <c r="AX1218" s="2">
        <v>18.3</v>
      </c>
      <c r="AY1218" s="2">
        <v>0.34</v>
      </c>
      <c r="AZ1218" s="2">
        <v>7.3</v>
      </c>
      <c r="BA1218" s="2">
        <v>0.9</v>
      </c>
      <c r="BB1218" s="2">
        <v>7.5</v>
      </c>
      <c r="BC1218" s="2">
        <v>2.9</v>
      </c>
      <c r="BD1218" s="2">
        <f>+AN1218*EXP(-0.0495*Y1218)</f>
        <v>5.972204444658411</v>
      </c>
      <c r="BE1218" s="2">
        <f>+AO1218*EXP(-0.024*Y1218)</f>
        <v>18.686161950166873</v>
      </c>
    </row>
    <row r="1219" spans="1:57" x14ac:dyDescent="0.2">
      <c r="A1219" s="2" t="s">
        <v>4173</v>
      </c>
      <c r="B1219" s="2" t="s">
        <v>19</v>
      </c>
      <c r="C1219" s="2" t="s">
        <v>3245</v>
      </c>
      <c r="D1219" s="2" t="s">
        <v>21</v>
      </c>
      <c r="E1219" s="2" t="s">
        <v>35</v>
      </c>
      <c r="F1219" s="2">
        <v>4</v>
      </c>
      <c r="G1219" s="2">
        <v>25.51</v>
      </c>
      <c r="H1219" s="2">
        <v>1</v>
      </c>
      <c r="I1219" s="2">
        <v>1</v>
      </c>
      <c r="J1219" s="2">
        <v>0</v>
      </c>
      <c r="K1219" s="2" t="s">
        <v>61</v>
      </c>
      <c r="L1219" s="6" t="s">
        <v>84</v>
      </c>
      <c r="M1219" s="5">
        <v>215000000</v>
      </c>
      <c r="N1219" s="2">
        <v>0</v>
      </c>
      <c r="O1219" s="2">
        <v>4.6459200000000003</v>
      </c>
      <c r="P1219" s="2">
        <v>-74.067700000000002</v>
      </c>
      <c r="Q1219" s="2" t="s">
        <v>4174</v>
      </c>
      <c r="R1219" s="2">
        <v>8428067.4250000007</v>
      </c>
      <c r="S1219" s="2">
        <v>0</v>
      </c>
      <c r="T1219" s="2" t="s">
        <v>77</v>
      </c>
      <c r="U1219" s="2" t="s">
        <v>78</v>
      </c>
      <c r="V1219" s="2" t="s">
        <v>28</v>
      </c>
      <c r="W1219" s="2" t="s">
        <v>79</v>
      </c>
      <c r="X1219" s="2" t="s">
        <v>80</v>
      </c>
      <c r="Y1219" s="2">
        <v>2.2760903541483399</v>
      </c>
      <c r="Z1219" s="2">
        <v>4.6254861111111101</v>
      </c>
      <c r="AA1219" s="2">
        <v>-74.066980555555503</v>
      </c>
      <c r="AB1219" s="2">
        <v>2621</v>
      </c>
      <c r="AC1219" s="2" t="s">
        <v>31</v>
      </c>
      <c r="AD1219" s="2" t="s">
        <v>32</v>
      </c>
      <c r="AE1219" s="2" t="s">
        <v>33</v>
      </c>
      <c r="AF1219" s="2" t="s">
        <v>34</v>
      </c>
      <c r="AG1219" s="2" t="s">
        <v>35</v>
      </c>
      <c r="AH1219" s="2">
        <v>0.38538946676830899</v>
      </c>
      <c r="AI1219" s="2">
        <v>1.25528167344812</v>
      </c>
      <c r="AJ1219" s="2">
        <v>0.186291535031544</v>
      </c>
      <c r="AK1219" s="2">
        <v>9.4762817240844996E-2</v>
      </c>
      <c r="AL1219" s="2">
        <v>7.5816493733713394E-2</v>
      </c>
      <c r="AN1219" s="2">
        <v>6.8</v>
      </c>
      <c r="AO1219" s="2">
        <v>19.899999999999999</v>
      </c>
      <c r="AP1219" s="2">
        <v>564</v>
      </c>
      <c r="AQ1219" s="2">
        <v>68</v>
      </c>
      <c r="AR1219" s="2">
        <v>1.5</v>
      </c>
      <c r="AS1219" s="2">
        <v>135</v>
      </c>
      <c r="AT1219" s="2">
        <v>0.8</v>
      </c>
      <c r="AU1219" s="2">
        <v>162</v>
      </c>
      <c r="AV1219" s="2">
        <v>9.1</v>
      </c>
      <c r="AW1219" s="2">
        <v>9.1999999999999993</v>
      </c>
      <c r="AX1219" s="2">
        <v>18.3</v>
      </c>
      <c r="AY1219" s="2">
        <v>0.34</v>
      </c>
      <c r="AZ1219" s="2">
        <v>7.3</v>
      </c>
      <c r="BA1219" s="2">
        <v>0.9</v>
      </c>
      <c r="BB1219" s="2">
        <v>7.5</v>
      </c>
      <c r="BC1219" s="2">
        <v>2.9</v>
      </c>
      <c r="BD1219" s="2">
        <f>+AN1219*EXP(-0.0495*Y1219)</f>
        <v>6.0754504805339744</v>
      </c>
      <c r="BE1219" s="2">
        <f>+AO1219*EXP(-0.024*Y1219)</f>
        <v>18.842096897201454</v>
      </c>
    </row>
    <row r="1220" spans="1:57" x14ac:dyDescent="0.2">
      <c r="A1220" s="2" t="s">
        <v>4322</v>
      </c>
      <c r="B1220" s="2" t="s">
        <v>19</v>
      </c>
      <c r="C1220" s="2" t="s">
        <v>3245</v>
      </c>
      <c r="D1220" s="2" t="s">
        <v>21</v>
      </c>
      <c r="E1220" s="2" t="s">
        <v>161</v>
      </c>
      <c r="F1220" s="2">
        <v>6</v>
      </c>
      <c r="G1220" s="2">
        <v>25.24</v>
      </c>
      <c r="H1220" s="2">
        <v>1</v>
      </c>
      <c r="I1220" s="2">
        <v>1</v>
      </c>
      <c r="J1220" s="2">
        <v>1</v>
      </c>
      <c r="K1220" s="2" t="s">
        <v>61</v>
      </c>
      <c r="L1220" s="6" t="s">
        <v>62</v>
      </c>
      <c r="M1220" s="5">
        <v>343667840</v>
      </c>
      <c r="N1220" s="2">
        <v>0</v>
      </c>
      <c r="O1220" s="2">
        <v>4.6691599999999998</v>
      </c>
      <c r="P1220" s="2">
        <v>-74.050190000000001</v>
      </c>
      <c r="Q1220" s="2" t="s">
        <v>4323</v>
      </c>
      <c r="R1220" s="2">
        <v>13616000</v>
      </c>
      <c r="S1220" s="2">
        <v>0</v>
      </c>
      <c r="T1220" s="2" t="s">
        <v>26</v>
      </c>
      <c r="U1220" s="2" t="s">
        <v>27</v>
      </c>
      <c r="V1220" s="2" t="s">
        <v>28</v>
      </c>
      <c r="W1220" s="2" t="s">
        <v>29</v>
      </c>
      <c r="X1220" s="2" t="s">
        <v>30</v>
      </c>
      <c r="Y1220" s="2">
        <v>3.9320656164146</v>
      </c>
      <c r="Z1220" s="2">
        <v>4.6584666666666701</v>
      </c>
      <c r="AA1220" s="2">
        <v>-74.083966666666697</v>
      </c>
      <c r="AB1220" s="2">
        <v>2552</v>
      </c>
      <c r="AC1220" s="2" t="s">
        <v>31</v>
      </c>
      <c r="AD1220" s="2" t="s">
        <v>32</v>
      </c>
      <c r="AE1220" s="2" t="s">
        <v>33</v>
      </c>
      <c r="AF1220" s="2" t="s">
        <v>34</v>
      </c>
      <c r="AG1220" s="2" t="s">
        <v>81</v>
      </c>
      <c r="AH1220" s="2">
        <v>1.1046287965158099</v>
      </c>
      <c r="AI1220" s="2">
        <v>0.74562746672478897</v>
      </c>
      <c r="AJ1220" s="2">
        <v>0.61572356531893102</v>
      </c>
      <c r="AK1220" s="2">
        <v>0.35597664226380299</v>
      </c>
      <c r="AL1220" s="2">
        <v>0.31263290836796498</v>
      </c>
      <c r="AN1220" s="2">
        <v>6.8</v>
      </c>
      <c r="AO1220" s="2">
        <v>19.899999999999999</v>
      </c>
      <c r="AP1220" s="2">
        <v>564</v>
      </c>
      <c r="AQ1220" s="2">
        <v>68</v>
      </c>
      <c r="AR1220" s="2">
        <v>1.5</v>
      </c>
      <c r="AS1220" s="2">
        <v>135</v>
      </c>
      <c r="AT1220" s="2">
        <v>0.8</v>
      </c>
      <c r="AU1220" s="2">
        <v>162</v>
      </c>
      <c r="AV1220" s="2">
        <v>9.1</v>
      </c>
      <c r="AW1220" s="2">
        <v>9.1999999999999993</v>
      </c>
      <c r="AX1220" s="2">
        <v>18.3</v>
      </c>
      <c r="AY1220" s="2">
        <v>0.34</v>
      </c>
      <c r="AZ1220" s="2">
        <v>7.3</v>
      </c>
      <c r="BA1220" s="2">
        <v>0.9</v>
      </c>
      <c r="BB1220" s="2">
        <v>7.5</v>
      </c>
      <c r="BC1220" s="2">
        <v>2.9</v>
      </c>
      <c r="BD1220" s="2">
        <f>+AN1220*EXP(-0.0495*Y1220)</f>
        <v>5.5973057403353312</v>
      </c>
      <c r="BE1220" s="2">
        <f>+AO1220*EXP(-0.024*Y1220)</f>
        <v>18.107933496007416</v>
      </c>
    </row>
    <row r="1221" spans="1:57" x14ac:dyDescent="0.2">
      <c r="A1221" s="2" t="s">
        <v>3868</v>
      </c>
      <c r="B1221" s="2" t="s">
        <v>19</v>
      </c>
      <c r="C1221" s="2" t="s">
        <v>3245</v>
      </c>
      <c r="D1221" s="2" t="s">
        <v>21</v>
      </c>
      <c r="E1221" s="2" t="s">
        <v>3869</v>
      </c>
      <c r="F1221" s="2">
        <v>3</v>
      </c>
      <c r="G1221" s="2">
        <v>25.2</v>
      </c>
      <c r="H1221" s="2">
        <v>1</v>
      </c>
      <c r="I1221" s="2">
        <v>1</v>
      </c>
      <c r="J1221" s="2">
        <v>0</v>
      </c>
      <c r="K1221" s="2" t="s">
        <v>61</v>
      </c>
      <c r="L1221" s="6" t="s">
        <v>62</v>
      </c>
      <c r="M1221" s="5">
        <v>249500000</v>
      </c>
      <c r="N1221" s="2">
        <v>0</v>
      </c>
      <c r="O1221" s="2">
        <v>4.6406459809999996</v>
      </c>
      <c r="P1221" s="2">
        <v>-74.072708129999995</v>
      </c>
      <c r="Q1221" s="2" t="s">
        <v>3870</v>
      </c>
      <c r="R1221" s="2">
        <v>9900793.6510000005</v>
      </c>
      <c r="S1221" s="2">
        <v>0</v>
      </c>
      <c r="T1221" s="2" t="s">
        <v>77</v>
      </c>
      <c r="U1221" s="2" t="s">
        <v>78</v>
      </c>
      <c r="V1221" s="2" t="s">
        <v>28</v>
      </c>
      <c r="W1221" s="2" t="s">
        <v>79</v>
      </c>
      <c r="X1221" s="2" t="s">
        <v>80</v>
      </c>
      <c r="Y1221" s="2">
        <v>1.8032820478801099</v>
      </c>
      <c r="Z1221" s="2">
        <v>4.6254861111111101</v>
      </c>
      <c r="AA1221" s="2">
        <v>-74.066980555555503</v>
      </c>
      <c r="AB1221" s="2">
        <v>2621</v>
      </c>
      <c r="AC1221" s="2" t="s">
        <v>31</v>
      </c>
      <c r="AD1221" s="2" t="s">
        <v>32</v>
      </c>
      <c r="AE1221" s="2" t="s">
        <v>33</v>
      </c>
      <c r="AF1221" s="2" t="s">
        <v>34</v>
      </c>
      <c r="AG1221" s="2" t="s">
        <v>35</v>
      </c>
      <c r="AH1221" s="2">
        <v>0.73982396616865598</v>
      </c>
      <c r="AI1221" s="2">
        <v>1.61363396553261</v>
      </c>
      <c r="AJ1221" s="2">
        <v>6.3616362337869603E-2</v>
      </c>
      <c r="AK1221" s="2">
        <v>9.3025974772218203E-2</v>
      </c>
      <c r="AL1221" s="2">
        <v>0.29193096675896901</v>
      </c>
      <c r="AN1221" s="2">
        <v>6.8</v>
      </c>
      <c r="AO1221" s="2">
        <v>19.899999999999999</v>
      </c>
      <c r="AP1221" s="2">
        <v>564</v>
      </c>
      <c r="AQ1221" s="2">
        <v>68</v>
      </c>
      <c r="AR1221" s="2">
        <v>1.5</v>
      </c>
      <c r="AS1221" s="2">
        <v>135</v>
      </c>
      <c r="AT1221" s="2">
        <v>0.8</v>
      </c>
      <c r="AU1221" s="2">
        <v>162</v>
      </c>
      <c r="AV1221" s="2">
        <v>9.1</v>
      </c>
      <c r="AW1221" s="2">
        <v>9.1999999999999993</v>
      </c>
      <c r="AX1221" s="2">
        <v>18.3</v>
      </c>
      <c r="AY1221" s="2">
        <v>0.34</v>
      </c>
      <c r="AZ1221" s="2">
        <v>7.3</v>
      </c>
      <c r="BA1221" s="2">
        <v>0.9</v>
      </c>
      <c r="BB1221" s="2">
        <v>7.5</v>
      </c>
      <c r="BC1221" s="2">
        <v>2.9</v>
      </c>
      <c r="BD1221" s="2">
        <f>+AN1221*EXP(-0.0495*Y1221)</f>
        <v>6.2193173555216728</v>
      </c>
      <c r="BE1221" s="2">
        <f>+AO1221*EXP(-0.024*Y1221)</f>
        <v>19.057123383708838</v>
      </c>
    </row>
    <row r="1222" spans="1:57" x14ac:dyDescent="0.2">
      <c r="A1222" s="2" t="s">
        <v>4413</v>
      </c>
      <c r="B1222" s="2" t="s">
        <v>19</v>
      </c>
      <c r="C1222" s="2" t="s">
        <v>3245</v>
      </c>
      <c r="D1222" s="2" t="s">
        <v>21</v>
      </c>
      <c r="E1222" s="2" t="s">
        <v>1437</v>
      </c>
      <c r="F1222" s="2">
        <v>6</v>
      </c>
      <c r="G1222" s="2">
        <v>25</v>
      </c>
      <c r="H1222" s="2">
        <v>1</v>
      </c>
      <c r="I1222" s="2">
        <v>1</v>
      </c>
      <c r="J1222" s="2">
        <v>1</v>
      </c>
      <c r="K1222" s="2" t="s">
        <v>61</v>
      </c>
      <c r="L1222" s="6" t="s">
        <v>62</v>
      </c>
      <c r="M1222" s="5">
        <v>490000000</v>
      </c>
      <c r="N1222" s="2">
        <v>0</v>
      </c>
      <c r="O1222" s="2">
        <v>4.6815619999999996</v>
      </c>
      <c r="P1222" s="2">
        <v>-74.055980000000005</v>
      </c>
      <c r="Q1222" s="2" t="s">
        <v>4414</v>
      </c>
      <c r="R1222" s="2">
        <v>19600000</v>
      </c>
      <c r="S1222" s="2">
        <v>0</v>
      </c>
      <c r="T1222" s="2" t="s">
        <v>26</v>
      </c>
      <c r="U1222" s="2" t="s">
        <v>27</v>
      </c>
      <c r="V1222" s="2" t="s">
        <v>28</v>
      </c>
      <c r="W1222" s="2" t="s">
        <v>29</v>
      </c>
      <c r="X1222" s="2" t="s">
        <v>30</v>
      </c>
      <c r="Y1222" s="2">
        <v>4.0313273645067902</v>
      </c>
      <c r="Z1222" s="2">
        <v>4.6584666666666701</v>
      </c>
      <c r="AA1222" s="2">
        <v>-74.083966666666697</v>
      </c>
      <c r="AB1222" s="2">
        <v>2552</v>
      </c>
      <c r="AC1222" s="2" t="s">
        <v>31</v>
      </c>
      <c r="AD1222" s="2" t="s">
        <v>32</v>
      </c>
      <c r="AE1222" s="2" t="s">
        <v>33</v>
      </c>
      <c r="AF1222" s="2" t="s">
        <v>34</v>
      </c>
      <c r="AG1222" s="2" t="s">
        <v>81</v>
      </c>
      <c r="AH1222" s="2">
        <v>0.32635223880348302</v>
      </c>
      <c r="AI1222" s="2">
        <v>2.0077617162312298</v>
      </c>
      <c r="AJ1222" s="2">
        <v>0.58209682029158705</v>
      </c>
      <c r="AK1222" s="2">
        <v>5.5270754368578999E-2</v>
      </c>
      <c r="AL1222" s="2">
        <v>0.33609746580022998</v>
      </c>
      <c r="AN1222" s="2">
        <v>6.8</v>
      </c>
      <c r="AO1222" s="2">
        <v>19.899999999999999</v>
      </c>
      <c r="AP1222" s="2">
        <v>564</v>
      </c>
      <c r="AQ1222" s="2">
        <v>68</v>
      </c>
      <c r="AR1222" s="2">
        <v>1.5</v>
      </c>
      <c r="AS1222" s="2">
        <v>135</v>
      </c>
      <c r="AT1222" s="2">
        <v>0.8</v>
      </c>
      <c r="AU1222" s="2">
        <v>162</v>
      </c>
      <c r="AV1222" s="2">
        <v>9.1</v>
      </c>
      <c r="AW1222" s="2">
        <v>9.1999999999999993</v>
      </c>
      <c r="AX1222" s="2">
        <v>18.3</v>
      </c>
      <c r="AY1222" s="2">
        <v>0.34</v>
      </c>
      <c r="AZ1222" s="2">
        <v>7.3</v>
      </c>
      <c r="BA1222" s="2">
        <v>0.9</v>
      </c>
      <c r="BB1222" s="2">
        <v>7.5</v>
      </c>
      <c r="BC1222" s="2">
        <v>2.9</v>
      </c>
      <c r="BD1222" s="2">
        <f>+AN1222*EXP(-0.0495*Y1222)</f>
        <v>5.569871076599842</v>
      </c>
      <c r="BE1222" s="2">
        <f>+AO1222*EXP(-0.024*Y1222)</f>
        <v>18.064846635714119</v>
      </c>
    </row>
    <row r="1223" spans="1:57" x14ac:dyDescent="0.2">
      <c r="A1223" s="2" t="s">
        <v>4145</v>
      </c>
      <c r="B1223" s="2" t="s">
        <v>19</v>
      </c>
      <c r="C1223" s="2" t="s">
        <v>3245</v>
      </c>
      <c r="D1223" s="2" t="s">
        <v>21</v>
      </c>
      <c r="E1223" s="2" t="s">
        <v>1242</v>
      </c>
      <c r="F1223" s="2">
        <v>4</v>
      </c>
      <c r="G1223" s="2">
        <v>25</v>
      </c>
      <c r="H1223" s="2">
        <v>1</v>
      </c>
      <c r="I1223" s="2">
        <v>1</v>
      </c>
      <c r="J1223" s="2">
        <v>1</v>
      </c>
      <c r="K1223" s="2" t="s">
        <v>61</v>
      </c>
      <c r="L1223" s="6" t="s">
        <v>75</v>
      </c>
      <c r="M1223" s="5">
        <v>290000000</v>
      </c>
      <c r="N1223" s="2">
        <v>0</v>
      </c>
      <c r="O1223" s="2">
        <v>4.6448499999999999</v>
      </c>
      <c r="P1223" s="2">
        <v>-74.057839999999999</v>
      </c>
      <c r="Q1223" s="2" t="s">
        <v>4146</v>
      </c>
      <c r="R1223" s="2">
        <v>11600000</v>
      </c>
      <c r="S1223" s="2">
        <v>0</v>
      </c>
      <c r="T1223" s="2" t="s">
        <v>77</v>
      </c>
      <c r="U1223" s="2" t="s">
        <v>78</v>
      </c>
      <c r="V1223" s="2" t="s">
        <v>28</v>
      </c>
      <c r="W1223" s="2" t="s">
        <v>79</v>
      </c>
      <c r="X1223" s="2" t="s">
        <v>80</v>
      </c>
      <c r="Y1223" s="2">
        <v>2.3822483826109999</v>
      </c>
      <c r="Z1223" s="2">
        <v>4.6254861111111101</v>
      </c>
      <c r="AA1223" s="2">
        <v>-74.066980555555503</v>
      </c>
      <c r="AB1223" s="2">
        <v>2621</v>
      </c>
      <c r="AC1223" s="2" t="s">
        <v>31</v>
      </c>
      <c r="AD1223" s="2" t="s">
        <v>32</v>
      </c>
      <c r="AE1223" s="2" t="s">
        <v>33</v>
      </c>
      <c r="AF1223" s="2" t="s">
        <v>34</v>
      </c>
      <c r="AG1223" s="2" t="s">
        <v>81</v>
      </c>
      <c r="AH1223" s="2">
        <v>0.87293665833164102</v>
      </c>
      <c r="AI1223" s="2">
        <v>0.373561712984118</v>
      </c>
      <c r="AJ1223" s="2">
        <v>0.24665453344621999</v>
      </c>
      <c r="AK1223" s="2">
        <v>0.31034860357746302</v>
      </c>
      <c r="AL1223" s="2">
        <v>3.5812313934279499E-2</v>
      </c>
      <c r="AN1223" s="2">
        <v>6.8</v>
      </c>
      <c r="AO1223" s="2">
        <v>19.899999999999999</v>
      </c>
      <c r="AP1223" s="2">
        <v>564</v>
      </c>
      <c r="AQ1223" s="2">
        <v>68</v>
      </c>
      <c r="AR1223" s="2">
        <v>1.5</v>
      </c>
      <c r="AS1223" s="2">
        <v>135</v>
      </c>
      <c r="AT1223" s="2">
        <v>0.8</v>
      </c>
      <c r="AU1223" s="2">
        <v>162</v>
      </c>
      <c r="AV1223" s="2">
        <v>9.1</v>
      </c>
      <c r="AW1223" s="2">
        <v>9.1999999999999993</v>
      </c>
      <c r="AX1223" s="2">
        <v>18.3</v>
      </c>
      <c r="AY1223" s="2">
        <v>0.34</v>
      </c>
      <c r="AZ1223" s="2">
        <v>7.3</v>
      </c>
      <c r="BA1223" s="2">
        <v>0.9</v>
      </c>
      <c r="BB1223" s="2">
        <v>7.5</v>
      </c>
      <c r="BC1223" s="2">
        <v>2.9</v>
      </c>
      <c r="BD1223" s="2">
        <f>+AN1223*EXP(-0.0495*Y1223)</f>
        <v>6.0436088016592793</v>
      </c>
      <c r="BE1223" s="2">
        <f>+AO1223*EXP(-0.024*Y1223)</f>
        <v>18.794152243047005</v>
      </c>
    </row>
    <row r="1224" spans="1:57" x14ac:dyDescent="0.2">
      <c r="A1224" s="2" t="s">
        <v>3267</v>
      </c>
      <c r="B1224" s="2" t="s">
        <v>19</v>
      </c>
      <c r="C1224" s="2" t="s">
        <v>3245</v>
      </c>
      <c r="D1224" s="2" t="s">
        <v>21</v>
      </c>
      <c r="E1224" s="2" t="s">
        <v>1049</v>
      </c>
      <c r="F1224" s="2">
        <v>3</v>
      </c>
      <c r="G1224" s="2">
        <v>25</v>
      </c>
      <c r="H1224" s="2">
        <v>1</v>
      </c>
      <c r="I1224" s="2">
        <v>1</v>
      </c>
      <c r="J1224" s="2">
        <v>0</v>
      </c>
      <c r="K1224" s="2" t="s">
        <v>61</v>
      </c>
      <c r="L1224" s="6" t="s">
        <v>62</v>
      </c>
      <c r="M1224" s="5">
        <v>280000000</v>
      </c>
      <c r="N1224" s="2">
        <v>0</v>
      </c>
      <c r="O1224" s="2">
        <v>4.606325</v>
      </c>
      <c r="P1224" s="2">
        <v>-74.069785999999993</v>
      </c>
      <c r="Q1224" s="2" t="s">
        <v>3268</v>
      </c>
      <c r="R1224" s="2">
        <v>11200000</v>
      </c>
      <c r="S1224" s="2">
        <v>0</v>
      </c>
      <c r="T1224" s="2" t="s">
        <v>77</v>
      </c>
      <c r="U1224" s="2" t="s">
        <v>78</v>
      </c>
      <c r="V1224" s="2" t="s">
        <v>28</v>
      </c>
      <c r="W1224" s="2" t="s">
        <v>79</v>
      </c>
      <c r="X1224" s="2" t="s">
        <v>80</v>
      </c>
      <c r="Y1224" s="2">
        <v>2.15559990230989</v>
      </c>
      <c r="Z1224" s="2">
        <v>4.6254861111111101</v>
      </c>
      <c r="AA1224" s="2">
        <v>-74.066980555555503</v>
      </c>
      <c r="AB1224" s="2">
        <v>2621</v>
      </c>
      <c r="AC1224" s="2" t="s">
        <v>31</v>
      </c>
      <c r="AD1224" s="2" t="s">
        <v>32</v>
      </c>
      <c r="AE1224" s="2" t="s">
        <v>33</v>
      </c>
      <c r="AF1224" s="2" t="s">
        <v>34</v>
      </c>
      <c r="AG1224" s="2" t="s">
        <v>89</v>
      </c>
      <c r="AH1224" s="2">
        <v>0.33083711099997498</v>
      </c>
      <c r="AI1224" s="2">
        <v>0.57033346622468895</v>
      </c>
      <c r="AJ1224" s="2">
        <v>4.7641768634069097E-2</v>
      </c>
      <c r="AK1224" s="2">
        <v>0.11329758364767201</v>
      </c>
      <c r="AL1224" s="2">
        <v>3.6060868880168698E-2</v>
      </c>
      <c r="AN1224" s="2">
        <v>6.8</v>
      </c>
      <c r="AO1224" s="2">
        <v>19.899999999999999</v>
      </c>
      <c r="AP1224" s="2">
        <v>564</v>
      </c>
      <c r="AQ1224" s="2">
        <v>68</v>
      </c>
      <c r="AR1224" s="2">
        <v>1.5</v>
      </c>
      <c r="AS1224" s="2">
        <v>135</v>
      </c>
      <c r="AT1224" s="2">
        <v>0.8</v>
      </c>
      <c r="AU1224" s="2">
        <v>162</v>
      </c>
      <c r="AV1224" s="2">
        <v>9.1</v>
      </c>
      <c r="AW1224" s="2">
        <v>9.1999999999999993</v>
      </c>
      <c r="AX1224" s="2">
        <v>18.3</v>
      </c>
      <c r="AY1224" s="2">
        <v>0.34</v>
      </c>
      <c r="AZ1224" s="2">
        <v>7.3</v>
      </c>
      <c r="BA1224" s="2">
        <v>0.9</v>
      </c>
      <c r="BB1224" s="2">
        <v>7.5</v>
      </c>
      <c r="BC1224" s="2">
        <v>2.9</v>
      </c>
      <c r="BD1224" s="2">
        <f>+AN1224*EXP(-0.0495*Y1224)</f>
        <v>6.1117944272754272</v>
      </c>
      <c r="BE1224" s="2">
        <f>+AO1224*EXP(-0.024*Y1224)</f>
        <v>18.896662781642913</v>
      </c>
    </row>
    <row r="1225" spans="1:57" x14ac:dyDescent="0.2">
      <c r="A1225" s="2" t="s">
        <v>4071</v>
      </c>
      <c r="B1225" s="2" t="s">
        <v>19</v>
      </c>
      <c r="C1225" s="2" t="s">
        <v>3245</v>
      </c>
      <c r="D1225" s="2" t="s">
        <v>21</v>
      </c>
      <c r="E1225" s="2" t="s">
        <v>87</v>
      </c>
      <c r="F1225" s="2">
        <v>4</v>
      </c>
      <c r="G1225" s="2">
        <v>25</v>
      </c>
      <c r="H1225" s="2">
        <v>1</v>
      </c>
      <c r="I1225" s="2">
        <v>1</v>
      </c>
      <c r="J1225" s="2">
        <v>0</v>
      </c>
      <c r="K1225" s="2" t="s">
        <v>61</v>
      </c>
      <c r="L1225" s="6" t="s">
        <v>62</v>
      </c>
      <c r="M1225" s="5">
        <v>280000000</v>
      </c>
      <c r="N1225" s="2">
        <v>0</v>
      </c>
      <c r="O1225" s="2">
        <v>4.620581627</v>
      </c>
      <c r="P1225" s="2">
        <v>-74.069885249999999</v>
      </c>
      <c r="Q1225" s="2" t="s">
        <v>4072</v>
      </c>
      <c r="R1225" s="2">
        <v>11200000</v>
      </c>
      <c r="S1225" s="2">
        <v>0</v>
      </c>
      <c r="T1225" s="2" t="s">
        <v>77</v>
      </c>
      <c r="U1225" s="2" t="s">
        <v>78</v>
      </c>
      <c r="V1225" s="2" t="s">
        <v>28</v>
      </c>
      <c r="W1225" s="2" t="s">
        <v>79</v>
      </c>
      <c r="X1225" s="2" t="s">
        <v>80</v>
      </c>
      <c r="Y1225" s="2">
        <v>0.633997516669768</v>
      </c>
      <c r="Z1225" s="2">
        <v>4.6254861111111101</v>
      </c>
      <c r="AA1225" s="2">
        <v>-74.066980555555503</v>
      </c>
      <c r="AB1225" s="2">
        <v>2621</v>
      </c>
      <c r="AC1225" s="2" t="s">
        <v>31</v>
      </c>
      <c r="AD1225" s="2" t="s">
        <v>32</v>
      </c>
      <c r="AE1225" s="2" t="s">
        <v>33</v>
      </c>
      <c r="AF1225" s="2" t="s">
        <v>34</v>
      </c>
      <c r="AG1225" s="2" t="s">
        <v>89</v>
      </c>
      <c r="AH1225" s="2">
        <v>0.11136946779222399</v>
      </c>
      <c r="AI1225" s="2">
        <v>0.89949815752611095</v>
      </c>
      <c r="AJ1225" s="2">
        <v>0.31405967624686398</v>
      </c>
      <c r="AK1225" s="2">
        <v>3.8130556448605898E-2</v>
      </c>
      <c r="AL1225" s="2">
        <v>3.9668829955487601E-2</v>
      </c>
      <c r="AN1225" s="2">
        <v>6.8</v>
      </c>
      <c r="AO1225" s="2">
        <v>19.899999999999999</v>
      </c>
      <c r="AP1225" s="2">
        <v>564</v>
      </c>
      <c r="AQ1225" s="2">
        <v>68</v>
      </c>
      <c r="AR1225" s="2">
        <v>1.5</v>
      </c>
      <c r="AS1225" s="2">
        <v>135</v>
      </c>
      <c r="AT1225" s="2">
        <v>0.8</v>
      </c>
      <c r="AU1225" s="2">
        <v>162</v>
      </c>
      <c r="AV1225" s="2">
        <v>9.1</v>
      </c>
      <c r="AW1225" s="2">
        <v>9.1999999999999993</v>
      </c>
      <c r="AX1225" s="2">
        <v>18.3</v>
      </c>
      <c r="AY1225" s="2">
        <v>0.34</v>
      </c>
      <c r="AZ1225" s="2">
        <v>7.3</v>
      </c>
      <c r="BA1225" s="2">
        <v>0.9</v>
      </c>
      <c r="BB1225" s="2">
        <v>7.5</v>
      </c>
      <c r="BC1225" s="2">
        <v>2.9</v>
      </c>
      <c r="BD1225" s="2">
        <f>+AN1225*EXP(-0.0495*Y1225)</f>
        <v>6.5899102882551626</v>
      </c>
      <c r="BE1225" s="2">
        <f>+AO1225*EXP(-0.024*Y1225)</f>
        <v>19.599494818350987</v>
      </c>
    </row>
    <row r="1226" spans="1:57" x14ac:dyDescent="0.2">
      <c r="A1226" s="2" t="s">
        <v>4569</v>
      </c>
      <c r="B1226" s="2" t="s">
        <v>19</v>
      </c>
      <c r="C1226" s="2" t="s">
        <v>3245</v>
      </c>
      <c r="D1226" s="2" t="s">
        <v>21</v>
      </c>
      <c r="E1226" s="2" t="s">
        <v>74</v>
      </c>
      <c r="F1226" s="2">
        <v>3</v>
      </c>
      <c r="G1226" s="2">
        <v>25</v>
      </c>
      <c r="H1226" s="2">
        <v>1</v>
      </c>
      <c r="I1226" s="2">
        <v>1</v>
      </c>
      <c r="J1226" s="2">
        <v>0</v>
      </c>
      <c r="K1226" s="2" t="s">
        <v>61</v>
      </c>
      <c r="L1226" s="6" t="s">
        <v>84</v>
      </c>
      <c r="M1226" s="5">
        <v>270000000</v>
      </c>
      <c r="N1226" s="2">
        <v>0</v>
      </c>
      <c r="O1226" s="2">
        <v>4.6464999999999996</v>
      </c>
      <c r="P1226" s="2">
        <v>-74.063469999999995</v>
      </c>
      <c r="Q1226" s="2" t="s">
        <v>4570</v>
      </c>
      <c r="R1226" s="2">
        <v>10800000</v>
      </c>
      <c r="S1226" s="2">
        <v>0</v>
      </c>
      <c r="T1226" s="2" t="s">
        <v>77</v>
      </c>
      <c r="U1226" s="2" t="s">
        <v>78</v>
      </c>
      <c r="V1226" s="2" t="s">
        <v>28</v>
      </c>
      <c r="W1226" s="2" t="s">
        <v>79</v>
      </c>
      <c r="X1226" s="2" t="s">
        <v>80</v>
      </c>
      <c r="Y1226" s="2">
        <v>2.37146317184982</v>
      </c>
      <c r="Z1226" s="2">
        <v>4.6254861111111101</v>
      </c>
      <c r="AA1226" s="2">
        <v>-74.066980555555503</v>
      </c>
      <c r="AB1226" s="2">
        <v>2621</v>
      </c>
      <c r="AC1226" s="2" t="s">
        <v>31</v>
      </c>
      <c r="AD1226" s="2" t="s">
        <v>32</v>
      </c>
      <c r="AE1226" s="2" t="s">
        <v>33</v>
      </c>
      <c r="AF1226" s="2" t="s">
        <v>34</v>
      </c>
      <c r="AG1226" s="2" t="s">
        <v>81</v>
      </c>
      <c r="AH1226" s="2">
        <v>0.26151723306835001</v>
      </c>
      <c r="AI1226" s="2">
        <v>0.89967510615742996</v>
      </c>
      <c r="AJ1226" s="2">
        <v>0.112534194314791</v>
      </c>
      <c r="AK1226" s="2">
        <v>9.3035540393287999E-2</v>
      </c>
      <c r="AL1226" s="2">
        <v>0.429959190734721</v>
      </c>
      <c r="AN1226" s="2">
        <v>6.8</v>
      </c>
      <c r="AO1226" s="2">
        <v>19.899999999999999</v>
      </c>
      <c r="AP1226" s="2">
        <v>564</v>
      </c>
      <c r="AQ1226" s="2">
        <v>68</v>
      </c>
      <c r="AR1226" s="2">
        <v>1.5</v>
      </c>
      <c r="AS1226" s="2">
        <v>135</v>
      </c>
      <c r="AT1226" s="2">
        <v>0.8</v>
      </c>
      <c r="AU1226" s="2">
        <v>162</v>
      </c>
      <c r="AV1226" s="2">
        <v>9.1</v>
      </c>
      <c r="AW1226" s="2">
        <v>9.1999999999999993</v>
      </c>
      <c r="AX1226" s="2">
        <v>18.3</v>
      </c>
      <c r="AY1226" s="2">
        <v>0.34</v>
      </c>
      <c r="AZ1226" s="2">
        <v>7.3</v>
      </c>
      <c r="BA1226" s="2">
        <v>0.9</v>
      </c>
      <c r="BB1226" s="2">
        <v>7.5</v>
      </c>
      <c r="BC1226" s="2">
        <v>2.9</v>
      </c>
      <c r="BD1226" s="2">
        <f>+AN1226*EXP(-0.0495*Y1226)</f>
        <v>6.0468361520089138</v>
      </c>
      <c r="BE1226" s="2">
        <f>+AO1226*EXP(-0.024*Y1226)</f>
        <v>18.799017646145067</v>
      </c>
    </row>
    <row r="1227" spans="1:57" x14ac:dyDescent="0.2">
      <c r="A1227" s="2" t="s">
        <v>3350</v>
      </c>
      <c r="B1227" s="2" t="s">
        <v>19</v>
      </c>
      <c r="C1227" s="2" t="s">
        <v>3245</v>
      </c>
      <c r="D1227" s="2" t="s">
        <v>21</v>
      </c>
      <c r="E1227" s="2" t="s">
        <v>894</v>
      </c>
      <c r="F1227" s="2">
        <v>3</v>
      </c>
      <c r="G1227" s="2">
        <v>25</v>
      </c>
      <c r="H1227" s="2">
        <v>1</v>
      </c>
      <c r="I1227" s="2">
        <v>1</v>
      </c>
      <c r="J1227" s="2">
        <v>1</v>
      </c>
      <c r="K1227" s="2" t="s">
        <v>61</v>
      </c>
      <c r="L1227" s="6" t="s">
        <v>62</v>
      </c>
      <c r="M1227" s="5">
        <v>255000000</v>
      </c>
      <c r="N1227" s="2">
        <v>0</v>
      </c>
      <c r="O1227" s="2">
        <v>4.6359009740000001</v>
      </c>
      <c r="P1227" s="2">
        <v>-74.068252560000005</v>
      </c>
      <c r="Q1227" s="2" t="s">
        <v>3351</v>
      </c>
      <c r="R1227" s="2">
        <v>10200000</v>
      </c>
      <c r="S1227" s="2">
        <v>0</v>
      </c>
      <c r="T1227" s="2" t="s">
        <v>77</v>
      </c>
      <c r="U1227" s="2" t="s">
        <v>78</v>
      </c>
      <c r="V1227" s="2" t="s">
        <v>28</v>
      </c>
      <c r="W1227" s="2" t="s">
        <v>79</v>
      </c>
      <c r="X1227" s="2" t="s">
        <v>80</v>
      </c>
      <c r="Y1227" s="2">
        <v>1.16793626999635</v>
      </c>
      <c r="Z1227" s="2">
        <v>4.6254861111111101</v>
      </c>
      <c r="AA1227" s="2">
        <v>-74.066980555555503</v>
      </c>
      <c r="AB1227" s="2">
        <v>2621</v>
      </c>
      <c r="AC1227" s="2" t="s">
        <v>31</v>
      </c>
      <c r="AD1227" s="2" t="s">
        <v>32</v>
      </c>
      <c r="AE1227" s="2" t="s">
        <v>33</v>
      </c>
      <c r="AF1227" s="2" t="s">
        <v>34</v>
      </c>
      <c r="AG1227" s="2" t="s">
        <v>35</v>
      </c>
      <c r="AH1227" s="2">
        <v>0.24485113734802</v>
      </c>
      <c r="AI1227" s="2">
        <v>0.95301414223717396</v>
      </c>
      <c r="AJ1227" s="2">
        <v>0.22444898269028499</v>
      </c>
      <c r="AK1227" s="2">
        <v>8.4978859820698693E-2</v>
      </c>
      <c r="AL1227" s="2">
        <v>8.46197906658952E-2</v>
      </c>
      <c r="AN1227" s="2">
        <v>6.8</v>
      </c>
      <c r="AO1227" s="2">
        <v>19.899999999999999</v>
      </c>
      <c r="AP1227" s="2">
        <v>564</v>
      </c>
      <c r="AQ1227" s="2">
        <v>68</v>
      </c>
      <c r="AR1227" s="2">
        <v>1.5</v>
      </c>
      <c r="AS1227" s="2">
        <v>135</v>
      </c>
      <c r="AT1227" s="2">
        <v>0.8</v>
      </c>
      <c r="AU1227" s="2">
        <v>162</v>
      </c>
      <c r="AV1227" s="2">
        <v>9.1</v>
      </c>
      <c r="AW1227" s="2">
        <v>9.1999999999999993</v>
      </c>
      <c r="AX1227" s="2">
        <v>18.3</v>
      </c>
      <c r="AY1227" s="2">
        <v>0.34</v>
      </c>
      <c r="AZ1227" s="2">
        <v>7.3</v>
      </c>
      <c r="BA1227" s="2">
        <v>0.9</v>
      </c>
      <c r="BB1227" s="2">
        <v>7.5</v>
      </c>
      <c r="BC1227" s="2">
        <v>2.9</v>
      </c>
      <c r="BD1227" s="2">
        <f>+AN1227*EXP(-0.0495*Y1227)</f>
        <v>6.41802069249698</v>
      </c>
      <c r="BE1227" s="2">
        <f>+AO1227*EXP(-0.024*Y1227)</f>
        <v>19.349938888437787</v>
      </c>
    </row>
    <row r="1228" spans="1:57" x14ac:dyDescent="0.2">
      <c r="A1228" s="2" t="s">
        <v>3945</v>
      </c>
      <c r="B1228" s="2" t="s">
        <v>19</v>
      </c>
      <c r="C1228" s="2" t="s">
        <v>3245</v>
      </c>
      <c r="D1228" s="2" t="s">
        <v>21</v>
      </c>
      <c r="E1228" s="2" t="s">
        <v>332</v>
      </c>
      <c r="F1228" s="2">
        <v>3</v>
      </c>
      <c r="G1228" s="2">
        <v>25</v>
      </c>
      <c r="H1228" s="2">
        <v>1</v>
      </c>
      <c r="I1228" s="2">
        <v>1</v>
      </c>
      <c r="J1228" s="2">
        <v>1</v>
      </c>
      <c r="K1228" s="2" t="s">
        <v>61</v>
      </c>
      <c r="L1228" s="6" t="s">
        <v>62</v>
      </c>
      <c r="M1228" s="5">
        <v>250000000</v>
      </c>
      <c r="N1228" s="2">
        <v>0</v>
      </c>
      <c r="O1228" s="2">
        <v>4.6034359929999997</v>
      </c>
      <c r="P1228" s="2">
        <v>-74.070587160000002</v>
      </c>
      <c r="Q1228" s="2" t="s">
        <v>3946</v>
      </c>
      <c r="R1228" s="2">
        <v>10000000</v>
      </c>
      <c r="S1228" s="2">
        <v>0</v>
      </c>
      <c r="T1228" s="2" t="s">
        <v>77</v>
      </c>
      <c r="U1228" s="2" t="s">
        <v>78</v>
      </c>
      <c r="V1228" s="2" t="s">
        <v>28</v>
      </c>
      <c r="W1228" s="2" t="s">
        <v>79</v>
      </c>
      <c r="X1228" s="2" t="s">
        <v>80</v>
      </c>
      <c r="Y1228" s="2">
        <v>2.4870157360071601</v>
      </c>
      <c r="Z1228" s="2">
        <v>4.6254861111111101</v>
      </c>
      <c r="AA1228" s="2">
        <v>-74.066980555555503</v>
      </c>
      <c r="AB1228" s="2">
        <v>2621</v>
      </c>
      <c r="AC1228" s="2" t="s">
        <v>31</v>
      </c>
      <c r="AD1228" s="2" t="s">
        <v>32</v>
      </c>
      <c r="AE1228" s="2" t="s">
        <v>33</v>
      </c>
      <c r="AF1228" s="2" t="s">
        <v>34</v>
      </c>
      <c r="AG1228" s="2" t="s">
        <v>89</v>
      </c>
      <c r="AH1228" s="2">
        <v>0.26019778211197703</v>
      </c>
      <c r="AI1228" s="2">
        <v>0.71719197003132695</v>
      </c>
      <c r="AJ1228" s="2">
        <v>0.27265349916713999</v>
      </c>
      <c r="AK1228" s="2">
        <v>0.148350790558503</v>
      </c>
      <c r="AL1228" s="2">
        <v>2.0198310500012498E-3</v>
      </c>
      <c r="AN1228" s="2">
        <v>6.8</v>
      </c>
      <c r="AO1228" s="2">
        <v>19.899999999999999</v>
      </c>
      <c r="AP1228" s="2">
        <v>564</v>
      </c>
      <c r="AQ1228" s="2">
        <v>68</v>
      </c>
      <c r="AR1228" s="2">
        <v>1.5</v>
      </c>
      <c r="AS1228" s="2">
        <v>135</v>
      </c>
      <c r="AT1228" s="2">
        <v>0.8</v>
      </c>
      <c r="AU1228" s="2">
        <v>162</v>
      </c>
      <c r="AV1228" s="2">
        <v>9.1</v>
      </c>
      <c r="AW1228" s="2">
        <v>9.1999999999999993</v>
      </c>
      <c r="AX1228" s="2">
        <v>18.3</v>
      </c>
      <c r="AY1228" s="2">
        <v>0.34</v>
      </c>
      <c r="AZ1228" s="2">
        <v>7.3</v>
      </c>
      <c r="BA1228" s="2">
        <v>0.9</v>
      </c>
      <c r="BB1228" s="2">
        <v>7.5</v>
      </c>
      <c r="BC1228" s="2">
        <v>2.9</v>
      </c>
      <c r="BD1228" s="2">
        <f>+AN1228*EXP(-0.0495*Y1228)</f>
        <v>6.0123478725542707</v>
      </c>
      <c r="BE1228" s="2">
        <f>+AO1228*EXP(-0.024*Y1228)</f>
        <v>18.746955278170372</v>
      </c>
    </row>
    <row r="1229" spans="1:57" x14ac:dyDescent="0.2">
      <c r="A1229" s="2" t="s">
        <v>4195</v>
      </c>
      <c r="B1229" s="2" t="s">
        <v>19</v>
      </c>
      <c r="C1229" s="2" t="s">
        <v>3245</v>
      </c>
      <c r="D1229" s="2" t="s">
        <v>21</v>
      </c>
      <c r="E1229" s="2" t="s">
        <v>3524</v>
      </c>
      <c r="F1229" s="2">
        <v>3</v>
      </c>
      <c r="G1229" s="2">
        <v>25</v>
      </c>
      <c r="H1229" s="2">
        <v>1</v>
      </c>
      <c r="I1229" s="2">
        <v>1</v>
      </c>
      <c r="J1229" s="2">
        <v>0</v>
      </c>
      <c r="K1229" s="2" t="s">
        <v>61</v>
      </c>
      <c r="L1229" s="6" t="s">
        <v>62</v>
      </c>
      <c r="M1229" s="5">
        <v>245000000</v>
      </c>
      <c r="N1229" s="2">
        <v>0</v>
      </c>
      <c r="O1229" s="2">
        <v>4.6021847999999999</v>
      </c>
      <c r="P1229" s="2">
        <v>-74.070556499999995</v>
      </c>
      <c r="Q1229" s="2" t="s">
        <v>4196</v>
      </c>
      <c r="R1229" s="2">
        <v>9800000</v>
      </c>
      <c r="S1229" s="2">
        <v>0</v>
      </c>
      <c r="T1229" s="2" t="s">
        <v>77</v>
      </c>
      <c r="U1229" s="2" t="s">
        <v>78</v>
      </c>
      <c r="V1229" s="2" t="s">
        <v>28</v>
      </c>
      <c r="W1229" s="2" t="s">
        <v>79</v>
      </c>
      <c r="X1229" s="2" t="s">
        <v>80</v>
      </c>
      <c r="Y1229" s="2">
        <v>2.6240621223404399</v>
      </c>
      <c r="Z1229" s="2">
        <v>4.6254861111111101</v>
      </c>
      <c r="AA1229" s="2">
        <v>-74.066980555555503</v>
      </c>
      <c r="AB1229" s="2">
        <v>2621</v>
      </c>
      <c r="AC1229" s="2" t="s">
        <v>31</v>
      </c>
      <c r="AD1229" s="2" t="s">
        <v>32</v>
      </c>
      <c r="AE1229" s="2" t="s">
        <v>33</v>
      </c>
      <c r="AF1229" s="2" t="s">
        <v>34</v>
      </c>
      <c r="AG1229" s="2" t="s">
        <v>89</v>
      </c>
      <c r="AH1229" s="2">
        <v>0.242935475309699</v>
      </c>
      <c r="AI1229" s="2">
        <v>0.74573008834368204</v>
      </c>
      <c r="AJ1229" s="2">
        <v>0.299633824424683</v>
      </c>
      <c r="AK1229" s="2">
        <v>0.13738486181380999</v>
      </c>
      <c r="AL1229" s="2">
        <v>6.1567708524427202E-2</v>
      </c>
      <c r="AN1229" s="2">
        <v>6.8</v>
      </c>
      <c r="AO1229" s="2">
        <v>19.899999999999999</v>
      </c>
      <c r="AP1229" s="2">
        <v>564</v>
      </c>
      <c r="AQ1229" s="2">
        <v>68</v>
      </c>
      <c r="AR1229" s="2">
        <v>1.5</v>
      </c>
      <c r="AS1229" s="2">
        <v>135</v>
      </c>
      <c r="AT1229" s="2">
        <v>0.8</v>
      </c>
      <c r="AU1229" s="2">
        <v>162</v>
      </c>
      <c r="AV1229" s="2">
        <v>9.1</v>
      </c>
      <c r="AW1229" s="2">
        <v>9.1999999999999993</v>
      </c>
      <c r="AX1229" s="2">
        <v>18.3</v>
      </c>
      <c r="AY1229" s="2">
        <v>0.34</v>
      </c>
      <c r="AZ1229" s="2">
        <v>7.3</v>
      </c>
      <c r="BA1229" s="2">
        <v>0.9</v>
      </c>
      <c r="BB1229" s="2">
        <v>7.5</v>
      </c>
      <c r="BC1229" s="2">
        <v>2.9</v>
      </c>
      <c r="BD1229" s="2">
        <f>+AN1229*EXP(-0.0495*Y1229)</f>
        <v>5.9716993618545215</v>
      </c>
      <c r="BE1229" s="2">
        <f>+AO1229*EXP(-0.024*Y1229)</f>
        <v>18.685395712445001</v>
      </c>
    </row>
    <row r="1230" spans="1:57" x14ac:dyDescent="0.2">
      <c r="A1230" s="2" t="s">
        <v>3792</v>
      </c>
      <c r="B1230" s="2" t="s">
        <v>19</v>
      </c>
      <c r="C1230" s="2" t="s">
        <v>3245</v>
      </c>
      <c r="D1230" s="2" t="s">
        <v>21</v>
      </c>
      <c r="E1230" s="2" t="s">
        <v>332</v>
      </c>
      <c r="F1230" s="2">
        <v>4</v>
      </c>
      <c r="G1230" s="2">
        <v>24.8</v>
      </c>
      <c r="H1230" s="2">
        <v>1</v>
      </c>
      <c r="I1230" s="2">
        <v>1</v>
      </c>
      <c r="J1230" s="2">
        <v>1</v>
      </c>
      <c r="K1230" s="2" t="s">
        <v>61</v>
      </c>
      <c r="L1230" s="6" t="s">
        <v>62</v>
      </c>
      <c r="M1230" s="5">
        <v>289000000</v>
      </c>
      <c r="N1230" s="2">
        <v>0</v>
      </c>
      <c r="O1230" s="2">
        <v>4.6024427000000001</v>
      </c>
      <c r="P1230" s="2">
        <v>-74.068849999999998</v>
      </c>
      <c r="Q1230" s="2" t="s">
        <v>3793</v>
      </c>
      <c r="R1230" s="2">
        <v>11653225.810000001</v>
      </c>
      <c r="S1230" s="2">
        <v>0</v>
      </c>
      <c r="T1230" s="2" t="s">
        <v>77</v>
      </c>
      <c r="U1230" s="2" t="s">
        <v>78</v>
      </c>
      <c r="V1230" s="2" t="s">
        <v>28</v>
      </c>
      <c r="W1230" s="2" t="s">
        <v>79</v>
      </c>
      <c r="X1230" s="2" t="s">
        <v>80</v>
      </c>
      <c r="Y1230" s="2">
        <v>2.5735540000680799</v>
      </c>
      <c r="Z1230" s="2">
        <v>4.6254861111111101</v>
      </c>
      <c r="AA1230" s="2">
        <v>-74.066980555555503</v>
      </c>
      <c r="AB1230" s="2">
        <v>2621</v>
      </c>
      <c r="AC1230" s="2" t="s">
        <v>31</v>
      </c>
      <c r="AD1230" s="2" t="s">
        <v>32</v>
      </c>
      <c r="AE1230" s="2" t="s">
        <v>33</v>
      </c>
      <c r="AF1230" s="2" t="s">
        <v>34</v>
      </c>
      <c r="AG1230" s="2" t="s">
        <v>89</v>
      </c>
      <c r="AH1230" s="2">
        <v>5.1997441834960599E-2</v>
      </c>
      <c r="AI1230" s="2">
        <v>0.55592774135858503</v>
      </c>
      <c r="AJ1230" s="2">
        <v>0.108262435122189</v>
      </c>
      <c r="AK1230" s="2">
        <v>0.13217973203905101</v>
      </c>
      <c r="AL1230" s="2">
        <v>0.222967570278648</v>
      </c>
      <c r="AN1230" s="2">
        <v>6.8</v>
      </c>
      <c r="AO1230" s="2">
        <v>19.899999999999999</v>
      </c>
      <c r="AP1230" s="2">
        <v>564</v>
      </c>
      <c r="AQ1230" s="2">
        <v>68</v>
      </c>
      <c r="AR1230" s="2">
        <v>1.5</v>
      </c>
      <c r="AS1230" s="2">
        <v>135</v>
      </c>
      <c r="AT1230" s="2">
        <v>0.8</v>
      </c>
      <c r="AU1230" s="2">
        <v>162</v>
      </c>
      <c r="AV1230" s="2">
        <v>9.1</v>
      </c>
      <c r="AW1230" s="2">
        <v>9.1999999999999993</v>
      </c>
      <c r="AX1230" s="2">
        <v>18.3</v>
      </c>
      <c r="AY1230" s="2">
        <v>0.34</v>
      </c>
      <c r="AZ1230" s="2">
        <v>7.3</v>
      </c>
      <c r="BA1230" s="2">
        <v>0.9</v>
      </c>
      <c r="BB1230" s="2">
        <v>7.5</v>
      </c>
      <c r="BC1230" s="2">
        <v>2.9</v>
      </c>
      <c r="BD1230" s="2">
        <f>+AN1230*EXP(-0.0495*Y1230)</f>
        <v>5.9866481976653354</v>
      </c>
      <c r="BE1230" s="2">
        <f>+AO1230*EXP(-0.024*Y1230)</f>
        <v>18.708059788341192</v>
      </c>
    </row>
    <row r="1231" spans="1:57" x14ac:dyDescent="0.2">
      <c r="A1231" s="2" t="s">
        <v>3392</v>
      </c>
      <c r="B1231" s="2" t="s">
        <v>19</v>
      </c>
      <c r="C1231" s="2" t="s">
        <v>3245</v>
      </c>
      <c r="D1231" s="2" t="s">
        <v>21</v>
      </c>
      <c r="E1231" s="2" t="s">
        <v>486</v>
      </c>
      <c r="F1231" s="2">
        <v>3</v>
      </c>
      <c r="G1231" s="2">
        <v>24.8</v>
      </c>
      <c r="H1231" s="2">
        <v>1</v>
      </c>
      <c r="I1231" s="2">
        <v>1</v>
      </c>
      <c r="J1231" s="2">
        <v>0</v>
      </c>
      <c r="K1231" s="2" t="s">
        <v>61</v>
      </c>
      <c r="L1231" s="6" t="s">
        <v>62</v>
      </c>
      <c r="M1231" s="5">
        <v>275000000</v>
      </c>
      <c r="N1231" s="2">
        <v>0</v>
      </c>
      <c r="O1231" s="2">
        <v>4.6007800000000003</v>
      </c>
      <c r="P1231" s="2">
        <v>-74.066310000000001</v>
      </c>
      <c r="Q1231" s="2" t="s">
        <v>3393</v>
      </c>
      <c r="R1231" s="2">
        <v>11088709.68</v>
      </c>
      <c r="S1231" s="2">
        <v>0</v>
      </c>
      <c r="T1231" s="2" t="s">
        <v>77</v>
      </c>
      <c r="U1231" s="2" t="s">
        <v>78</v>
      </c>
      <c r="V1231" s="2" t="s">
        <v>28</v>
      </c>
      <c r="W1231" s="2" t="s">
        <v>79</v>
      </c>
      <c r="X1231" s="2" t="s">
        <v>80</v>
      </c>
      <c r="Y1231" s="2">
        <v>2.7512779644538101</v>
      </c>
      <c r="Z1231" s="2">
        <v>4.6254861111111101</v>
      </c>
      <c r="AA1231" s="2">
        <v>-74.066980555555503</v>
      </c>
      <c r="AB1231" s="2">
        <v>2621</v>
      </c>
      <c r="AC1231" s="2" t="s">
        <v>31</v>
      </c>
      <c r="AD1231" s="2" t="s">
        <v>32</v>
      </c>
      <c r="AE1231" s="2" t="s">
        <v>33</v>
      </c>
      <c r="AF1231" s="2" t="s">
        <v>34</v>
      </c>
      <c r="AG1231" s="2" t="s">
        <v>488</v>
      </c>
      <c r="AH1231" s="2">
        <v>0.305531208289678</v>
      </c>
      <c r="AI1231" s="2">
        <v>0.39784365829118001</v>
      </c>
      <c r="AJ1231" s="2">
        <v>7.9185190584535298E-2</v>
      </c>
      <c r="AK1231" s="2">
        <v>1.0232339963942599E-2</v>
      </c>
      <c r="AL1231" s="2">
        <v>0.27667010738283898</v>
      </c>
      <c r="AN1231" s="2">
        <v>6.8</v>
      </c>
      <c r="AO1231" s="2">
        <v>19.899999999999999</v>
      </c>
      <c r="AP1231" s="2">
        <v>564</v>
      </c>
      <c r="AQ1231" s="2">
        <v>68</v>
      </c>
      <c r="AR1231" s="2">
        <v>1.5</v>
      </c>
      <c r="AS1231" s="2">
        <v>135</v>
      </c>
      <c r="AT1231" s="2">
        <v>0.8</v>
      </c>
      <c r="AU1231" s="2">
        <v>162</v>
      </c>
      <c r="AV1231" s="2">
        <v>9.1</v>
      </c>
      <c r="AW1231" s="2">
        <v>9.1999999999999993</v>
      </c>
      <c r="AX1231" s="2">
        <v>18.3</v>
      </c>
      <c r="AY1231" s="2">
        <v>0.34</v>
      </c>
      <c r="AZ1231" s="2">
        <v>7.3</v>
      </c>
      <c r="BA1231" s="2">
        <v>0.9</v>
      </c>
      <c r="BB1231" s="2">
        <v>7.5</v>
      </c>
      <c r="BC1231" s="2">
        <v>2.9</v>
      </c>
      <c r="BD1231" s="2">
        <f>+AN1231*EXP(-0.0495*Y1231)</f>
        <v>5.9342126253962633</v>
      </c>
      <c r="BE1231" s="2">
        <f>+AO1231*EXP(-0.024*Y1231)</f>
        <v>18.628432835241213</v>
      </c>
    </row>
    <row r="1232" spans="1:57" x14ac:dyDescent="0.2">
      <c r="A1232" s="2" t="s">
        <v>3766</v>
      </c>
      <c r="B1232" s="2" t="s">
        <v>19</v>
      </c>
      <c r="C1232" s="2" t="s">
        <v>3245</v>
      </c>
      <c r="D1232" s="2" t="s">
        <v>21</v>
      </c>
      <c r="E1232" s="2" t="s">
        <v>3767</v>
      </c>
      <c r="F1232" s="2">
        <v>3</v>
      </c>
      <c r="G1232" s="2">
        <v>24.55</v>
      </c>
      <c r="H1232" s="2">
        <v>1</v>
      </c>
      <c r="I1232" s="2">
        <v>1</v>
      </c>
      <c r="J1232" s="2">
        <v>1</v>
      </c>
      <c r="K1232" s="2" t="s">
        <v>61</v>
      </c>
      <c r="L1232" s="6" t="s">
        <v>62</v>
      </c>
      <c r="M1232" s="5">
        <v>290000000</v>
      </c>
      <c r="N1232" s="2">
        <v>0</v>
      </c>
      <c r="O1232" s="2">
        <v>4.6808471679999997</v>
      </c>
      <c r="P1232" s="2">
        <v>-74.099945070000004</v>
      </c>
      <c r="Q1232" s="2" t="s">
        <v>3768</v>
      </c>
      <c r="R1232" s="2">
        <v>11812627.289999999</v>
      </c>
      <c r="S1232" s="2">
        <v>0</v>
      </c>
      <c r="T1232" s="2" t="s">
        <v>26</v>
      </c>
      <c r="U1232" s="2" t="s">
        <v>27</v>
      </c>
      <c r="V1232" s="2" t="s">
        <v>28</v>
      </c>
      <c r="W1232" s="2" t="s">
        <v>29</v>
      </c>
      <c r="X1232" s="2" t="s">
        <v>30</v>
      </c>
      <c r="Y1232" s="2">
        <v>3.0577502606458502</v>
      </c>
      <c r="Z1232" s="2">
        <v>4.6584666666666701</v>
      </c>
      <c r="AA1232" s="2">
        <v>-74.083966666666697</v>
      </c>
      <c r="AB1232" s="2">
        <v>2552</v>
      </c>
      <c r="AC1232" s="2" t="s">
        <v>31</v>
      </c>
      <c r="AD1232" s="2" t="s">
        <v>32</v>
      </c>
      <c r="AE1232" s="2" t="s">
        <v>33</v>
      </c>
      <c r="AF1232" s="2" t="s">
        <v>34</v>
      </c>
      <c r="AG1232" s="2" t="s">
        <v>363</v>
      </c>
      <c r="AH1232" s="2">
        <v>1.9743430482305699</v>
      </c>
      <c r="AI1232" s="2">
        <v>5.6648396755157702</v>
      </c>
      <c r="AJ1232" s="2">
        <v>1.5607590487982299</v>
      </c>
      <c r="AK1232" s="2">
        <v>0.40100051359361299</v>
      </c>
      <c r="AL1232" s="2">
        <v>0.32491516194720499</v>
      </c>
      <c r="AN1232" s="2">
        <v>6.8</v>
      </c>
      <c r="AO1232" s="2">
        <v>19.899999999999999</v>
      </c>
      <c r="AP1232" s="2">
        <v>564</v>
      </c>
      <c r="AQ1232" s="2">
        <v>68</v>
      </c>
      <c r="AR1232" s="2">
        <v>1.5</v>
      </c>
      <c r="AS1232" s="2">
        <v>135</v>
      </c>
      <c r="AT1232" s="2">
        <v>0.8</v>
      </c>
      <c r="AU1232" s="2">
        <v>162</v>
      </c>
      <c r="AV1232" s="2">
        <v>9.1</v>
      </c>
      <c r="AW1232" s="2">
        <v>9.1999999999999993</v>
      </c>
      <c r="AX1232" s="2">
        <v>18.3</v>
      </c>
      <c r="AY1232" s="2">
        <v>0.34</v>
      </c>
      <c r="AZ1232" s="2">
        <v>7.3</v>
      </c>
      <c r="BA1232" s="2">
        <v>0.9</v>
      </c>
      <c r="BB1232" s="2">
        <v>7.5</v>
      </c>
      <c r="BC1232" s="2">
        <v>2.9</v>
      </c>
      <c r="BD1232" s="2">
        <f>+AN1232*EXP(-0.0495*Y1232)</f>
        <v>5.8448677838315817</v>
      </c>
      <c r="BE1232" s="2">
        <f>+AO1232*EXP(-0.024*Y1232)</f>
        <v>18.491917143986729</v>
      </c>
    </row>
    <row r="1233" spans="1:57" x14ac:dyDescent="0.2">
      <c r="A1233" s="2" t="s">
        <v>3312</v>
      </c>
      <c r="B1233" s="2" t="s">
        <v>19</v>
      </c>
      <c r="C1233" s="2" t="s">
        <v>3245</v>
      </c>
      <c r="D1233" s="2" t="s">
        <v>21</v>
      </c>
      <c r="E1233" s="2" t="s">
        <v>1049</v>
      </c>
      <c r="F1233" s="2">
        <v>3</v>
      </c>
      <c r="G1233" s="2">
        <v>24.43</v>
      </c>
      <c r="H1233" s="2">
        <v>1</v>
      </c>
      <c r="I1233" s="2">
        <v>1</v>
      </c>
      <c r="J1233" s="2">
        <v>0</v>
      </c>
      <c r="K1233" s="2" t="s">
        <v>61</v>
      </c>
      <c r="L1233" s="6" t="s">
        <v>84</v>
      </c>
      <c r="M1233" s="5">
        <v>282000000</v>
      </c>
      <c r="N1233" s="2">
        <v>0</v>
      </c>
      <c r="O1233" s="2">
        <v>4.6062200000000004</v>
      </c>
      <c r="P1233" s="2">
        <v>-74.069820000000007</v>
      </c>
      <c r="Q1233" s="2" t="s">
        <v>3313</v>
      </c>
      <c r="R1233" s="2">
        <v>11543184.609999999</v>
      </c>
      <c r="S1233" s="2">
        <v>0</v>
      </c>
      <c r="T1233" s="2" t="s">
        <v>77</v>
      </c>
      <c r="U1233" s="2" t="s">
        <v>78</v>
      </c>
      <c r="V1233" s="2" t="s">
        <v>28</v>
      </c>
      <c r="W1233" s="2" t="s">
        <v>79</v>
      </c>
      <c r="X1233" s="2" t="s">
        <v>80</v>
      </c>
      <c r="Y1233" s="2">
        <v>2.1677116937923602</v>
      </c>
      <c r="Z1233" s="2">
        <v>4.6254861111111101</v>
      </c>
      <c r="AA1233" s="2">
        <v>-74.066980555555503</v>
      </c>
      <c r="AB1233" s="2">
        <v>2621</v>
      </c>
      <c r="AC1233" s="2" t="s">
        <v>31</v>
      </c>
      <c r="AD1233" s="2" t="s">
        <v>32</v>
      </c>
      <c r="AE1233" s="2" t="s">
        <v>33</v>
      </c>
      <c r="AF1233" s="2" t="s">
        <v>34</v>
      </c>
      <c r="AG1233" s="2" t="s">
        <v>89</v>
      </c>
      <c r="AH1233" s="2">
        <v>0.32766150302208003</v>
      </c>
      <c r="AI1233" s="2">
        <v>0.57751539072407199</v>
      </c>
      <c r="AJ1233" s="2">
        <v>5.4107842473486101E-2</v>
      </c>
      <c r="AK1233" s="2">
        <v>0.11934251047179401</v>
      </c>
      <c r="AL1233" s="2">
        <v>3.5437666742283103E-2</v>
      </c>
      <c r="AN1233" s="2">
        <v>6.8</v>
      </c>
      <c r="AO1233" s="2">
        <v>19.899999999999999</v>
      </c>
      <c r="AP1233" s="2">
        <v>564</v>
      </c>
      <c r="AQ1233" s="2">
        <v>68</v>
      </c>
      <c r="AR1233" s="2">
        <v>1.5</v>
      </c>
      <c r="AS1233" s="2">
        <v>135</v>
      </c>
      <c r="AT1233" s="2">
        <v>0.8</v>
      </c>
      <c r="AU1233" s="2">
        <v>162</v>
      </c>
      <c r="AV1233" s="2">
        <v>9.1</v>
      </c>
      <c r="AW1233" s="2">
        <v>9.1999999999999993</v>
      </c>
      <c r="AX1233" s="2">
        <v>18.3</v>
      </c>
      <c r="AY1233" s="2">
        <v>0.34</v>
      </c>
      <c r="AZ1233" s="2">
        <v>7.3</v>
      </c>
      <c r="BA1233" s="2">
        <v>0.9</v>
      </c>
      <c r="BB1233" s="2">
        <v>7.5</v>
      </c>
      <c r="BC1233" s="2">
        <v>2.9</v>
      </c>
      <c r="BD1233" s="2">
        <f>+AN1233*EXP(-0.0495*Y1233)</f>
        <v>6.1081312988750716</v>
      </c>
      <c r="BE1233" s="2">
        <f>+AO1233*EXP(-0.024*Y1233)</f>
        <v>18.891170641373659</v>
      </c>
    </row>
    <row r="1234" spans="1:57" x14ac:dyDescent="0.2">
      <c r="A1234" s="2" t="s">
        <v>3943</v>
      </c>
      <c r="B1234" s="2" t="s">
        <v>19</v>
      </c>
      <c r="C1234" s="2" t="s">
        <v>3245</v>
      </c>
      <c r="D1234" s="2" t="s">
        <v>21</v>
      </c>
      <c r="E1234" s="2" t="s">
        <v>2472</v>
      </c>
      <c r="F1234" s="2">
        <v>4</v>
      </c>
      <c r="G1234" s="2">
        <v>24.41</v>
      </c>
      <c r="H1234" s="2">
        <v>1</v>
      </c>
      <c r="I1234" s="2">
        <v>1</v>
      </c>
      <c r="J1234" s="2">
        <v>0</v>
      </c>
      <c r="K1234" s="2" t="s">
        <v>61</v>
      </c>
      <c r="L1234" s="6" t="s">
        <v>62</v>
      </c>
      <c r="M1234" s="5">
        <v>320000000</v>
      </c>
      <c r="N1234" s="2">
        <v>0</v>
      </c>
      <c r="O1234" s="2">
        <v>4.6772203450000003</v>
      </c>
      <c r="P1234" s="2">
        <v>-74.06018066</v>
      </c>
      <c r="Q1234" s="2" t="s">
        <v>3944</v>
      </c>
      <c r="R1234" s="2">
        <v>13109381.4</v>
      </c>
      <c r="S1234" s="2">
        <v>0</v>
      </c>
      <c r="T1234" s="2" t="s">
        <v>26</v>
      </c>
      <c r="U1234" s="2" t="s">
        <v>27</v>
      </c>
      <c r="V1234" s="2" t="s">
        <v>28</v>
      </c>
      <c r="W1234" s="2" t="s">
        <v>29</v>
      </c>
      <c r="X1234" s="2" t="s">
        <v>30</v>
      </c>
      <c r="Y1234" s="2">
        <v>3.3649576479637302</v>
      </c>
      <c r="Z1234" s="2">
        <v>4.6584666666666701</v>
      </c>
      <c r="AA1234" s="2">
        <v>-74.083966666666697</v>
      </c>
      <c r="AB1234" s="2">
        <v>2552</v>
      </c>
      <c r="AC1234" s="2" t="s">
        <v>31</v>
      </c>
      <c r="AD1234" s="2" t="s">
        <v>32</v>
      </c>
      <c r="AE1234" s="2" t="s">
        <v>33</v>
      </c>
      <c r="AF1234" s="2" t="s">
        <v>34</v>
      </c>
      <c r="AG1234" s="2" t="s">
        <v>293</v>
      </c>
      <c r="AH1234" s="2">
        <v>0.18666236193882199</v>
      </c>
      <c r="AI1234" s="2">
        <v>2.1213873185806902</v>
      </c>
      <c r="AJ1234" s="2">
        <v>0.26495790860548102</v>
      </c>
      <c r="AK1234" s="2">
        <v>4.3995384828933302E-2</v>
      </c>
      <c r="AL1234" s="2">
        <v>0.365335066187019</v>
      </c>
      <c r="AN1234" s="2">
        <v>6.8</v>
      </c>
      <c r="AO1234" s="2">
        <v>19.899999999999999</v>
      </c>
      <c r="AP1234" s="2">
        <v>564</v>
      </c>
      <c r="AQ1234" s="2">
        <v>68</v>
      </c>
      <c r="AR1234" s="2">
        <v>1.5</v>
      </c>
      <c r="AS1234" s="2">
        <v>135</v>
      </c>
      <c r="AT1234" s="2">
        <v>0.8</v>
      </c>
      <c r="AU1234" s="2">
        <v>162</v>
      </c>
      <c r="AV1234" s="2">
        <v>9.1</v>
      </c>
      <c r="AW1234" s="2">
        <v>9.1999999999999993</v>
      </c>
      <c r="AX1234" s="2">
        <v>18.3</v>
      </c>
      <c r="AY1234" s="2">
        <v>0.34</v>
      </c>
      <c r="AZ1234" s="2">
        <v>7.3</v>
      </c>
      <c r="BA1234" s="2">
        <v>0.9</v>
      </c>
      <c r="BB1234" s="2">
        <v>7.5</v>
      </c>
      <c r="BC1234" s="2">
        <v>2.9</v>
      </c>
      <c r="BD1234" s="2">
        <f>+AN1234*EXP(-0.0495*Y1234)</f>
        <v>5.7566586367979777</v>
      </c>
      <c r="BE1234" s="2">
        <f>+AO1234*EXP(-0.024*Y1234)</f>
        <v>18.356078043393286</v>
      </c>
    </row>
    <row r="1235" spans="1:57" x14ac:dyDescent="0.2">
      <c r="A1235" s="2" t="s">
        <v>4411</v>
      </c>
      <c r="B1235" s="2" t="s">
        <v>19</v>
      </c>
      <c r="C1235" s="2" t="s">
        <v>3245</v>
      </c>
      <c r="D1235" s="2" t="s">
        <v>21</v>
      </c>
      <c r="E1235" s="2" t="s">
        <v>1437</v>
      </c>
      <c r="F1235" s="2">
        <v>6</v>
      </c>
      <c r="G1235" s="2">
        <v>24.27</v>
      </c>
      <c r="H1235" s="2">
        <v>1</v>
      </c>
      <c r="I1235" s="2">
        <v>1</v>
      </c>
      <c r="J1235" s="2">
        <v>1</v>
      </c>
      <c r="K1235" s="2" t="s">
        <v>61</v>
      </c>
      <c r="L1235" s="6" t="s">
        <v>62</v>
      </c>
      <c r="M1235" s="5">
        <v>450000000</v>
      </c>
      <c r="N1235" s="2">
        <v>0</v>
      </c>
      <c r="O1235" s="2">
        <v>4.6815619999999996</v>
      </c>
      <c r="P1235" s="2">
        <v>-74.055980000000005</v>
      </c>
      <c r="Q1235" s="2" t="s">
        <v>4412</v>
      </c>
      <c r="R1235" s="2">
        <v>18541409.149999999</v>
      </c>
      <c r="S1235" s="2">
        <v>0</v>
      </c>
      <c r="T1235" s="2" t="s">
        <v>26</v>
      </c>
      <c r="U1235" s="2" t="s">
        <v>27</v>
      </c>
      <c r="V1235" s="2" t="s">
        <v>28</v>
      </c>
      <c r="W1235" s="2" t="s">
        <v>29</v>
      </c>
      <c r="X1235" s="2" t="s">
        <v>30</v>
      </c>
      <c r="Y1235" s="2">
        <v>4.0313273645067902</v>
      </c>
      <c r="Z1235" s="2">
        <v>4.6584666666666701</v>
      </c>
      <c r="AA1235" s="2">
        <v>-74.083966666666697</v>
      </c>
      <c r="AB1235" s="2">
        <v>2552</v>
      </c>
      <c r="AC1235" s="2" t="s">
        <v>31</v>
      </c>
      <c r="AD1235" s="2" t="s">
        <v>32</v>
      </c>
      <c r="AE1235" s="2" t="s">
        <v>33</v>
      </c>
      <c r="AF1235" s="2" t="s">
        <v>34</v>
      </c>
      <c r="AG1235" s="2" t="s">
        <v>81</v>
      </c>
      <c r="AH1235" s="2">
        <v>0.32635223880348302</v>
      </c>
      <c r="AI1235" s="2">
        <v>2.0077617162312298</v>
      </c>
      <c r="AJ1235" s="2">
        <v>0.58209682029158705</v>
      </c>
      <c r="AK1235" s="2">
        <v>5.5270754368578999E-2</v>
      </c>
      <c r="AL1235" s="2">
        <v>0.33609746580022998</v>
      </c>
      <c r="AN1235" s="2">
        <v>6.8</v>
      </c>
      <c r="AO1235" s="2">
        <v>19.899999999999999</v>
      </c>
      <c r="AP1235" s="2">
        <v>564</v>
      </c>
      <c r="AQ1235" s="2">
        <v>68</v>
      </c>
      <c r="AR1235" s="2">
        <v>1.5</v>
      </c>
      <c r="AS1235" s="2">
        <v>135</v>
      </c>
      <c r="AT1235" s="2">
        <v>0.8</v>
      </c>
      <c r="AU1235" s="2">
        <v>162</v>
      </c>
      <c r="AV1235" s="2">
        <v>9.1</v>
      </c>
      <c r="AW1235" s="2">
        <v>9.1999999999999993</v>
      </c>
      <c r="AX1235" s="2">
        <v>18.3</v>
      </c>
      <c r="AY1235" s="2">
        <v>0.34</v>
      </c>
      <c r="AZ1235" s="2">
        <v>7.3</v>
      </c>
      <c r="BA1235" s="2">
        <v>0.9</v>
      </c>
      <c r="BB1235" s="2">
        <v>7.5</v>
      </c>
      <c r="BC1235" s="2">
        <v>2.9</v>
      </c>
      <c r="BD1235" s="2">
        <f>+AN1235*EXP(-0.0495*Y1235)</f>
        <v>5.569871076599842</v>
      </c>
      <c r="BE1235" s="2">
        <f>+AO1235*EXP(-0.024*Y1235)</f>
        <v>18.064846635714119</v>
      </c>
    </row>
    <row r="1236" spans="1:57" x14ac:dyDescent="0.2">
      <c r="A1236" s="2" t="s">
        <v>3430</v>
      </c>
      <c r="B1236" s="2" t="s">
        <v>19</v>
      </c>
      <c r="C1236" s="2" t="s">
        <v>3245</v>
      </c>
      <c r="D1236" s="2" t="s">
        <v>21</v>
      </c>
      <c r="E1236" s="2" t="s">
        <v>1025</v>
      </c>
      <c r="F1236" s="2">
        <v>6</v>
      </c>
      <c r="G1236" s="2">
        <v>24.27</v>
      </c>
      <c r="H1236" s="2">
        <v>1</v>
      </c>
      <c r="I1236" s="2">
        <v>1</v>
      </c>
      <c r="J1236" s="2">
        <v>1</v>
      </c>
      <c r="K1236" s="2" t="s">
        <v>61</v>
      </c>
      <c r="L1236" s="6" t="s">
        <v>62</v>
      </c>
      <c r="M1236" s="5">
        <v>415000000</v>
      </c>
      <c r="N1236" s="2">
        <v>0</v>
      </c>
      <c r="O1236" s="2">
        <v>4.6810836790000003</v>
      </c>
      <c r="P1236" s="2">
        <v>-74.056152339999997</v>
      </c>
      <c r="Q1236" s="2" t="s">
        <v>3431</v>
      </c>
      <c r="R1236" s="2">
        <v>17099299.550000001</v>
      </c>
      <c r="S1236" s="2">
        <v>0</v>
      </c>
      <c r="T1236" s="2" t="s">
        <v>26</v>
      </c>
      <c r="U1236" s="2" t="s">
        <v>27</v>
      </c>
      <c r="V1236" s="2" t="s">
        <v>28</v>
      </c>
      <c r="W1236" s="2" t="s">
        <v>29</v>
      </c>
      <c r="X1236" s="2" t="s">
        <v>30</v>
      </c>
      <c r="Y1236" s="2">
        <v>3.9827467818729398</v>
      </c>
      <c r="Z1236" s="2">
        <v>4.6584666666666701</v>
      </c>
      <c r="AA1236" s="2">
        <v>-74.083966666666697</v>
      </c>
      <c r="AB1236" s="2">
        <v>2552</v>
      </c>
      <c r="AC1236" s="2" t="s">
        <v>31</v>
      </c>
      <c r="AD1236" s="2" t="s">
        <v>32</v>
      </c>
      <c r="AE1236" s="2" t="s">
        <v>33</v>
      </c>
      <c r="AF1236" s="2" t="s">
        <v>34</v>
      </c>
      <c r="AG1236" s="2" t="s">
        <v>81</v>
      </c>
      <c r="AH1236" s="2">
        <v>0.360856776985711</v>
      </c>
      <c r="AI1236" s="2">
        <v>2.0032291778344402</v>
      </c>
      <c r="AJ1236" s="2">
        <v>0.63598338431257795</v>
      </c>
      <c r="AK1236" s="2">
        <v>0.111184446616394</v>
      </c>
      <c r="AL1236" s="2">
        <v>0.30435811307343502</v>
      </c>
      <c r="AN1236" s="2">
        <v>6.8</v>
      </c>
      <c r="AO1236" s="2">
        <v>19.899999999999999</v>
      </c>
      <c r="AP1236" s="2">
        <v>564</v>
      </c>
      <c r="AQ1236" s="2">
        <v>68</v>
      </c>
      <c r="AR1236" s="2">
        <v>1.5</v>
      </c>
      <c r="AS1236" s="2">
        <v>135</v>
      </c>
      <c r="AT1236" s="2">
        <v>0.8</v>
      </c>
      <c r="AU1236" s="2">
        <v>162</v>
      </c>
      <c r="AV1236" s="2">
        <v>9.1</v>
      </c>
      <c r="AW1236" s="2">
        <v>9.1999999999999993</v>
      </c>
      <c r="AX1236" s="2">
        <v>18.3</v>
      </c>
      <c r="AY1236" s="2">
        <v>0.34</v>
      </c>
      <c r="AZ1236" s="2">
        <v>7.3</v>
      </c>
      <c r="BA1236" s="2">
        <v>0.9</v>
      </c>
      <c r="BB1236" s="2">
        <v>7.5</v>
      </c>
      <c r="BC1236" s="2">
        <v>2.9</v>
      </c>
      <c r="BD1236" s="2">
        <f>+AN1236*EXP(-0.0495*Y1236)</f>
        <v>5.5832812794691336</v>
      </c>
      <c r="BE1236" s="2">
        <f>+AO1236*EXP(-0.024*Y1236)</f>
        <v>18.085921337776462</v>
      </c>
    </row>
    <row r="1237" spans="1:57" x14ac:dyDescent="0.2">
      <c r="A1237" s="2" t="s">
        <v>1053</v>
      </c>
      <c r="B1237" s="2" t="s">
        <v>19</v>
      </c>
      <c r="C1237" s="2" t="s">
        <v>20</v>
      </c>
      <c r="D1237" s="2" t="s">
        <v>21</v>
      </c>
      <c r="E1237" s="2" t="s">
        <v>1054</v>
      </c>
      <c r="F1237" s="2">
        <v>3</v>
      </c>
      <c r="G1237" s="2">
        <v>24.17</v>
      </c>
      <c r="H1237" s="2">
        <v>1</v>
      </c>
      <c r="I1237" s="2">
        <v>1</v>
      </c>
      <c r="J1237" s="2">
        <v>1</v>
      </c>
      <c r="K1237" s="2" t="s">
        <v>61</v>
      </c>
      <c r="L1237" s="6" t="s">
        <v>62</v>
      </c>
      <c r="M1237" s="5">
        <v>220000000</v>
      </c>
      <c r="N1237" s="2">
        <v>0</v>
      </c>
      <c r="O1237" s="2">
        <v>4.7038092999999996</v>
      </c>
      <c r="P1237" s="2">
        <v>-74.105580000000003</v>
      </c>
      <c r="Q1237" s="2" t="s">
        <v>1055</v>
      </c>
      <c r="R1237" s="2">
        <v>9102192.8010000009</v>
      </c>
      <c r="S1237" s="2">
        <v>0</v>
      </c>
      <c r="T1237" s="2" t="s">
        <v>370</v>
      </c>
      <c r="U1237" s="2" t="s">
        <v>371</v>
      </c>
      <c r="V1237" s="2" t="s">
        <v>28</v>
      </c>
      <c r="W1237" s="2" t="s">
        <v>29</v>
      </c>
      <c r="X1237" s="2" t="s">
        <v>372</v>
      </c>
      <c r="Y1237" s="2">
        <v>4.2146135911231202</v>
      </c>
      <c r="Z1237" s="2">
        <v>4.7358055555555598</v>
      </c>
      <c r="AA1237" s="2">
        <v>-74.125888888888895</v>
      </c>
      <c r="AB1237" s="2">
        <v>2574</v>
      </c>
      <c r="AC1237" s="2" t="s">
        <v>105</v>
      </c>
      <c r="AD1237" s="2" t="s">
        <v>58</v>
      </c>
      <c r="AE1237" s="2" t="s">
        <v>33</v>
      </c>
      <c r="AF1237" s="2" t="s">
        <v>34</v>
      </c>
      <c r="AG1237" s="2" t="s">
        <v>363</v>
      </c>
      <c r="AH1237" s="2">
        <v>0.146656258557992</v>
      </c>
      <c r="AI1237" s="2">
        <v>3.2702964462407502</v>
      </c>
      <c r="AJ1237" s="2">
        <v>1.27831896229301</v>
      </c>
      <c r="AK1237" s="2">
        <v>0.16255256440057</v>
      </c>
      <c r="AL1237" s="2">
        <v>6.55564522270723E-3</v>
      </c>
      <c r="AN1237" s="2">
        <v>6.8</v>
      </c>
      <c r="AO1237" s="2">
        <v>19.899999999999999</v>
      </c>
      <c r="AP1237" s="2">
        <v>564</v>
      </c>
      <c r="AQ1237" s="2">
        <v>68</v>
      </c>
      <c r="AR1237" s="2">
        <v>1.5</v>
      </c>
      <c r="AS1237" s="2">
        <v>135</v>
      </c>
      <c r="AT1237" s="2">
        <v>0.8</v>
      </c>
      <c r="AU1237" s="2">
        <v>162</v>
      </c>
      <c r="AV1237" s="2">
        <v>9.1</v>
      </c>
      <c r="AW1237" s="2">
        <v>9.1999999999999993</v>
      </c>
      <c r="AX1237" s="2">
        <v>18.3</v>
      </c>
      <c r="AY1237" s="2">
        <v>0.34</v>
      </c>
      <c r="AZ1237" s="2">
        <v>7.3</v>
      </c>
      <c r="BA1237" s="2">
        <v>0.9</v>
      </c>
      <c r="BB1237" s="2">
        <v>7.5</v>
      </c>
      <c r="BC1237" s="2">
        <v>2.9</v>
      </c>
      <c r="BD1237" s="2">
        <f>+AN1237*EXP(-0.0495*Y1237)</f>
        <v>5.5195660298709708</v>
      </c>
      <c r="BE1237" s="2">
        <f>+AO1237*EXP(-0.024*Y1237)</f>
        <v>17.985556255802347</v>
      </c>
    </row>
    <row r="1238" spans="1:57" x14ac:dyDescent="0.2">
      <c r="A1238" s="2" t="s">
        <v>4178</v>
      </c>
      <c r="B1238" s="2" t="s">
        <v>19</v>
      </c>
      <c r="C1238" s="2" t="s">
        <v>3245</v>
      </c>
      <c r="D1238" s="2" t="s">
        <v>21</v>
      </c>
      <c r="E1238" s="2" t="s">
        <v>83</v>
      </c>
      <c r="F1238" s="2">
        <v>6</v>
      </c>
      <c r="G1238" s="2">
        <v>24</v>
      </c>
      <c r="H1238" s="2">
        <v>1</v>
      </c>
      <c r="I1238" s="2">
        <v>1</v>
      </c>
      <c r="J1238" s="2">
        <v>1</v>
      </c>
      <c r="K1238" s="2" t="s">
        <v>61</v>
      </c>
      <c r="L1238" s="6" t="s">
        <v>62</v>
      </c>
      <c r="M1238" s="5">
        <v>399000000</v>
      </c>
      <c r="N1238" s="2">
        <v>0</v>
      </c>
      <c r="O1238" s="2">
        <v>4.6820930829999998</v>
      </c>
      <c r="P1238" s="2">
        <v>-74.055160169999994</v>
      </c>
      <c r="Q1238" s="2" t="s">
        <v>4179</v>
      </c>
      <c r="R1238" s="2">
        <v>16625000</v>
      </c>
      <c r="S1238" s="2">
        <v>0</v>
      </c>
      <c r="T1238" s="2" t="s">
        <v>26</v>
      </c>
      <c r="U1238" s="2" t="s">
        <v>27</v>
      </c>
      <c r="V1238" s="2" t="s">
        <v>28</v>
      </c>
      <c r="W1238" s="2" t="s">
        <v>29</v>
      </c>
      <c r="X1238" s="2" t="s">
        <v>30</v>
      </c>
      <c r="Y1238" s="2">
        <v>4.1391104047324596</v>
      </c>
      <c r="Z1238" s="2">
        <v>4.6584666666666701</v>
      </c>
      <c r="AA1238" s="2">
        <v>-74.083966666666697</v>
      </c>
      <c r="AB1238" s="2">
        <v>2552</v>
      </c>
      <c r="AC1238" s="2" t="s">
        <v>31</v>
      </c>
      <c r="AD1238" s="2" t="s">
        <v>32</v>
      </c>
      <c r="AE1238" s="2" t="s">
        <v>33</v>
      </c>
      <c r="AF1238" s="2" t="s">
        <v>34</v>
      </c>
      <c r="AG1238" s="2" t="s">
        <v>81</v>
      </c>
      <c r="AH1238" s="2">
        <v>0.34952045579506102</v>
      </c>
      <c r="AI1238" s="2">
        <v>1.9528243218344501</v>
      </c>
      <c r="AJ1238" s="2">
        <v>0.48182820651527503</v>
      </c>
      <c r="AK1238" s="2">
        <v>6.5544088265223205E-2</v>
      </c>
      <c r="AL1238" s="2">
        <v>0.37797882782603198</v>
      </c>
      <c r="AN1238" s="2">
        <v>6.8</v>
      </c>
      <c r="AO1238" s="2">
        <v>19.899999999999999</v>
      </c>
      <c r="AP1238" s="2">
        <v>564</v>
      </c>
      <c r="AQ1238" s="2">
        <v>68</v>
      </c>
      <c r="AR1238" s="2">
        <v>1.5</v>
      </c>
      <c r="AS1238" s="2">
        <v>135</v>
      </c>
      <c r="AT1238" s="2">
        <v>0.8</v>
      </c>
      <c r="AU1238" s="2">
        <v>162</v>
      </c>
      <c r="AV1238" s="2">
        <v>9.1</v>
      </c>
      <c r="AW1238" s="2">
        <v>9.1999999999999993</v>
      </c>
      <c r="AX1238" s="2">
        <v>18.3</v>
      </c>
      <c r="AY1238" s="2">
        <v>0.34</v>
      </c>
      <c r="AZ1238" s="2">
        <v>7.3</v>
      </c>
      <c r="BA1238" s="2">
        <v>0.9</v>
      </c>
      <c r="BB1238" s="2">
        <v>7.5</v>
      </c>
      <c r="BC1238" s="2">
        <v>2.9</v>
      </c>
      <c r="BD1238" s="2">
        <f>+AN1238*EXP(-0.0495*Y1238)</f>
        <v>5.5402334959133794</v>
      </c>
      <c r="BE1238" s="2">
        <f>+AO1238*EXP(-0.024*Y1238)</f>
        <v>18.018177005874758</v>
      </c>
    </row>
    <row r="1239" spans="1:57" x14ac:dyDescent="0.2">
      <c r="A1239" s="2" t="s">
        <v>4067</v>
      </c>
      <c r="B1239" s="2" t="s">
        <v>19</v>
      </c>
      <c r="C1239" s="2" t="s">
        <v>3245</v>
      </c>
      <c r="D1239" s="2" t="s">
        <v>21</v>
      </c>
      <c r="E1239" s="2" t="s">
        <v>87</v>
      </c>
      <c r="F1239" s="2">
        <v>4</v>
      </c>
      <c r="G1239" s="2">
        <v>24</v>
      </c>
      <c r="H1239" s="2">
        <v>1</v>
      </c>
      <c r="I1239" s="2">
        <v>1</v>
      </c>
      <c r="J1239" s="2">
        <v>0</v>
      </c>
      <c r="K1239" s="2" t="s">
        <v>61</v>
      </c>
      <c r="L1239" s="6" t="s">
        <v>62</v>
      </c>
      <c r="M1239" s="5">
        <v>355000000</v>
      </c>
      <c r="N1239" s="2">
        <v>0</v>
      </c>
      <c r="O1239" s="2">
        <v>4.620581627</v>
      </c>
      <c r="P1239" s="2">
        <v>-74.069885249999999</v>
      </c>
      <c r="Q1239" s="2" t="s">
        <v>4068</v>
      </c>
      <c r="R1239" s="2">
        <v>14791666.67</v>
      </c>
      <c r="S1239" s="2">
        <v>0</v>
      </c>
      <c r="T1239" s="2" t="s">
        <v>77</v>
      </c>
      <c r="U1239" s="2" t="s">
        <v>78</v>
      </c>
      <c r="V1239" s="2" t="s">
        <v>28</v>
      </c>
      <c r="W1239" s="2" t="s">
        <v>79</v>
      </c>
      <c r="X1239" s="2" t="s">
        <v>80</v>
      </c>
      <c r="Y1239" s="2">
        <v>0.633997516669768</v>
      </c>
      <c r="Z1239" s="2">
        <v>4.6254861111111101</v>
      </c>
      <c r="AA1239" s="2">
        <v>-74.066980555555503</v>
      </c>
      <c r="AB1239" s="2">
        <v>2621</v>
      </c>
      <c r="AC1239" s="2" t="s">
        <v>31</v>
      </c>
      <c r="AD1239" s="2" t="s">
        <v>32</v>
      </c>
      <c r="AE1239" s="2" t="s">
        <v>33</v>
      </c>
      <c r="AF1239" s="2" t="s">
        <v>34</v>
      </c>
      <c r="AG1239" s="2" t="s">
        <v>89</v>
      </c>
      <c r="AH1239" s="2">
        <v>0.11136946779222399</v>
      </c>
      <c r="AI1239" s="2">
        <v>0.89949815752611095</v>
      </c>
      <c r="AJ1239" s="2">
        <v>0.31405967624686398</v>
      </c>
      <c r="AK1239" s="2">
        <v>3.8130556448605898E-2</v>
      </c>
      <c r="AL1239" s="2">
        <v>3.9668829955487601E-2</v>
      </c>
      <c r="AN1239" s="2">
        <v>6.8</v>
      </c>
      <c r="AO1239" s="2">
        <v>19.899999999999999</v>
      </c>
      <c r="AP1239" s="2">
        <v>564</v>
      </c>
      <c r="AQ1239" s="2">
        <v>68</v>
      </c>
      <c r="AR1239" s="2">
        <v>1.5</v>
      </c>
      <c r="AS1239" s="2">
        <v>135</v>
      </c>
      <c r="AT1239" s="2">
        <v>0.8</v>
      </c>
      <c r="AU1239" s="2">
        <v>162</v>
      </c>
      <c r="AV1239" s="2">
        <v>9.1</v>
      </c>
      <c r="AW1239" s="2">
        <v>9.1999999999999993</v>
      </c>
      <c r="AX1239" s="2">
        <v>18.3</v>
      </c>
      <c r="AY1239" s="2">
        <v>0.34</v>
      </c>
      <c r="AZ1239" s="2">
        <v>7.3</v>
      </c>
      <c r="BA1239" s="2">
        <v>0.9</v>
      </c>
      <c r="BB1239" s="2">
        <v>7.5</v>
      </c>
      <c r="BC1239" s="2">
        <v>2.9</v>
      </c>
      <c r="BD1239" s="2">
        <f>+AN1239*EXP(-0.0495*Y1239)</f>
        <v>6.5899102882551626</v>
      </c>
      <c r="BE1239" s="2">
        <f>+AO1239*EXP(-0.024*Y1239)</f>
        <v>19.599494818350987</v>
      </c>
    </row>
    <row r="1240" spans="1:57" x14ac:dyDescent="0.2">
      <c r="A1240" s="2" t="s">
        <v>3288</v>
      </c>
      <c r="B1240" s="2" t="s">
        <v>19</v>
      </c>
      <c r="C1240" s="2" t="s">
        <v>3245</v>
      </c>
      <c r="D1240" s="2" t="s">
        <v>21</v>
      </c>
      <c r="E1240" s="2" t="s">
        <v>635</v>
      </c>
      <c r="F1240" s="2">
        <v>4</v>
      </c>
      <c r="G1240" s="2">
        <v>24</v>
      </c>
      <c r="H1240" s="2">
        <v>1</v>
      </c>
      <c r="I1240" s="2">
        <v>1</v>
      </c>
      <c r="J1240" s="2">
        <v>0</v>
      </c>
      <c r="K1240" s="2" t="s">
        <v>61</v>
      </c>
      <c r="L1240" s="6" t="s">
        <v>62</v>
      </c>
      <c r="M1240" s="5">
        <v>309999000</v>
      </c>
      <c r="N1240" s="2">
        <v>0</v>
      </c>
      <c r="O1240" s="2">
        <v>4.6807599069999997</v>
      </c>
      <c r="P1240" s="2">
        <v>-74.061386110000001</v>
      </c>
      <c r="Q1240" s="2" t="s">
        <v>3289</v>
      </c>
      <c r="R1240" s="2">
        <v>12916625</v>
      </c>
      <c r="S1240" s="2">
        <v>0</v>
      </c>
      <c r="T1240" s="2" t="s">
        <v>26</v>
      </c>
      <c r="U1240" s="2" t="s">
        <v>27</v>
      </c>
      <c r="V1240" s="2" t="s">
        <v>28</v>
      </c>
      <c r="W1240" s="2" t="s">
        <v>29</v>
      </c>
      <c r="X1240" s="2" t="s">
        <v>30</v>
      </c>
      <c r="Y1240" s="2">
        <v>3.52637027985087</v>
      </c>
      <c r="Z1240" s="2">
        <v>4.6584666666666701</v>
      </c>
      <c r="AA1240" s="2">
        <v>-74.083966666666697</v>
      </c>
      <c r="AB1240" s="2">
        <v>2552</v>
      </c>
      <c r="AC1240" s="2" t="s">
        <v>31</v>
      </c>
      <c r="AD1240" s="2" t="s">
        <v>32</v>
      </c>
      <c r="AE1240" s="2" t="s">
        <v>33</v>
      </c>
      <c r="AF1240" s="2" t="s">
        <v>34</v>
      </c>
      <c r="AG1240" s="2" t="s">
        <v>293</v>
      </c>
      <c r="AH1240" s="2">
        <v>0.38305319544269301</v>
      </c>
      <c r="AI1240" s="2">
        <v>2.4369043302477298</v>
      </c>
      <c r="AJ1240" s="2">
        <v>0.18021716224250001</v>
      </c>
      <c r="AK1240" s="2">
        <v>4.3686383777035598E-2</v>
      </c>
      <c r="AL1240" s="2">
        <v>1.7184752842940799E-3</v>
      </c>
      <c r="AN1240" s="2">
        <v>6.8</v>
      </c>
      <c r="AO1240" s="2">
        <v>19.899999999999999</v>
      </c>
      <c r="AP1240" s="2">
        <v>564</v>
      </c>
      <c r="AQ1240" s="2">
        <v>68</v>
      </c>
      <c r="AR1240" s="2">
        <v>1.5</v>
      </c>
      <c r="AS1240" s="2">
        <v>135</v>
      </c>
      <c r="AT1240" s="2">
        <v>0.8</v>
      </c>
      <c r="AU1240" s="2">
        <v>162</v>
      </c>
      <c r="AV1240" s="2">
        <v>9.1</v>
      </c>
      <c r="AW1240" s="2">
        <v>9.1999999999999993</v>
      </c>
      <c r="AX1240" s="2">
        <v>18.3</v>
      </c>
      <c r="AY1240" s="2">
        <v>0.34</v>
      </c>
      <c r="AZ1240" s="2">
        <v>7.3</v>
      </c>
      <c r="BA1240" s="2">
        <v>0.9</v>
      </c>
      <c r="BB1240" s="2">
        <v>7.5</v>
      </c>
      <c r="BC1240" s="2">
        <v>2.9</v>
      </c>
      <c r="BD1240" s="2">
        <f>+AN1240*EXP(-0.0495*Y1240)</f>
        <v>5.7108466254259511</v>
      </c>
      <c r="BE1240" s="2">
        <f>+AO1240*EXP(-0.024*Y1240)</f>
        <v>18.285105932857732</v>
      </c>
    </row>
    <row r="1241" spans="1:57" x14ac:dyDescent="0.2">
      <c r="A1241" s="2" t="s">
        <v>3453</v>
      </c>
      <c r="B1241" s="2" t="s">
        <v>19</v>
      </c>
      <c r="C1241" s="2" t="s">
        <v>3245</v>
      </c>
      <c r="D1241" s="2" t="s">
        <v>21</v>
      </c>
      <c r="E1241" s="2" t="s">
        <v>3454</v>
      </c>
      <c r="F1241" s="2">
        <v>4</v>
      </c>
      <c r="G1241" s="2">
        <v>23.63</v>
      </c>
      <c r="H1241" s="2">
        <v>1</v>
      </c>
      <c r="I1241" s="2">
        <v>1</v>
      </c>
      <c r="J1241" s="2">
        <v>0</v>
      </c>
      <c r="K1241" s="2" t="s">
        <v>61</v>
      </c>
      <c r="L1241" s="6" t="s">
        <v>62</v>
      </c>
      <c r="M1241" s="5">
        <v>340000000</v>
      </c>
      <c r="N1241" s="2">
        <v>0</v>
      </c>
      <c r="O1241" s="2">
        <v>4.6771519000000001</v>
      </c>
      <c r="P1241" s="2">
        <v>-74.060214000000002</v>
      </c>
      <c r="Q1241" s="2" t="s">
        <v>3455</v>
      </c>
      <c r="R1241" s="2">
        <v>14388489.210000001</v>
      </c>
      <c r="S1241" s="2">
        <v>0</v>
      </c>
      <c r="T1241" s="2" t="s">
        <v>26</v>
      </c>
      <c r="U1241" s="2" t="s">
        <v>27</v>
      </c>
      <c r="V1241" s="2" t="s">
        <v>28</v>
      </c>
      <c r="W1241" s="2" t="s">
        <v>29</v>
      </c>
      <c r="X1241" s="2" t="s">
        <v>30</v>
      </c>
      <c r="Y1241" s="2">
        <v>3.3573315973640199</v>
      </c>
      <c r="Z1241" s="2">
        <v>4.6584666666666701</v>
      </c>
      <c r="AA1241" s="2">
        <v>-74.083966666666697</v>
      </c>
      <c r="AB1241" s="2">
        <v>2552</v>
      </c>
      <c r="AC1241" s="2" t="s">
        <v>31</v>
      </c>
      <c r="AD1241" s="2" t="s">
        <v>32</v>
      </c>
      <c r="AE1241" s="2" t="s">
        <v>33</v>
      </c>
      <c r="AF1241" s="2" t="s">
        <v>34</v>
      </c>
      <c r="AG1241" s="2" t="s">
        <v>293</v>
      </c>
      <c r="AH1241" s="2">
        <v>0.18390496831758801</v>
      </c>
      <c r="AI1241" s="2">
        <v>2.1212043692505298</v>
      </c>
      <c r="AJ1241" s="2">
        <v>0.26892565002343699</v>
      </c>
      <c r="AK1241" s="2">
        <v>3.8302756007817497E-2</v>
      </c>
      <c r="AL1241" s="2">
        <v>0.373405176783773</v>
      </c>
      <c r="AN1241" s="2">
        <v>6.8</v>
      </c>
      <c r="AO1241" s="2">
        <v>19.899999999999999</v>
      </c>
      <c r="AP1241" s="2">
        <v>564</v>
      </c>
      <c r="AQ1241" s="2">
        <v>68</v>
      </c>
      <c r="AR1241" s="2">
        <v>1.5</v>
      </c>
      <c r="AS1241" s="2">
        <v>135</v>
      </c>
      <c r="AT1241" s="2">
        <v>0.8</v>
      </c>
      <c r="AU1241" s="2">
        <v>162</v>
      </c>
      <c r="AV1241" s="2">
        <v>9.1</v>
      </c>
      <c r="AW1241" s="2">
        <v>9.1999999999999993</v>
      </c>
      <c r="AX1241" s="2">
        <v>18.3</v>
      </c>
      <c r="AY1241" s="2">
        <v>0.34</v>
      </c>
      <c r="AZ1241" s="2">
        <v>7.3</v>
      </c>
      <c r="BA1241" s="2">
        <v>0.9</v>
      </c>
      <c r="BB1241" s="2">
        <v>7.5</v>
      </c>
      <c r="BC1241" s="2">
        <v>2.9</v>
      </c>
      <c r="BD1241" s="2">
        <f>+AN1241*EXP(-0.0495*Y1241)</f>
        <v>5.758832125224151</v>
      </c>
      <c r="BE1241" s="2">
        <f>+AO1241*EXP(-0.024*Y1241)</f>
        <v>18.3594379759794</v>
      </c>
    </row>
    <row r="1242" spans="1:57" x14ac:dyDescent="0.2">
      <c r="A1242" s="2" t="s">
        <v>4518</v>
      </c>
      <c r="B1242" s="2" t="s">
        <v>19</v>
      </c>
      <c r="C1242" s="2" t="s">
        <v>3245</v>
      </c>
      <c r="D1242" s="2" t="s">
        <v>21</v>
      </c>
      <c r="E1242" s="2" t="s">
        <v>3612</v>
      </c>
      <c r="F1242" s="2">
        <v>4</v>
      </c>
      <c r="G1242" s="2">
        <v>23.57</v>
      </c>
      <c r="H1242" s="2">
        <v>1</v>
      </c>
      <c r="I1242" s="2">
        <v>1</v>
      </c>
      <c r="J1242" s="2">
        <v>1</v>
      </c>
      <c r="K1242" s="2" t="s">
        <v>61</v>
      </c>
      <c r="L1242" s="6" t="s">
        <v>75</v>
      </c>
      <c r="M1242" s="5">
        <v>240000000</v>
      </c>
      <c r="N1242" s="2">
        <v>0</v>
      </c>
      <c r="O1242" s="2">
        <v>4.6407220000000002</v>
      </c>
      <c r="P1242" s="2">
        <v>-74.076965000000001</v>
      </c>
      <c r="Q1242" s="2" t="s">
        <v>4519</v>
      </c>
      <c r="R1242" s="2">
        <v>10182435.300000001</v>
      </c>
      <c r="S1242" s="2">
        <v>0</v>
      </c>
      <c r="T1242" s="2" t="s">
        <v>77</v>
      </c>
      <c r="U1242" s="2" t="s">
        <v>78</v>
      </c>
      <c r="V1242" s="2" t="s">
        <v>28</v>
      </c>
      <c r="W1242" s="2" t="s">
        <v>79</v>
      </c>
      <c r="X1242" s="2" t="s">
        <v>80</v>
      </c>
      <c r="Y1242" s="2">
        <v>2.0258037390933299</v>
      </c>
      <c r="Z1242" s="2">
        <v>4.6254861111111101</v>
      </c>
      <c r="AA1242" s="2">
        <v>-74.066980555555503</v>
      </c>
      <c r="AB1242" s="2">
        <v>2621</v>
      </c>
      <c r="AC1242" s="2" t="s">
        <v>31</v>
      </c>
      <c r="AD1242" s="2" t="s">
        <v>32</v>
      </c>
      <c r="AE1242" s="2" t="s">
        <v>33</v>
      </c>
      <c r="AF1242" s="2" t="s">
        <v>34</v>
      </c>
      <c r="AG1242" s="2" t="s">
        <v>35</v>
      </c>
      <c r="AH1242" s="2">
        <v>0.47635917318577597</v>
      </c>
      <c r="AI1242" s="2">
        <v>2.04269533531928</v>
      </c>
      <c r="AJ1242" s="2">
        <v>0.40849676899442799</v>
      </c>
      <c r="AK1242" s="2">
        <v>9.38199735423077E-2</v>
      </c>
      <c r="AL1242" s="2">
        <v>0.60156720201375602</v>
      </c>
      <c r="AN1242" s="2">
        <v>6.8</v>
      </c>
      <c r="AO1242" s="2">
        <v>19.899999999999999</v>
      </c>
      <c r="AP1242" s="2">
        <v>564</v>
      </c>
      <c r="AQ1242" s="2">
        <v>68</v>
      </c>
      <c r="AR1242" s="2">
        <v>1.5</v>
      </c>
      <c r="AS1242" s="2">
        <v>135</v>
      </c>
      <c r="AT1242" s="2">
        <v>0.8</v>
      </c>
      <c r="AU1242" s="2">
        <v>162</v>
      </c>
      <c r="AV1242" s="2">
        <v>9.1</v>
      </c>
      <c r="AW1242" s="2">
        <v>9.1999999999999993</v>
      </c>
      <c r="AX1242" s="2">
        <v>18.3</v>
      </c>
      <c r="AY1242" s="2">
        <v>0.34</v>
      </c>
      <c r="AZ1242" s="2">
        <v>7.3</v>
      </c>
      <c r="BA1242" s="2">
        <v>0.9</v>
      </c>
      <c r="BB1242" s="2">
        <v>7.5</v>
      </c>
      <c r="BC1242" s="2">
        <v>2.9</v>
      </c>
      <c r="BD1242" s="2">
        <f>+AN1242*EXP(-0.0495*Y1242)</f>
        <v>6.1511885733022558</v>
      </c>
      <c r="BE1242" s="2">
        <f>+AO1242*EXP(-0.024*Y1242)</f>
        <v>18.955619706398167</v>
      </c>
    </row>
    <row r="1243" spans="1:57" x14ac:dyDescent="0.2">
      <c r="A1243" s="2" t="s">
        <v>3314</v>
      </c>
      <c r="B1243" s="2" t="s">
        <v>19</v>
      </c>
      <c r="C1243" s="2" t="s">
        <v>3245</v>
      </c>
      <c r="D1243" s="2" t="s">
        <v>21</v>
      </c>
      <c r="E1243" s="2" t="s">
        <v>635</v>
      </c>
      <c r="F1243" s="2">
        <v>5</v>
      </c>
      <c r="G1243" s="2">
        <v>23.16</v>
      </c>
      <c r="H1243" s="2">
        <v>1</v>
      </c>
      <c r="I1243" s="2">
        <v>1</v>
      </c>
      <c r="J1243" s="2">
        <v>0</v>
      </c>
      <c r="K1243" s="2" t="s">
        <v>61</v>
      </c>
      <c r="L1243" s="6" t="s">
        <v>62</v>
      </c>
      <c r="M1243" s="5">
        <v>270000000</v>
      </c>
      <c r="N1243" s="2">
        <v>0</v>
      </c>
      <c r="O1243" s="2">
        <v>4.6831173899999996</v>
      </c>
      <c r="P1243" s="2">
        <v>-74.058715820000003</v>
      </c>
      <c r="Q1243" s="2" t="s">
        <v>3315</v>
      </c>
      <c r="R1243" s="2">
        <v>11658031.09</v>
      </c>
      <c r="S1243" s="2">
        <v>0</v>
      </c>
      <c r="T1243" s="2" t="s">
        <v>26</v>
      </c>
      <c r="U1243" s="2" t="s">
        <v>27</v>
      </c>
      <c r="V1243" s="2" t="s">
        <v>28</v>
      </c>
      <c r="W1243" s="2" t="s">
        <v>29</v>
      </c>
      <c r="X1243" s="2" t="s">
        <v>30</v>
      </c>
      <c r="Y1243" s="2">
        <v>3.9216001784430801</v>
      </c>
      <c r="Z1243" s="2">
        <v>4.6584666666666701</v>
      </c>
      <c r="AA1243" s="2">
        <v>-74.083966666666697</v>
      </c>
      <c r="AB1243" s="2">
        <v>2552</v>
      </c>
      <c r="AC1243" s="2" t="s">
        <v>31</v>
      </c>
      <c r="AD1243" s="2" t="s">
        <v>32</v>
      </c>
      <c r="AE1243" s="2" t="s">
        <v>33</v>
      </c>
      <c r="AF1243" s="2" t="s">
        <v>34</v>
      </c>
      <c r="AG1243" s="2" t="s">
        <v>293</v>
      </c>
      <c r="AH1243" s="2">
        <v>0.144347729410463</v>
      </c>
      <c r="AI1243" s="2">
        <v>2.3556136911233501</v>
      </c>
      <c r="AJ1243" s="2">
        <v>0.54362910705743595</v>
      </c>
      <c r="AK1243" s="2">
        <v>2.5952434875749799E-2</v>
      </c>
      <c r="AL1243" s="2">
        <v>6.3530221483573401E-2</v>
      </c>
      <c r="AN1243" s="2">
        <v>6.8</v>
      </c>
      <c r="AO1243" s="2">
        <v>19.899999999999999</v>
      </c>
      <c r="AP1243" s="2">
        <v>564</v>
      </c>
      <c r="AQ1243" s="2">
        <v>68</v>
      </c>
      <c r="AR1243" s="2">
        <v>1.5</v>
      </c>
      <c r="AS1243" s="2">
        <v>135</v>
      </c>
      <c r="AT1243" s="2">
        <v>0.8</v>
      </c>
      <c r="AU1243" s="2">
        <v>162</v>
      </c>
      <c r="AV1243" s="2">
        <v>9.1</v>
      </c>
      <c r="AW1243" s="2">
        <v>9.1999999999999993</v>
      </c>
      <c r="AX1243" s="2">
        <v>18.3</v>
      </c>
      <c r="AY1243" s="2">
        <v>0.34</v>
      </c>
      <c r="AZ1243" s="2">
        <v>7.3</v>
      </c>
      <c r="BA1243" s="2">
        <v>0.9</v>
      </c>
      <c r="BB1243" s="2">
        <v>7.5</v>
      </c>
      <c r="BC1243" s="2">
        <v>2.9</v>
      </c>
      <c r="BD1243" s="2">
        <f>+AN1243*EXP(-0.0495*Y1243)</f>
        <v>5.6002061151980147</v>
      </c>
      <c r="BE1243" s="2">
        <f>+AO1243*EXP(-0.024*Y1243)</f>
        <v>18.112482246154531</v>
      </c>
    </row>
    <row r="1244" spans="1:57" x14ac:dyDescent="0.2">
      <c r="A1244" s="2" t="s">
        <v>3794</v>
      </c>
      <c r="B1244" s="2" t="s">
        <v>19</v>
      </c>
      <c r="C1244" s="2" t="s">
        <v>3245</v>
      </c>
      <c r="D1244" s="2" t="s">
        <v>21</v>
      </c>
      <c r="E1244" s="2" t="s">
        <v>635</v>
      </c>
      <c r="F1244" s="2">
        <v>4</v>
      </c>
      <c r="G1244" s="2">
        <v>23.1</v>
      </c>
      <c r="H1244" s="2">
        <v>1</v>
      </c>
      <c r="I1244" s="2">
        <v>1</v>
      </c>
      <c r="J1244" s="2">
        <v>0</v>
      </c>
      <c r="K1244" s="2" t="s">
        <v>61</v>
      </c>
      <c r="L1244" s="6" t="s">
        <v>62</v>
      </c>
      <c r="M1244" s="5">
        <v>310000000</v>
      </c>
      <c r="N1244" s="2">
        <v>0</v>
      </c>
      <c r="O1244" s="2">
        <v>4.6819563000000004</v>
      </c>
      <c r="P1244" s="2">
        <v>-74.060019999999994</v>
      </c>
      <c r="Q1244" s="2" t="s">
        <v>3795</v>
      </c>
      <c r="R1244" s="2">
        <v>13419913.42</v>
      </c>
      <c r="S1244" s="2">
        <v>0</v>
      </c>
      <c r="T1244" s="2" t="s">
        <v>26</v>
      </c>
      <c r="U1244" s="2" t="s">
        <v>27</v>
      </c>
      <c r="V1244" s="2" t="s">
        <v>28</v>
      </c>
      <c r="W1244" s="2" t="s">
        <v>29</v>
      </c>
      <c r="X1244" s="2" t="s">
        <v>30</v>
      </c>
      <c r="Y1244" s="2">
        <v>3.7277973962307001</v>
      </c>
      <c r="Z1244" s="2">
        <v>4.6584666666666701</v>
      </c>
      <c r="AA1244" s="2">
        <v>-74.083966666666697</v>
      </c>
      <c r="AB1244" s="2">
        <v>2552</v>
      </c>
      <c r="AC1244" s="2" t="s">
        <v>31</v>
      </c>
      <c r="AD1244" s="2" t="s">
        <v>32</v>
      </c>
      <c r="AE1244" s="2" t="s">
        <v>33</v>
      </c>
      <c r="AF1244" s="2" t="s">
        <v>34</v>
      </c>
      <c r="AG1244" s="2" t="s">
        <v>293</v>
      </c>
      <c r="AH1244" s="2">
        <v>0.33762582942427699</v>
      </c>
      <c r="AI1244" s="2">
        <v>2.3936414096724801</v>
      </c>
      <c r="AJ1244" s="2">
        <v>0.357106286872443</v>
      </c>
      <c r="AK1244" s="2">
        <v>4.1589750879099503E-2</v>
      </c>
      <c r="AL1244" s="2">
        <v>0.153696801008535</v>
      </c>
      <c r="AN1244" s="2">
        <v>6.8</v>
      </c>
      <c r="AO1244" s="2">
        <v>19.899999999999999</v>
      </c>
      <c r="AP1244" s="2">
        <v>564</v>
      </c>
      <c r="AQ1244" s="2">
        <v>68</v>
      </c>
      <c r="AR1244" s="2">
        <v>1.5</v>
      </c>
      <c r="AS1244" s="2">
        <v>135</v>
      </c>
      <c r="AT1244" s="2">
        <v>0.8</v>
      </c>
      <c r="AU1244" s="2">
        <v>162</v>
      </c>
      <c r="AV1244" s="2">
        <v>9.1</v>
      </c>
      <c r="AW1244" s="2">
        <v>9.1999999999999993</v>
      </c>
      <c r="AX1244" s="2">
        <v>18.3</v>
      </c>
      <c r="AY1244" s="2">
        <v>0.34</v>
      </c>
      <c r="AZ1244" s="2">
        <v>7.3</v>
      </c>
      <c r="BA1244" s="2">
        <v>0.9</v>
      </c>
      <c r="BB1244" s="2">
        <v>7.5</v>
      </c>
      <c r="BC1244" s="2">
        <v>2.9</v>
      </c>
      <c r="BD1244" s="2">
        <f>+AN1244*EXP(-0.0495*Y1244)</f>
        <v>5.654188743831897</v>
      </c>
      <c r="BE1244" s="2">
        <f>+AO1244*EXP(-0.024*Y1244)</f>
        <v>18.196924462404549</v>
      </c>
    </row>
    <row r="1245" spans="1:57" x14ac:dyDescent="0.2">
      <c r="A1245" s="2" t="s">
        <v>4077</v>
      </c>
      <c r="B1245" s="2" t="s">
        <v>19</v>
      </c>
      <c r="C1245" s="2" t="s">
        <v>3245</v>
      </c>
      <c r="D1245" s="2" t="s">
        <v>21</v>
      </c>
      <c r="E1245" s="2" t="s">
        <v>1242</v>
      </c>
      <c r="F1245" s="2">
        <v>4</v>
      </c>
      <c r="G1245" s="2">
        <v>23</v>
      </c>
      <c r="H1245" s="2">
        <v>1</v>
      </c>
      <c r="I1245" s="2">
        <v>1</v>
      </c>
      <c r="J1245" s="2">
        <v>0</v>
      </c>
      <c r="K1245" s="2" t="s">
        <v>61</v>
      </c>
      <c r="L1245" s="6" t="s">
        <v>113</v>
      </c>
      <c r="M1245" s="5">
        <v>328350000</v>
      </c>
      <c r="N1245" s="2">
        <v>0</v>
      </c>
      <c r="O1245" s="2">
        <v>4.6475200000000001</v>
      </c>
      <c r="P1245" s="2">
        <v>-74.059820000000002</v>
      </c>
      <c r="Q1245" s="2" t="s">
        <v>4078</v>
      </c>
      <c r="R1245" s="2">
        <v>14276086.960000001</v>
      </c>
      <c r="S1245" s="2">
        <v>0</v>
      </c>
      <c r="T1245" s="2" t="s">
        <v>77</v>
      </c>
      <c r="U1245" s="2" t="s">
        <v>78</v>
      </c>
      <c r="V1245" s="2" t="s">
        <v>28</v>
      </c>
      <c r="W1245" s="2" t="s">
        <v>79</v>
      </c>
      <c r="X1245" s="2" t="s">
        <v>80</v>
      </c>
      <c r="Y1245" s="2">
        <v>2.57826800060251</v>
      </c>
      <c r="Z1245" s="2">
        <v>4.6254861111111101</v>
      </c>
      <c r="AA1245" s="2">
        <v>-74.066980555555503</v>
      </c>
      <c r="AB1245" s="2">
        <v>2621</v>
      </c>
      <c r="AC1245" s="2" t="s">
        <v>31</v>
      </c>
      <c r="AD1245" s="2" t="s">
        <v>32</v>
      </c>
      <c r="AE1245" s="2" t="s">
        <v>33</v>
      </c>
      <c r="AF1245" s="2" t="s">
        <v>34</v>
      </c>
      <c r="AG1245" s="2" t="s">
        <v>81</v>
      </c>
      <c r="AH1245" s="2">
        <v>0.56849067648222895</v>
      </c>
      <c r="AI1245" s="2">
        <v>0.73734148311672199</v>
      </c>
      <c r="AJ1245" s="2">
        <v>0.192841274729603</v>
      </c>
      <c r="AK1245" s="2">
        <v>0.16255868724338701</v>
      </c>
      <c r="AL1245" s="2">
        <v>0.25058642058473601</v>
      </c>
      <c r="AN1245" s="2">
        <v>6.8</v>
      </c>
      <c r="AO1245" s="2">
        <v>19.899999999999999</v>
      </c>
      <c r="AP1245" s="2">
        <v>564</v>
      </c>
      <c r="AQ1245" s="2">
        <v>68</v>
      </c>
      <c r="AR1245" s="2">
        <v>1.5</v>
      </c>
      <c r="AS1245" s="2">
        <v>135</v>
      </c>
      <c r="AT1245" s="2">
        <v>0.8</v>
      </c>
      <c r="AU1245" s="2">
        <v>162</v>
      </c>
      <c r="AV1245" s="2">
        <v>9.1</v>
      </c>
      <c r="AW1245" s="2">
        <v>9.1999999999999993</v>
      </c>
      <c r="AX1245" s="2">
        <v>18.3</v>
      </c>
      <c r="AY1245" s="2">
        <v>0.34</v>
      </c>
      <c r="AZ1245" s="2">
        <v>7.3</v>
      </c>
      <c r="BA1245" s="2">
        <v>0.9</v>
      </c>
      <c r="BB1245" s="2">
        <v>7.5</v>
      </c>
      <c r="BC1245" s="2">
        <v>2.9</v>
      </c>
      <c r="BD1245" s="2">
        <f>+AN1245*EXP(-0.0495*Y1245)</f>
        <v>5.9852514180273069</v>
      </c>
      <c r="BE1245" s="2">
        <f>+AO1245*EXP(-0.024*Y1245)</f>
        <v>18.705943352773822</v>
      </c>
    </row>
    <row r="1246" spans="1:57" x14ac:dyDescent="0.2">
      <c r="A1246" s="2" t="s">
        <v>4396</v>
      </c>
      <c r="B1246" s="2" t="s">
        <v>19</v>
      </c>
      <c r="C1246" s="2" t="s">
        <v>3245</v>
      </c>
      <c r="D1246" s="2" t="s">
        <v>21</v>
      </c>
      <c r="E1246" s="2" t="s">
        <v>1242</v>
      </c>
      <c r="F1246" s="2">
        <v>4</v>
      </c>
      <c r="G1246" s="2">
        <v>23</v>
      </c>
      <c r="H1246" s="2">
        <v>1</v>
      </c>
      <c r="I1246" s="2">
        <v>1</v>
      </c>
      <c r="J1246" s="2">
        <v>0</v>
      </c>
      <c r="K1246" s="2" t="s">
        <v>61</v>
      </c>
      <c r="L1246" s="6" t="s">
        <v>113</v>
      </c>
      <c r="M1246" s="5">
        <v>328350000</v>
      </c>
      <c r="N1246" s="2">
        <v>0</v>
      </c>
      <c r="O1246" s="2">
        <v>4.6475200000000001</v>
      </c>
      <c r="P1246" s="2">
        <v>-74.059820000000002</v>
      </c>
      <c r="Q1246" s="2" t="s">
        <v>4397</v>
      </c>
      <c r="R1246" s="2">
        <v>14276086.960000001</v>
      </c>
      <c r="S1246" s="2">
        <v>0</v>
      </c>
      <c r="T1246" s="2" t="s">
        <v>77</v>
      </c>
      <c r="U1246" s="2" t="s">
        <v>78</v>
      </c>
      <c r="V1246" s="2" t="s">
        <v>28</v>
      </c>
      <c r="W1246" s="2" t="s">
        <v>79</v>
      </c>
      <c r="X1246" s="2" t="s">
        <v>80</v>
      </c>
      <c r="Y1246" s="2">
        <v>2.57826800060251</v>
      </c>
      <c r="Z1246" s="2">
        <v>4.6254861111111101</v>
      </c>
      <c r="AA1246" s="2">
        <v>-74.066980555555503</v>
      </c>
      <c r="AB1246" s="2">
        <v>2621</v>
      </c>
      <c r="AC1246" s="2" t="s">
        <v>31</v>
      </c>
      <c r="AD1246" s="2" t="s">
        <v>32</v>
      </c>
      <c r="AE1246" s="2" t="s">
        <v>33</v>
      </c>
      <c r="AF1246" s="2" t="s">
        <v>34</v>
      </c>
      <c r="AG1246" s="2" t="s">
        <v>81</v>
      </c>
      <c r="AH1246" s="2">
        <v>0.56849067648222895</v>
      </c>
      <c r="AI1246" s="2">
        <v>0.73734148311672199</v>
      </c>
      <c r="AJ1246" s="2">
        <v>0.192841274729603</v>
      </c>
      <c r="AK1246" s="2">
        <v>0.16255868724338701</v>
      </c>
      <c r="AL1246" s="2">
        <v>0.25058642058473601</v>
      </c>
      <c r="AN1246" s="2">
        <v>6.8</v>
      </c>
      <c r="AO1246" s="2">
        <v>19.899999999999999</v>
      </c>
      <c r="AP1246" s="2">
        <v>564</v>
      </c>
      <c r="AQ1246" s="2">
        <v>68</v>
      </c>
      <c r="AR1246" s="2">
        <v>1.5</v>
      </c>
      <c r="AS1246" s="2">
        <v>135</v>
      </c>
      <c r="AT1246" s="2">
        <v>0.8</v>
      </c>
      <c r="AU1246" s="2">
        <v>162</v>
      </c>
      <c r="AV1246" s="2">
        <v>9.1</v>
      </c>
      <c r="AW1246" s="2">
        <v>9.1999999999999993</v>
      </c>
      <c r="AX1246" s="2">
        <v>18.3</v>
      </c>
      <c r="AY1246" s="2">
        <v>0.34</v>
      </c>
      <c r="AZ1246" s="2">
        <v>7.3</v>
      </c>
      <c r="BA1246" s="2">
        <v>0.9</v>
      </c>
      <c r="BB1246" s="2">
        <v>7.5</v>
      </c>
      <c r="BC1246" s="2">
        <v>2.9</v>
      </c>
      <c r="BD1246" s="2">
        <f>+AN1246*EXP(-0.0495*Y1246)</f>
        <v>5.9852514180273069</v>
      </c>
      <c r="BE1246" s="2">
        <f>+AO1246*EXP(-0.024*Y1246)</f>
        <v>18.705943352773822</v>
      </c>
    </row>
    <row r="1247" spans="1:57" x14ac:dyDescent="0.2">
      <c r="A1247" s="2" t="s">
        <v>3358</v>
      </c>
      <c r="B1247" s="2" t="s">
        <v>19</v>
      </c>
      <c r="C1247" s="2" t="s">
        <v>3245</v>
      </c>
      <c r="D1247" s="2" t="s">
        <v>21</v>
      </c>
      <c r="E1247" s="2" t="s">
        <v>1049</v>
      </c>
      <c r="F1247" s="2">
        <v>4</v>
      </c>
      <c r="G1247" s="2">
        <v>23</v>
      </c>
      <c r="H1247" s="2">
        <v>1</v>
      </c>
      <c r="I1247" s="2">
        <v>1</v>
      </c>
      <c r="J1247" s="2">
        <v>0</v>
      </c>
      <c r="K1247" s="2" t="s">
        <v>61</v>
      </c>
      <c r="L1247" s="6" t="s">
        <v>62</v>
      </c>
      <c r="M1247" s="5">
        <v>315000000</v>
      </c>
      <c r="N1247" s="2">
        <v>0</v>
      </c>
      <c r="O1247" s="2">
        <v>4.6060538290000004</v>
      </c>
      <c r="P1247" s="2">
        <v>-74.069725039999994</v>
      </c>
      <c r="Q1247" s="2" t="s">
        <v>3359</v>
      </c>
      <c r="R1247" s="2">
        <v>13695652.17</v>
      </c>
      <c r="S1247" s="2">
        <v>0</v>
      </c>
      <c r="T1247" s="2" t="s">
        <v>77</v>
      </c>
      <c r="U1247" s="2" t="s">
        <v>78</v>
      </c>
      <c r="V1247" s="2" t="s">
        <v>28</v>
      </c>
      <c r="W1247" s="2" t="s">
        <v>79</v>
      </c>
      <c r="X1247" s="2" t="s">
        <v>80</v>
      </c>
      <c r="Y1247" s="2">
        <v>2.1845212890418302</v>
      </c>
      <c r="Z1247" s="2">
        <v>4.6254861111111101</v>
      </c>
      <c r="AA1247" s="2">
        <v>-74.066980555555503</v>
      </c>
      <c r="AB1247" s="2">
        <v>2621</v>
      </c>
      <c r="AC1247" s="2" t="s">
        <v>31</v>
      </c>
      <c r="AD1247" s="2" t="s">
        <v>32</v>
      </c>
      <c r="AE1247" s="2" t="s">
        <v>33</v>
      </c>
      <c r="AF1247" s="2" t="s">
        <v>34</v>
      </c>
      <c r="AG1247" s="2" t="s">
        <v>89</v>
      </c>
      <c r="AH1247" s="2">
        <v>0.309150458607376</v>
      </c>
      <c r="AI1247" s="2">
        <v>0.57375024022630405</v>
      </c>
      <c r="AJ1247" s="2">
        <v>5.45109002503281E-2</v>
      </c>
      <c r="AK1247" s="2">
        <v>0.118541547148973</v>
      </c>
      <c r="AL1247" s="2">
        <v>1.9208926471276099E-2</v>
      </c>
      <c r="AN1247" s="2">
        <v>6.8</v>
      </c>
      <c r="AO1247" s="2">
        <v>19.899999999999999</v>
      </c>
      <c r="AP1247" s="2">
        <v>564</v>
      </c>
      <c r="AQ1247" s="2">
        <v>68</v>
      </c>
      <c r="AR1247" s="2">
        <v>1.5</v>
      </c>
      <c r="AS1247" s="2">
        <v>135</v>
      </c>
      <c r="AT1247" s="2">
        <v>0.8</v>
      </c>
      <c r="AU1247" s="2">
        <v>162</v>
      </c>
      <c r="AV1247" s="2">
        <v>9.1</v>
      </c>
      <c r="AW1247" s="2">
        <v>9.1999999999999993</v>
      </c>
      <c r="AX1247" s="2">
        <v>18.3</v>
      </c>
      <c r="AY1247" s="2">
        <v>0.34</v>
      </c>
      <c r="AZ1247" s="2">
        <v>7.3</v>
      </c>
      <c r="BA1247" s="2">
        <v>0.9</v>
      </c>
      <c r="BB1247" s="2">
        <v>7.5</v>
      </c>
      <c r="BC1247" s="2">
        <v>2.9</v>
      </c>
      <c r="BD1247" s="2">
        <f>+AN1247*EXP(-0.0495*Y1247)</f>
        <v>6.1030509896314484</v>
      </c>
      <c r="BE1247" s="2">
        <f>+AO1247*EXP(-0.024*Y1247)</f>
        <v>18.883550908118103</v>
      </c>
    </row>
    <row r="1248" spans="1:57" x14ac:dyDescent="0.2">
      <c r="A1248" s="2" t="s">
        <v>4428</v>
      </c>
      <c r="B1248" s="2" t="s">
        <v>19</v>
      </c>
      <c r="C1248" s="2" t="s">
        <v>3245</v>
      </c>
      <c r="D1248" s="2" t="s">
        <v>21</v>
      </c>
      <c r="E1248" s="2" t="s">
        <v>355</v>
      </c>
      <c r="F1248" s="2">
        <v>5</v>
      </c>
      <c r="G1248" s="2">
        <v>23</v>
      </c>
      <c r="H1248" s="2">
        <v>1</v>
      </c>
      <c r="I1248" s="2">
        <v>1</v>
      </c>
      <c r="J1248" s="2">
        <v>0</v>
      </c>
      <c r="K1248" s="2" t="s">
        <v>61</v>
      </c>
      <c r="L1248" s="6" t="s">
        <v>113</v>
      </c>
      <c r="M1248" s="5">
        <v>295000000</v>
      </c>
      <c r="N1248" s="2">
        <v>0</v>
      </c>
      <c r="O1248" s="2">
        <v>4.6723833079999997</v>
      </c>
      <c r="P1248" s="2">
        <v>-74.055007930000002</v>
      </c>
      <c r="Q1248" s="2" t="s">
        <v>4429</v>
      </c>
      <c r="R1248" s="2">
        <v>12826086.960000001</v>
      </c>
      <c r="S1248" s="2">
        <v>0</v>
      </c>
      <c r="T1248" s="2" t="s">
        <v>26</v>
      </c>
      <c r="U1248" s="2" t="s">
        <v>27</v>
      </c>
      <c r="V1248" s="2" t="s">
        <v>28</v>
      </c>
      <c r="W1248" s="2" t="s">
        <v>29</v>
      </c>
      <c r="X1248" s="2" t="s">
        <v>30</v>
      </c>
      <c r="Y1248" s="2">
        <v>3.5669748057475701</v>
      </c>
      <c r="Z1248" s="2">
        <v>4.6584666666666701</v>
      </c>
      <c r="AA1248" s="2">
        <v>-74.083966666666697</v>
      </c>
      <c r="AB1248" s="2">
        <v>2552</v>
      </c>
      <c r="AC1248" s="2" t="s">
        <v>31</v>
      </c>
      <c r="AD1248" s="2" t="s">
        <v>32</v>
      </c>
      <c r="AE1248" s="2" t="s">
        <v>33</v>
      </c>
      <c r="AF1248" s="2" t="s">
        <v>34</v>
      </c>
      <c r="AG1248" s="2" t="s">
        <v>81</v>
      </c>
      <c r="AH1248" s="2">
        <v>0.51407552541633506</v>
      </c>
      <c r="AI1248" s="2">
        <v>1.3822814256259199</v>
      </c>
      <c r="AJ1248" s="2">
        <v>0.630061913876658</v>
      </c>
      <c r="AK1248" s="2">
        <v>6.0493863616744803E-2</v>
      </c>
      <c r="AL1248" s="2">
        <v>0.916883423742482</v>
      </c>
      <c r="AN1248" s="2">
        <v>6.8</v>
      </c>
      <c r="AO1248" s="2">
        <v>19.899999999999999</v>
      </c>
      <c r="AP1248" s="2">
        <v>564</v>
      </c>
      <c r="AQ1248" s="2">
        <v>68</v>
      </c>
      <c r="AR1248" s="2">
        <v>1.5</v>
      </c>
      <c r="AS1248" s="2">
        <v>135</v>
      </c>
      <c r="AT1248" s="2">
        <v>0.8</v>
      </c>
      <c r="AU1248" s="2">
        <v>162</v>
      </c>
      <c r="AV1248" s="2">
        <v>9.1</v>
      </c>
      <c r="AW1248" s="2">
        <v>9.1999999999999993</v>
      </c>
      <c r="AX1248" s="2">
        <v>18.3</v>
      </c>
      <c r="AY1248" s="2">
        <v>0.34</v>
      </c>
      <c r="AZ1248" s="2">
        <v>7.3</v>
      </c>
      <c r="BA1248" s="2">
        <v>0.9</v>
      </c>
      <c r="BB1248" s="2">
        <v>7.5</v>
      </c>
      <c r="BC1248" s="2">
        <v>2.9</v>
      </c>
      <c r="BD1248" s="2">
        <f>+AN1248*EXP(-0.0495*Y1248)</f>
        <v>5.699379785150315</v>
      </c>
      <c r="BE1248" s="2">
        <f>+AO1248*EXP(-0.024*Y1248)</f>
        <v>18.267295619042411</v>
      </c>
    </row>
    <row r="1249" spans="1:57" x14ac:dyDescent="0.2">
      <c r="A1249" s="2" t="s">
        <v>4622</v>
      </c>
      <c r="B1249" s="2" t="s">
        <v>19</v>
      </c>
      <c r="C1249" s="2" t="s">
        <v>3245</v>
      </c>
      <c r="D1249" s="2" t="s">
        <v>21</v>
      </c>
      <c r="E1249" s="2" t="s">
        <v>3437</v>
      </c>
      <c r="F1249" s="2">
        <v>4</v>
      </c>
      <c r="G1249" s="2">
        <v>23</v>
      </c>
      <c r="H1249" s="2">
        <v>1</v>
      </c>
      <c r="I1249" s="2">
        <v>1</v>
      </c>
      <c r="J1249" s="2">
        <v>0</v>
      </c>
      <c r="K1249" s="2" t="s">
        <v>61</v>
      </c>
      <c r="L1249" s="6" t="s">
        <v>62</v>
      </c>
      <c r="M1249" s="5">
        <v>270000000</v>
      </c>
      <c r="N1249" s="2">
        <v>0</v>
      </c>
      <c r="O1249" s="2">
        <v>4.6317969999999997</v>
      </c>
      <c r="P1249" s="2">
        <v>-74.086129999999997</v>
      </c>
      <c r="Q1249" s="2" t="s">
        <v>4623</v>
      </c>
      <c r="R1249" s="2">
        <v>11739130.43</v>
      </c>
      <c r="S1249" s="2">
        <v>0</v>
      </c>
      <c r="T1249" s="2" t="s">
        <v>77</v>
      </c>
      <c r="U1249" s="2" t="s">
        <v>78</v>
      </c>
      <c r="V1249" s="2" t="s">
        <v>28</v>
      </c>
      <c r="W1249" s="2" t="s">
        <v>79</v>
      </c>
      <c r="X1249" s="2" t="s">
        <v>80</v>
      </c>
      <c r="Y1249" s="2">
        <v>2.23788329910716</v>
      </c>
      <c r="Z1249" s="2">
        <v>4.6254861111111101</v>
      </c>
      <c r="AA1249" s="2">
        <v>-74.066980555555503</v>
      </c>
      <c r="AB1249" s="2">
        <v>2621</v>
      </c>
      <c r="AC1249" s="2" t="s">
        <v>31</v>
      </c>
      <c r="AD1249" s="2" t="s">
        <v>32</v>
      </c>
      <c r="AE1249" s="2" t="s">
        <v>33</v>
      </c>
      <c r="AF1249" s="2" t="s">
        <v>34</v>
      </c>
      <c r="AG1249" s="2" t="s">
        <v>35</v>
      </c>
      <c r="AH1249" s="2">
        <v>0.30606153672196101</v>
      </c>
      <c r="AI1249" s="2">
        <v>2.8099068817131201</v>
      </c>
      <c r="AJ1249" s="2">
        <v>0.57815216408686798</v>
      </c>
      <c r="AK1249" s="2">
        <v>0.223766768590833</v>
      </c>
      <c r="AL1249" s="2">
        <v>0.30913910343202999</v>
      </c>
      <c r="AN1249" s="2">
        <v>6.8</v>
      </c>
      <c r="AO1249" s="2">
        <v>19.899999999999999</v>
      </c>
      <c r="AP1249" s="2">
        <v>564</v>
      </c>
      <c r="AQ1249" s="2">
        <v>68</v>
      </c>
      <c r="AR1249" s="2">
        <v>1.5</v>
      </c>
      <c r="AS1249" s="2">
        <v>135</v>
      </c>
      <c r="AT1249" s="2">
        <v>0.8</v>
      </c>
      <c r="AU1249" s="2">
        <v>162</v>
      </c>
      <c r="AV1249" s="2">
        <v>9.1</v>
      </c>
      <c r="AW1249" s="2">
        <v>9.1999999999999993</v>
      </c>
      <c r="AX1249" s="2">
        <v>18.3</v>
      </c>
      <c r="AY1249" s="2">
        <v>0.34</v>
      </c>
      <c r="AZ1249" s="2">
        <v>7.3</v>
      </c>
      <c r="BA1249" s="2">
        <v>0.9</v>
      </c>
      <c r="BB1249" s="2">
        <v>7.5</v>
      </c>
      <c r="BC1249" s="2">
        <v>2.9</v>
      </c>
      <c r="BD1249" s="2">
        <f>+AN1249*EXP(-0.0495*Y1249)</f>
        <v>6.0869515438043953</v>
      </c>
      <c r="BE1249" s="2">
        <f>+AO1249*EXP(-0.024*Y1249)</f>
        <v>18.859382445947038</v>
      </c>
    </row>
    <row r="1250" spans="1:57" x14ac:dyDescent="0.2">
      <c r="A1250" s="2" t="s">
        <v>4136</v>
      </c>
      <c r="B1250" s="2" t="s">
        <v>19</v>
      </c>
      <c r="C1250" s="2" t="s">
        <v>3245</v>
      </c>
      <c r="D1250" s="2" t="s">
        <v>21</v>
      </c>
      <c r="E1250" s="2" t="s">
        <v>1049</v>
      </c>
      <c r="F1250" s="2">
        <v>3</v>
      </c>
      <c r="G1250" s="2">
        <v>23</v>
      </c>
      <c r="H1250" s="2">
        <v>1</v>
      </c>
      <c r="I1250" s="2">
        <v>1</v>
      </c>
      <c r="J1250" s="2">
        <v>0</v>
      </c>
      <c r="K1250" s="2" t="s">
        <v>61</v>
      </c>
      <c r="L1250" s="6" t="s">
        <v>62</v>
      </c>
      <c r="M1250" s="5">
        <v>269000000</v>
      </c>
      <c r="N1250" s="2">
        <v>0</v>
      </c>
      <c r="O1250" s="2">
        <v>4.6046938900000001</v>
      </c>
      <c r="P1250" s="2">
        <v>-74.068534850000006</v>
      </c>
      <c r="Q1250" s="2" t="s">
        <v>4137</v>
      </c>
      <c r="R1250" s="2">
        <v>11695652.17</v>
      </c>
      <c r="S1250" s="2">
        <v>0</v>
      </c>
      <c r="T1250" s="2" t="s">
        <v>77</v>
      </c>
      <c r="U1250" s="2" t="s">
        <v>78</v>
      </c>
      <c r="V1250" s="2" t="s">
        <v>28</v>
      </c>
      <c r="W1250" s="2" t="s">
        <v>79</v>
      </c>
      <c r="X1250" s="2" t="s">
        <v>80</v>
      </c>
      <c r="Y1250" s="2">
        <v>2.3209957655014701</v>
      </c>
      <c r="Z1250" s="2">
        <v>4.6254861111111101</v>
      </c>
      <c r="AA1250" s="2">
        <v>-74.066980555555503</v>
      </c>
      <c r="AB1250" s="2">
        <v>2621</v>
      </c>
      <c r="AC1250" s="2" t="s">
        <v>31</v>
      </c>
      <c r="AD1250" s="2" t="s">
        <v>32</v>
      </c>
      <c r="AE1250" s="2" t="s">
        <v>33</v>
      </c>
      <c r="AF1250" s="2" t="s">
        <v>34</v>
      </c>
      <c r="AG1250" s="2" t="s">
        <v>89</v>
      </c>
      <c r="AH1250" s="2">
        <v>0.13528166779224801</v>
      </c>
      <c r="AI1250" s="2">
        <v>0.461732041308486</v>
      </c>
      <c r="AJ1250" s="2">
        <v>0.20808888811000101</v>
      </c>
      <c r="AK1250" s="2">
        <v>0.124483104886039</v>
      </c>
      <c r="AL1250" s="2">
        <v>0.15748752239664501</v>
      </c>
      <c r="AN1250" s="2">
        <v>6.8</v>
      </c>
      <c r="AO1250" s="2">
        <v>19.899999999999999</v>
      </c>
      <c r="AP1250" s="2">
        <v>564</v>
      </c>
      <c r="AQ1250" s="2">
        <v>68</v>
      </c>
      <c r="AR1250" s="2">
        <v>1.5</v>
      </c>
      <c r="AS1250" s="2">
        <v>135</v>
      </c>
      <c r="AT1250" s="2">
        <v>0.8</v>
      </c>
      <c r="AU1250" s="2">
        <v>162</v>
      </c>
      <c r="AV1250" s="2">
        <v>9.1</v>
      </c>
      <c r="AW1250" s="2">
        <v>9.1999999999999993</v>
      </c>
      <c r="AX1250" s="2">
        <v>18.3</v>
      </c>
      <c r="AY1250" s="2">
        <v>0.34</v>
      </c>
      <c r="AZ1250" s="2">
        <v>7.3</v>
      </c>
      <c r="BA1250" s="2">
        <v>0.9</v>
      </c>
      <c r="BB1250" s="2">
        <v>7.5</v>
      </c>
      <c r="BC1250" s="2">
        <v>2.9</v>
      </c>
      <c r="BD1250" s="2">
        <f>+AN1250*EXP(-0.0495*Y1250)</f>
        <v>6.0619608587266818</v>
      </c>
      <c r="BE1250" s="2">
        <f>+AO1250*EXP(-0.024*Y1250)</f>
        <v>18.821801145148868</v>
      </c>
    </row>
    <row r="1251" spans="1:57" x14ac:dyDescent="0.2">
      <c r="A1251" s="2" t="s">
        <v>4358</v>
      </c>
      <c r="B1251" s="2" t="s">
        <v>19</v>
      </c>
      <c r="C1251" s="2" t="s">
        <v>3245</v>
      </c>
      <c r="D1251" s="2" t="s">
        <v>21</v>
      </c>
      <c r="E1251" s="2" t="s">
        <v>894</v>
      </c>
      <c r="F1251" s="2">
        <v>3</v>
      </c>
      <c r="G1251" s="2">
        <v>23</v>
      </c>
      <c r="H1251" s="2">
        <v>1</v>
      </c>
      <c r="I1251" s="2">
        <v>1</v>
      </c>
      <c r="J1251" s="2">
        <v>0</v>
      </c>
      <c r="K1251" s="2" t="s">
        <v>61</v>
      </c>
      <c r="L1251" s="6" t="s">
        <v>62</v>
      </c>
      <c r="M1251" s="5">
        <v>265000000</v>
      </c>
      <c r="N1251" s="2">
        <v>0</v>
      </c>
      <c r="O1251" s="2">
        <v>4.6359009740000001</v>
      </c>
      <c r="P1251" s="2">
        <v>-74.068252560000005</v>
      </c>
      <c r="Q1251" s="2" t="s">
        <v>4359</v>
      </c>
      <c r="R1251" s="2">
        <v>11521739.130000001</v>
      </c>
      <c r="S1251" s="2">
        <v>0</v>
      </c>
      <c r="T1251" s="2" t="s">
        <v>77</v>
      </c>
      <c r="U1251" s="2" t="s">
        <v>78</v>
      </c>
      <c r="V1251" s="2" t="s">
        <v>28</v>
      </c>
      <c r="W1251" s="2" t="s">
        <v>79</v>
      </c>
      <c r="X1251" s="2" t="s">
        <v>80</v>
      </c>
      <c r="Y1251" s="2">
        <v>1.16793626999635</v>
      </c>
      <c r="Z1251" s="2">
        <v>4.6254861111111101</v>
      </c>
      <c r="AA1251" s="2">
        <v>-74.066980555555503</v>
      </c>
      <c r="AB1251" s="2">
        <v>2621</v>
      </c>
      <c r="AC1251" s="2" t="s">
        <v>31</v>
      </c>
      <c r="AD1251" s="2" t="s">
        <v>32</v>
      </c>
      <c r="AE1251" s="2" t="s">
        <v>33</v>
      </c>
      <c r="AF1251" s="2" t="s">
        <v>34</v>
      </c>
      <c r="AG1251" s="2" t="s">
        <v>35</v>
      </c>
      <c r="AH1251" s="2">
        <v>0.24485113734802</v>
      </c>
      <c r="AI1251" s="2">
        <v>0.95301414223717396</v>
      </c>
      <c r="AJ1251" s="2">
        <v>0.22444898269028499</v>
      </c>
      <c r="AK1251" s="2">
        <v>8.4978859820698693E-2</v>
      </c>
      <c r="AL1251" s="2">
        <v>8.46197906658952E-2</v>
      </c>
      <c r="AN1251" s="2">
        <v>6.8</v>
      </c>
      <c r="AO1251" s="2">
        <v>19.899999999999999</v>
      </c>
      <c r="AP1251" s="2">
        <v>564</v>
      </c>
      <c r="AQ1251" s="2">
        <v>68</v>
      </c>
      <c r="AR1251" s="2">
        <v>1.5</v>
      </c>
      <c r="AS1251" s="2">
        <v>135</v>
      </c>
      <c r="AT1251" s="2">
        <v>0.8</v>
      </c>
      <c r="AU1251" s="2">
        <v>162</v>
      </c>
      <c r="AV1251" s="2">
        <v>9.1</v>
      </c>
      <c r="AW1251" s="2">
        <v>9.1999999999999993</v>
      </c>
      <c r="AX1251" s="2">
        <v>18.3</v>
      </c>
      <c r="AY1251" s="2">
        <v>0.34</v>
      </c>
      <c r="AZ1251" s="2">
        <v>7.3</v>
      </c>
      <c r="BA1251" s="2">
        <v>0.9</v>
      </c>
      <c r="BB1251" s="2">
        <v>7.5</v>
      </c>
      <c r="BC1251" s="2">
        <v>2.9</v>
      </c>
      <c r="BD1251" s="2">
        <f>+AN1251*EXP(-0.0495*Y1251)</f>
        <v>6.41802069249698</v>
      </c>
      <c r="BE1251" s="2">
        <f>+AO1251*EXP(-0.024*Y1251)</f>
        <v>19.349938888437787</v>
      </c>
    </row>
    <row r="1252" spans="1:57" x14ac:dyDescent="0.2">
      <c r="A1252" s="2" t="s">
        <v>620</v>
      </c>
      <c r="B1252" s="2" t="s">
        <v>19</v>
      </c>
      <c r="C1252" s="2" t="s">
        <v>20</v>
      </c>
      <c r="D1252" s="2" t="s">
        <v>21</v>
      </c>
      <c r="E1252" s="2" t="s">
        <v>621</v>
      </c>
      <c r="F1252" s="2">
        <v>3</v>
      </c>
      <c r="G1252" s="2">
        <v>23</v>
      </c>
      <c r="H1252" s="2">
        <v>1</v>
      </c>
      <c r="I1252" s="2">
        <v>1</v>
      </c>
      <c r="J1252" s="2">
        <v>0</v>
      </c>
      <c r="K1252" s="2" t="s">
        <v>61</v>
      </c>
      <c r="L1252" s="6" t="s">
        <v>75</v>
      </c>
      <c r="M1252" s="5">
        <v>210000000</v>
      </c>
      <c r="N1252" s="2">
        <v>0</v>
      </c>
      <c r="O1252" s="2">
        <v>4.6449527740000001</v>
      </c>
      <c r="P1252" s="2">
        <v>-74.067253109999996</v>
      </c>
      <c r="Q1252" s="2" t="s">
        <v>622</v>
      </c>
      <c r="R1252" s="2">
        <v>9130434.7829999998</v>
      </c>
      <c r="S1252" s="2">
        <v>0</v>
      </c>
      <c r="T1252" s="2" t="s">
        <v>77</v>
      </c>
      <c r="U1252" s="2" t="s">
        <v>78</v>
      </c>
      <c r="V1252" s="2" t="s">
        <v>28</v>
      </c>
      <c r="W1252" s="2" t="s">
        <v>79</v>
      </c>
      <c r="X1252" s="2" t="s">
        <v>80</v>
      </c>
      <c r="Y1252" s="2">
        <v>2.1672300037196699</v>
      </c>
      <c r="Z1252" s="2">
        <v>4.6254861111111101</v>
      </c>
      <c r="AA1252" s="2">
        <v>-74.066980555555503</v>
      </c>
      <c r="AB1252" s="2">
        <v>2621</v>
      </c>
      <c r="AC1252" s="2" t="s">
        <v>31</v>
      </c>
      <c r="AD1252" s="2" t="s">
        <v>32</v>
      </c>
      <c r="AE1252" s="2" t="s">
        <v>33</v>
      </c>
      <c r="AF1252" s="2" t="s">
        <v>34</v>
      </c>
      <c r="AG1252" s="2" t="s">
        <v>35</v>
      </c>
      <c r="AH1252" s="2">
        <v>0.26910192274734901</v>
      </c>
      <c r="AI1252" s="2">
        <v>1.16567712574927</v>
      </c>
      <c r="AJ1252" s="2">
        <v>8.7134386405661596E-2</v>
      </c>
      <c r="AK1252" s="2">
        <v>8.2074021732649993E-2</v>
      </c>
      <c r="AL1252" s="2">
        <v>0.14401266900655099</v>
      </c>
      <c r="AN1252" s="2">
        <v>6.8</v>
      </c>
      <c r="AO1252" s="2">
        <v>19.899999999999999</v>
      </c>
      <c r="AP1252" s="2">
        <v>564</v>
      </c>
      <c r="AQ1252" s="2">
        <v>68</v>
      </c>
      <c r="AR1252" s="2">
        <v>1.5</v>
      </c>
      <c r="AS1252" s="2">
        <v>135</v>
      </c>
      <c r="AT1252" s="2">
        <v>0.8</v>
      </c>
      <c r="AU1252" s="2">
        <v>162</v>
      </c>
      <c r="AV1252" s="2">
        <v>9.1</v>
      </c>
      <c r="AW1252" s="2">
        <v>9.1999999999999993</v>
      </c>
      <c r="AX1252" s="2">
        <v>18.3</v>
      </c>
      <c r="AY1252" s="2">
        <v>0.34</v>
      </c>
      <c r="AZ1252" s="2">
        <v>7.3</v>
      </c>
      <c r="BA1252" s="2">
        <v>0.9</v>
      </c>
      <c r="BB1252" s="2">
        <v>7.5</v>
      </c>
      <c r="BC1252" s="2">
        <v>2.9</v>
      </c>
      <c r="BD1252" s="2">
        <f>+AN1252*EXP(-0.0495*Y1252)</f>
        <v>6.1082769408087465</v>
      </c>
      <c r="BE1252" s="2">
        <f>+AO1252*EXP(-0.024*Y1252)</f>
        <v>18.891389035180659</v>
      </c>
    </row>
    <row r="1253" spans="1:57" x14ac:dyDescent="0.2">
      <c r="A1253" s="2" t="s">
        <v>3654</v>
      </c>
      <c r="B1253" s="2" t="s">
        <v>19</v>
      </c>
      <c r="C1253" s="2" t="s">
        <v>3245</v>
      </c>
      <c r="D1253" s="2" t="s">
        <v>21</v>
      </c>
      <c r="E1253" s="2" t="s">
        <v>3655</v>
      </c>
      <c r="F1253" s="2">
        <v>3</v>
      </c>
      <c r="G1253" s="2">
        <v>23</v>
      </c>
      <c r="H1253" s="2">
        <v>1</v>
      </c>
      <c r="I1253" s="2">
        <v>1</v>
      </c>
      <c r="J1253" s="2">
        <v>0</v>
      </c>
      <c r="K1253" s="2" t="s">
        <v>61</v>
      </c>
      <c r="L1253" s="6" t="s">
        <v>62</v>
      </c>
      <c r="M1253" s="5">
        <v>180000000</v>
      </c>
      <c r="N1253" s="2">
        <v>0</v>
      </c>
      <c r="O1253" s="2">
        <v>4.6227939999999998</v>
      </c>
      <c r="P1253" s="2">
        <v>-74.090960199999998</v>
      </c>
      <c r="Q1253" s="2" t="s">
        <v>3656</v>
      </c>
      <c r="R1253" s="2">
        <v>7826086.9570000004</v>
      </c>
      <c r="S1253" s="2">
        <v>0</v>
      </c>
      <c r="T1253" s="2" t="s">
        <v>77</v>
      </c>
      <c r="U1253" s="2" t="s">
        <v>78</v>
      </c>
      <c r="V1253" s="2" t="s">
        <v>28</v>
      </c>
      <c r="W1253" s="2" t="s">
        <v>79</v>
      </c>
      <c r="X1253" s="2" t="s">
        <v>80</v>
      </c>
      <c r="Y1253" s="2">
        <v>2.6775369153745001</v>
      </c>
      <c r="Z1253" s="2">
        <v>4.6254861111111101</v>
      </c>
      <c r="AA1253" s="2">
        <v>-74.066980555555503</v>
      </c>
      <c r="AB1253" s="2">
        <v>2621</v>
      </c>
      <c r="AC1253" s="2" t="s">
        <v>31</v>
      </c>
      <c r="AD1253" s="2" t="s">
        <v>32</v>
      </c>
      <c r="AE1253" s="2" t="s">
        <v>33</v>
      </c>
      <c r="AF1253" s="2" t="s">
        <v>34</v>
      </c>
      <c r="AG1253" s="2" t="s">
        <v>239</v>
      </c>
      <c r="AH1253" s="2">
        <v>0.66743251898662503</v>
      </c>
      <c r="AI1253" s="2">
        <v>3.1337604789985098</v>
      </c>
      <c r="AJ1253" s="2">
        <v>1.5332800914459901</v>
      </c>
      <c r="AK1253" s="2">
        <v>6.5377647119212901E-2</v>
      </c>
      <c r="AL1253" s="2">
        <v>0.54905754830896403</v>
      </c>
      <c r="AN1253" s="2">
        <v>6.8</v>
      </c>
      <c r="AO1253" s="2">
        <v>19.899999999999999</v>
      </c>
      <c r="AP1253" s="2">
        <v>564</v>
      </c>
      <c r="AQ1253" s="2">
        <v>68</v>
      </c>
      <c r="AR1253" s="2">
        <v>1.5</v>
      </c>
      <c r="AS1253" s="2">
        <v>135</v>
      </c>
      <c r="AT1253" s="2">
        <v>0.8</v>
      </c>
      <c r="AU1253" s="2">
        <v>162</v>
      </c>
      <c r="AV1253" s="2">
        <v>9.1</v>
      </c>
      <c r="AW1253" s="2">
        <v>9.1999999999999993</v>
      </c>
      <c r="AX1253" s="2">
        <v>18.3</v>
      </c>
      <c r="AY1253" s="2">
        <v>0.34</v>
      </c>
      <c r="AZ1253" s="2">
        <v>7.3</v>
      </c>
      <c r="BA1253" s="2">
        <v>0.9</v>
      </c>
      <c r="BB1253" s="2">
        <v>7.5</v>
      </c>
      <c r="BC1253" s="2">
        <v>2.9</v>
      </c>
      <c r="BD1253" s="2">
        <f>+AN1253*EXP(-0.0495*Y1253)</f>
        <v>5.9559131624464419</v>
      </c>
      <c r="BE1253" s="2">
        <f>+AO1253*EXP(-0.024*Y1253)</f>
        <v>18.661430350204302</v>
      </c>
    </row>
    <row r="1254" spans="1:57" x14ac:dyDescent="0.2">
      <c r="A1254" s="2" t="s">
        <v>3873</v>
      </c>
      <c r="B1254" s="2" t="s">
        <v>19</v>
      </c>
      <c r="C1254" s="2" t="s">
        <v>3245</v>
      </c>
      <c r="D1254" s="2" t="s">
        <v>21</v>
      </c>
      <c r="E1254" s="2" t="s">
        <v>3874</v>
      </c>
      <c r="F1254" s="2">
        <v>3</v>
      </c>
      <c r="G1254" s="2">
        <v>23</v>
      </c>
      <c r="H1254" s="2">
        <v>1</v>
      </c>
      <c r="I1254" s="2">
        <v>1</v>
      </c>
      <c r="J1254" s="2">
        <v>0</v>
      </c>
      <c r="K1254" s="2" t="s">
        <v>61</v>
      </c>
      <c r="L1254" s="6" t="s">
        <v>84</v>
      </c>
      <c r="M1254" s="5">
        <v>160000000</v>
      </c>
      <c r="N1254" s="2">
        <v>0</v>
      </c>
      <c r="O1254" s="2">
        <v>4.61287</v>
      </c>
      <c r="P1254" s="2">
        <v>-74.080240000000003</v>
      </c>
      <c r="Q1254" s="2" t="s">
        <v>3875</v>
      </c>
      <c r="R1254" s="2">
        <v>6956521.7390000001</v>
      </c>
      <c r="S1254" s="2">
        <v>0</v>
      </c>
      <c r="T1254" s="2" t="s">
        <v>77</v>
      </c>
      <c r="U1254" s="2" t="s">
        <v>78</v>
      </c>
      <c r="V1254" s="2" t="s">
        <v>28</v>
      </c>
      <c r="W1254" s="2" t="s">
        <v>79</v>
      </c>
      <c r="X1254" s="2" t="s">
        <v>80</v>
      </c>
      <c r="Y1254" s="2">
        <v>2.0339472089305901</v>
      </c>
      <c r="Z1254" s="2">
        <v>4.6254861111111101</v>
      </c>
      <c r="AA1254" s="2">
        <v>-74.066980555555503</v>
      </c>
      <c r="AB1254" s="2">
        <v>2621</v>
      </c>
      <c r="AC1254" s="2" t="s">
        <v>31</v>
      </c>
      <c r="AD1254" s="2" t="s">
        <v>32</v>
      </c>
      <c r="AE1254" s="2" t="s">
        <v>33</v>
      </c>
      <c r="AF1254" s="2" t="s">
        <v>34</v>
      </c>
      <c r="AG1254" s="2" t="s">
        <v>259</v>
      </c>
      <c r="AH1254" s="2">
        <v>0.60659383238164499</v>
      </c>
      <c r="AI1254" s="2">
        <v>1.7695509000582601</v>
      </c>
      <c r="AJ1254" s="2">
        <v>0.72262726111753095</v>
      </c>
      <c r="AK1254" s="2">
        <v>0.376136633019789</v>
      </c>
      <c r="AL1254" s="2">
        <v>0.15734608048496901</v>
      </c>
      <c r="AN1254" s="2">
        <v>6.8</v>
      </c>
      <c r="AO1254" s="2">
        <v>19.899999999999999</v>
      </c>
      <c r="AP1254" s="2">
        <v>564</v>
      </c>
      <c r="AQ1254" s="2">
        <v>68</v>
      </c>
      <c r="AR1254" s="2">
        <v>1.5</v>
      </c>
      <c r="AS1254" s="2">
        <v>135</v>
      </c>
      <c r="AT1254" s="2">
        <v>0.8</v>
      </c>
      <c r="AU1254" s="2">
        <v>162</v>
      </c>
      <c r="AV1254" s="2">
        <v>9.1</v>
      </c>
      <c r="AW1254" s="2">
        <v>9.1999999999999993</v>
      </c>
      <c r="AX1254" s="2">
        <v>18.3</v>
      </c>
      <c r="AY1254" s="2">
        <v>0.34</v>
      </c>
      <c r="AZ1254" s="2">
        <v>7.3</v>
      </c>
      <c r="BA1254" s="2">
        <v>0.9</v>
      </c>
      <c r="BB1254" s="2">
        <v>7.5</v>
      </c>
      <c r="BC1254" s="2">
        <v>2.9</v>
      </c>
      <c r="BD1254" s="2">
        <f>+AN1254*EXP(-0.0495*Y1254)</f>
        <v>6.1487095180703903</v>
      </c>
      <c r="BE1254" s="2">
        <f>+AO1254*EXP(-0.024*Y1254)</f>
        <v>18.951915319992853</v>
      </c>
    </row>
    <row r="1255" spans="1:57" x14ac:dyDescent="0.2">
      <c r="A1255" s="2" t="s">
        <v>4600</v>
      </c>
      <c r="B1255" s="2" t="s">
        <v>19</v>
      </c>
      <c r="C1255" s="2" t="s">
        <v>3245</v>
      </c>
      <c r="D1255" s="2" t="s">
        <v>21</v>
      </c>
      <c r="E1255" s="2" t="s">
        <v>365</v>
      </c>
      <c r="F1255" s="2">
        <v>4</v>
      </c>
      <c r="G1255" s="2">
        <v>22.91</v>
      </c>
      <c r="H1255" s="2">
        <v>1</v>
      </c>
      <c r="I1255" s="2">
        <v>1</v>
      </c>
      <c r="J1255" s="2">
        <v>0</v>
      </c>
      <c r="K1255" s="2" t="s">
        <v>61</v>
      </c>
      <c r="L1255" s="6" t="s">
        <v>84</v>
      </c>
      <c r="M1255" s="5">
        <v>245000000</v>
      </c>
      <c r="N1255" s="2">
        <v>0</v>
      </c>
      <c r="O1255" s="2">
        <v>4.6443399999999997</v>
      </c>
      <c r="P1255" s="2">
        <v>-74.081569999999999</v>
      </c>
      <c r="Q1255" s="2" t="s">
        <v>4601</v>
      </c>
      <c r="R1255" s="2">
        <v>10694020.08</v>
      </c>
      <c r="S1255" s="2">
        <v>0</v>
      </c>
      <c r="T1255" s="2" t="s">
        <v>26</v>
      </c>
      <c r="U1255" s="2" t="s">
        <v>27</v>
      </c>
      <c r="V1255" s="2" t="s">
        <v>28</v>
      </c>
      <c r="W1255" s="2" t="s">
        <v>29</v>
      </c>
      <c r="X1255" s="2" t="s">
        <v>30</v>
      </c>
      <c r="Y1255" s="2">
        <v>1.5948977318444699</v>
      </c>
      <c r="Z1255" s="2">
        <v>4.6584666666666701</v>
      </c>
      <c r="AA1255" s="2">
        <v>-74.083966666666697</v>
      </c>
      <c r="AB1255" s="2">
        <v>2552</v>
      </c>
      <c r="AC1255" s="2" t="s">
        <v>31</v>
      </c>
      <c r="AD1255" s="2" t="s">
        <v>32</v>
      </c>
      <c r="AE1255" s="2" t="s">
        <v>33</v>
      </c>
      <c r="AF1255" s="2" t="s">
        <v>34</v>
      </c>
      <c r="AG1255" s="2" t="s">
        <v>35</v>
      </c>
      <c r="AH1255" s="2">
        <v>0.33797841998342898</v>
      </c>
      <c r="AI1255" s="2">
        <v>2.6737176327353702</v>
      </c>
      <c r="AJ1255" s="2">
        <v>0.63797330420961595</v>
      </c>
      <c r="AK1255" s="2">
        <v>0.158212711531694</v>
      </c>
      <c r="AL1255" s="2">
        <v>0.30592762985852301</v>
      </c>
      <c r="AN1255" s="2">
        <v>6.8</v>
      </c>
      <c r="AO1255" s="2">
        <v>19.899999999999999</v>
      </c>
      <c r="AP1255" s="2">
        <v>564</v>
      </c>
      <c r="AQ1255" s="2">
        <v>68</v>
      </c>
      <c r="AR1255" s="2">
        <v>1.5</v>
      </c>
      <c r="AS1255" s="2">
        <v>135</v>
      </c>
      <c r="AT1255" s="2">
        <v>0.8</v>
      </c>
      <c r="AU1255" s="2">
        <v>162</v>
      </c>
      <c r="AV1255" s="2">
        <v>9.1</v>
      </c>
      <c r="AW1255" s="2">
        <v>9.1999999999999993</v>
      </c>
      <c r="AX1255" s="2">
        <v>18.3</v>
      </c>
      <c r="AY1255" s="2">
        <v>0.34</v>
      </c>
      <c r="AZ1255" s="2">
        <v>7.3</v>
      </c>
      <c r="BA1255" s="2">
        <v>0.9</v>
      </c>
      <c r="BB1255" s="2">
        <v>7.5</v>
      </c>
      <c r="BC1255" s="2">
        <v>2.9</v>
      </c>
      <c r="BD1255" s="2">
        <f>+AN1255*EXP(-0.0495*Y1255)</f>
        <v>6.2838017684547438</v>
      </c>
      <c r="BE1255" s="2">
        <f>+AO1255*EXP(-0.024*Y1255)</f>
        <v>19.152671047093751</v>
      </c>
    </row>
    <row r="1256" spans="1:57" x14ac:dyDescent="0.2">
      <c r="A1256" s="2" t="s">
        <v>4604</v>
      </c>
      <c r="B1256" s="2" t="s">
        <v>19</v>
      </c>
      <c r="C1256" s="2" t="s">
        <v>3245</v>
      </c>
      <c r="D1256" s="2" t="s">
        <v>21</v>
      </c>
      <c r="E1256" s="2" t="s">
        <v>486</v>
      </c>
      <c r="F1256" s="2">
        <v>3</v>
      </c>
      <c r="G1256" s="2">
        <v>22.35</v>
      </c>
      <c r="H1256" s="2">
        <v>1</v>
      </c>
      <c r="I1256" s="2">
        <v>1</v>
      </c>
      <c r="J1256" s="2">
        <v>0</v>
      </c>
      <c r="K1256" s="2" t="s">
        <v>61</v>
      </c>
      <c r="L1256" s="6" t="s">
        <v>62</v>
      </c>
      <c r="M1256" s="5">
        <v>213000000</v>
      </c>
      <c r="N1256" s="2">
        <v>0</v>
      </c>
      <c r="O1256" s="2">
        <v>4.6034100000000002</v>
      </c>
      <c r="P1256" s="2">
        <v>-74.070329999999998</v>
      </c>
      <c r="Q1256" s="2" t="s">
        <v>4605</v>
      </c>
      <c r="R1256" s="2">
        <v>9530201.3420000002</v>
      </c>
      <c r="S1256" s="2">
        <v>0</v>
      </c>
      <c r="T1256" s="2" t="s">
        <v>77</v>
      </c>
      <c r="U1256" s="2" t="s">
        <v>78</v>
      </c>
      <c r="V1256" s="2" t="s">
        <v>28</v>
      </c>
      <c r="W1256" s="2" t="s">
        <v>79</v>
      </c>
      <c r="X1256" s="2" t="s">
        <v>80</v>
      </c>
      <c r="Y1256" s="2">
        <v>2.4854450291560601</v>
      </c>
      <c r="Z1256" s="2">
        <v>4.6254861111111101</v>
      </c>
      <c r="AA1256" s="2">
        <v>-74.066980555555503</v>
      </c>
      <c r="AB1256" s="2">
        <v>2621</v>
      </c>
      <c r="AC1256" s="2" t="s">
        <v>31</v>
      </c>
      <c r="AD1256" s="2" t="s">
        <v>32</v>
      </c>
      <c r="AE1256" s="2" t="s">
        <v>33</v>
      </c>
      <c r="AF1256" s="2" t="s">
        <v>34</v>
      </c>
      <c r="AG1256" s="2" t="s">
        <v>89</v>
      </c>
      <c r="AH1256" s="2">
        <v>0.232715620400365</v>
      </c>
      <c r="AI1256" s="2">
        <v>0.68952211062925695</v>
      </c>
      <c r="AJ1256" s="2">
        <v>0.28486902560330002</v>
      </c>
      <c r="AK1256" s="2">
        <v>0.139331049189412</v>
      </c>
      <c r="AL1256" s="2">
        <v>2.8911522294463299E-2</v>
      </c>
      <c r="AN1256" s="2">
        <v>6.8</v>
      </c>
      <c r="AO1256" s="2">
        <v>19.899999999999999</v>
      </c>
      <c r="AP1256" s="2">
        <v>564</v>
      </c>
      <c r="AQ1256" s="2">
        <v>68</v>
      </c>
      <c r="AR1256" s="2">
        <v>1.5</v>
      </c>
      <c r="AS1256" s="2">
        <v>135</v>
      </c>
      <c r="AT1256" s="2">
        <v>0.8</v>
      </c>
      <c r="AU1256" s="2">
        <v>162</v>
      </c>
      <c r="AV1256" s="2">
        <v>9.1</v>
      </c>
      <c r="AW1256" s="2">
        <v>9.1999999999999993</v>
      </c>
      <c r="AX1256" s="2">
        <v>18.3</v>
      </c>
      <c r="AY1256" s="2">
        <v>0.34</v>
      </c>
      <c r="AZ1256" s="2">
        <v>7.3</v>
      </c>
      <c r="BA1256" s="2">
        <v>0.9</v>
      </c>
      <c r="BB1256" s="2">
        <v>7.5</v>
      </c>
      <c r="BC1256" s="2">
        <v>2.9</v>
      </c>
      <c r="BD1256" s="2">
        <f>+AN1256*EXP(-0.0495*Y1256)</f>
        <v>6.0128153507089799</v>
      </c>
      <c r="BE1256" s="2">
        <f>+AO1256*EXP(-0.024*Y1256)</f>
        <v>18.747661994797049</v>
      </c>
    </row>
    <row r="1257" spans="1:57" x14ac:dyDescent="0.2">
      <c r="A1257" s="2" t="s">
        <v>4408</v>
      </c>
      <c r="B1257" s="2" t="s">
        <v>19</v>
      </c>
      <c r="C1257" s="2" t="s">
        <v>3245</v>
      </c>
      <c r="D1257" s="2" t="s">
        <v>21</v>
      </c>
      <c r="E1257" s="2" t="s">
        <v>4409</v>
      </c>
      <c r="F1257" s="2">
        <v>5</v>
      </c>
      <c r="G1257" s="2">
        <v>22</v>
      </c>
      <c r="H1257" s="2">
        <v>1</v>
      </c>
      <c r="I1257" s="2">
        <v>1</v>
      </c>
      <c r="J1257" s="2">
        <v>4</v>
      </c>
      <c r="K1257" s="2" t="s">
        <v>61</v>
      </c>
      <c r="L1257" s="6" t="s">
        <v>62</v>
      </c>
      <c r="M1257" s="5">
        <v>289000000</v>
      </c>
      <c r="N1257" s="2">
        <v>0</v>
      </c>
      <c r="O1257" s="2">
        <v>4.6655920000000002</v>
      </c>
      <c r="P1257" s="2">
        <v>-74.060050000000004</v>
      </c>
      <c r="Q1257" s="2" t="s">
        <v>4410</v>
      </c>
      <c r="R1257" s="2">
        <v>13136363.640000001</v>
      </c>
      <c r="S1257" s="2">
        <v>0</v>
      </c>
      <c r="T1257" s="2" t="s">
        <v>26</v>
      </c>
      <c r="U1257" s="2" t="s">
        <v>27</v>
      </c>
      <c r="V1257" s="2" t="s">
        <v>28</v>
      </c>
      <c r="W1257" s="2" t="s">
        <v>29</v>
      </c>
      <c r="X1257" s="2" t="s">
        <v>30</v>
      </c>
      <c r="Y1257" s="2">
        <v>2.7695935293308298</v>
      </c>
      <c r="Z1257" s="2">
        <v>4.6584666666666701</v>
      </c>
      <c r="AA1257" s="2">
        <v>-74.083966666666697</v>
      </c>
      <c r="AB1257" s="2">
        <v>2552</v>
      </c>
      <c r="AC1257" s="2" t="s">
        <v>31</v>
      </c>
      <c r="AD1257" s="2" t="s">
        <v>32</v>
      </c>
      <c r="AE1257" s="2" t="s">
        <v>33</v>
      </c>
      <c r="AF1257" s="2" t="s">
        <v>34</v>
      </c>
      <c r="AG1257" s="2" t="s">
        <v>81</v>
      </c>
      <c r="AH1257" s="2">
        <v>0.282619732160311</v>
      </c>
      <c r="AI1257" s="2">
        <v>1.59021988461999</v>
      </c>
      <c r="AJ1257" s="2">
        <v>0.13070972780849299</v>
      </c>
      <c r="AK1257" s="2">
        <v>7.7810784961077295E-2</v>
      </c>
      <c r="AL1257" s="2">
        <v>0.13117306270036899</v>
      </c>
      <c r="AN1257" s="2">
        <v>6.8</v>
      </c>
      <c r="AO1257" s="2">
        <v>19.899999999999999</v>
      </c>
      <c r="AP1257" s="2">
        <v>564</v>
      </c>
      <c r="AQ1257" s="2">
        <v>68</v>
      </c>
      <c r="AR1257" s="2">
        <v>1.5</v>
      </c>
      <c r="AS1257" s="2">
        <v>135</v>
      </c>
      <c r="AT1257" s="2">
        <v>0.8</v>
      </c>
      <c r="AU1257" s="2">
        <v>162</v>
      </c>
      <c r="AV1257" s="2">
        <v>9.1</v>
      </c>
      <c r="AW1257" s="2">
        <v>9.1999999999999993</v>
      </c>
      <c r="AX1257" s="2">
        <v>18.3</v>
      </c>
      <c r="AY1257" s="2">
        <v>0.34</v>
      </c>
      <c r="AZ1257" s="2">
        <v>7.3</v>
      </c>
      <c r="BA1257" s="2">
        <v>0.9</v>
      </c>
      <c r="BB1257" s="2">
        <v>7.5</v>
      </c>
      <c r="BC1257" s="2">
        <v>2.9</v>
      </c>
      <c r="BD1257" s="2">
        <f>+AN1257*EXP(-0.0495*Y1257)</f>
        <v>5.928834984915504</v>
      </c>
      <c r="BE1257" s="2">
        <f>+AO1257*EXP(-0.024*Y1257)</f>
        <v>18.620246068232561</v>
      </c>
    </row>
    <row r="1258" spans="1:57" x14ac:dyDescent="0.2">
      <c r="A1258" s="2" t="s">
        <v>4151</v>
      </c>
      <c r="B1258" s="2" t="s">
        <v>19</v>
      </c>
      <c r="C1258" s="2" t="s">
        <v>3245</v>
      </c>
      <c r="D1258" s="2" t="s">
        <v>21</v>
      </c>
      <c r="E1258" s="2" t="s">
        <v>81</v>
      </c>
      <c r="F1258" s="2">
        <v>4</v>
      </c>
      <c r="G1258" s="2">
        <v>22</v>
      </c>
      <c r="H1258" s="2">
        <v>1</v>
      </c>
      <c r="I1258" s="2">
        <v>1</v>
      </c>
      <c r="J1258" s="2">
        <v>0</v>
      </c>
      <c r="K1258" s="2" t="s">
        <v>61</v>
      </c>
      <c r="L1258" s="6" t="s">
        <v>84</v>
      </c>
      <c r="M1258" s="5">
        <v>270000000</v>
      </c>
      <c r="N1258" s="2">
        <v>0</v>
      </c>
      <c r="O1258" s="2">
        <v>4.6227939999999998</v>
      </c>
      <c r="P1258" s="2">
        <v>-74.090960199999998</v>
      </c>
      <c r="Q1258" s="2" t="s">
        <v>4152</v>
      </c>
      <c r="R1258" s="2">
        <v>12272727.27</v>
      </c>
      <c r="S1258" s="2">
        <v>0</v>
      </c>
      <c r="T1258" s="2" t="s">
        <v>77</v>
      </c>
      <c r="U1258" s="2" t="s">
        <v>78</v>
      </c>
      <c r="V1258" s="2" t="s">
        <v>28</v>
      </c>
      <c r="W1258" s="2" t="s">
        <v>79</v>
      </c>
      <c r="X1258" s="2" t="s">
        <v>80</v>
      </c>
      <c r="Y1258" s="2">
        <v>2.6775369153745001</v>
      </c>
      <c r="Z1258" s="2">
        <v>4.6254861111111101</v>
      </c>
      <c r="AA1258" s="2">
        <v>-74.066980555555503</v>
      </c>
      <c r="AB1258" s="2">
        <v>2621</v>
      </c>
      <c r="AC1258" s="2" t="s">
        <v>31</v>
      </c>
      <c r="AD1258" s="2" t="s">
        <v>32</v>
      </c>
      <c r="AE1258" s="2" t="s">
        <v>33</v>
      </c>
      <c r="AF1258" s="2" t="s">
        <v>34</v>
      </c>
      <c r="AG1258" s="2" t="s">
        <v>239</v>
      </c>
      <c r="AH1258" s="2">
        <v>0.66743251898662503</v>
      </c>
      <c r="AI1258" s="2">
        <v>3.1337604789985098</v>
      </c>
      <c r="AJ1258" s="2">
        <v>1.5332800914459901</v>
      </c>
      <c r="AK1258" s="2">
        <v>6.5377647119212901E-2</v>
      </c>
      <c r="AL1258" s="2">
        <v>0.54905754830896403</v>
      </c>
      <c r="AN1258" s="2">
        <v>6.8</v>
      </c>
      <c r="AO1258" s="2">
        <v>19.899999999999999</v>
      </c>
      <c r="AP1258" s="2">
        <v>564</v>
      </c>
      <c r="AQ1258" s="2">
        <v>68</v>
      </c>
      <c r="AR1258" s="2">
        <v>1.5</v>
      </c>
      <c r="AS1258" s="2">
        <v>135</v>
      </c>
      <c r="AT1258" s="2">
        <v>0.8</v>
      </c>
      <c r="AU1258" s="2">
        <v>162</v>
      </c>
      <c r="AV1258" s="2">
        <v>9.1</v>
      </c>
      <c r="AW1258" s="2">
        <v>9.1999999999999993</v>
      </c>
      <c r="AX1258" s="2">
        <v>18.3</v>
      </c>
      <c r="AY1258" s="2">
        <v>0.34</v>
      </c>
      <c r="AZ1258" s="2">
        <v>7.3</v>
      </c>
      <c r="BA1258" s="2">
        <v>0.9</v>
      </c>
      <c r="BB1258" s="2">
        <v>7.5</v>
      </c>
      <c r="BC1258" s="2">
        <v>2.9</v>
      </c>
      <c r="BD1258" s="2">
        <f>+AN1258*EXP(-0.0495*Y1258)</f>
        <v>5.9559131624464419</v>
      </c>
      <c r="BE1258" s="2">
        <f>+AO1258*EXP(-0.024*Y1258)</f>
        <v>18.661430350204302</v>
      </c>
    </row>
    <row r="1259" spans="1:57" x14ac:dyDescent="0.2">
      <c r="A1259" s="2" t="s">
        <v>4069</v>
      </c>
      <c r="B1259" s="2" t="s">
        <v>19</v>
      </c>
      <c r="C1259" s="2" t="s">
        <v>3245</v>
      </c>
      <c r="D1259" s="2" t="s">
        <v>21</v>
      </c>
      <c r="E1259" s="2" t="s">
        <v>3510</v>
      </c>
      <c r="F1259" s="2">
        <v>3</v>
      </c>
      <c r="G1259" s="2">
        <v>22</v>
      </c>
      <c r="H1259" s="2">
        <v>1</v>
      </c>
      <c r="I1259" s="2">
        <v>1</v>
      </c>
      <c r="J1259" s="2">
        <v>0</v>
      </c>
      <c r="K1259" s="2" t="s">
        <v>61</v>
      </c>
      <c r="L1259" s="6" t="s">
        <v>62</v>
      </c>
      <c r="M1259" s="5">
        <v>250000000</v>
      </c>
      <c r="N1259" s="2">
        <v>0</v>
      </c>
      <c r="O1259" s="2">
        <v>4.6023598999999997</v>
      </c>
      <c r="P1259" s="2">
        <v>-74.070639999999997</v>
      </c>
      <c r="Q1259" s="2" t="s">
        <v>4070</v>
      </c>
      <c r="R1259" s="2">
        <v>11363636.359999999</v>
      </c>
      <c r="S1259" s="2">
        <v>0</v>
      </c>
      <c r="T1259" s="2" t="s">
        <v>77</v>
      </c>
      <c r="U1259" s="2" t="s">
        <v>78</v>
      </c>
      <c r="V1259" s="2" t="s">
        <v>28</v>
      </c>
      <c r="W1259" s="2" t="s">
        <v>79</v>
      </c>
      <c r="X1259" s="2" t="s">
        <v>80</v>
      </c>
      <c r="Y1259" s="2">
        <v>2.6062232733349902</v>
      </c>
      <c r="Z1259" s="2">
        <v>4.6254861111111101</v>
      </c>
      <c r="AA1259" s="2">
        <v>-74.066980555555503</v>
      </c>
      <c r="AB1259" s="2">
        <v>2621</v>
      </c>
      <c r="AC1259" s="2" t="s">
        <v>31</v>
      </c>
      <c r="AD1259" s="2" t="s">
        <v>32</v>
      </c>
      <c r="AE1259" s="2" t="s">
        <v>33</v>
      </c>
      <c r="AF1259" s="2" t="s">
        <v>34</v>
      </c>
      <c r="AG1259" s="2" t="s">
        <v>89</v>
      </c>
      <c r="AH1259" s="2">
        <v>0.24942807750848001</v>
      </c>
      <c r="AI1259" s="2">
        <v>0.74970684997677395</v>
      </c>
      <c r="AJ1259" s="2">
        <v>0.30665810133853699</v>
      </c>
      <c r="AK1259" s="2">
        <v>0.14606478813190199</v>
      </c>
      <c r="AL1259" s="2">
        <v>4.4427298027160902E-2</v>
      </c>
      <c r="AN1259" s="2">
        <v>6.8</v>
      </c>
      <c r="AO1259" s="2">
        <v>19.899999999999999</v>
      </c>
      <c r="AP1259" s="2">
        <v>564</v>
      </c>
      <c r="AQ1259" s="2">
        <v>68</v>
      </c>
      <c r="AR1259" s="2">
        <v>1.5</v>
      </c>
      <c r="AS1259" s="2">
        <v>135</v>
      </c>
      <c r="AT1259" s="2">
        <v>0.8</v>
      </c>
      <c r="AU1259" s="2">
        <v>162</v>
      </c>
      <c r="AV1259" s="2">
        <v>9.1</v>
      </c>
      <c r="AW1259" s="2">
        <v>9.1999999999999993</v>
      </c>
      <c r="AX1259" s="2">
        <v>18.3</v>
      </c>
      <c r="AY1259" s="2">
        <v>0.34</v>
      </c>
      <c r="AZ1259" s="2">
        <v>7.3</v>
      </c>
      <c r="BA1259" s="2">
        <v>0.9</v>
      </c>
      <c r="BB1259" s="2">
        <v>7.5</v>
      </c>
      <c r="BC1259" s="2">
        <v>2.9</v>
      </c>
      <c r="BD1259" s="2">
        <f>+AN1259*EXP(-0.0495*Y1259)</f>
        <v>5.9769748387350052</v>
      </c>
      <c r="BE1259" s="2">
        <f>+AO1259*EXP(-0.024*Y1259)</f>
        <v>18.69339724804632</v>
      </c>
    </row>
    <row r="1260" spans="1:57" x14ac:dyDescent="0.2">
      <c r="A1260" s="2" t="s">
        <v>4526</v>
      </c>
      <c r="B1260" s="2" t="s">
        <v>19</v>
      </c>
      <c r="C1260" s="2" t="s">
        <v>3245</v>
      </c>
      <c r="D1260" s="2" t="s">
        <v>21</v>
      </c>
      <c r="E1260" s="2" t="s">
        <v>332</v>
      </c>
      <c r="F1260" s="2">
        <v>3</v>
      </c>
      <c r="G1260" s="2">
        <v>22</v>
      </c>
      <c r="H1260" s="2">
        <v>1</v>
      </c>
      <c r="I1260" s="2">
        <v>1</v>
      </c>
      <c r="J1260" s="2">
        <v>0</v>
      </c>
      <c r="K1260" s="2" t="s">
        <v>61</v>
      </c>
      <c r="L1260" s="6" t="s">
        <v>62</v>
      </c>
      <c r="M1260" s="5">
        <v>240000000</v>
      </c>
      <c r="N1260" s="2">
        <v>0</v>
      </c>
      <c r="O1260" s="2">
        <v>4.6023100000000001</v>
      </c>
      <c r="P1260" s="2">
        <v>-74.070570000000004</v>
      </c>
      <c r="Q1260" s="2" t="s">
        <v>4527</v>
      </c>
      <c r="R1260" s="2">
        <v>10909090.91</v>
      </c>
      <c r="S1260" s="2">
        <v>0</v>
      </c>
      <c r="T1260" s="2" t="s">
        <v>77</v>
      </c>
      <c r="U1260" s="2" t="s">
        <v>78</v>
      </c>
      <c r="V1260" s="2" t="s">
        <v>28</v>
      </c>
      <c r="W1260" s="2" t="s">
        <v>79</v>
      </c>
      <c r="X1260" s="2" t="s">
        <v>80</v>
      </c>
      <c r="Y1260" s="2">
        <v>2.6105141384533401</v>
      </c>
      <c r="Z1260" s="2">
        <v>4.6254861111111101</v>
      </c>
      <c r="AA1260" s="2">
        <v>-74.066980555555503</v>
      </c>
      <c r="AB1260" s="2">
        <v>2621</v>
      </c>
      <c r="AC1260" s="2" t="s">
        <v>31</v>
      </c>
      <c r="AD1260" s="2" t="s">
        <v>32</v>
      </c>
      <c r="AE1260" s="2" t="s">
        <v>33</v>
      </c>
      <c r="AF1260" s="2" t="s">
        <v>34</v>
      </c>
      <c r="AG1260" s="2" t="s">
        <v>89</v>
      </c>
      <c r="AH1260" s="2">
        <v>0.24232010239257801</v>
      </c>
      <c r="AI1260" s="2">
        <v>0.74362181839173902</v>
      </c>
      <c r="AJ1260" s="2">
        <v>0.29942026530691201</v>
      </c>
      <c r="AK1260" s="2">
        <v>0.146583774267697</v>
      </c>
      <c r="AL1260" s="2">
        <v>5.38582777361361E-2</v>
      </c>
      <c r="AN1260" s="2">
        <v>6.8</v>
      </c>
      <c r="AO1260" s="2">
        <v>19.899999999999999</v>
      </c>
      <c r="AP1260" s="2">
        <v>564</v>
      </c>
      <c r="AQ1260" s="2">
        <v>68</v>
      </c>
      <c r="AR1260" s="2">
        <v>1.5</v>
      </c>
      <c r="AS1260" s="2">
        <v>135</v>
      </c>
      <c r="AT1260" s="2">
        <v>0.8</v>
      </c>
      <c r="AU1260" s="2">
        <v>162</v>
      </c>
      <c r="AV1260" s="2">
        <v>9.1</v>
      </c>
      <c r="AW1260" s="2">
        <v>9.1999999999999993</v>
      </c>
      <c r="AX1260" s="2">
        <v>18.3</v>
      </c>
      <c r="AY1260" s="2">
        <v>0.34</v>
      </c>
      <c r="AZ1260" s="2">
        <v>7.3</v>
      </c>
      <c r="BA1260" s="2">
        <v>0.9</v>
      </c>
      <c r="BB1260" s="2">
        <v>7.5</v>
      </c>
      <c r="BC1260" s="2">
        <v>2.9</v>
      </c>
      <c r="BD1260" s="2">
        <f>+AN1260*EXP(-0.0495*Y1260)</f>
        <v>5.975705477098586</v>
      </c>
      <c r="BE1260" s="2">
        <f>+AO1260*EXP(-0.024*Y1260)</f>
        <v>18.691472286856325</v>
      </c>
    </row>
    <row r="1261" spans="1:57" x14ac:dyDescent="0.2">
      <c r="A1261" s="2" t="s">
        <v>3756</v>
      </c>
      <c r="B1261" s="2" t="s">
        <v>19</v>
      </c>
      <c r="C1261" s="2" t="s">
        <v>3245</v>
      </c>
      <c r="D1261" s="2" t="s">
        <v>21</v>
      </c>
      <c r="E1261" s="2" t="s">
        <v>74</v>
      </c>
      <c r="F1261" s="2">
        <v>3</v>
      </c>
      <c r="G1261" s="2">
        <v>22</v>
      </c>
      <c r="H1261" s="2">
        <v>1</v>
      </c>
      <c r="I1261" s="2">
        <v>1</v>
      </c>
      <c r="J1261" s="2">
        <v>0</v>
      </c>
      <c r="K1261" s="2" t="s">
        <v>61</v>
      </c>
      <c r="L1261" s="6" t="s">
        <v>62</v>
      </c>
      <c r="M1261" s="5">
        <v>239000000</v>
      </c>
      <c r="N1261" s="2">
        <v>0</v>
      </c>
      <c r="O1261" s="2">
        <v>4.6431403160000002</v>
      </c>
      <c r="P1261" s="2">
        <v>-74.063018799999995</v>
      </c>
      <c r="Q1261" s="2" t="s">
        <v>3757</v>
      </c>
      <c r="R1261" s="2">
        <v>10863636.359999999</v>
      </c>
      <c r="S1261" s="2">
        <v>0</v>
      </c>
      <c r="T1261" s="2" t="s">
        <v>77</v>
      </c>
      <c r="U1261" s="2" t="s">
        <v>78</v>
      </c>
      <c r="V1261" s="2" t="s">
        <v>28</v>
      </c>
      <c r="W1261" s="2" t="s">
        <v>79</v>
      </c>
      <c r="X1261" s="2" t="s">
        <v>80</v>
      </c>
      <c r="Y1261" s="2">
        <v>2.013818501362</v>
      </c>
      <c r="Z1261" s="2">
        <v>4.6254861111111101</v>
      </c>
      <c r="AA1261" s="2">
        <v>-74.066980555555503</v>
      </c>
      <c r="AB1261" s="2">
        <v>2621</v>
      </c>
      <c r="AC1261" s="2" t="s">
        <v>31</v>
      </c>
      <c r="AD1261" s="2" t="s">
        <v>32</v>
      </c>
      <c r="AE1261" s="2" t="s">
        <v>33</v>
      </c>
      <c r="AF1261" s="2" t="s">
        <v>34</v>
      </c>
      <c r="AG1261" s="2" t="s">
        <v>81</v>
      </c>
      <c r="AH1261" s="2">
        <v>0.31202553854340498</v>
      </c>
      <c r="AI1261" s="2">
        <v>0.65521729859868905</v>
      </c>
      <c r="AJ1261" s="2">
        <v>0.37214957130887799</v>
      </c>
      <c r="AK1261" s="2">
        <v>0.12685881930291601</v>
      </c>
      <c r="AL1261" s="2">
        <v>0.33342952983095803</v>
      </c>
      <c r="AN1261" s="2">
        <v>6.8</v>
      </c>
      <c r="AO1261" s="2">
        <v>19.899999999999999</v>
      </c>
      <c r="AP1261" s="2">
        <v>564</v>
      </c>
      <c r="AQ1261" s="2">
        <v>68</v>
      </c>
      <c r="AR1261" s="2">
        <v>1.5</v>
      </c>
      <c r="AS1261" s="2">
        <v>135</v>
      </c>
      <c r="AT1261" s="2">
        <v>0.8</v>
      </c>
      <c r="AU1261" s="2">
        <v>162</v>
      </c>
      <c r="AV1261" s="2">
        <v>9.1</v>
      </c>
      <c r="AW1261" s="2">
        <v>9.1999999999999993</v>
      </c>
      <c r="AX1261" s="2">
        <v>18.3</v>
      </c>
      <c r="AY1261" s="2">
        <v>0.34</v>
      </c>
      <c r="AZ1261" s="2">
        <v>7.3</v>
      </c>
      <c r="BA1261" s="2">
        <v>0.9</v>
      </c>
      <c r="BB1261" s="2">
        <v>7.5</v>
      </c>
      <c r="BC1261" s="2">
        <v>2.9</v>
      </c>
      <c r="BD1261" s="2">
        <f>+AN1261*EXP(-0.0495*Y1261)</f>
        <v>6.154838967168808</v>
      </c>
      <c r="BE1261" s="2">
        <f>+AO1261*EXP(-0.024*Y1261)</f>
        <v>18.961072993272463</v>
      </c>
    </row>
    <row r="1262" spans="1:57" x14ac:dyDescent="0.2">
      <c r="A1262" s="2" t="s">
        <v>3923</v>
      </c>
      <c r="B1262" s="2" t="s">
        <v>19</v>
      </c>
      <c r="C1262" s="2" t="s">
        <v>3245</v>
      </c>
      <c r="D1262" s="2" t="s">
        <v>21</v>
      </c>
      <c r="E1262" s="2" t="s">
        <v>1049</v>
      </c>
      <c r="F1262" s="2">
        <v>3</v>
      </c>
      <c r="G1262" s="2">
        <v>22</v>
      </c>
      <c r="H1262" s="2">
        <v>1</v>
      </c>
      <c r="I1262" s="2">
        <v>1</v>
      </c>
      <c r="J1262" s="2">
        <v>0</v>
      </c>
      <c r="K1262" s="2" t="s">
        <v>61</v>
      </c>
      <c r="L1262" s="6" t="s">
        <v>62</v>
      </c>
      <c r="M1262" s="5">
        <v>235000000</v>
      </c>
      <c r="N1262" s="2">
        <v>0</v>
      </c>
      <c r="O1262" s="2">
        <v>4.6024000000000003</v>
      </c>
      <c r="P1262" s="2">
        <v>-74.070700000000002</v>
      </c>
      <c r="Q1262" s="2" t="s">
        <v>3924</v>
      </c>
      <c r="R1262" s="2">
        <v>10681818.18</v>
      </c>
      <c r="S1262" s="2">
        <v>0</v>
      </c>
      <c r="T1262" s="2" t="s">
        <v>77</v>
      </c>
      <c r="U1262" s="2" t="s">
        <v>78</v>
      </c>
      <c r="V1262" s="2" t="s">
        <v>28</v>
      </c>
      <c r="W1262" s="2" t="s">
        <v>79</v>
      </c>
      <c r="X1262" s="2" t="s">
        <v>80</v>
      </c>
      <c r="Y1262" s="2">
        <v>2.60286126408573</v>
      </c>
      <c r="Z1262" s="2">
        <v>4.6254861111111101</v>
      </c>
      <c r="AA1262" s="2">
        <v>-74.066980555555503</v>
      </c>
      <c r="AB1262" s="2">
        <v>2621</v>
      </c>
      <c r="AC1262" s="2" t="s">
        <v>31</v>
      </c>
      <c r="AD1262" s="2" t="s">
        <v>32</v>
      </c>
      <c r="AE1262" s="2" t="s">
        <v>33</v>
      </c>
      <c r="AF1262" s="2" t="s">
        <v>34</v>
      </c>
      <c r="AG1262" s="2" t="s">
        <v>89</v>
      </c>
      <c r="AH1262" s="2">
        <v>0.25566841087481601</v>
      </c>
      <c r="AI1262" s="2">
        <v>0.75499844549339601</v>
      </c>
      <c r="AJ1262" s="2">
        <v>0.31027728974651397</v>
      </c>
      <c r="AK1262" s="2">
        <v>0.14586696380481101</v>
      </c>
      <c r="AL1262" s="2">
        <v>3.6479756449405397E-2</v>
      </c>
      <c r="AN1262" s="2">
        <v>6.8</v>
      </c>
      <c r="AO1262" s="2">
        <v>19.899999999999999</v>
      </c>
      <c r="AP1262" s="2">
        <v>564</v>
      </c>
      <c r="AQ1262" s="2">
        <v>68</v>
      </c>
      <c r="AR1262" s="2">
        <v>1.5</v>
      </c>
      <c r="AS1262" s="2">
        <v>135</v>
      </c>
      <c r="AT1262" s="2">
        <v>0.8</v>
      </c>
      <c r="AU1262" s="2">
        <v>162</v>
      </c>
      <c r="AV1262" s="2">
        <v>9.1</v>
      </c>
      <c r="AW1262" s="2">
        <v>9.1999999999999993</v>
      </c>
      <c r="AX1262" s="2">
        <v>18.3</v>
      </c>
      <c r="AY1262" s="2">
        <v>0.34</v>
      </c>
      <c r="AZ1262" s="2">
        <v>7.3</v>
      </c>
      <c r="BA1262" s="2">
        <v>0.9</v>
      </c>
      <c r="BB1262" s="2">
        <v>7.5</v>
      </c>
      <c r="BC1262" s="2">
        <v>2.9</v>
      </c>
      <c r="BD1262" s="2">
        <f>+AN1262*EXP(-0.0495*Y1262)</f>
        <v>5.9779696064192338</v>
      </c>
      <c r="BE1262" s="2">
        <f>+AO1262*EXP(-0.024*Y1262)</f>
        <v>18.694905645887225</v>
      </c>
    </row>
    <row r="1263" spans="1:57" x14ac:dyDescent="0.2">
      <c r="A1263" s="2" t="s">
        <v>3649</v>
      </c>
      <c r="B1263" s="2" t="s">
        <v>19</v>
      </c>
      <c r="C1263" s="2" t="s">
        <v>3245</v>
      </c>
      <c r="D1263" s="2" t="s">
        <v>21</v>
      </c>
      <c r="E1263" s="2" t="s">
        <v>332</v>
      </c>
      <c r="F1263" s="2">
        <v>4</v>
      </c>
      <c r="G1263" s="2">
        <v>22</v>
      </c>
      <c r="H1263" s="2">
        <v>1</v>
      </c>
      <c r="I1263" s="2">
        <v>1</v>
      </c>
      <c r="J1263" s="2">
        <v>0</v>
      </c>
      <c r="K1263" s="2" t="s">
        <v>61</v>
      </c>
      <c r="L1263" s="6" t="s">
        <v>84</v>
      </c>
      <c r="M1263" s="5">
        <v>235000000</v>
      </c>
      <c r="N1263" s="2">
        <v>0</v>
      </c>
      <c r="O1263" s="2">
        <v>4.603298187</v>
      </c>
      <c r="P1263" s="2">
        <v>-74.070320129999999</v>
      </c>
      <c r="Q1263" s="2" t="s">
        <v>3650</v>
      </c>
      <c r="R1263" s="2">
        <v>10681818.18</v>
      </c>
      <c r="S1263" s="2">
        <v>0</v>
      </c>
      <c r="T1263" s="2" t="s">
        <v>77</v>
      </c>
      <c r="U1263" s="2" t="s">
        <v>78</v>
      </c>
      <c r="V1263" s="2" t="s">
        <v>28</v>
      </c>
      <c r="W1263" s="2" t="s">
        <v>79</v>
      </c>
      <c r="X1263" s="2" t="s">
        <v>80</v>
      </c>
      <c r="Y1263" s="2">
        <v>2.4975900348759801</v>
      </c>
      <c r="Z1263" s="2">
        <v>4.6254861111111101</v>
      </c>
      <c r="AA1263" s="2">
        <v>-74.066980555555503</v>
      </c>
      <c r="AB1263" s="2">
        <v>2621</v>
      </c>
      <c r="AC1263" s="2" t="s">
        <v>31</v>
      </c>
      <c r="AD1263" s="2" t="s">
        <v>32</v>
      </c>
      <c r="AE1263" s="2" t="s">
        <v>33</v>
      </c>
      <c r="AF1263" s="2" t="s">
        <v>34</v>
      </c>
      <c r="AG1263" s="2" t="s">
        <v>89</v>
      </c>
      <c r="AH1263" s="2">
        <v>0.22710083708470999</v>
      </c>
      <c r="AI1263" s="2">
        <v>0.69062991222598602</v>
      </c>
      <c r="AJ1263" s="2">
        <v>0.28162759855806302</v>
      </c>
      <c r="AK1263" s="2">
        <v>0.15077704553652299</v>
      </c>
      <c r="AL1263" s="2">
        <v>3.5290973381480302E-2</v>
      </c>
      <c r="AN1263" s="2">
        <v>6.8</v>
      </c>
      <c r="AO1263" s="2">
        <v>19.899999999999999</v>
      </c>
      <c r="AP1263" s="2">
        <v>564</v>
      </c>
      <c r="AQ1263" s="2">
        <v>68</v>
      </c>
      <c r="AR1263" s="2">
        <v>1.5</v>
      </c>
      <c r="AS1263" s="2">
        <v>135</v>
      </c>
      <c r="AT1263" s="2">
        <v>0.8</v>
      </c>
      <c r="AU1263" s="2">
        <v>162</v>
      </c>
      <c r="AV1263" s="2">
        <v>9.1</v>
      </c>
      <c r="AW1263" s="2">
        <v>9.1999999999999993</v>
      </c>
      <c r="AX1263" s="2">
        <v>18.3</v>
      </c>
      <c r="AY1263" s="2">
        <v>0.34</v>
      </c>
      <c r="AZ1263" s="2">
        <v>7.3</v>
      </c>
      <c r="BA1263" s="2">
        <v>0.9</v>
      </c>
      <c r="BB1263" s="2">
        <v>7.5</v>
      </c>
      <c r="BC1263" s="2">
        <v>2.9</v>
      </c>
      <c r="BD1263" s="2">
        <f>+AN1263*EXP(-0.0495*Y1263)</f>
        <v>6.0092016660483374</v>
      </c>
      <c r="BE1263" s="2">
        <f>+AO1263*EXP(-0.024*Y1263)</f>
        <v>18.742198220034755</v>
      </c>
    </row>
    <row r="1264" spans="1:57" x14ac:dyDescent="0.2">
      <c r="A1264" s="2" t="s">
        <v>3748</v>
      </c>
      <c r="B1264" s="2" t="s">
        <v>19</v>
      </c>
      <c r="C1264" s="2" t="s">
        <v>3245</v>
      </c>
      <c r="D1264" s="2" t="s">
        <v>21</v>
      </c>
      <c r="E1264" s="2" t="s">
        <v>3749</v>
      </c>
      <c r="F1264" s="2">
        <v>4</v>
      </c>
      <c r="G1264" s="2">
        <v>22</v>
      </c>
      <c r="H1264" s="2">
        <v>1</v>
      </c>
      <c r="I1264" s="2">
        <v>1</v>
      </c>
      <c r="J1264" s="2">
        <v>0</v>
      </c>
      <c r="K1264" s="2" t="s">
        <v>61</v>
      </c>
      <c r="L1264" s="6" t="s">
        <v>62</v>
      </c>
      <c r="M1264" s="5">
        <v>220000000</v>
      </c>
      <c r="N1264" s="2">
        <v>0</v>
      </c>
      <c r="O1264" s="2">
        <v>4.6414642329999998</v>
      </c>
      <c r="P1264" s="2">
        <v>-74.077369689999998</v>
      </c>
      <c r="Q1264" s="2" t="s">
        <v>3750</v>
      </c>
      <c r="R1264" s="2">
        <v>10000000</v>
      </c>
      <c r="S1264" s="2">
        <v>0</v>
      </c>
      <c r="T1264" s="2" t="s">
        <v>26</v>
      </c>
      <c r="U1264" s="2" t="s">
        <v>27</v>
      </c>
      <c r="V1264" s="2" t="s">
        <v>28</v>
      </c>
      <c r="W1264" s="2" t="s">
        <v>29</v>
      </c>
      <c r="X1264" s="2" t="s">
        <v>30</v>
      </c>
      <c r="Y1264" s="2">
        <v>2.0293052681244101</v>
      </c>
      <c r="Z1264" s="2">
        <v>4.6584666666666701</v>
      </c>
      <c r="AA1264" s="2">
        <v>-74.083966666666697</v>
      </c>
      <c r="AB1264" s="2">
        <v>2552</v>
      </c>
      <c r="AC1264" s="2" t="s">
        <v>31</v>
      </c>
      <c r="AD1264" s="2" t="s">
        <v>32</v>
      </c>
      <c r="AE1264" s="2" t="s">
        <v>33</v>
      </c>
      <c r="AF1264" s="2" t="s">
        <v>34</v>
      </c>
      <c r="AG1264" s="2" t="s">
        <v>35</v>
      </c>
      <c r="AH1264" s="2">
        <v>0.45939211881233299</v>
      </c>
      <c r="AI1264" s="2">
        <v>2.1166030800949098</v>
      </c>
      <c r="AJ1264" s="2">
        <v>0.46190550399672298</v>
      </c>
      <c r="AK1264" s="2">
        <v>0.114552875473952</v>
      </c>
      <c r="AL1264" s="2">
        <v>0.68783720540346505</v>
      </c>
      <c r="AN1264" s="2">
        <v>6.8</v>
      </c>
      <c r="AO1264" s="2">
        <v>19.899999999999999</v>
      </c>
      <c r="AP1264" s="2">
        <v>564</v>
      </c>
      <c r="AQ1264" s="2">
        <v>68</v>
      </c>
      <c r="AR1264" s="2">
        <v>1.5</v>
      </c>
      <c r="AS1264" s="2">
        <v>135</v>
      </c>
      <c r="AT1264" s="2">
        <v>0.8</v>
      </c>
      <c r="AU1264" s="2">
        <v>162</v>
      </c>
      <c r="AV1264" s="2">
        <v>9.1</v>
      </c>
      <c r="AW1264" s="2">
        <v>9.1999999999999993</v>
      </c>
      <c r="AX1264" s="2">
        <v>18.3</v>
      </c>
      <c r="AY1264" s="2">
        <v>0.34</v>
      </c>
      <c r="AZ1264" s="2">
        <v>7.3</v>
      </c>
      <c r="BA1264" s="2">
        <v>0.9</v>
      </c>
      <c r="BB1264" s="2">
        <v>7.5</v>
      </c>
      <c r="BC1264" s="2">
        <v>2.9</v>
      </c>
      <c r="BD1264" s="2">
        <f>+AN1264*EXP(-0.0495*Y1264)</f>
        <v>6.1501225067077163</v>
      </c>
      <c r="BE1264" s="2">
        <f>+AO1264*EXP(-0.024*Y1264)</f>
        <v>18.954026805665265</v>
      </c>
    </row>
    <row r="1265" spans="1:57" x14ac:dyDescent="0.2">
      <c r="A1265" s="2" t="s">
        <v>3422</v>
      </c>
      <c r="B1265" s="2" t="s">
        <v>19</v>
      </c>
      <c r="C1265" s="2" t="s">
        <v>3245</v>
      </c>
      <c r="D1265" s="2" t="s">
        <v>21</v>
      </c>
      <c r="E1265" s="2" t="s">
        <v>1049</v>
      </c>
      <c r="F1265" s="2">
        <v>3</v>
      </c>
      <c r="G1265" s="2">
        <v>22</v>
      </c>
      <c r="H1265" s="2">
        <v>1</v>
      </c>
      <c r="I1265" s="2">
        <v>1</v>
      </c>
      <c r="J1265" s="2">
        <v>0</v>
      </c>
      <c r="K1265" s="2" t="s">
        <v>61</v>
      </c>
      <c r="L1265" s="6" t="s">
        <v>62</v>
      </c>
      <c r="M1265" s="5">
        <v>219000000</v>
      </c>
      <c r="N1265" s="2">
        <v>0</v>
      </c>
      <c r="O1265" s="2">
        <v>4.6109518999999999</v>
      </c>
      <c r="P1265" s="2">
        <v>-74.071258540000002</v>
      </c>
      <c r="Q1265" s="2" t="s">
        <v>3423</v>
      </c>
      <c r="R1265" s="2">
        <v>9954545.4550000001</v>
      </c>
      <c r="S1265" s="2">
        <v>0</v>
      </c>
      <c r="T1265" s="2" t="s">
        <v>77</v>
      </c>
      <c r="U1265" s="2" t="s">
        <v>78</v>
      </c>
      <c r="V1265" s="2" t="s">
        <v>28</v>
      </c>
      <c r="W1265" s="2" t="s">
        <v>79</v>
      </c>
      <c r="X1265" s="2" t="s">
        <v>80</v>
      </c>
      <c r="Y1265" s="2">
        <v>1.6861349831747201</v>
      </c>
      <c r="Z1265" s="2">
        <v>4.6254861111111101</v>
      </c>
      <c r="AA1265" s="2">
        <v>-74.066980555555503</v>
      </c>
      <c r="AB1265" s="2">
        <v>2621</v>
      </c>
      <c r="AC1265" s="2" t="s">
        <v>31</v>
      </c>
      <c r="AD1265" s="2" t="s">
        <v>32</v>
      </c>
      <c r="AE1265" s="2" t="s">
        <v>33</v>
      </c>
      <c r="AF1265" s="2" t="s">
        <v>34</v>
      </c>
      <c r="AG1265" s="2" t="s">
        <v>89</v>
      </c>
      <c r="AH1265" s="2">
        <v>2.7412834686535398E-2</v>
      </c>
      <c r="AI1265" s="2">
        <v>0.75273406931437203</v>
      </c>
      <c r="AJ1265" s="2">
        <v>0.15284068796981101</v>
      </c>
      <c r="AK1265" s="2">
        <v>0.33604796087546401</v>
      </c>
      <c r="AL1265" s="2">
        <v>5.1275955074568502E-2</v>
      </c>
      <c r="AN1265" s="2">
        <v>6.8</v>
      </c>
      <c r="AO1265" s="2">
        <v>19.899999999999999</v>
      </c>
      <c r="AP1265" s="2">
        <v>564</v>
      </c>
      <c r="AQ1265" s="2">
        <v>68</v>
      </c>
      <c r="AR1265" s="2">
        <v>1.5</v>
      </c>
      <c r="AS1265" s="2">
        <v>135</v>
      </c>
      <c r="AT1265" s="2">
        <v>0.8</v>
      </c>
      <c r="AU1265" s="2">
        <v>162</v>
      </c>
      <c r="AV1265" s="2">
        <v>9.1</v>
      </c>
      <c r="AW1265" s="2">
        <v>9.1999999999999993</v>
      </c>
      <c r="AX1265" s="2">
        <v>18.3</v>
      </c>
      <c r="AY1265" s="2">
        <v>0.34</v>
      </c>
      <c r="AZ1265" s="2">
        <v>7.3</v>
      </c>
      <c r="BA1265" s="2">
        <v>0.9</v>
      </c>
      <c r="BB1265" s="2">
        <v>7.5</v>
      </c>
      <c r="BC1265" s="2">
        <v>2.9</v>
      </c>
      <c r="BD1265" s="2">
        <f>+AN1265*EXP(-0.0495*Y1265)</f>
        <v>6.2554865740824424</v>
      </c>
      <c r="BE1265" s="2">
        <f>+AO1265*EXP(-0.024*Y1265)</f>
        <v>19.110778440340731</v>
      </c>
    </row>
    <row r="1266" spans="1:57" x14ac:dyDescent="0.2">
      <c r="A1266" s="2" t="s">
        <v>4577</v>
      </c>
      <c r="B1266" s="2" t="s">
        <v>19</v>
      </c>
      <c r="C1266" s="2" t="s">
        <v>3245</v>
      </c>
      <c r="D1266" s="2" t="s">
        <v>21</v>
      </c>
      <c r="E1266" s="2" t="s">
        <v>4109</v>
      </c>
      <c r="F1266" s="2">
        <v>4</v>
      </c>
      <c r="G1266" s="2">
        <v>22</v>
      </c>
      <c r="H1266" s="2">
        <v>1</v>
      </c>
      <c r="I1266" s="2">
        <v>1</v>
      </c>
      <c r="J1266" s="2">
        <v>0</v>
      </c>
      <c r="K1266" s="2" t="s">
        <v>61</v>
      </c>
      <c r="L1266" s="6" t="s">
        <v>84</v>
      </c>
      <c r="M1266" s="5">
        <v>212000000</v>
      </c>
      <c r="N1266" s="2">
        <v>0</v>
      </c>
      <c r="O1266" s="2">
        <v>4.6259317400000004</v>
      </c>
      <c r="P1266" s="2">
        <v>-74.082664489999999</v>
      </c>
      <c r="Q1266" s="2" t="s">
        <v>4578</v>
      </c>
      <c r="R1266" s="2">
        <v>9636363.6359999999</v>
      </c>
      <c r="S1266" s="2">
        <v>0</v>
      </c>
      <c r="T1266" s="2" t="s">
        <v>77</v>
      </c>
      <c r="U1266" s="2" t="s">
        <v>78</v>
      </c>
      <c r="V1266" s="2" t="s">
        <v>28</v>
      </c>
      <c r="W1266" s="2" t="s">
        <v>79</v>
      </c>
      <c r="X1266" s="2" t="s">
        <v>80</v>
      </c>
      <c r="Y1266" s="2">
        <v>1.7409476531972701</v>
      </c>
      <c r="Z1266" s="2">
        <v>4.6254861111111101</v>
      </c>
      <c r="AA1266" s="2">
        <v>-74.066980555555503</v>
      </c>
      <c r="AB1266" s="2">
        <v>2621</v>
      </c>
      <c r="AC1266" s="2" t="s">
        <v>31</v>
      </c>
      <c r="AD1266" s="2" t="s">
        <v>32</v>
      </c>
      <c r="AE1266" s="2" t="s">
        <v>33</v>
      </c>
      <c r="AF1266" s="2" t="s">
        <v>34</v>
      </c>
      <c r="AG1266" s="2" t="s">
        <v>35</v>
      </c>
      <c r="AH1266" s="2">
        <v>0.26341738498117401</v>
      </c>
      <c r="AI1266" s="2">
        <v>2.4066073461787898</v>
      </c>
      <c r="AJ1266" s="2">
        <v>0.73566211394586301</v>
      </c>
      <c r="AK1266" s="2">
        <v>0.11287713828839201</v>
      </c>
      <c r="AL1266" s="2">
        <v>0.39537927987312299</v>
      </c>
      <c r="AN1266" s="2">
        <v>6.8</v>
      </c>
      <c r="AO1266" s="2">
        <v>19.899999999999999</v>
      </c>
      <c r="AP1266" s="2">
        <v>564</v>
      </c>
      <c r="AQ1266" s="2">
        <v>68</v>
      </c>
      <c r="AR1266" s="2">
        <v>1.5</v>
      </c>
      <c r="AS1266" s="2">
        <v>135</v>
      </c>
      <c r="AT1266" s="2">
        <v>0.8</v>
      </c>
      <c r="AU1266" s="2">
        <v>162</v>
      </c>
      <c r="AV1266" s="2">
        <v>9.1</v>
      </c>
      <c r="AW1266" s="2">
        <v>9.1999999999999993</v>
      </c>
      <c r="AX1266" s="2">
        <v>18.3</v>
      </c>
      <c r="AY1266" s="2">
        <v>0.34</v>
      </c>
      <c r="AZ1266" s="2">
        <v>7.3</v>
      </c>
      <c r="BA1266" s="2">
        <v>0.9</v>
      </c>
      <c r="BB1266" s="2">
        <v>7.5</v>
      </c>
      <c r="BC1266" s="2">
        <v>2.9</v>
      </c>
      <c r="BD1266" s="2">
        <f>+AN1266*EXP(-0.0495*Y1266)</f>
        <v>6.2385370223624426</v>
      </c>
      <c r="BE1266" s="2">
        <f>+AO1266*EXP(-0.024*Y1266)</f>
        <v>19.085654662159666</v>
      </c>
    </row>
    <row r="1267" spans="1:57" x14ac:dyDescent="0.2">
      <c r="A1267" s="2" t="s">
        <v>3802</v>
      </c>
      <c r="B1267" s="2" t="s">
        <v>19</v>
      </c>
      <c r="C1267" s="2" t="s">
        <v>3245</v>
      </c>
      <c r="D1267" s="2" t="s">
        <v>21</v>
      </c>
      <c r="E1267" s="2" t="s">
        <v>1792</v>
      </c>
      <c r="F1267" s="2">
        <v>3</v>
      </c>
      <c r="G1267" s="2">
        <v>21.97</v>
      </c>
      <c r="H1267" s="2">
        <v>1</v>
      </c>
      <c r="I1267" s="2">
        <v>1</v>
      </c>
      <c r="J1267" s="2">
        <v>1</v>
      </c>
      <c r="K1267" s="2" t="s">
        <v>61</v>
      </c>
      <c r="L1267" s="6" t="s">
        <v>62</v>
      </c>
      <c r="M1267" s="5">
        <v>165000000</v>
      </c>
      <c r="N1267" s="2">
        <v>0</v>
      </c>
      <c r="O1267" s="2">
        <v>4.5830555759999996</v>
      </c>
      <c r="P1267" s="2">
        <v>-74.115164280000002</v>
      </c>
      <c r="Q1267" s="2" t="s">
        <v>3803</v>
      </c>
      <c r="R1267" s="2">
        <v>7510241.2379999999</v>
      </c>
      <c r="S1267" s="2">
        <v>0</v>
      </c>
      <c r="T1267" s="2" t="s">
        <v>1794</v>
      </c>
      <c r="U1267" s="2" t="s">
        <v>1795</v>
      </c>
      <c r="V1267" s="2" t="s">
        <v>28</v>
      </c>
      <c r="W1267" s="2" t="s">
        <v>1796</v>
      </c>
      <c r="X1267" s="2" t="s">
        <v>1797</v>
      </c>
      <c r="Y1267" s="2">
        <v>1.9101315583693399</v>
      </c>
      <c r="Z1267" s="2">
        <v>4.576225</v>
      </c>
      <c r="AA1267" s="2">
        <v>-74.130955555555502</v>
      </c>
      <c r="AB1267" s="2">
        <v>2589</v>
      </c>
      <c r="AC1267" s="2" t="s">
        <v>31</v>
      </c>
      <c r="AD1267" s="2" t="s">
        <v>58</v>
      </c>
      <c r="AE1267" s="2" t="s">
        <v>33</v>
      </c>
      <c r="AF1267" s="2" t="s">
        <v>34</v>
      </c>
      <c r="AG1267" s="2" t="s">
        <v>1798</v>
      </c>
      <c r="AH1267" s="2">
        <v>0.69570392518838298</v>
      </c>
      <c r="AI1267" s="2">
        <v>4.5874623971891699</v>
      </c>
      <c r="AJ1267" s="2">
        <v>1.7714964341094399</v>
      </c>
      <c r="AK1267" s="2">
        <v>6.77447119961892E-2</v>
      </c>
      <c r="AL1267" s="2">
        <v>8.7142304888454605E-2</v>
      </c>
      <c r="AN1267" s="2">
        <v>6.8</v>
      </c>
      <c r="AO1267" s="2">
        <v>19.899999999999999</v>
      </c>
      <c r="AP1267" s="2">
        <v>564</v>
      </c>
      <c r="AQ1267" s="2">
        <v>68</v>
      </c>
      <c r="AR1267" s="2">
        <v>1.5</v>
      </c>
      <c r="AS1267" s="2">
        <v>135</v>
      </c>
      <c r="AT1267" s="2">
        <v>0.8</v>
      </c>
      <c r="AU1267" s="2">
        <v>162</v>
      </c>
      <c r="AV1267" s="2">
        <v>9.1</v>
      </c>
      <c r="AW1267" s="2">
        <v>9.1999999999999993</v>
      </c>
      <c r="AX1267" s="2">
        <v>18.3</v>
      </c>
      <c r="AY1267" s="2">
        <v>0.34</v>
      </c>
      <c r="AZ1267" s="2">
        <v>7.3</v>
      </c>
      <c r="BA1267" s="2">
        <v>0.9</v>
      </c>
      <c r="BB1267" s="2">
        <v>7.5</v>
      </c>
      <c r="BC1267" s="2">
        <v>2.9</v>
      </c>
      <c r="BD1267" s="2">
        <f>+AN1267*EXP(-0.0495*Y1267)</f>
        <v>6.1865099068889142</v>
      </c>
      <c r="BE1267" s="2">
        <f>+AO1267*EXP(-0.024*Y1267)</f>
        <v>19.008316127515585</v>
      </c>
    </row>
    <row r="1268" spans="1:57" x14ac:dyDescent="0.2">
      <c r="A1268" s="2" t="s">
        <v>3458</v>
      </c>
      <c r="B1268" s="2" t="s">
        <v>19</v>
      </c>
      <c r="C1268" s="2" t="s">
        <v>3245</v>
      </c>
      <c r="D1268" s="2" t="s">
        <v>21</v>
      </c>
      <c r="E1268" s="2" t="s">
        <v>3459</v>
      </c>
      <c r="F1268" s="2">
        <v>3</v>
      </c>
      <c r="G1268" s="2">
        <v>21.91</v>
      </c>
      <c r="H1268" s="2">
        <v>1</v>
      </c>
      <c r="I1268" s="2">
        <v>1</v>
      </c>
      <c r="J1268" s="2">
        <v>0</v>
      </c>
      <c r="K1268" s="2" t="s">
        <v>61</v>
      </c>
      <c r="L1268" s="6" t="s">
        <v>84</v>
      </c>
      <c r="M1268" s="5">
        <v>250000000</v>
      </c>
      <c r="N1268" s="2">
        <v>0</v>
      </c>
      <c r="O1268" s="2">
        <v>4.6023598999999997</v>
      </c>
      <c r="P1268" s="2">
        <v>-74.070639999999997</v>
      </c>
      <c r="Q1268" s="2" t="s">
        <v>3460</v>
      </c>
      <c r="R1268" s="2">
        <v>11410314.92</v>
      </c>
      <c r="S1268" s="2">
        <v>0</v>
      </c>
      <c r="T1268" s="2" t="s">
        <v>77</v>
      </c>
      <c r="U1268" s="2" t="s">
        <v>78</v>
      </c>
      <c r="V1268" s="2" t="s">
        <v>28</v>
      </c>
      <c r="W1268" s="2" t="s">
        <v>79</v>
      </c>
      <c r="X1268" s="2" t="s">
        <v>80</v>
      </c>
      <c r="Y1268" s="2">
        <v>2.6062232733349902</v>
      </c>
      <c r="Z1268" s="2">
        <v>4.6254861111111101</v>
      </c>
      <c r="AA1268" s="2">
        <v>-74.066980555555503</v>
      </c>
      <c r="AB1268" s="2">
        <v>2621</v>
      </c>
      <c r="AC1268" s="2" t="s">
        <v>31</v>
      </c>
      <c r="AD1268" s="2" t="s">
        <v>32</v>
      </c>
      <c r="AE1268" s="2" t="s">
        <v>33</v>
      </c>
      <c r="AF1268" s="2" t="s">
        <v>34</v>
      </c>
      <c r="AG1268" s="2" t="s">
        <v>89</v>
      </c>
      <c r="AH1268" s="2">
        <v>0.24942807750848001</v>
      </c>
      <c r="AI1268" s="2">
        <v>0.74970684997677395</v>
      </c>
      <c r="AJ1268" s="2">
        <v>0.30665810133853699</v>
      </c>
      <c r="AK1268" s="2">
        <v>0.14606478813190199</v>
      </c>
      <c r="AL1268" s="2">
        <v>4.4427298027160902E-2</v>
      </c>
      <c r="AN1268" s="2">
        <v>6.8</v>
      </c>
      <c r="AO1268" s="2">
        <v>19.899999999999999</v>
      </c>
      <c r="AP1268" s="2">
        <v>564</v>
      </c>
      <c r="AQ1268" s="2">
        <v>68</v>
      </c>
      <c r="AR1268" s="2">
        <v>1.5</v>
      </c>
      <c r="AS1268" s="2">
        <v>135</v>
      </c>
      <c r="AT1268" s="2">
        <v>0.8</v>
      </c>
      <c r="AU1268" s="2">
        <v>162</v>
      </c>
      <c r="AV1268" s="2">
        <v>9.1</v>
      </c>
      <c r="AW1268" s="2">
        <v>9.1999999999999993</v>
      </c>
      <c r="AX1268" s="2">
        <v>18.3</v>
      </c>
      <c r="AY1268" s="2">
        <v>0.34</v>
      </c>
      <c r="AZ1268" s="2">
        <v>7.3</v>
      </c>
      <c r="BA1268" s="2">
        <v>0.9</v>
      </c>
      <c r="BB1268" s="2">
        <v>7.5</v>
      </c>
      <c r="BC1268" s="2">
        <v>2.9</v>
      </c>
      <c r="BD1268" s="2">
        <f>+AN1268*EXP(-0.0495*Y1268)</f>
        <v>5.9769748387350052</v>
      </c>
      <c r="BE1268" s="2">
        <f>+AO1268*EXP(-0.024*Y1268)</f>
        <v>18.69339724804632</v>
      </c>
    </row>
    <row r="1269" spans="1:57" x14ac:dyDescent="0.2">
      <c r="A1269" s="2" t="s">
        <v>4504</v>
      </c>
      <c r="B1269" s="2" t="s">
        <v>19</v>
      </c>
      <c r="C1269" s="2" t="s">
        <v>3245</v>
      </c>
      <c r="D1269" s="2" t="s">
        <v>21</v>
      </c>
      <c r="E1269" s="2" t="s">
        <v>22</v>
      </c>
      <c r="F1269" s="2">
        <v>4</v>
      </c>
      <c r="G1269" s="2">
        <v>21.88</v>
      </c>
      <c r="H1269" s="2">
        <v>1</v>
      </c>
      <c r="I1269" s="2">
        <v>1</v>
      </c>
      <c r="J1269" s="2">
        <v>0</v>
      </c>
      <c r="K1269" s="2" t="s">
        <v>61</v>
      </c>
      <c r="L1269" s="6" t="s">
        <v>62</v>
      </c>
      <c r="M1269" s="5">
        <v>300000000</v>
      </c>
      <c r="N1269" s="2">
        <v>0</v>
      </c>
      <c r="O1269" s="2">
        <v>4.6457829479999999</v>
      </c>
      <c r="P1269" s="2">
        <v>-74.073036189999996</v>
      </c>
      <c r="Q1269" s="2" t="s">
        <v>4505</v>
      </c>
      <c r="R1269" s="2">
        <v>13711151.74</v>
      </c>
      <c r="S1269" s="2">
        <v>0</v>
      </c>
      <c r="T1269" s="2" t="s">
        <v>26</v>
      </c>
      <c r="U1269" s="2" t="s">
        <v>27</v>
      </c>
      <c r="V1269" s="2" t="s">
        <v>28</v>
      </c>
      <c r="W1269" s="2" t="s">
        <v>29</v>
      </c>
      <c r="X1269" s="2" t="s">
        <v>30</v>
      </c>
      <c r="Y1269" s="2">
        <v>1.8612875650996601</v>
      </c>
      <c r="Z1269" s="2">
        <v>4.6584666666666701</v>
      </c>
      <c r="AA1269" s="2">
        <v>-74.083966666666697</v>
      </c>
      <c r="AB1269" s="2">
        <v>2552</v>
      </c>
      <c r="AC1269" s="2" t="s">
        <v>31</v>
      </c>
      <c r="AD1269" s="2" t="s">
        <v>32</v>
      </c>
      <c r="AE1269" s="2" t="s">
        <v>33</v>
      </c>
      <c r="AF1269" s="2" t="s">
        <v>34</v>
      </c>
      <c r="AG1269" s="2" t="s">
        <v>35</v>
      </c>
      <c r="AH1269" s="2">
        <v>0.630601776084461</v>
      </c>
      <c r="AI1269" s="2">
        <v>1.7994718305256301</v>
      </c>
      <c r="AJ1269" s="2">
        <v>0.297867475705617</v>
      </c>
      <c r="AK1269" s="2">
        <v>0.13985065290252399</v>
      </c>
      <c r="AL1269" s="2">
        <v>0.433516718364029</v>
      </c>
      <c r="AN1269" s="2">
        <v>6.8</v>
      </c>
      <c r="AO1269" s="2">
        <v>19.899999999999999</v>
      </c>
      <c r="AP1269" s="2">
        <v>564</v>
      </c>
      <c r="AQ1269" s="2">
        <v>68</v>
      </c>
      <c r="AR1269" s="2">
        <v>1.5</v>
      </c>
      <c r="AS1269" s="2">
        <v>135</v>
      </c>
      <c r="AT1269" s="2">
        <v>0.8</v>
      </c>
      <c r="AU1269" s="2">
        <v>162</v>
      </c>
      <c r="AV1269" s="2">
        <v>9.1</v>
      </c>
      <c r="AW1269" s="2">
        <v>9.1999999999999993</v>
      </c>
      <c r="AX1269" s="2">
        <v>18.3</v>
      </c>
      <c r="AY1269" s="2">
        <v>0.34</v>
      </c>
      <c r="AZ1269" s="2">
        <v>7.3</v>
      </c>
      <c r="BA1269" s="2">
        <v>0.9</v>
      </c>
      <c r="BB1269" s="2">
        <v>7.5</v>
      </c>
      <c r="BC1269" s="2">
        <v>2.9</v>
      </c>
      <c r="BD1269" s="2">
        <f>+AN1269*EXP(-0.0495*Y1269)</f>
        <v>6.2014856090414119</v>
      </c>
      <c r="BE1269" s="2">
        <f>+AO1269*EXP(-0.024*Y1269)</f>
        <v>19.030611802640063</v>
      </c>
    </row>
    <row r="1270" spans="1:57" x14ac:dyDescent="0.2">
      <c r="A1270" s="2" t="s">
        <v>3876</v>
      </c>
      <c r="B1270" s="2" t="s">
        <v>19</v>
      </c>
      <c r="C1270" s="2" t="s">
        <v>3245</v>
      </c>
      <c r="D1270" s="2" t="s">
        <v>21</v>
      </c>
      <c r="E1270" s="2" t="s">
        <v>180</v>
      </c>
      <c r="F1270" s="2">
        <v>5</v>
      </c>
      <c r="G1270" s="2">
        <v>21.77</v>
      </c>
      <c r="H1270" s="2">
        <v>1</v>
      </c>
      <c r="I1270" s="2">
        <v>1</v>
      </c>
      <c r="J1270" s="2">
        <v>1</v>
      </c>
      <c r="K1270" s="2" t="s">
        <v>61</v>
      </c>
      <c r="L1270" s="6" t="s">
        <v>62</v>
      </c>
      <c r="M1270" s="5">
        <v>399000000</v>
      </c>
      <c r="N1270" s="2">
        <v>0</v>
      </c>
      <c r="O1270" s="2">
        <v>4.6815899999999999</v>
      </c>
      <c r="P1270" s="2">
        <v>-74.055989999999994</v>
      </c>
      <c r="Q1270" s="2" t="s">
        <v>3877</v>
      </c>
      <c r="R1270" s="2">
        <v>18327974.280000001</v>
      </c>
      <c r="S1270" s="2">
        <v>0</v>
      </c>
      <c r="T1270" s="2" t="s">
        <v>26</v>
      </c>
      <c r="U1270" s="2" t="s">
        <v>27</v>
      </c>
      <c r="V1270" s="2" t="s">
        <v>28</v>
      </c>
      <c r="W1270" s="2" t="s">
        <v>29</v>
      </c>
      <c r="X1270" s="2" t="s">
        <v>30</v>
      </c>
      <c r="Y1270" s="2">
        <v>4.0324617441696402</v>
      </c>
      <c r="Z1270" s="2">
        <v>4.6584666666666701</v>
      </c>
      <c r="AA1270" s="2">
        <v>-74.083966666666697</v>
      </c>
      <c r="AB1270" s="2">
        <v>2552</v>
      </c>
      <c r="AC1270" s="2" t="s">
        <v>31</v>
      </c>
      <c r="AD1270" s="2" t="s">
        <v>32</v>
      </c>
      <c r="AE1270" s="2" t="s">
        <v>33</v>
      </c>
      <c r="AF1270" s="2" t="s">
        <v>34</v>
      </c>
      <c r="AG1270" s="2" t="s">
        <v>81</v>
      </c>
      <c r="AH1270" s="2">
        <v>0.32319933540790902</v>
      </c>
      <c r="AI1270" s="2">
        <v>2.0100879112365999</v>
      </c>
      <c r="AJ1270" s="2">
        <v>0.58030753970485704</v>
      </c>
      <c r="AK1270" s="2">
        <v>5.3124009551947002E-2</v>
      </c>
      <c r="AL1270" s="2">
        <v>0.33318862318016201</v>
      </c>
      <c r="AN1270" s="2">
        <v>6.8</v>
      </c>
      <c r="AO1270" s="2">
        <v>19.899999999999999</v>
      </c>
      <c r="AP1270" s="2">
        <v>564</v>
      </c>
      <c r="AQ1270" s="2">
        <v>68</v>
      </c>
      <c r="AR1270" s="2">
        <v>1.5</v>
      </c>
      <c r="AS1270" s="2">
        <v>135</v>
      </c>
      <c r="AT1270" s="2">
        <v>0.8</v>
      </c>
      <c r="AU1270" s="2">
        <v>162</v>
      </c>
      <c r="AV1270" s="2">
        <v>9.1</v>
      </c>
      <c r="AW1270" s="2">
        <v>9.1999999999999993</v>
      </c>
      <c r="AX1270" s="2">
        <v>18.3</v>
      </c>
      <c r="AY1270" s="2">
        <v>0.34</v>
      </c>
      <c r="AZ1270" s="2">
        <v>7.3</v>
      </c>
      <c r="BA1270" s="2">
        <v>0.9</v>
      </c>
      <c r="BB1270" s="2">
        <v>7.5</v>
      </c>
      <c r="BC1270" s="2">
        <v>2.9</v>
      </c>
      <c r="BD1270" s="2">
        <f>+AN1270*EXP(-0.0495*Y1270)</f>
        <v>5.5695583271311842</v>
      </c>
      <c r="BE1270" s="2">
        <f>+AO1270*EXP(-0.024*Y1270)</f>
        <v>18.064354824937684</v>
      </c>
    </row>
    <row r="1271" spans="1:57" x14ac:dyDescent="0.2">
      <c r="A1271" s="2" t="s">
        <v>3880</v>
      </c>
      <c r="B1271" s="2" t="s">
        <v>19</v>
      </c>
      <c r="C1271" s="2" t="s">
        <v>3245</v>
      </c>
      <c r="D1271" s="2" t="s">
        <v>21</v>
      </c>
      <c r="E1271" s="2" t="s">
        <v>1609</v>
      </c>
      <c r="F1271" s="2">
        <v>5</v>
      </c>
      <c r="G1271" s="2">
        <v>21.77</v>
      </c>
      <c r="H1271" s="2">
        <v>1</v>
      </c>
      <c r="I1271" s="2">
        <v>1</v>
      </c>
      <c r="J1271" s="2">
        <v>1</v>
      </c>
      <c r="K1271" s="2" t="s">
        <v>61</v>
      </c>
      <c r="L1271" s="6" t="s">
        <v>62</v>
      </c>
      <c r="M1271" s="5">
        <v>399000000</v>
      </c>
      <c r="N1271" s="2">
        <v>0</v>
      </c>
      <c r="O1271" s="2">
        <v>4.6815899999999999</v>
      </c>
      <c r="P1271" s="2">
        <v>-74.055989999999994</v>
      </c>
      <c r="Q1271" s="2" t="s">
        <v>3881</v>
      </c>
      <c r="R1271" s="2">
        <v>18327974.280000001</v>
      </c>
      <c r="S1271" s="2">
        <v>0</v>
      </c>
      <c r="T1271" s="2" t="s">
        <v>26</v>
      </c>
      <c r="U1271" s="2" t="s">
        <v>27</v>
      </c>
      <c r="V1271" s="2" t="s">
        <v>28</v>
      </c>
      <c r="W1271" s="2" t="s">
        <v>29</v>
      </c>
      <c r="X1271" s="2" t="s">
        <v>30</v>
      </c>
      <c r="Y1271" s="2">
        <v>4.0324617441696402</v>
      </c>
      <c r="Z1271" s="2">
        <v>4.6584666666666701</v>
      </c>
      <c r="AA1271" s="2">
        <v>-74.083966666666697</v>
      </c>
      <c r="AB1271" s="2">
        <v>2552</v>
      </c>
      <c r="AC1271" s="2" t="s">
        <v>31</v>
      </c>
      <c r="AD1271" s="2" t="s">
        <v>32</v>
      </c>
      <c r="AE1271" s="2" t="s">
        <v>33</v>
      </c>
      <c r="AF1271" s="2" t="s">
        <v>34</v>
      </c>
      <c r="AG1271" s="2" t="s">
        <v>81</v>
      </c>
      <c r="AH1271" s="2">
        <v>0.32319933540790902</v>
      </c>
      <c r="AI1271" s="2">
        <v>2.0100879112365999</v>
      </c>
      <c r="AJ1271" s="2">
        <v>0.58030753970485704</v>
      </c>
      <c r="AK1271" s="2">
        <v>5.3124009551947002E-2</v>
      </c>
      <c r="AL1271" s="2">
        <v>0.33318862318016201</v>
      </c>
      <c r="AN1271" s="2">
        <v>6.8</v>
      </c>
      <c r="AO1271" s="2">
        <v>19.899999999999999</v>
      </c>
      <c r="AP1271" s="2">
        <v>564</v>
      </c>
      <c r="AQ1271" s="2">
        <v>68</v>
      </c>
      <c r="AR1271" s="2">
        <v>1.5</v>
      </c>
      <c r="AS1271" s="2">
        <v>135</v>
      </c>
      <c r="AT1271" s="2">
        <v>0.8</v>
      </c>
      <c r="AU1271" s="2">
        <v>162</v>
      </c>
      <c r="AV1271" s="2">
        <v>9.1</v>
      </c>
      <c r="AW1271" s="2">
        <v>9.1999999999999993</v>
      </c>
      <c r="AX1271" s="2">
        <v>18.3</v>
      </c>
      <c r="AY1271" s="2">
        <v>0.34</v>
      </c>
      <c r="AZ1271" s="2">
        <v>7.3</v>
      </c>
      <c r="BA1271" s="2">
        <v>0.9</v>
      </c>
      <c r="BB1271" s="2">
        <v>7.5</v>
      </c>
      <c r="BC1271" s="2">
        <v>2.9</v>
      </c>
      <c r="BD1271" s="2">
        <f>+AN1271*EXP(-0.0495*Y1271)</f>
        <v>5.5695583271311842</v>
      </c>
      <c r="BE1271" s="2">
        <f>+AO1271*EXP(-0.024*Y1271)</f>
        <v>18.064354824937684</v>
      </c>
    </row>
    <row r="1272" spans="1:57" x14ac:dyDescent="0.2">
      <c r="A1272" s="2" t="s">
        <v>3436</v>
      </c>
      <c r="B1272" s="2" t="s">
        <v>19</v>
      </c>
      <c r="C1272" s="2" t="s">
        <v>3245</v>
      </c>
      <c r="D1272" s="2" t="s">
        <v>21</v>
      </c>
      <c r="E1272" s="2" t="s">
        <v>3437</v>
      </c>
      <c r="F1272" s="2">
        <v>4</v>
      </c>
      <c r="G1272" s="2">
        <v>21.75</v>
      </c>
      <c r="H1272" s="2">
        <v>1</v>
      </c>
      <c r="I1272" s="2">
        <v>1</v>
      </c>
      <c r="J1272" s="2">
        <v>0</v>
      </c>
      <c r="K1272" s="2" t="s">
        <v>61</v>
      </c>
      <c r="L1272" s="6" t="s">
        <v>62</v>
      </c>
      <c r="M1272" s="5">
        <v>290000000</v>
      </c>
      <c r="N1272" s="2">
        <v>0</v>
      </c>
      <c r="O1272" s="2">
        <v>4.6295042039999998</v>
      </c>
      <c r="P1272" s="2">
        <v>-74.085083010000005</v>
      </c>
      <c r="Q1272" s="2" t="s">
        <v>3438</v>
      </c>
      <c r="R1272" s="2">
        <v>13333333.33</v>
      </c>
      <c r="S1272" s="2">
        <v>0</v>
      </c>
      <c r="T1272" s="2" t="s">
        <v>77</v>
      </c>
      <c r="U1272" s="2" t="s">
        <v>78</v>
      </c>
      <c r="V1272" s="2" t="s">
        <v>28</v>
      </c>
      <c r="W1272" s="2" t="s">
        <v>79</v>
      </c>
      <c r="X1272" s="2" t="s">
        <v>80</v>
      </c>
      <c r="Y1272" s="2">
        <v>2.0577882707408501</v>
      </c>
      <c r="Z1272" s="2">
        <v>4.6254861111111101</v>
      </c>
      <c r="AA1272" s="2">
        <v>-74.066980555555503</v>
      </c>
      <c r="AB1272" s="2">
        <v>2621</v>
      </c>
      <c r="AC1272" s="2" t="s">
        <v>31</v>
      </c>
      <c r="AD1272" s="2" t="s">
        <v>32</v>
      </c>
      <c r="AE1272" s="2" t="s">
        <v>33</v>
      </c>
      <c r="AF1272" s="2" t="s">
        <v>34</v>
      </c>
      <c r="AG1272" s="2" t="s">
        <v>35</v>
      </c>
      <c r="AH1272" s="2">
        <v>0.229623024131731</v>
      </c>
      <c r="AI1272" s="2">
        <v>2.6769701253212199</v>
      </c>
      <c r="AJ1272" s="2">
        <v>0.55686167154329302</v>
      </c>
      <c r="AK1272" s="2">
        <v>0.28121819935839398</v>
      </c>
      <c r="AL1272" s="2">
        <v>6.6124065029777301E-2</v>
      </c>
      <c r="AN1272" s="2">
        <v>6.8</v>
      </c>
      <c r="AO1272" s="2">
        <v>19.899999999999999</v>
      </c>
      <c r="AP1272" s="2">
        <v>564</v>
      </c>
      <c r="AQ1272" s="2">
        <v>68</v>
      </c>
      <c r="AR1272" s="2">
        <v>1.5</v>
      </c>
      <c r="AS1272" s="2">
        <v>135</v>
      </c>
      <c r="AT1272" s="2">
        <v>0.8</v>
      </c>
      <c r="AU1272" s="2">
        <v>162</v>
      </c>
      <c r="AV1272" s="2">
        <v>9.1</v>
      </c>
      <c r="AW1272" s="2">
        <v>9.1999999999999993</v>
      </c>
      <c r="AX1272" s="2">
        <v>18.3</v>
      </c>
      <c r="AY1272" s="2">
        <v>0.34</v>
      </c>
      <c r="AZ1272" s="2">
        <v>7.3</v>
      </c>
      <c r="BA1272" s="2">
        <v>0.9</v>
      </c>
      <c r="BB1272" s="2">
        <v>7.5</v>
      </c>
      <c r="BC1272" s="2">
        <v>2.9</v>
      </c>
      <c r="BD1272" s="2">
        <f>+AN1272*EXP(-0.0495*Y1272)</f>
        <v>6.1414575057781233</v>
      </c>
      <c r="BE1272" s="2">
        <f>+AO1272*EXP(-0.024*Y1272)</f>
        <v>18.941074410964411</v>
      </c>
    </row>
    <row r="1273" spans="1:57" x14ac:dyDescent="0.2">
      <c r="A1273" s="2" t="s">
        <v>3251</v>
      </c>
      <c r="B1273" s="2" t="s">
        <v>19</v>
      </c>
      <c r="C1273" s="2" t="s">
        <v>3245</v>
      </c>
      <c r="D1273" s="2" t="s">
        <v>21</v>
      </c>
      <c r="E1273" s="2" t="s">
        <v>293</v>
      </c>
      <c r="F1273" s="2">
        <v>3</v>
      </c>
      <c r="G1273" s="2">
        <v>21.42</v>
      </c>
      <c r="H1273" s="2">
        <v>1</v>
      </c>
      <c r="I1273" s="2">
        <v>1</v>
      </c>
      <c r="J1273" s="2">
        <v>0</v>
      </c>
      <c r="K1273" s="2" t="s">
        <v>23</v>
      </c>
      <c r="L1273" s="6" t="s">
        <v>24</v>
      </c>
      <c r="M1273" s="5">
        <v>282333413</v>
      </c>
      <c r="N1273" s="2">
        <v>0</v>
      </c>
      <c r="O1273" s="2">
        <v>4.6622304999999997</v>
      </c>
      <c r="P1273" s="2">
        <v>-74.06617</v>
      </c>
      <c r="Q1273" s="2" t="s">
        <v>3252</v>
      </c>
      <c r="R1273" s="2">
        <v>13180831.609999999</v>
      </c>
      <c r="S1273" s="2">
        <v>0</v>
      </c>
      <c r="T1273" s="2" t="s">
        <v>26</v>
      </c>
      <c r="U1273" s="2" t="s">
        <v>27</v>
      </c>
      <c r="V1273" s="2" t="s">
        <v>28</v>
      </c>
      <c r="W1273" s="2" t="s">
        <v>29</v>
      </c>
      <c r="X1273" s="2" t="s">
        <v>30</v>
      </c>
      <c r="Y1273" s="2">
        <v>2.0185296347185302</v>
      </c>
      <c r="Z1273" s="2">
        <v>4.6584666666666701</v>
      </c>
      <c r="AA1273" s="2">
        <v>-74.083966666666697</v>
      </c>
      <c r="AB1273" s="2">
        <v>2552</v>
      </c>
      <c r="AC1273" s="2" t="s">
        <v>31</v>
      </c>
      <c r="AD1273" s="2" t="s">
        <v>32</v>
      </c>
      <c r="AE1273" s="2" t="s">
        <v>33</v>
      </c>
      <c r="AF1273" s="2" t="s">
        <v>34</v>
      </c>
      <c r="AG1273" s="2" t="s">
        <v>293</v>
      </c>
      <c r="AH1273" s="2">
        <v>0.55141481356139399</v>
      </c>
      <c r="AI1273" s="2">
        <v>2.1460441379569901</v>
      </c>
      <c r="AJ1273" s="2">
        <v>0.28648131670246102</v>
      </c>
      <c r="AK1273" s="2">
        <v>9.1276902390644205E-2</v>
      </c>
      <c r="AL1273" s="2">
        <v>0.28833356051398301</v>
      </c>
      <c r="AN1273" s="2">
        <v>6.8</v>
      </c>
      <c r="AO1273" s="2">
        <v>19.899999999999999</v>
      </c>
      <c r="AP1273" s="2">
        <v>564</v>
      </c>
      <c r="AQ1273" s="2">
        <v>68</v>
      </c>
      <c r="AR1273" s="2">
        <v>1.5</v>
      </c>
      <c r="AS1273" s="2">
        <v>135</v>
      </c>
      <c r="AT1273" s="2">
        <v>0.8</v>
      </c>
      <c r="AU1273" s="2">
        <v>162</v>
      </c>
      <c r="AV1273" s="2">
        <v>9.1</v>
      </c>
      <c r="AW1273" s="2">
        <v>9.1999999999999993</v>
      </c>
      <c r="AX1273" s="2">
        <v>18.3</v>
      </c>
      <c r="AY1273" s="2">
        <v>0.34</v>
      </c>
      <c r="AZ1273" s="2">
        <v>7.3</v>
      </c>
      <c r="BA1273" s="2">
        <v>0.9</v>
      </c>
      <c r="BB1273" s="2">
        <v>7.5</v>
      </c>
      <c r="BC1273" s="2">
        <v>2.9</v>
      </c>
      <c r="BD1273" s="2">
        <f>+AN1273*EXP(-0.0495*Y1273)</f>
        <v>6.1534038192898111</v>
      </c>
      <c r="BE1273" s="2">
        <f>+AO1273*EXP(-0.024*Y1273)</f>
        <v>18.958929239025995</v>
      </c>
    </row>
    <row r="1274" spans="1:57" x14ac:dyDescent="0.2">
      <c r="A1274" s="2" t="s">
        <v>4108</v>
      </c>
      <c r="B1274" s="2" t="s">
        <v>19</v>
      </c>
      <c r="C1274" s="2" t="s">
        <v>3245</v>
      </c>
      <c r="D1274" s="2" t="s">
        <v>21</v>
      </c>
      <c r="E1274" s="2" t="s">
        <v>4109</v>
      </c>
      <c r="F1274" s="2">
        <v>4</v>
      </c>
      <c r="G1274" s="2">
        <v>21.15</v>
      </c>
      <c r="H1274" s="2">
        <v>1</v>
      </c>
      <c r="I1274" s="2">
        <v>1</v>
      </c>
      <c r="J1274" s="2">
        <v>0</v>
      </c>
      <c r="K1274" s="2" t="s">
        <v>61</v>
      </c>
      <c r="L1274" s="6" t="s">
        <v>62</v>
      </c>
      <c r="M1274" s="5">
        <v>180000000</v>
      </c>
      <c r="N1274" s="2">
        <v>0</v>
      </c>
      <c r="O1274" s="2">
        <v>4.625885963</v>
      </c>
      <c r="P1274" s="2">
        <v>-74.082611080000007</v>
      </c>
      <c r="Q1274" s="2" t="s">
        <v>4110</v>
      </c>
      <c r="R1274" s="2">
        <v>8510638.2980000004</v>
      </c>
      <c r="S1274" s="2">
        <v>0</v>
      </c>
      <c r="T1274" s="2" t="s">
        <v>77</v>
      </c>
      <c r="U1274" s="2" t="s">
        <v>78</v>
      </c>
      <c r="V1274" s="2" t="s">
        <v>28</v>
      </c>
      <c r="W1274" s="2" t="s">
        <v>79</v>
      </c>
      <c r="X1274" s="2" t="s">
        <v>80</v>
      </c>
      <c r="Y1274" s="2">
        <v>1.73488569431943</v>
      </c>
      <c r="Z1274" s="2">
        <v>4.6254861111111101</v>
      </c>
      <c r="AA1274" s="2">
        <v>-74.066980555555503</v>
      </c>
      <c r="AB1274" s="2">
        <v>2621</v>
      </c>
      <c r="AC1274" s="2" t="s">
        <v>31</v>
      </c>
      <c r="AD1274" s="2" t="s">
        <v>32</v>
      </c>
      <c r="AE1274" s="2" t="s">
        <v>33</v>
      </c>
      <c r="AF1274" s="2" t="s">
        <v>34</v>
      </c>
      <c r="AG1274" s="2" t="s">
        <v>35</v>
      </c>
      <c r="AH1274" s="2">
        <v>0.25766680594365998</v>
      </c>
      <c r="AI1274" s="2">
        <v>2.40085751198386</v>
      </c>
      <c r="AJ1274" s="2">
        <v>0.73904838007948204</v>
      </c>
      <c r="AK1274" s="2">
        <v>0.112824632015066</v>
      </c>
      <c r="AL1274" s="2">
        <v>0.40287511086472</v>
      </c>
      <c r="AN1274" s="2">
        <v>6.8</v>
      </c>
      <c r="AO1274" s="2">
        <v>19.899999999999999</v>
      </c>
      <c r="AP1274" s="2">
        <v>564</v>
      </c>
      <c r="AQ1274" s="2">
        <v>68</v>
      </c>
      <c r="AR1274" s="2">
        <v>1.5</v>
      </c>
      <c r="AS1274" s="2">
        <v>135</v>
      </c>
      <c r="AT1274" s="2">
        <v>0.8</v>
      </c>
      <c r="AU1274" s="2">
        <v>162</v>
      </c>
      <c r="AV1274" s="2">
        <v>9.1</v>
      </c>
      <c r="AW1274" s="2">
        <v>9.1999999999999993</v>
      </c>
      <c r="AX1274" s="2">
        <v>18.3</v>
      </c>
      <c r="AY1274" s="2">
        <v>0.34</v>
      </c>
      <c r="AZ1274" s="2">
        <v>7.3</v>
      </c>
      <c r="BA1274" s="2">
        <v>0.9</v>
      </c>
      <c r="BB1274" s="2">
        <v>7.5</v>
      </c>
      <c r="BC1274" s="2">
        <v>2.9</v>
      </c>
      <c r="BD1274" s="2">
        <f>+AN1274*EXP(-0.0495*Y1274)</f>
        <v>6.2404092821169739</v>
      </c>
      <c r="BE1274" s="2">
        <f>+AO1274*EXP(-0.024*Y1274)</f>
        <v>19.088431579046688</v>
      </c>
    </row>
    <row r="1275" spans="1:57" x14ac:dyDescent="0.2">
      <c r="A1275" s="2" t="s">
        <v>4456</v>
      </c>
      <c r="B1275" s="2" t="s">
        <v>19</v>
      </c>
      <c r="C1275" s="2" t="s">
        <v>3245</v>
      </c>
      <c r="D1275" s="2" t="s">
        <v>21</v>
      </c>
      <c r="E1275" s="2" t="s">
        <v>3437</v>
      </c>
      <c r="F1275" s="2">
        <v>4</v>
      </c>
      <c r="G1275" s="2">
        <v>21</v>
      </c>
      <c r="H1275" s="2">
        <v>1</v>
      </c>
      <c r="I1275" s="2">
        <v>1</v>
      </c>
      <c r="J1275" s="2">
        <v>0</v>
      </c>
      <c r="K1275" s="2" t="s">
        <v>61</v>
      </c>
      <c r="L1275" s="6" t="s">
        <v>62</v>
      </c>
      <c r="M1275" s="5">
        <v>290000000</v>
      </c>
      <c r="N1275" s="2">
        <v>0</v>
      </c>
      <c r="O1275" s="2">
        <v>4.6291923519999996</v>
      </c>
      <c r="P1275" s="2">
        <v>-74.085136410000004</v>
      </c>
      <c r="Q1275" s="2" t="s">
        <v>4457</v>
      </c>
      <c r="R1275" s="2">
        <v>13809523.810000001</v>
      </c>
      <c r="S1275" s="2">
        <v>0</v>
      </c>
      <c r="T1275" s="2" t="s">
        <v>77</v>
      </c>
      <c r="U1275" s="2" t="s">
        <v>78</v>
      </c>
      <c r="V1275" s="2" t="s">
        <v>28</v>
      </c>
      <c r="W1275" s="2" t="s">
        <v>79</v>
      </c>
      <c r="X1275" s="2" t="s">
        <v>80</v>
      </c>
      <c r="Y1275" s="2">
        <v>2.05632707254945</v>
      </c>
      <c r="Z1275" s="2">
        <v>4.6254861111111101</v>
      </c>
      <c r="AA1275" s="2">
        <v>-74.066980555555503</v>
      </c>
      <c r="AB1275" s="2">
        <v>2621</v>
      </c>
      <c r="AC1275" s="2" t="s">
        <v>31</v>
      </c>
      <c r="AD1275" s="2" t="s">
        <v>32</v>
      </c>
      <c r="AE1275" s="2" t="s">
        <v>33</v>
      </c>
      <c r="AF1275" s="2" t="s">
        <v>34</v>
      </c>
      <c r="AG1275" s="2" t="s">
        <v>35</v>
      </c>
      <c r="AH1275" s="2">
        <v>0.25775533806969603</v>
      </c>
      <c r="AI1275" s="2">
        <v>2.6823437447818601</v>
      </c>
      <c r="AJ1275" s="2">
        <v>0.581820478430225</v>
      </c>
      <c r="AK1275" s="2">
        <v>0.26604277527528097</v>
      </c>
      <c r="AL1275" s="2">
        <v>4.0677531596189899E-2</v>
      </c>
      <c r="AN1275" s="2">
        <v>6.8</v>
      </c>
      <c r="AO1275" s="2">
        <v>19.899999999999999</v>
      </c>
      <c r="AP1275" s="2">
        <v>564</v>
      </c>
      <c r="AQ1275" s="2">
        <v>68</v>
      </c>
      <c r="AR1275" s="2">
        <v>1.5</v>
      </c>
      <c r="AS1275" s="2">
        <v>135</v>
      </c>
      <c r="AT1275" s="2">
        <v>0.8</v>
      </c>
      <c r="AU1275" s="2">
        <v>162</v>
      </c>
      <c r="AV1275" s="2">
        <v>9.1</v>
      </c>
      <c r="AW1275" s="2">
        <v>9.1999999999999993</v>
      </c>
      <c r="AX1275" s="2">
        <v>18.3</v>
      </c>
      <c r="AY1275" s="2">
        <v>0.34</v>
      </c>
      <c r="AZ1275" s="2">
        <v>7.3</v>
      </c>
      <c r="BA1275" s="2">
        <v>0.9</v>
      </c>
      <c r="BB1275" s="2">
        <v>7.5</v>
      </c>
      <c r="BC1275" s="2">
        <v>2.9</v>
      </c>
      <c r="BD1275" s="2">
        <f>+AN1275*EXP(-0.0495*Y1275)</f>
        <v>6.1419017292298168</v>
      </c>
      <c r="BE1275" s="2">
        <f>+AO1275*EXP(-0.024*Y1275)</f>
        <v>18.94173866253972</v>
      </c>
    </row>
    <row r="1276" spans="1:57" x14ac:dyDescent="0.2">
      <c r="A1276" s="2" t="s">
        <v>3597</v>
      </c>
      <c r="B1276" s="2" t="s">
        <v>19</v>
      </c>
      <c r="C1276" s="2" t="s">
        <v>3245</v>
      </c>
      <c r="D1276" s="2" t="s">
        <v>21</v>
      </c>
      <c r="E1276" s="2" t="s">
        <v>2472</v>
      </c>
      <c r="F1276" s="2">
        <v>3</v>
      </c>
      <c r="G1276" s="2">
        <v>21</v>
      </c>
      <c r="H1276" s="2">
        <v>1</v>
      </c>
      <c r="I1276" s="2">
        <v>1</v>
      </c>
      <c r="J1276" s="2">
        <v>0</v>
      </c>
      <c r="K1276" s="2" t="s">
        <v>61</v>
      </c>
      <c r="L1276" s="6" t="s">
        <v>62</v>
      </c>
      <c r="M1276" s="5">
        <v>270000000</v>
      </c>
      <c r="N1276" s="2">
        <v>0</v>
      </c>
      <c r="O1276" s="2">
        <v>4.6705399999999999</v>
      </c>
      <c r="P1276" s="2">
        <v>-74.064480000000003</v>
      </c>
      <c r="Q1276" s="2" t="s">
        <v>3598</v>
      </c>
      <c r="R1276" s="2">
        <v>12857142.859999999</v>
      </c>
      <c r="S1276" s="2">
        <v>0</v>
      </c>
      <c r="T1276" s="2" t="s">
        <v>26</v>
      </c>
      <c r="U1276" s="2" t="s">
        <v>27</v>
      </c>
      <c r="V1276" s="2" t="s">
        <v>28</v>
      </c>
      <c r="W1276" s="2" t="s">
        <v>29</v>
      </c>
      <c r="X1276" s="2" t="s">
        <v>30</v>
      </c>
      <c r="Y1276" s="2">
        <v>2.5457488723708699</v>
      </c>
      <c r="Z1276" s="2">
        <v>4.6584666666666701</v>
      </c>
      <c r="AA1276" s="2">
        <v>-74.083966666666697</v>
      </c>
      <c r="AB1276" s="2">
        <v>2552</v>
      </c>
      <c r="AC1276" s="2" t="s">
        <v>31</v>
      </c>
      <c r="AD1276" s="2" t="s">
        <v>32</v>
      </c>
      <c r="AE1276" s="2" t="s">
        <v>33</v>
      </c>
      <c r="AF1276" s="2" t="s">
        <v>34</v>
      </c>
      <c r="AG1276" s="2" t="s">
        <v>293</v>
      </c>
      <c r="AH1276" s="2">
        <v>4.45494170435876E-2</v>
      </c>
      <c r="AI1276" s="2">
        <v>2.2358439599356599</v>
      </c>
      <c r="AJ1276" s="2">
        <v>0.72979483541605705</v>
      </c>
      <c r="AK1276" s="2">
        <v>5.4220873495333499E-2</v>
      </c>
      <c r="AL1276" s="2">
        <v>9.5322966607767706E-2</v>
      </c>
      <c r="AN1276" s="2">
        <v>6.8</v>
      </c>
      <c r="AO1276" s="2">
        <v>19.899999999999999</v>
      </c>
      <c r="AP1276" s="2">
        <v>564</v>
      </c>
      <c r="AQ1276" s="2">
        <v>68</v>
      </c>
      <c r="AR1276" s="2">
        <v>1.5</v>
      </c>
      <c r="AS1276" s="2">
        <v>135</v>
      </c>
      <c r="AT1276" s="2">
        <v>0.8</v>
      </c>
      <c r="AU1276" s="2">
        <v>162</v>
      </c>
      <c r="AV1276" s="2">
        <v>9.1</v>
      </c>
      <c r="AW1276" s="2">
        <v>9.1999999999999993</v>
      </c>
      <c r="AX1276" s="2">
        <v>18.3</v>
      </c>
      <c r="AY1276" s="2">
        <v>0.34</v>
      </c>
      <c r="AZ1276" s="2">
        <v>7.3</v>
      </c>
      <c r="BA1276" s="2">
        <v>0.9</v>
      </c>
      <c r="BB1276" s="2">
        <v>7.5</v>
      </c>
      <c r="BC1276" s="2">
        <v>2.9</v>
      </c>
      <c r="BD1276" s="2">
        <f>+AN1276*EXP(-0.0495*Y1276)</f>
        <v>5.9948936167926643</v>
      </c>
      <c r="BE1276" s="2">
        <f>+AO1276*EXP(-0.024*Y1276)</f>
        <v>18.720548274598372</v>
      </c>
    </row>
    <row r="1277" spans="1:57" x14ac:dyDescent="0.2">
      <c r="A1277" s="2" t="s">
        <v>3441</v>
      </c>
      <c r="B1277" s="2" t="s">
        <v>19</v>
      </c>
      <c r="C1277" s="2" t="s">
        <v>3245</v>
      </c>
      <c r="D1277" s="2" t="s">
        <v>21</v>
      </c>
      <c r="E1277" s="2" t="s">
        <v>35</v>
      </c>
      <c r="F1277" s="2">
        <v>4</v>
      </c>
      <c r="G1277" s="2">
        <v>21</v>
      </c>
      <c r="H1277" s="2">
        <v>1</v>
      </c>
      <c r="I1277" s="2">
        <v>1</v>
      </c>
      <c r="J1277" s="2">
        <v>0</v>
      </c>
      <c r="K1277" s="2" t="s">
        <v>61</v>
      </c>
      <c r="L1277" s="6" t="s">
        <v>62</v>
      </c>
      <c r="M1277" s="5">
        <v>260000000</v>
      </c>
      <c r="N1277" s="2">
        <v>0</v>
      </c>
      <c r="O1277" s="2">
        <v>4.6207455</v>
      </c>
      <c r="P1277" s="2">
        <v>-74.069754000000003</v>
      </c>
      <c r="Q1277" s="2" t="s">
        <v>3442</v>
      </c>
      <c r="R1277" s="2">
        <v>12380952.380000001</v>
      </c>
      <c r="S1277" s="2">
        <v>0</v>
      </c>
      <c r="T1277" s="2" t="s">
        <v>77</v>
      </c>
      <c r="U1277" s="2" t="s">
        <v>78</v>
      </c>
      <c r="V1277" s="2" t="s">
        <v>28</v>
      </c>
      <c r="W1277" s="2" t="s">
        <v>79</v>
      </c>
      <c r="X1277" s="2" t="s">
        <v>80</v>
      </c>
      <c r="Y1277" s="2">
        <v>0.61089370237374896</v>
      </c>
      <c r="Z1277" s="2">
        <v>4.6254861111111101</v>
      </c>
      <c r="AA1277" s="2">
        <v>-74.066980555555503</v>
      </c>
      <c r="AB1277" s="2">
        <v>2621</v>
      </c>
      <c r="AC1277" s="2" t="s">
        <v>31</v>
      </c>
      <c r="AD1277" s="2" t="s">
        <v>32</v>
      </c>
      <c r="AE1277" s="2" t="s">
        <v>33</v>
      </c>
      <c r="AF1277" s="2" t="s">
        <v>34</v>
      </c>
      <c r="AG1277" s="2" t="s">
        <v>89</v>
      </c>
      <c r="AH1277" s="2">
        <v>9.1807589766175604E-2</v>
      </c>
      <c r="AI1277" s="2">
        <v>0.898309659233681</v>
      </c>
      <c r="AJ1277" s="2">
        <v>0.30197139428356101</v>
      </c>
      <c r="AK1277" s="2">
        <v>6.1352823244565202E-2</v>
      </c>
      <c r="AL1277" s="2">
        <v>6.2578264500854394E-2</v>
      </c>
      <c r="AN1277" s="2">
        <v>6.8</v>
      </c>
      <c r="AO1277" s="2">
        <v>19.899999999999999</v>
      </c>
      <c r="AP1277" s="2">
        <v>564</v>
      </c>
      <c r="AQ1277" s="2">
        <v>68</v>
      </c>
      <c r="AR1277" s="2">
        <v>1.5</v>
      </c>
      <c r="AS1277" s="2">
        <v>135</v>
      </c>
      <c r="AT1277" s="2">
        <v>0.8</v>
      </c>
      <c r="AU1277" s="2">
        <v>162</v>
      </c>
      <c r="AV1277" s="2">
        <v>9.1</v>
      </c>
      <c r="AW1277" s="2">
        <v>9.1999999999999993</v>
      </c>
      <c r="AX1277" s="2">
        <v>18.3</v>
      </c>
      <c r="AY1277" s="2">
        <v>0.34</v>
      </c>
      <c r="AZ1277" s="2">
        <v>7.3</v>
      </c>
      <c r="BA1277" s="2">
        <v>0.9</v>
      </c>
      <c r="BB1277" s="2">
        <v>7.5</v>
      </c>
      <c r="BC1277" s="2">
        <v>2.9</v>
      </c>
      <c r="BD1277" s="2">
        <f>+AN1277*EXP(-0.0495*Y1277)</f>
        <v>6.597451076546939</v>
      </c>
      <c r="BE1277" s="2">
        <f>+AO1277*EXP(-0.024*Y1277)</f>
        <v>19.610365586072739</v>
      </c>
    </row>
    <row r="1278" spans="1:57" x14ac:dyDescent="0.2">
      <c r="A1278" s="2" t="s">
        <v>4532</v>
      </c>
      <c r="B1278" s="2" t="s">
        <v>19</v>
      </c>
      <c r="C1278" s="2" t="s">
        <v>3245</v>
      </c>
      <c r="D1278" s="2" t="s">
        <v>21</v>
      </c>
      <c r="E1278" s="2" t="s">
        <v>621</v>
      </c>
      <c r="F1278" s="2">
        <v>4</v>
      </c>
      <c r="G1278" s="2">
        <v>21</v>
      </c>
      <c r="H1278" s="2">
        <v>1</v>
      </c>
      <c r="I1278" s="2">
        <v>1</v>
      </c>
      <c r="J1278" s="2">
        <v>0</v>
      </c>
      <c r="K1278" s="2" t="s">
        <v>61</v>
      </c>
      <c r="L1278" s="6" t="s">
        <v>62</v>
      </c>
      <c r="M1278" s="5">
        <v>220000000</v>
      </c>
      <c r="N1278" s="2">
        <v>0</v>
      </c>
      <c r="O1278" s="2">
        <v>4.6461024279999998</v>
      </c>
      <c r="P1278" s="2">
        <v>-74.067543029999996</v>
      </c>
      <c r="Q1278" s="2" t="s">
        <v>4533</v>
      </c>
      <c r="R1278" s="2">
        <v>10476190.48</v>
      </c>
      <c r="S1278" s="2">
        <v>0</v>
      </c>
      <c r="T1278" s="2" t="s">
        <v>26</v>
      </c>
      <c r="U1278" s="2" t="s">
        <v>27</v>
      </c>
      <c r="V1278" s="2" t="s">
        <v>28</v>
      </c>
      <c r="W1278" s="2" t="s">
        <v>29</v>
      </c>
      <c r="X1278" s="2" t="s">
        <v>30</v>
      </c>
      <c r="Y1278" s="2">
        <v>2.2836394029626002</v>
      </c>
      <c r="Z1278" s="2">
        <v>4.6584666666666701</v>
      </c>
      <c r="AA1278" s="2">
        <v>-74.083966666666697</v>
      </c>
      <c r="AB1278" s="2">
        <v>2552</v>
      </c>
      <c r="AC1278" s="2" t="s">
        <v>31</v>
      </c>
      <c r="AD1278" s="2" t="s">
        <v>32</v>
      </c>
      <c r="AE1278" s="2" t="s">
        <v>33</v>
      </c>
      <c r="AF1278" s="2" t="s">
        <v>34</v>
      </c>
      <c r="AG1278" s="2" t="s">
        <v>35</v>
      </c>
      <c r="AH1278" s="2">
        <v>0.39052856064347502</v>
      </c>
      <c r="AI1278" s="2">
        <v>1.24888426999084</v>
      </c>
      <c r="AJ1278" s="2">
        <v>0.18972704397094201</v>
      </c>
      <c r="AK1278" s="2">
        <v>7.0461333984497998E-2</v>
      </c>
      <c r="AL1278" s="2">
        <v>8.9269725584224399E-2</v>
      </c>
      <c r="AN1278" s="2">
        <v>6.8</v>
      </c>
      <c r="AO1278" s="2">
        <v>19.899999999999999</v>
      </c>
      <c r="AP1278" s="2">
        <v>564</v>
      </c>
      <c r="AQ1278" s="2">
        <v>68</v>
      </c>
      <c r="AR1278" s="2">
        <v>1.5</v>
      </c>
      <c r="AS1278" s="2">
        <v>135</v>
      </c>
      <c r="AT1278" s="2">
        <v>0.8</v>
      </c>
      <c r="AU1278" s="2">
        <v>162</v>
      </c>
      <c r="AV1278" s="2">
        <v>9.1</v>
      </c>
      <c r="AW1278" s="2">
        <v>9.1999999999999993</v>
      </c>
      <c r="AX1278" s="2">
        <v>18.3</v>
      </c>
      <c r="AY1278" s="2">
        <v>0.34</v>
      </c>
      <c r="AZ1278" s="2">
        <v>7.3</v>
      </c>
      <c r="BA1278" s="2">
        <v>0.9</v>
      </c>
      <c r="BB1278" s="2">
        <v>7.5</v>
      </c>
      <c r="BC1278" s="2">
        <v>2.9</v>
      </c>
      <c r="BD1278" s="2">
        <f>+AN1278*EXP(-0.0495*Y1278)</f>
        <v>6.0731806429782846</v>
      </c>
      <c r="BE1278" s="2">
        <f>+AO1278*EXP(-0.024*Y1278)</f>
        <v>18.838683448608514</v>
      </c>
    </row>
    <row r="1279" spans="1:57" x14ac:dyDescent="0.2">
      <c r="A1279" s="2" t="s">
        <v>3740</v>
      </c>
      <c r="B1279" s="2" t="s">
        <v>19</v>
      </c>
      <c r="C1279" s="2" t="s">
        <v>3245</v>
      </c>
      <c r="D1279" s="2" t="s">
        <v>21</v>
      </c>
      <c r="E1279" s="2" t="s">
        <v>22</v>
      </c>
      <c r="F1279" s="2">
        <v>4</v>
      </c>
      <c r="G1279" s="2">
        <v>21</v>
      </c>
      <c r="H1279" s="2">
        <v>1</v>
      </c>
      <c r="I1279" s="2">
        <v>1</v>
      </c>
      <c r="J1279" s="2">
        <v>0</v>
      </c>
      <c r="K1279" s="2" t="s">
        <v>61</v>
      </c>
      <c r="L1279" s="6" t="s">
        <v>62</v>
      </c>
      <c r="M1279" s="5">
        <v>220000000</v>
      </c>
      <c r="N1279" s="2">
        <v>0</v>
      </c>
      <c r="O1279" s="2">
        <v>4.6461022999999999</v>
      </c>
      <c r="P1279" s="2">
        <v>-74.067544400000003</v>
      </c>
      <c r="Q1279" s="2" t="s">
        <v>3741</v>
      </c>
      <c r="R1279" s="2">
        <v>10476190.48</v>
      </c>
      <c r="S1279" s="2">
        <v>0</v>
      </c>
      <c r="T1279" s="2" t="s">
        <v>26</v>
      </c>
      <c r="U1279" s="2" t="s">
        <v>27</v>
      </c>
      <c r="V1279" s="2" t="s">
        <v>28</v>
      </c>
      <c r="W1279" s="2" t="s">
        <v>29</v>
      </c>
      <c r="X1279" s="2" t="s">
        <v>30</v>
      </c>
      <c r="Y1279" s="2">
        <v>2.2835266997041499</v>
      </c>
      <c r="Z1279" s="2">
        <v>4.6584666666666701</v>
      </c>
      <c r="AA1279" s="2">
        <v>-74.083966666666697</v>
      </c>
      <c r="AB1279" s="2">
        <v>2552</v>
      </c>
      <c r="AC1279" s="2" t="s">
        <v>31</v>
      </c>
      <c r="AD1279" s="2" t="s">
        <v>32</v>
      </c>
      <c r="AE1279" s="2" t="s">
        <v>33</v>
      </c>
      <c r="AF1279" s="2" t="s">
        <v>34</v>
      </c>
      <c r="AG1279" s="2" t="s">
        <v>35</v>
      </c>
      <c r="AH1279" s="2">
        <v>0.39065306022482899</v>
      </c>
      <c r="AI1279" s="2">
        <v>1.2490124899255299</v>
      </c>
      <c r="AJ1279" s="2">
        <v>0.189808959853391</v>
      </c>
      <c r="AK1279" s="2">
        <v>7.0508267894182103E-2</v>
      </c>
      <c r="AL1279" s="2">
        <v>8.9122909464055905E-2</v>
      </c>
      <c r="AN1279" s="2">
        <v>6.8</v>
      </c>
      <c r="AO1279" s="2">
        <v>19.899999999999999</v>
      </c>
      <c r="AP1279" s="2">
        <v>564</v>
      </c>
      <c r="AQ1279" s="2">
        <v>68</v>
      </c>
      <c r="AR1279" s="2">
        <v>1.5</v>
      </c>
      <c r="AS1279" s="2">
        <v>135</v>
      </c>
      <c r="AT1279" s="2">
        <v>0.8</v>
      </c>
      <c r="AU1279" s="2">
        <v>162</v>
      </c>
      <c r="AV1279" s="2">
        <v>9.1</v>
      </c>
      <c r="AW1279" s="2">
        <v>9.1999999999999993</v>
      </c>
      <c r="AX1279" s="2">
        <v>18.3</v>
      </c>
      <c r="AY1279" s="2">
        <v>0.34</v>
      </c>
      <c r="AZ1279" s="2">
        <v>7.3</v>
      </c>
      <c r="BA1279" s="2">
        <v>0.9</v>
      </c>
      <c r="BB1279" s="2">
        <v>7.5</v>
      </c>
      <c r="BC1279" s="2">
        <v>2.9</v>
      </c>
      <c r="BD1279" s="2">
        <f>+AN1279*EXP(-0.0495*Y1279)</f>
        <v>6.0732145242015507</v>
      </c>
      <c r="BE1279" s="2">
        <f>+AO1279*EXP(-0.024*Y1279)</f>
        <v>18.838734405021658</v>
      </c>
    </row>
    <row r="1280" spans="1:57" x14ac:dyDescent="0.2">
      <c r="A1280" s="2" t="s">
        <v>3249</v>
      </c>
      <c r="B1280" s="2" t="s">
        <v>19</v>
      </c>
      <c r="C1280" s="2" t="s">
        <v>3245</v>
      </c>
      <c r="D1280" s="2" t="s">
        <v>21</v>
      </c>
      <c r="E1280" s="2" t="s">
        <v>293</v>
      </c>
      <c r="F1280" s="2">
        <v>3</v>
      </c>
      <c r="G1280" s="2">
        <v>20.9</v>
      </c>
      <c r="H1280" s="2">
        <v>1</v>
      </c>
      <c r="I1280" s="2">
        <v>1</v>
      </c>
      <c r="J1280" s="2">
        <v>0</v>
      </c>
      <c r="K1280" s="2" t="s">
        <v>23</v>
      </c>
      <c r="L1280" s="6" t="s">
        <v>24</v>
      </c>
      <c r="M1280" s="5">
        <v>282333413</v>
      </c>
      <c r="N1280" s="2">
        <v>0</v>
      </c>
      <c r="O1280" s="2">
        <v>4.6622304999999997</v>
      </c>
      <c r="P1280" s="2">
        <v>-74.06617</v>
      </c>
      <c r="Q1280" s="2" t="s">
        <v>3250</v>
      </c>
      <c r="R1280" s="2">
        <v>13508775.74</v>
      </c>
      <c r="S1280" s="2">
        <v>0</v>
      </c>
      <c r="T1280" s="2" t="s">
        <v>26</v>
      </c>
      <c r="U1280" s="2" t="s">
        <v>27</v>
      </c>
      <c r="V1280" s="2" t="s">
        <v>28</v>
      </c>
      <c r="W1280" s="2" t="s">
        <v>29</v>
      </c>
      <c r="X1280" s="2" t="s">
        <v>30</v>
      </c>
      <c r="Y1280" s="2">
        <v>2.0185296347185302</v>
      </c>
      <c r="Z1280" s="2">
        <v>4.6584666666666701</v>
      </c>
      <c r="AA1280" s="2">
        <v>-74.083966666666697</v>
      </c>
      <c r="AB1280" s="2">
        <v>2552</v>
      </c>
      <c r="AC1280" s="2" t="s">
        <v>31</v>
      </c>
      <c r="AD1280" s="2" t="s">
        <v>32</v>
      </c>
      <c r="AE1280" s="2" t="s">
        <v>33</v>
      </c>
      <c r="AF1280" s="2" t="s">
        <v>34</v>
      </c>
      <c r="AG1280" s="2" t="s">
        <v>293</v>
      </c>
      <c r="AH1280" s="2">
        <v>0.55141481356139399</v>
      </c>
      <c r="AI1280" s="2">
        <v>2.1460441379569901</v>
      </c>
      <c r="AJ1280" s="2">
        <v>0.28648131670246102</v>
      </c>
      <c r="AK1280" s="2">
        <v>9.1276902390644205E-2</v>
      </c>
      <c r="AL1280" s="2">
        <v>0.28833356051398301</v>
      </c>
      <c r="AN1280" s="2">
        <v>6.8</v>
      </c>
      <c r="AO1280" s="2">
        <v>19.899999999999999</v>
      </c>
      <c r="AP1280" s="2">
        <v>564</v>
      </c>
      <c r="AQ1280" s="2">
        <v>68</v>
      </c>
      <c r="AR1280" s="2">
        <v>1.5</v>
      </c>
      <c r="AS1280" s="2">
        <v>135</v>
      </c>
      <c r="AT1280" s="2">
        <v>0.8</v>
      </c>
      <c r="AU1280" s="2">
        <v>162</v>
      </c>
      <c r="AV1280" s="2">
        <v>9.1</v>
      </c>
      <c r="AW1280" s="2">
        <v>9.1999999999999993</v>
      </c>
      <c r="AX1280" s="2">
        <v>18.3</v>
      </c>
      <c r="AY1280" s="2">
        <v>0.34</v>
      </c>
      <c r="AZ1280" s="2">
        <v>7.3</v>
      </c>
      <c r="BA1280" s="2">
        <v>0.9</v>
      </c>
      <c r="BB1280" s="2">
        <v>7.5</v>
      </c>
      <c r="BC1280" s="2">
        <v>2.9</v>
      </c>
      <c r="BD1280" s="2">
        <f>+AN1280*EXP(-0.0495*Y1280)</f>
        <v>6.1534038192898111</v>
      </c>
      <c r="BE1280" s="2">
        <f>+AO1280*EXP(-0.024*Y1280)</f>
        <v>18.958929239025995</v>
      </c>
    </row>
    <row r="1281" spans="1:57" x14ac:dyDescent="0.2">
      <c r="A1281" s="2" t="s">
        <v>3308</v>
      </c>
      <c r="B1281" s="2" t="s">
        <v>19</v>
      </c>
      <c r="C1281" s="2" t="s">
        <v>3245</v>
      </c>
      <c r="D1281" s="2" t="s">
        <v>21</v>
      </c>
      <c r="E1281" s="2" t="s">
        <v>1049</v>
      </c>
      <c r="F1281" s="2">
        <v>3</v>
      </c>
      <c r="G1281" s="2">
        <v>20.82</v>
      </c>
      <c r="H1281" s="2">
        <v>1</v>
      </c>
      <c r="I1281" s="2">
        <v>1</v>
      </c>
      <c r="J1281" s="2">
        <v>0</v>
      </c>
      <c r="K1281" s="2" t="s">
        <v>61</v>
      </c>
      <c r="L1281" s="6" t="s">
        <v>84</v>
      </c>
      <c r="M1281" s="5">
        <v>240000000</v>
      </c>
      <c r="N1281" s="2">
        <v>0</v>
      </c>
      <c r="O1281" s="2">
        <v>4.6033099999999996</v>
      </c>
      <c r="P1281" s="2">
        <v>-74.07029</v>
      </c>
      <c r="Q1281" s="2" t="s">
        <v>3309</v>
      </c>
      <c r="R1281" s="2">
        <v>11527377.52</v>
      </c>
      <c r="S1281" s="2">
        <v>0</v>
      </c>
      <c r="T1281" s="2" t="s">
        <v>77</v>
      </c>
      <c r="U1281" s="2" t="s">
        <v>78</v>
      </c>
      <c r="V1281" s="2" t="s">
        <v>28</v>
      </c>
      <c r="W1281" s="2" t="s">
        <v>79</v>
      </c>
      <c r="X1281" s="2" t="s">
        <v>80</v>
      </c>
      <c r="Y1281" s="2">
        <v>2.49579549869331</v>
      </c>
      <c r="Z1281" s="2">
        <v>4.6254861111111101</v>
      </c>
      <c r="AA1281" s="2">
        <v>-74.066980555555503</v>
      </c>
      <c r="AB1281" s="2">
        <v>2621</v>
      </c>
      <c r="AC1281" s="2" t="s">
        <v>31</v>
      </c>
      <c r="AD1281" s="2" t="s">
        <v>32</v>
      </c>
      <c r="AE1281" s="2" t="s">
        <v>33</v>
      </c>
      <c r="AF1281" s="2" t="s">
        <v>34</v>
      </c>
      <c r="AG1281" s="2" t="s">
        <v>89</v>
      </c>
      <c r="AH1281" s="2">
        <v>0.22443959474330799</v>
      </c>
      <c r="AI1281" s="2">
        <v>0.68710474683633405</v>
      </c>
      <c r="AJ1281" s="2">
        <v>0.27879818058919598</v>
      </c>
      <c r="AK1281" s="2">
        <v>0.14859387790078199</v>
      </c>
      <c r="AL1281" s="2">
        <v>3.7697162978293702E-2</v>
      </c>
      <c r="AN1281" s="2">
        <v>6.8</v>
      </c>
      <c r="AO1281" s="2">
        <v>19.899999999999999</v>
      </c>
      <c r="AP1281" s="2">
        <v>564</v>
      </c>
      <c r="AQ1281" s="2">
        <v>68</v>
      </c>
      <c r="AR1281" s="2">
        <v>1.5</v>
      </c>
      <c r="AS1281" s="2">
        <v>135</v>
      </c>
      <c r="AT1281" s="2">
        <v>0.8</v>
      </c>
      <c r="AU1281" s="2">
        <v>162</v>
      </c>
      <c r="AV1281" s="2">
        <v>9.1</v>
      </c>
      <c r="AW1281" s="2">
        <v>9.1999999999999993</v>
      </c>
      <c r="AX1281" s="2">
        <v>18.3</v>
      </c>
      <c r="AY1281" s="2">
        <v>0.34</v>
      </c>
      <c r="AZ1281" s="2">
        <v>7.3</v>
      </c>
      <c r="BA1281" s="2">
        <v>0.9</v>
      </c>
      <c r="BB1281" s="2">
        <v>7.5</v>
      </c>
      <c r="BC1281" s="2">
        <v>2.9</v>
      </c>
      <c r="BD1281" s="2">
        <f>+AN1281*EXP(-0.0495*Y1281)</f>
        <v>6.0097354843834303</v>
      </c>
      <c r="BE1281" s="2">
        <f>+AO1281*EXP(-0.024*Y1281)</f>
        <v>18.74300544268608</v>
      </c>
    </row>
    <row r="1282" spans="1:57" x14ac:dyDescent="0.2">
      <c r="A1282" s="2" t="s">
        <v>3817</v>
      </c>
      <c r="B1282" s="2" t="s">
        <v>19</v>
      </c>
      <c r="C1282" s="2" t="s">
        <v>3245</v>
      </c>
      <c r="D1282" s="2" t="s">
        <v>21</v>
      </c>
      <c r="E1282" s="2" t="s">
        <v>355</v>
      </c>
      <c r="F1282" s="2">
        <v>4</v>
      </c>
      <c r="G1282" s="2">
        <v>20.53</v>
      </c>
      <c r="H1282" s="2">
        <v>1</v>
      </c>
      <c r="I1282" s="2">
        <v>1</v>
      </c>
      <c r="J1282" s="2">
        <v>1</v>
      </c>
      <c r="K1282" s="2" t="s">
        <v>61</v>
      </c>
      <c r="L1282" s="6" t="s">
        <v>62</v>
      </c>
      <c r="M1282" s="5">
        <v>470000000</v>
      </c>
      <c r="N1282" s="2">
        <v>0</v>
      </c>
      <c r="O1282" s="2">
        <v>4.671356201</v>
      </c>
      <c r="P1282" s="2">
        <v>-74.056510930000002</v>
      </c>
      <c r="Q1282" s="2" t="s">
        <v>3818</v>
      </c>
      <c r="R1282" s="2">
        <v>22893326.84</v>
      </c>
      <c r="S1282" s="2">
        <v>0</v>
      </c>
      <c r="T1282" s="2" t="s">
        <v>26</v>
      </c>
      <c r="U1282" s="2" t="s">
        <v>27</v>
      </c>
      <c r="V1282" s="2" t="s">
        <v>28</v>
      </c>
      <c r="W1282" s="2" t="s">
        <v>29</v>
      </c>
      <c r="X1282" s="2" t="s">
        <v>30</v>
      </c>
      <c r="Y1282" s="2">
        <v>3.3672473705208201</v>
      </c>
      <c r="Z1282" s="2">
        <v>4.6584666666666701</v>
      </c>
      <c r="AA1282" s="2">
        <v>-74.083966666666697</v>
      </c>
      <c r="AB1282" s="2">
        <v>2552</v>
      </c>
      <c r="AC1282" s="2" t="s">
        <v>31</v>
      </c>
      <c r="AD1282" s="2" t="s">
        <v>32</v>
      </c>
      <c r="AE1282" s="2" t="s">
        <v>33</v>
      </c>
      <c r="AF1282" s="2" t="s">
        <v>34</v>
      </c>
      <c r="AG1282" s="2" t="s">
        <v>81</v>
      </c>
      <c r="AH1282" s="2">
        <v>0.36309105333870501</v>
      </c>
      <c r="AI1282" s="2">
        <v>1.4590178543002399</v>
      </c>
      <c r="AJ1282" s="2">
        <v>0.44311174079139598</v>
      </c>
      <c r="AK1282" s="2">
        <v>3.3211195518122398E-2</v>
      </c>
      <c r="AL1282" s="2">
        <v>0.84695782794520402</v>
      </c>
      <c r="AN1282" s="2">
        <v>6.8</v>
      </c>
      <c r="AO1282" s="2">
        <v>19.899999999999999</v>
      </c>
      <c r="AP1282" s="2">
        <v>564</v>
      </c>
      <c r="AQ1282" s="2">
        <v>68</v>
      </c>
      <c r="AR1282" s="2">
        <v>1.5</v>
      </c>
      <c r="AS1282" s="2">
        <v>135</v>
      </c>
      <c r="AT1282" s="2">
        <v>0.8</v>
      </c>
      <c r="AU1282" s="2">
        <v>162</v>
      </c>
      <c r="AV1282" s="2">
        <v>9.1</v>
      </c>
      <c r="AW1282" s="2">
        <v>9.1999999999999993</v>
      </c>
      <c r="AX1282" s="2">
        <v>18.3</v>
      </c>
      <c r="AY1282" s="2">
        <v>0.34</v>
      </c>
      <c r="AZ1282" s="2">
        <v>7.3</v>
      </c>
      <c r="BA1282" s="2">
        <v>0.9</v>
      </c>
      <c r="BB1282" s="2">
        <v>7.5</v>
      </c>
      <c r="BC1282" s="2">
        <v>2.9</v>
      </c>
      <c r="BD1282" s="2">
        <f>+AN1282*EXP(-0.0495*Y1282)</f>
        <v>5.7560062067911577</v>
      </c>
      <c r="BE1282" s="2">
        <f>+AO1282*EXP(-0.024*Y1282)</f>
        <v>18.355069343286321</v>
      </c>
    </row>
    <row r="1283" spans="1:57" x14ac:dyDescent="0.2">
      <c r="A1283" s="2" t="s">
        <v>4598</v>
      </c>
      <c r="B1283" s="2" t="s">
        <v>19</v>
      </c>
      <c r="C1283" s="2" t="s">
        <v>3245</v>
      </c>
      <c r="D1283" s="2" t="s">
        <v>21</v>
      </c>
      <c r="E1283" s="2" t="s">
        <v>486</v>
      </c>
      <c r="F1283" s="2">
        <v>3</v>
      </c>
      <c r="G1283" s="2">
        <v>20.04</v>
      </c>
      <c r="H1283" s="2">
        <v>1</v>
      </c>
      <c r="I1283" s="2">
        <v>1</v>
      </c>
      <c r="J1283" s="2">
        <v>0</v>
      </c>
      <c r="K1283" s="2" t="s">
        <v>61</v>
      </c>
      <c r="L1283" s="6" t="s">
        <v>62</v>
      </c>
      <c r="M1283" s="5">
        <v>210000000</v>
      </c>
      <c r="N1283" s="2">
        <v>0</v>
      </c>
      <c r="O1283" s="2">
        <v>4.6034100000000002</v>
      </c>
      <c r="P1283" s="2">
        <v>-74.070329999999998</v>
      </c>
      <c r="Q1283" s="2" t="s">
        <v>4599</v>
      </c>
      <c r="R1283" s="2">
        <v>10479041.92</v>
      </c>
      <c r="S1283" s="2">
        <v>0</v>
      </c>
      <c r="T1283" s="2" t="s">
        <v>77</v>
      </c>
      <c r="U1283" s="2" t="s">
        <v>78</v>
      </c>
      <c r="V1283" s="2" t="s">
        <v>28</v>
      </c>
      <c r="W1283" s="2" t="s">
        <v>79</v>
      </c>
      <c r="X1283" s="2" t="s">
        <v>80</v>
      </c>
      <c r="Y1283" s="2">
        <v>2.4854450291560601</v>
      </c>
      <c r="Z1283" s="2">
        <v>4.6254861111111101</v>
      </c>
      <c r="AA1283" s="2">
        <v>-74.066980555555503</v>
      </c>
      <c r="AB1283" s="2">
        <v>2621</v>
      </c>
      <c r="AC1283" s="2" t="s">
        <v>31</v>
      </c>
      <c r="AD1283" s="2" t="s">
        <v>32</v>
      </c>
      <c r="AE1283" s="2" t="s">
        <v>33</v>
      </c>
      <c r="AF1283" s="2" t="s">
        <v>34</v>
      </c>
      <c r="AG1283" s="2" t="s">
        <v>89</v>
      </c>
      <c r="AH1283" s="2">
        <v>0.232715620400365</v>
      </c>
      <c r="AI1283" s="2">
        <v>0.68952211062925695</v>
      </c>
      <c r="AJ1283" s="2">
        <v>0.28486902560330002</v>
      </c>
      <c r="AK1283" s="2">
        <v>0.139331049189412</v>
      </c>
      <c r="AL1283" s="2">
        <v>2.8911522294463299E-2</v>
      </c>
      <c r="AN1283" s="2">
        <v>6.8</v>
      </c>
      <c r="AO1283" s="2">
        <v>19.899999999999999</v>
      </c>
      <c r="AP1283" s="2">
        <v>564</v>
      </c>
      <c r="AQ1283" s="2">
        <v>68</v>
      </c>
      <c r="AR1283" s="2">
        <v>1.5</v>
      </c>
      <c r="AS1283" s="2">
        <v>135</v>
      </c>
      <c r="AT1283" s="2">
        <v>0.8</v>
      </c>
      <c r="AU1283" s="2">
        <v>162</v>
      </c>
      <c r="AV1283" s="2">
        <v>9.1</v>
      </c>
      <c r="AW1283" s="2">
        <v>9.1999999999999993</v>
      </c>
      <c r="AX1283" s="2">
        <v>18.3</v>
      </c>
      <c r="AY1283" s="2">
        <v>0.34</v>
      </c>
      <c r="AZ1283" s="2">
        <v>7.3</v>
      </c>
      <c r="BA1283" s="2">
        <v>0.9</v>
      </c>
      <c r="BB1283" s="2">
        <v>7.5</v>
      </c>
      <c r="BC1283" s="2">
        <v>2.9</v>
      </c>
      <c r="BD1283" s="2">
        <f>+AN1283*EXP(-0.0495*Y1283)</f>
        <v>6.0128153507089799</v>
      </c>
      <c r="BE1283" s="2">
        <f>+AO1283*EXP(-0.024*Y1283)</f>
        <v>18.747661994797049</v>
      </c>
    </row>
    <row r="1284" spans="1:57" x14ac:dyDescent="0.2">
      <c r="A1284" s="2" t="s">
        <v>3247</v>
      </c>
      <c r="B1284" s="2" t="s">
        <v>19</v>
      </c>
      <c r="C1284" s="2" t="s">
        <v>3245</v>
      </c>
      <c r="D1284" s="2" t="s">
        <v>21</v>
      </c>
      <c r="E1284" s="2" t="s">
        <v>293</v>
      </c>
      <c r="F1284" s="2">
        <v>3</v>
      </c>
      <c r="G1284" s="2">
        <v>20.010000000000002</v>
      </c>
      <c r="H1284" s="2">
        <v>1</v>
      </c>
      <c r="I1284" s="2">
        <v>1</v>
      </c>
      <c r="J1284" s="2">
        <v>0</v>
      </c>
      <c r="K1284" s="2" t="s">
        <v>23</v>
      </c>
      <c r="L1284" s="6" t="s">
        <v>24</v>
      </c>
      <c r="M1284" s="5">
        <v>282330000</v>
      </c>
      <c r="N1284" s="2">
        <v>0</v>
      </c>
      <c r="O1284" s="2">
        <v>4.6622304999999997</v>
      </c>
      <c r="P1284" s="2">
        <v>-74.06617</v>
      </c>
      <c r="Q1284" s="2" t="s">
        <v>3248</v>
      </c>
      <c r="R1284" s="2">
        <v>14109445.279999999</v>
      </c>
      <c r="S1284" s="2">
        <v>0</v>
      </c>
      <c r="T1284" s="2" t="s">
        <v>26</v>
      </c>
      <c r="U1284" s="2" t="s">
        <v>27</v>
      </c>
      <c r="V1284" s="2" t="s">
        <v>28</v>
      </c>
      <c r="W1284" s="2" t="s">
        <v>29</v>
      </c>
      <c r="X1284" s="2" t="s">
        <v>30</v>
      </c>
      <c r="Y1284" s="2">
        <v>2.0185296347185302</v>
      </c>
      <c r="Z1284" s="2">
        <v>4.6584666666666701</v>
      </c>
      <c r="AA1284" s="2">
        <v>-74.083966666666697</v>
      </c>
      <c r="AB1284" s="2">
        <v>2552</v>
      </c>
      <c r="AC1284" s="2" t="s">
        <v>31</v>
      </c>
      <c r="AD1284" s="2" t="s">
        <v>32</v>
      </c>
      <c r="AE1284" s="2" t="s">
        <v>33</v>
      </c>
      <c r="AF1284" s="2" t="s">
        <v>34</v>
      </c>
      <c r="AG1284" s="2" t="s">
        <v>293</v>
      </c>
      <c r="AH1284" s="2">
        <v>0.55141481356139399</v>
      </c>
      <c r="AI1284" s="2">
        <v>2.1460441379569901</v>
      </c>
      <c r="AJ1284" s="2">
        <v>0.28648131670246102</v>
      </c>
      <c r="AK1284" s="2">
        <v>9.1276902390644205E-2</v>
      </c>
      <c r="AL1284" s="2">
        <v>0.28833356051398301</v>
      </c>
      <c r="AN1284" s="2">
        <v>6.8</v>
      </c>
      <c r="AO1284" s="2">
        <v>19.899999999999999</v>
      </c>
      <c r="AP1284" s="2">
        <v>564</v>
      </c>
      <c r="AQ1284" s="2">
        <v>68</v>
      </c>
      <c r="AR1284" s="2">
        <v>1.5</v>
      </c>
      <c r="AS1284" s="2">
        <v>135</v>
      </c>
      <c r="AT1284" s="2">
        <v>0.8</v>
      </c>
      <c r="AU1284" s="2">
        <v>162</v>
      </c>
      <c r="AV1284" s="2">
        <v>9.1</v>
      </c>
      <c r="AW1284" s="2">
        <v>9.1999999999999993</v>
      </c>
      <c r="AX1284" s="2">
        <v>18.3</v>
      </c>
      <c r="AY1284" s="2">
        <v>0.34</v>
      </c>
      <c r="AZ1284" s="2">
        <v>7.3</v>
      </c>
      <c r="BA1284" s="2">
        <v>0.9</v>
      </c>
      <c r="BB1284" s="2">
        <v>7.5</v>
      </c>
      <c r="BC1284" s="2">
        <v>2.9</v>
      </c>
      <c r="BD1284" s="2">
        <f>+AN1284*EXP(-0.0495*Y1284)</f>
        <v>6.1534038192898111</v>
      </c>
      <c r="BE1284" s="2">
        <f>+AO1284*EXP(-0.024*Y1284)</f>
        <v>18.958929239025995</v>
      </c>
    </row>
    <row r="1285" spans="1:57" x14ac:dyDescent="0.2">
      <c r="A1285" s="2" t="s">
        <v>4419</v>
      </c>
      <c r="B1285" s="2" t="s">
        <v>19</v>
      </c>
      <c r="C1285" s="2" t="s">
        <v>3245</v>
      </c>
      <c r="D1285" s="2" t="s">
        <v>21</v>
      </c>
      <c r="E1285" s="2" t="s">
        <v>180</v>
      </c>
      <c r="F1285" s="2">
        <v>6</v>
      </c>
      <c r="G1285" s="2">
        <v>20</v>
      </c>
      <c r="H1285" s="2">
        <v>1</v>
      </c>
      <c r="I1285" s="2">
        <v>1</v>
      </c>
      <c r="J1285" s="2">
        <v>0</v>
      </c>
      <c r="K1285" s="2" t="s">
        <v>61</v>
      </c>
      <c r="L1285" s="6" t="s">
        <v>62</v>
      </c>
      <c r="M1285" s="5">
        <v>380000000</v>
      </c>
      <c r="N1285" s="2">
        <v>0</v>
      </c>
      <c r="O1285" s="2">
        <v>4.6777997019999997</v>
      </c>
      <c r="P1285" s="2">
        <v>-74.053672789999993</v>
      </c>
      <c r="Q1285" s="2" t="s">
        <v>4420</v>
      </c>
      <c r="R1285" s="2">
        <v>19000000</v>
      </c>
      <c r="S1285" s="2">
        <v>0</v>
      </c>
      <c r="T1285" s="2" t="s">
        <v>26</v>
      </c>
      <c r="U1285" s="2" t="s">
        <v>27</v>
      </c>
      <c r="V1285" s="2" t="s">
        <v>28</v>
      </c>
      <c r="W1285" s="2" t="s">
        <v>29</v>
      </c>
      <c r="X1285" s="2" t="s">
        <v>30</v>
      </c>
      <c r="Y1285" s="2">
        <v>3.9910898787800999</v>
      </c>
      <c r="Z1285" s="2">
        <v>4.6584666666666701</v>
      </c>
      <c r="AA1285" s="2">
        <v>-74.083966666666697</v>
      </c>
      <c r="AB1285" s="2">
        <v>2552</v>
      </c>
      <c r="AC1285" s="2" t="s">
        <v>31</v>
      </c>
      <c r="AD1285" s="2" t="s">
        <v>32</v>
      </c>
      <c r="AE1285" s="2" t="s">
        <v>33</v>
      </c>
      <c r="AF1285" s="2" t="s">
        <v>34</v>
      </c>
      <c r="AG1285" s="2" t="s">
        <v>81</v>
      </c>
      <c r="AH1285" s="2">
        <v>0.62541702305073898</v>
      </c>
      <c r="AI1285" s="2">
        <v>1.5595297116885301</v>
      </c>
      <c r="AJ1285" s="2">
        <v>0.88483096012154605</v>
      </c>
      <c r="AK1285" s="2">
        <v>1.9329459125302002E-2</v>
      </c>
      <c r="AL1285" s="2">
        <v>0.633128340706818</v>
      </c>
      <c r="AN1285" s="2">
        <v>6.8</v>
      </c>
      <c r="AO1285" s="2">
        <v>19.899999999999999</v>
      </c>
      <c r="AP1285" s="2">
        <v>564</v>
      </c>
      <c r="AQ1285" s="2">
        <v>68</v>
      </c>
      <c r="AR1285" s="2">
        <v>1.5</v>
      </c>
      <c r="AS1285" s="2">
        <v>135</v>
      </c>
      <c r="AT1285" s="2">
        <v>0.8</v>
      </c>
      <c r="AU1285" s="2">
        <v>162</v>
      </c>
      <c r="AV1285" s="2">
        <v>9.1</v>
      </c>
      <c r="AW1285" s="2">
        <v>9.1999999999999993</v>
      </c>
      <c r="AX1285" s="2">
        <v>18.3</v>
      </c>
      <c r="AY1285" s="2">
        <v>0.34</v>
      </c>
      <c r="AZ1285" s="2">
        <v>7.3</v>
      </c>
      <c r="BA1285" s="2">
        <v>0.9</v>
      </c>
      <c r="BB1285" s="2">
        <v>7.5</v>
      </c>
      <c r="BC1285" s="2">
        <v>2.9</v>
      </c>
      <c r="BD1285" s="2">
        <f>+AN1285*EXP(-0.0495*Y1285)</f>
        <v>5.5809759536220938</v>
      </c>
      <c r="BE1285" s="2">
        <f>+AO1285*EXP(-0.024*Y1285)</f>
        <v>18.082300278053758</v>
      </c>
    </row>
    <row r="1286" spans="1:57" x14ac:dyDescent="0.2">
      <c r="A1286" s="2" t="s">
        <v>3706</v>
      </c>
      <c r="B1286" s="2" t="s">
        <v>19</v>
      </c>
      <c r="C1286" s="2" t="s">
        <v>3245</v>
      </c>
      <c r="D1286" s="2" t="s">
        <v>21</v>
      </c>
      <c r="E1286" s="2" t="s">
        <v>180</v>
      </c>
      <c r="F1286" s="2">
        <v>6</v>
      </c>
      <c r="G1286" s="2">
        <v>20</v>
      </c>
      <c r="H1286" s="2">
        <v>1</v>
      </c>
      <c r="I1286" s="2">
        <v>1</v>
      </c>
      <c r="J1286" s="2">
        <v>0</v>
      </c>
      <c r="K1286" s="2" t="s">
        <v>61</v>
      </c>
      <c r="L1286" s="6" t="s">
        <v>62</v>
      </c>
      <c r="M1286" s="5">
        <v>320000000</v>
      </c>
      <c r="N1286" s="2">
        <v>0</v>
      </c>
      <c r="O1286" s="2">
        <v>4.6798310279999997</v>
      </c>
      <c r="P1286" s="2">
        <v>-74.05299377</v>
      </c>
      <c r="Q1286" s="2" t="s">
        <v>3707</v>
      </c>
      <c r="R1286" s="2">
        <v>16000000</v>
      </c>
      <c r="S1286" s="2">
        <v>0</v>
      </c>
      <c r="T1286" s="2" t="s">
        <v>26</v>
      </c>
      <c r="U1286" s="2" t="s">
        <v>27</v>
      </c>
      <c r="V1286" s="2" t="s">
        <v>28</v>
      </c>
      <c r="W1286" s="2" t="s">
        <v>29</v>
      </c>
      <c r="X1286" s="2" t="s">
        <v>30</v>
      </c>
      <c r="Y1286" s="2">
        <v>4.17915303219399</v>
      </c>
      <c r="Z1286" s="2">
        <v>4.6584666666666701</v>
      </c>
      <c r="AA1286" s="2">
        <v>-74.083966666666697</v>
      </c>
      <c r="AB1286" s="2">
        <v>2552</v>
      </c>
      <c r="AC1286" s="2" t="s">
        <v>31</v>
      </c>
      <c r="AD1286" s="2" t="s">
        <v>32</v>
      </c>
      <c r="AE1286" s="2" t="s">
        <v>33</v>
      </c>
      <c r="AF1286" s="2" t="s">
        <v>34</v>
      </c>
      <c r="AG1286" s="2" t="s">
        <v>81</v>
      </c>
      <c r="AH1286" s="2">
        <v>0.69345326937647001</v>
      </c>
      <c r="AI1286" s="2">
        <v>1.6269590595084</v>
      </c>
      <c r="AJ1286" s="2">
        <v>0.65545974106433802</v>
      </c>
      <c r="AK1286" s="2">
        <v>3.7279918848922698E-2</v>
      </c>
      <c r="AL1286" s="2">
        <v>0.64549394364127599</v>
      </c>
      <c r="AN1286" s="2">
        <v>6.8</v>
      </c>
      <c r="AO1286" s="2">
        <v>19.899999999999999</v>
      </c>
      <c r="AP1286" s="2">
        <v>564</v>
      </c>
      <c r="AQ1286" s="2">
        <v>68</v>
      </c>
      <c r="AR1286" s="2">
        <v>1.5</v>
      </c>
      <c r="AS1286" s="2">
        <v>135</v>
      </c>
      <c r="AT1286" s="2">
        <v>0.8</v>
      </c>
      <c r="AU1286" s="2">
        <v>162</v>
      </c>
      <c r="AV1286" s="2">
        <v>9.1</v>
      </c>
      <c r="AW1286" s="2">
        <v>9.1999999999999993</v>
      </c>
      <c r="AX1286" s="2">
        <v>18.3</v>
      </c>
      <c r="AY1286" s="2">
        <v>0.34</v>
      </c>
      <c r="AZ1286" s="2">
        <v>7.3</v>
      </c>
      <c r="BA1286" s="2">
        <v>0.9</v>
      </c>
      <c r="BB1286" s="2">
        <v>7.5</v>
      </c>
      <c r="BC1286" s="2">
        <v>2.9</v>
      </c>
      <c r="BD1286" s="2">
        <f>+AN1286*EXP(-0.0495*Y1286)</f>
        <v>5.529263019307721</v>
      </c>
      <c r="BE1286" s="2">
        <f>+AO1286*EXP(-0.024*Y1286)</f>
        <v>18.000869440106541</v>
      </c>
    </row>
    <row r="1287" spans="1:57" x14ac:dyDescent="0.2">
      <c r="A1287" s="2" t="s">
        <v>4065</v>
      </c>
      <c r="B1287" s="2" t="s">
        <v>19</v>
      </c>
      <c r="C1287" s="2" t="s">
        <v>3245</v>
      </c>
      <c r="D1287" s="2" t="s">
        <v>21</v>
      </c>
      <c r="E1287" s="2" t="s">
        <v>83</v>
      </c>
      <c r="F1287" s="2">
        <v>6</v>
      </c>
      <c r="G1287" s="2">
        <v>20</v>
      </c>
      <c r="H1287" s="2">
        <v>1</v>
      </c>
      <c r="I1287" s="2">
        <v>1</v>
      </c>
      <c r="J1287" s="2">
        <v>0</v>
      </c>
      <c r="K1287" s="2" t="s">
        <v>61</v>
      </c>
      <c r="L1287" s="6" t="s">
        <v>62</v>
      </c>
      <c r="M1287" s="5">
        <v>300000000</v>
      </c>
      <c r="N1287" s="2">
        <v>0</v>
      </c>
      <c r="O1287" s="2">
        <v>4.6624746000000004</v>
      </c>
      <c r="P1287" s="2">
        <v>-74.056975499999993</v>
      </c>
      <c r="Q1287" s="2" t="s">
        <v>4066</v>
      </c>
      <c r="R1287" s="2">
        <v>15000000</v>
      </c>
      <c r="S1287" s="2">
        <v>0</v>
      </c>
      <c r="T1287" s="2" t="s">
        <v>26</v>
      </c>
      <c r="U1287" s="2" t="s">
        <v>27</v>
      </c>
      <c r="V1287" s="2" t="s">
        <v>28</v>
      </c>
      <c r="W1287" s="2" t="s">
        <v>29</v>
      </c>
      <c r="X1287" s="2" t="s">
        <v>30</v>
      </c>
      <c r="Y1287" s="2">
        <v>3.0277614563311999</v>
      </c>
      <c r="Z1287" s="2">
        <v>4.6584666666666701</v>
      </c>
      <c r="AA1287" s="2">
        <v>-74.083966666666697</v>
      </c>
      <c r="AB1287" s="2">
        <v>2552</v>
      </c>
      <c r="AC1287" s="2" t="s">
        <v>31</v>
      </c>
      <c r="AD1287" s="2" t="s">
        <v>32</v>
      </c>
      <c r="AE1287" s="2" t="s">
        <v>33</v>
      </c>
      <c r="AF1287" s="2" t="s">
        <v>34</v>
      </c>
      <c r="AG1287" s="2" t="s">
        <v>81</v>
      </c>
      <c r="AH1287" s="2">
        <v>0.479160701355892</v>
      </c>
      <c r="AI1287" s="2">
        <v>1.15059827176506</v>
      </c>
      <c r="AJ1287" s="2">
        <v>8.4587146263638294E-2</v>
      </c>
      <c r="AK1287" s="2">
        <v>3.9599428143203101E-2</v>
      </c>
      <c r="AL1287" s="2">
        <v>9.3076725489765297E-2</v>
      </c>
      <c r="AN1287" s="2">
        <v>6.8</v>
      </c>
      <c r="AO1287" s="2">
        <v>19.899999999999999</v>
      </c>
      <c r="AP1287" s="2">
        <v>564</v>
      </c>
      <c r="AQ1287" s="2">
        <v>68</v>
      </c>
      <c r="AR1287" s="2">
        <v>1.5</v>
      </c>
      <c r="AS1287" s="2">
        <v>135</v>
      </c>
      <c r="AT1287" s="2">
        <v>0.8</v>
      </c>
      <c r="AU1287" s="2">
        <v>162</v>
      </c>
      <c r="AV1287" s="2">
        <v>9.1</v>
      </c>
      <c r="AW1287" s="2">
        <v>9.1999999999999993</v>
      </c>
      <c r="AX1287" s="2">
        <v>18.3</v>
      </c>
      <c r="AY1287" s="2">
        <v>0.34</v>
      </c>
      <c r="AZ1287" s="2">
        <v>7.3</v>
      </c>
      <c r="BA1287" s="2">
        <v>0.9</v>
      </c>
      <c r="BB1287" s="2">
        <v>7.5</v>
      </c>
      <c r="BC1287" s="2">
        <v>2.9</v>
      </c>
      <c r="BD1287" s="2">
        <f>+AN1287*EXP(-0.0495*Y1287)</f>
        <v>5.8535506163469373</v>
      </c>
      <c r="BE1287" s="2">
        <f>+AO1287*EXP(-0.024*Y1287)</f>
        <v>18.505231146295319</v>
      </c>
    </row>
    <row r="1288" spans="1:57" x14ac:dyDescent="0.2">
      <c r="A1288" s="2" t="s">
        <v>3724</v>
      </c>
      <c r="B1288" s="2" t="s">
        <v>19</v>
      </c>
      <c r="C1288" s="2" t="s">
        <v>3245</v>
      </c>
      <c r="D1288" s="2" t="s">
        <v>21</v>
      </c>
      <c r="E1288" s="2" t="s">
        <v>1437</v>
      </c>
      <c r="F1288" s="2">
        <v>6</v>
      </c>
      <c r="G1288" s="2">
        <v>20</v>
      </c>
      <c r="H1288" s="2">
        <v>1</v>
      </c>
      <c r="I1288" s="2">
        <v>1</v>
      </c>
      <c r="J1288" s="2">
        <v>0</v>
      </c>
      <c r="K1288" s="2" t="s">
        <v>61</v>
      </c>
      <c r="L1288" s="6" t="s">
        <v>62</v>
      </c>
      <c r="M1288" s="5">
        <v>278000000</v>
      </c>
      <c r="N1288" s="2">
        <v>0</v>
      </c>
      <c r="O1288" s="2">
        <v>4.6842026710000004</v>
      </c>
      <c r="P1288" s="2">
        <v>-74.05719757</v>
      </c>
      <c r="Q1288" s="2" t="s">
        <v>3725</v>
      </c>
      <c r="R1288" s="2">
        <v>13900000</v>
      </c>
      <c r="S1288" s="2">
        <v>0</v>
      </c>
      <c r="T1288" s="2" t="s">
        <v>26</v>
      </c>
      <c r="U1288" s="2" t="s">
        <v>27</v>
      </c>
      <c r="V1288" s="2" t="s">
        <v>28</v>
      </c>
      <c r="W1288" s="2" t="s">
        <v>29</v>
      </c>
      <c r="X1288" s="2" t="s">
        <v>30</v>
      </c>
      <c r="Y1288" s="2">
        <v>4.1265967514521096</v>
      </c>
      <c r="Z1288" s="2">
        <v>4.6584666666666701</v>
      </c>
      <c r="AA1288" s="2">
        <v>-74.083966666666697</v>
      </c>
      <c r="AB1288" s="2">
        <v>2552</v>
      </c>
      <c r="AC1288" s="2" t="s">
        <v>31</v>
      </c>
      <c r="AD1288" s="2" t="s">
        <v>32</v>
      </c>
      <c r="AE1288" s="2" t="s">
        <v>33</v>
      </c>
      <c r="AF1288" s="2" t="s">
        <v>34</v>
      </c>
      <c r="AG1288" s="2" t="s">
        <v>81</v>
      </c>
      <c r="AH1288" s="2">
        <v>6.3565125963518695E-2</v>
      </c>
      <c r="AI1288" s="2">
        <v>2.2639362009750901</v>
      </c>
      <c r="AJ1288" s="2">
        <v>0.51619810408508804</v>
      </c>
      <c r="AK1288" s="2">
        <v>1.8456129419446202E-2</v>
      </c>
      <c r="AL1288" s="2">
        <v>0.12915547237709499</v>
      </c>
      <c r="AN1288" s="2">
        <v>6.8</v>
      </c>
      <c r="AO1288" s="2">
        <v>19.899999999999999</v>
      </c>
      <c r="AP1288" s="2">
        <v>564</v>
      </c>
      <c r="AQ1288" s="2">
        <v>68</v>
      </c>
      <c r="AR1288" s="2">
        <v>1.5</v>
      </c>
      <c r="AS1288" s="2">
        <v>135</v>
      </c>
      <c r="AT1288" s="2">
        <v>0.8</v>
      </c>
      <c r="AU1288" s="2">
        <v>162</v>
      </c>
      <c r="AV1288" s="2">
        <v>9.1</v>
      </c>
      <c r="AW1288" s="2">
        <v>9.1999999999999993</v>
      </c>
      <c r="AX1288" s="2">
        <v>18.3</v>
      </c>
      <c r="AY1288" s="2">
        <v>0.34</v>
      </c>
      <c r="AZ1288" s="2">
        <v>7.3</v>
      </c>
      <c r="BA1288" s="2">
        <v>0.9</v>
      </c>
      <c r="BB1288" s="2">
        <v>7.5</v>
      </c>
      <c r="BC1288" s="2">
        <v>2.9</v>
      </c>
      <c r="BD1288" s="2">
        <f>+AN1288*EXP(-0.0495*Y1288)</f>
        <v>5.5436663227669145</v>
      </c>
      <c r="BE1288" s="2">
        <f>+AO1288*EXP(-0.024*Y1288)</f>
        <v>18.023589175821389</v>
      </c>
    </row>
    <row r="1289" spans="1:57" x14ac:dyDescent="0.2">
      <c r="A1289" s="2" t="s">
        <v>3673</v>
      </c>
      <c r="B1289" s="2" t="s">
        <v>19</v>
      </c>
      <c r="C1289" s="2" t="s">
        <v>3245</v>
      </c>
      <c r="D1289" s="2" t="s">
        <v>21</v>
      </c>
      <c r="E1289" s="2" t="s">
        <v>3600</v>
      </c>
      <c r="F1289" s="2">
        <v>6</v>
      </c>
      <c r="G1289" s="2">
        <v>20</v>
      </c>
      <c r="H1289" s="2">
        <v>1</v>
      </c>
      <c r="I1289" s="2">
        <v>1</v>
      </c>
      <c r="J1289" s="2">
        <v>0</v>
      </c>
      <c r="K1289" s="2" t="s">
        <v>61</v>
      </c>
      <c r="L1289" s="6" t="s">
        <v>62</v>
      </c>
      <c r="M1289" s="5">
        <v>275000000</v>
      </c>
      <c r="N1289" s="2">
        <v>0</v>
      </c>
      <c r="O1289" s="2">
        <v>4.6842100000000002</v>
      </c>
      <c r="P1289" s="2">
        <v>-74.057199999999995</v>
      </c>
      <c r="Q1289" s="2" t="s">
        <v>3674</v>
      </c>
      <c r="R1289" s="2">
        <v>13750000</v>
      </c>
      <c r="S1289" s="2">
        <v>0</v>
      </c>
      <c r="T1289" s="2" t="s">
        <v>26</v>
      </c>
      <c r="U1289" s="2" t="s">
        <v>27</v>
      </c>
      <c r="V1289" s="2" t="s">
        <v>28</v>
      </c>
      <c r="W1289" s="2" t="s">
        <v>29</v>
      </c>
      <c r="X1289" s="2" t="s">
        <v>30</v>
      </c>
      <c r="Y1289" s="2">
        <v>4.1269691858096698</v>
      </c>
      <c r="Z1289" s="2">
        <v>4.6584666666666701</v>
      </c>
      <c r="AA1289" s="2">
        <v>-74.083966666666697</v>
      </c>
      <c r="AB1289" s="2">
        <v>2552</v>
      </c>
      <c r="AC1289" s="2" t="s">
        <v>31</v>
      </c>
      <c r="AD1289" s="2" t="s">
        <v>32</v>
      </c>
      <c r="AE1289" s="2" t="s">
        <v>33</v>
      </c>
      <c r="AF1289" s="2" t="s">
        <v>34</v>
      </c>
      <c r="AG1289" s="2" t="s">
        <v>81</v>
      </c>
      <c r="AH1289" s="2">
        <v>6.3685409445303098E-2</v>
      </c>
      <c r="AI1289" s="2">
        <v>2.2645797420185101</v>
      </c>
      <c r="AJ1289" s="2">
        <v>0.51618293936009196</v>
      </c>
      <c r="AK1289" s="2">
        <v>1.88529444656606E-2</v>
      </c>
      <c r="AL1289" s="2">
        <v>0.129325953419582</v>
      </c>
      <c r="AN1289" s="2">
        <v>6.8</v>
      </c>
      <c r="AO1289" s="2">
        <v>19.899999999999999</v>
      </c>
      <c r="AP1289" s="2">
        <v>564</v>
      </c>
      <c r="AQ1289" s="2">
        <v>68</v>
      </c>
      <c r="AR1289" s="2">
        <v>1.5</v>
      </c>
      <c r="AS1289" s="2">
        <v>135</v>
      </c>
      <c r="AT1289" s="2">
        <v>0.8</v>
      </c>
      <c r="AU1289" s="2">
        <v>162</v>
      </c>
      <c r="AV1289" s="2">
        <v>9.1</v>
      </c>
      <c r="AW1289" s="2">
        <v>9.1999999999999993</v>
      </c>
      <c r="AX1289" s="2">
        <v>18.3</v>
      </c>
      <c r="AY1289" s="2">
        <v>0.34</v>
      </c>
      <c r="AZ1289" s="2">
        <v>7.3</v>
      </c>
      <c r="BA1289" s="2">
        <v>0.9</v>
      </c>
      <c r="BB1289" s="2">
        <v>7.5</v>
      </c>
      <c r="BC1289" s="2">
        <v>2.9</v>
      </c>
      <c r="BD1289" s="2">
        <f>+AN1289*EXP(-0.0495*Y1289)</f>
        <v>5.5435641234445949</v>
      </c>
      <c r="BE1289" s="2">
        <f>+AO1289*EXP(-0.024*Y1289)</f>
        <v>18.023428074048855</v>
      </c>
    </row>
    <row r="1290" spans="1:57" x14ac:dyDescent="0.2">
      <c r="A1290" s="2" t="s">
        <v>4199</v>
      </c>
      <c r="B1290" s="2" t="s">
        <v>19</v>
      </c>
      <c r="C1290" s="2" t="s">
        <v>3245</v>
      </c>
      <c r="D1290" s="2" t="s">
        <v>21</v>
      </c>
      <c r="E1290" s="2" t="s">
        <v>1049</v>
      </c>
      <c r="F1290" s="2">
        <v>3</v>
      </c>
      <c r="G1290" s="2">
        <v>20</v>
      </c>
      <c r="H1290" s="2">
        <v>1</v>
      </c>
      <c r="I1290" s="2">
        <v>1</v>
      </c>
      <c r="J1290" s="2">
        <v>0</v>
      </c>
      <c r="K1290" s="2" t="s">
        <v>61</v>
      </c>
      <c r="L1290" s="6" t="s">
        <v>62</v>
      </c>
      <c r="M1290" s="5">
        <v>255000000</v>
      </c>
      <c r="N1290" s="2">
        <v>0</v>
      </c>
      <c r="O1290" s="2">
        <v>4.6044907569999998</v>
      </c>
      <c r="P1290" s="2">
        <v>-74.068519589999994</v>
      </c>
      <c r="Q1290" s="2" t="s">
        <v>4200</v>
      </c>
      <c r="R1290" s="2">
        <v>12750000</v>
      </c>
      <c r="S1290" s="2">
        <v>0</v>
      </c>
      <c r="T1290" s="2" t="s">
        <v>77</v>
      </c>
      <c r="U1290" s="2" t="s">
        <v>78</v>
      </c>
      <c r="V1290" s="2" t="s">
        <v>28</v>
      </c>
      <c r="W1290" s="2" t="s">
        <v>79</v>
      </c>
      <c r="X1290" s="2" t="s">
        <v>80</v>
      </c>
      <c r="Y1290" s="2">
        <v>2.3434225232352701</v>
      </c>
      <c r="Z1290" s="2">
        <v>4.6254861111111101</v>
      </c>
      <c r="AA1290" s="2">
        <v>-74.066980555555503</v>
      </c>
      <c r="AB1290" s="2">
        <v>2621</v>
      </c>
      <c r="AC1290" s="2" t="s">
        <v>31</v>
      </c>
      <c r="AD1290" s="2" t="s">
        <v>32</v>
      </c>
      <c r="AE1290" s="2" t="s">
        <v>33</v>
      </c>
      <c r="AF1290" s="2" t="s">
        <v>34</v>
      </c>
      <c r="AG1290" s="2" t="s">
        <v>89</v>
      </c>
      <c r="AH1290" s="2">
        <v>0.13458802082740301</v>
      </c>
      <c r="AI1290" s="2">
        <v>0.46629421594951298</v>
      </c>
      <c r="AJ1290" s="2">
        <v>0.22261603643769101</v>
      </c>
      <c r="AK1290" s="2">
        <v>0.10197081059447501</v>
      </c>
      <c r="AL1290" s="2">
        <v>0.167802636656597</v>
      </c>
      <c r="AN1290" s="2">
        <v>6.8</v>
      </c>
      <c r="AO1290" s="2">
        <v>19.899999999999999</v>
      </c>
      <c r="AP1290" s="2">
        <v>564</v>
      </c>
      <c r="AQ1290" s="2">
        <v>68</v>
      </c>
      <c r="AR1290" s="2">
        <v>1.5</v>
      </c>
      <c r="AS1290" s="2">
        <v>135</v>
      </c>
      <c r="AT1290" s="2">
        <v>0.8</v>
      </c>
      <c r="AU1290" s="2">
        <v>162</v>
      </c>
      <c r="AV1290" s="2">
        <v>9.1</v>
      </c>
      <c r="AW1290" s="2">
        <v>9.1999999999999993</v>
      </c>
      <c r="AX1290" s="2">
        <v>18.3</v>
      </c>
      <c r="AY1290" s="2">
        <v>0.34</v>
      </c>
      <c r="AZ1290" s="2">
        <v>7.3</v>
      </c>
      <c r="BA1290" s="2">
        <v>0.9</v>
      </c>
      <c r="BB1290" s="2">
        <v>7.5</v>
      </c>
      <c r="BC1290" s="2">
        <v>2.9</v>
      </c>
      <c r="BD1290" s="2">
        <f>+AN1290*EXP(-0.0495*Y1290)</f>
        <v>6.0552350613389274</v>
      </c>
      <c r="BE1290" s="2">
        <f>+AO1290*EXP(-0.024*Y1290)</f>
        <v>18.811673183655937</v>
      </c>
    </row>
    <row r="1291" spans="1:57" x14ac:dyDescent="0.2">
      <c r="A1291" s="2" t="s">
        <v>3432</v>
      </c>
      <c r="B1291" s="2" t="s">
        <v>19</v>
      </c>
      <c r="C1291" s="2" t="s">
        <v>3245</v>
      </c>
      <c r="D1291" s="2" t="s">
        <v>21</v>
      </c>
      <c r="E1291" s="2" t="s">
        <v>87</v>
      </c>
      <c r="F1291" s="2">
        <v>4</v>
      </c>
      <c r="G1291" s="2">
        <v>20</v>
      </c>
      <c r="H1291" s="2">
        <v>1</v>
      </c>
      <c r="I1291" s="2">
        <v>1</v>
      </c>
      <c r="J1291" s="2">
        <v>0</v>
      </c>
      <c r="K1291" s="2" t="s">
        <v>61</v>
      </c>
      <c r="L1291" s="6" t="s">
        <v>62</v>
      </c>
      <c r="M1291" s="5">
        <v>240000000</v>
      </c>
      <c r="N1291" s="2">
        <v>0</v>
      </c>
      <c r="O1291" s="2">
        <v>4.6203341480000004</v>
      </c>
      <c r="P1291" s="2">
        <v>-74.069740300000007</v>
      </c>
      <c r="Q1291" s="2" t="s">
        <v>3433</v>
      </c>
      <c r="R1291" s="2">
        <v>12000000</v>
      </c>
      <c r="S1291" s="2">
        <v>0</v>
      </c>
      <c r="T1291" s="2" t="s">
        <v>77</v>
      </c>
      <c r="U1291" s="2" t="s">
        <v>78</v>
      </c>
      <c r="V1291" s="2" t="s">
        <v>28</v>
      </c>
      <c r="W1291" s="2" t="s">
        <v>79</v>
      </c>
      <c r="X1291" s="2" t="s">
        <v>80</v>
      </c>
      <c r="Y1291" s="2">
        <v>0.65014241261012795</v>
      </c>
      <c r="Z1291" s="2">
        <v>4.6254861111111101</v>
      </c>
      <c r="AA1291" s="2">
        <v>-74.066980555555503</v>
      </c>
      <c r="AB1291" s="2">
        <v>2621</v>
      </c>
      <c r="AC1291" s="2" t="s">
        <v>31</v>
      </c>
      <c r="AD1291" s="2" t="s">
        <v>32</v>
      </c>
      <c r="AE1291" s="2" t="s">
        <v>33</v>
      </c>
      <c r="AF1291" s="2" t="s">
        <v>34</v>
      </c>
      <c r="AG1291" s="2" t="s">
        <v>89</v>
      </c>
      <c r="AH1291" s="2">
        <v>0.13720579165720401</v>
      </c>
      <c r="AI1291" s="2">
        <v>0.87071666130195202</v>
      </c>
      <c r="AJ1291" s="2">
        <v>0.34510880768399999</v>
      </c>
      <c r="AK1291" s="2">
        <v>4.11443730616032E-2</v>
      </c>
      <c r="AL1291" s="2">
        <v>2.9003813943615401E-2</v>
      </c>
      <c r="AN1291" s="2">
        <v>6.8</v>
      </c>
      <c r="AO1291" s="2">
        <v>19.899999999999999</v>
      </c>
      <c r="AP1291" s="2">
        <v>564</v>
      </c>
      <c r="AQ1291" s="2">
        <v>68</v>
      </c>
      <c r="AR1291" s="2">
        <v>1.5</v>
      </c>
      <c r="AS1291" s="2">
        <v>135</v>
      </c>
      <c r="AT1291" s="2">
        <v>0.8</v>
      </c>
      <c r="AU1291" s="2">
        <v>162</v>
      </c>
      <c r="AV1291" s="2">
        <v>9.1</v>
      </c>
      <c r="AW1291" s="2">
        <v>9.1999999999999993</v>
      </c>
      <c r="AX1291" s="2">
        <v>18.3</v>
      </c>
      <c r="AY1291" s="2">
        <v>0.34</v>
      </c>
      <c r="AZ1291" s="2">
        <v>7.3</v>
      </c>
      <c r="BA1291" s="2">
        <v>0.9</v>
      </c>
      <c r="BB1291" s="2">
        <v>7.5</v>
      </c>
      <c r="BC1291" s="2">
        <v>2.9</v>
      </c>
      <c r="BD1291" s="2">
        <f>+AN1291*EXP(-0.0495*Y1291)</f>
        <v>6.5846459180198327</v>
      </c>
      <c r="BE1291" s="2">
        <f>+AO1291*EXP(-0.024*Y1291)</f>
        <v>19.591901926179613</v>
      </c>
    </row>
    <row r="1292" spans="1:57" x14ac:dyDescent="0.2">
      <c r="A1292" s="2" t="s">
        <v>3878</v>
      </c>
      <c r="B1292" s="2" t="s">
        <v>19</v>
      </c>
      <c r="C1292" s="2" t="s">
        <v>3245</v>
      </c>
      <c r="D1292" s="2" t="s">
        <v>21</v>
      </c>
      <c r="E1292" s="2" t="s">
        <v>74</v>
      </c>
      <c r="F1292" s="2">
        <v>3</v>
      </c>
      <c r="G1292" s="2">
        <v>20</v>
      </c>
      <c r="H1292" s="2">
        <v>1</v>
      </c>
      <c r="I1292" s="2">
        <v>1</v>
      </c>
      <c r="J1292" s="2">
        <v>0</v>
      </c>
      <c r="K1292" s="2" t="s">
        <v>61</v>
      </c>
      <c r="L1292" s="6" t="s">
        <v>84</v>
      </c>
      <c r="M1292" s="5">
        <v>220000000</v>
      </c>
      <c r="N1292" s="2">
        <v>0</v>
      </c>
      <c r="O1292" s="2">
        <v>4.6461600000000001</v>
      </c>
      <c r="P1292" s="2">
        <v>-74.062520000000006</v>
      </c>
      <c r="Q1292" s="2" t="s">
        <v>3879</v>
      </c>
      <c r="R1292" s="2">
        <v>11000000</v>
      </c>
      <c r="S1292" s="2">
        <v>0</v>
      </c>
      <c r="T1292" s="2" t="s">
        <v>77</v>
      </c>
      <c r="U1292" s="2" t="s">
        <v>78</v>
      </c>
      <c r="V1292" s="2" t="s">
        <v>28</v>
      </c>
      <c r="W1292" s="2" t="s">
        <v>79</v>
      </c>
      <c r="X1292" s="2" t="s">
        <v>80</v>
      </c>
      <c r="Y1292" s="2">
        <v>2.3540223671770599</v>
      </c>
      <c r="Z1292" s="2">
        <v>4.6254861111111101</v>
      </c>
      <c r="AA1292" s="2">
        <v>-74.066980555555503</v>
      </c>
      <c r="AB1292" s="2">
        <v>2621</v>
      </c>
      <c r="AC1292" s="2" t="s">
        <v>31</v>
      </c>
      <c r="AD1292" s="2" t="s">
        <v>32</v>
      </c>
      <c r="AE1292" s="2" t="s">
        <v>33</v>
      </c>
      <c r="AF1292" s="2" t="s">
        <v>34</v>
      </c>
      <c r="AG1292" s="2" t="s">
        <v>81</v>
      </c>
      <c r="AH1292" s="2">
        <v>0.35976565475431099</v>
      </c>
      <c r="AI1292" s="2">
        <v>0.79736921926862903</v>
      </c>
      <c r="AJ1292" s="2">
        <v>0.164843194546829</v>
      </c>
      <c r="AK1292" s="2">
        <v>0.16232546726699101</v>
      </c>
      <c r="AL1292" s="2">
        <v>0.404505223414726</v>
      </c>
      <c r="AN1292" s="2">
        <v>6.8</v>
      </c>
      <c r="AO1292" s="2">
        <v>19.899999999999999</v>
      </c>
      <c r="AP1292" s="2">
        <v>564</v>
      </c>
      <c r="AQ1292" s="2">
        <v>68</v>
      </c>
      <c r="AR1292" s="2">
        <v>1.5</v>
      </c>
      <c r="AS1292" s="2">
        <v>135</v>
      </c>
      <c r="AT1292" s="2">
        <v>0.8</v>
      </c>
      <c r="AU1292" s="2">
        <v>162</v>
      </c>
      <c r="AV1292" s="2">
        <v>9.1</v>
      </c>
      <c r="AW1292" s="2">
        <v>9.1999999999999993</v>
      </c>
      <c r="AX1292" s="2">
        <v>18.3</v>
      </c>
      <c r="AY1292" s="2">
        <v>0.34</v>
      </c>
      <c r="AZ1292" s="2">
        <v>7.3</v>
      </c>
      <c r="BA1292" s="2">
        <v>0.9</v>
      </c>
      <c r="BB1292" s="2">
        <v>7.5</v>
      </c>
      <c r="BC1292" s="2">
        <v>2.9</v>
      </c>
      <c r="BD1292" s="2">
        <f>+AN1292*EXP(-0.0495*Y1292)</f>
        <v>6.0520587596415689</v>
      </c>
      <c r="BE1292" s="2">
        <f>+AO1292*EXP(-0.024*Y1292)</f>
        <v>18.806888173125387</v>
      </c>
    </row>
    <row r="1293" spans="1:57" x14ac:dyDescent="0.2">
      <c r="A1293" s="2" t="s">
        <v>4073</v>
      </c>
      <c r="B1293" s="2" t="s">
        <v>19</v>
      </c>
      <c r="C1293" s="2" t="s">
        <v>3245</v>
      </c>
      <c r="D1293" s="2" t="s">
        <v>21</v>
      </c>
      <c r="E1293" s="2" t="s">
        <v>1049</v>
      </c>
      <c r="F1293" s="2">
        <v>3</v>
      </c>
      <c r="G1293" s="2">
        <v>20</v>
      </c>
      <c r="H1293" s="2">
        <v>1</v>
      </c>
      <c r="I1293" s="2">
        <v>1</v>
      </c>
      <c r="J1293" s="2">
        <v>0</v>
      </c>
      <c r="K1293" s="2" t="s">
        <v>61</v>
      </c>
      <c r="L1293" s="6" t="s">
        <v>62</v>
      </c>
      <c r="M1293" s="5">
        <v>210000000</v>
      </c>
      <c r="N1293" s="2">
        <v>0</v>
      </c>
      <c r="O1293" s="2">
        <v>4.6061344149999996</v>
      </c>
      <c r="P1293" s="2">
        <v>-74.069969180000001</v>
      </c>
      <c r="Q1293" s="2" t="s">
        <v>4074</v>
      </c>
      <c r="R1293" s="2">
        <v>10500000</v>
      </c>
      <c r="S1293" s="2">
        <v>0</v>
      </c>
      <c r="T1293" s="2" t="s">
        <v>77</v>
      </c>
      <c r="U1293" s="2" t="s">
        <v>78</v>
      </c>
      <c r="V1293" s="2" t="s">
        <v>28</v>
      </c>
      <c r="W1293" s="2" t="s">
        <v>79</v>
      </c>
      <c r="X1293" s="2" t="s">
        <v>80</v>
      </c>
      <c r="Y1293" s="2">
        <v>2.1795951921589398</v>
      </c>
      <c r="Z1293" s="2">
        <v>4.6254861111111101</v>
      </c>
      <c r="AA1293" s="2">
        <v>-74.066980555555503</v>
      </c>
      <c r="AB1293" s="2">
        <v>2621</v>
      </c>
      <c r="AC1293" s="2" t="s">
        <v>31</v>
      </c>
      <c r="AD1293" s="2" t="s">
        <v>32</v>
      </c>
      <c r="AE1293" s="2" t="s">
        <v>33</v>
      </c>
      <c r="AF1293" s="2" t="s">
        <v>34</v>
      </c>
      <c r="AG1293" s="2" t="s">
        <v>89</v>
      </c>
      <c r="AH1293" s="2">
        <v>0.33708011948014999</v>
      </c>
      <c r="AI1293" s="2">
        <v>0.59621943761583496</v>
      </c>
      <c r="AJ1293" s="2">
        <v>7.2945344121998407E-2</v>
      </c>
      <c r="AK1293" s="2">
        <v>0.117274602504082</v>
      </c>
      <c r="AL1293" s="2">
        <v>4.7691891805327902E-2</v>
      </c>
      <c r="AN1293" s="2">
        <v>6.8</v>
      </c>
      <c r="AO1293" s="2">
        <v>19.899999999999999</v>
      </c>
      <c r="AP1293" s="2">
        <v>564</v>
      </c>
      <c r="AQ1293" s="2">
        <v>68</v>
      </c>
      <c r="AR1293" s="2">
        <v>1.5</v>
      </c>
      <c r="AS1293" s="2">
        <v>135</v>
      </c>
      <c r="AT1293" s="2">
        <v>0.8</v>
      </c>
      <c r="AU1293" s="2">
        <v>162</v>
      </c>
      <c r="AV1293" s="2">
        <v>9.1</v>
      </c>
      <c r="AW1293" s="2">
        <v>9.1999999999999993</v>
      </c>
      <c r="AX1293" s="2">
        <v>18.3</v>
      </c>
      <c r="AY1293" s="2">
        <v>0.34</v>
      </c>
      <c r="AZ1293" s="2">
        <v>7.3</v>
      </c>
      <c r="BA1293" s="2">
        <v>0.9</v>
      </c>
      <c r="BB1293" s="2">
        <v>7.5</v>
      </c>
      <c r="BC1293" s="2">
        <v>2.9</v>
      </c>
      <c r="BD1293" s="2">
        <f>+AN1293*EXP(-0.0495*Y1293)</f>
        <v>6.1045393499988849</v>
      </c>
      <c r="BE1293" s="2">
        <f>+AO1293*EXP(-0.024*Y1293)</f>
        <v>18.885783572925774</v>
      </c>
    </row>
    <row r="1294" spans="1:57" x14ac:dyDescent="0.2">
      <c r="A1294" s="2" t="s">
        <v>4201</v>
      </c>
      <c r="B1294" s="2" t="s">
        <v>19</v>
      </c>
      <c r="C1294" s="2" t="s">
        <v>3245</v>
      </c>
      <c r="D1294" s="2" t="s">
        <v>21</v>
      </c>
      <c r="E1294" s="2" t="s">
        <v>35</v>
      </c>
      <c r="F1294" s="2">
        <v>4</v>
      </c>
      <c r="G1294" s="2">
        <v>19.87</v>
      </c>
      <c r="H1294" s="2">
        <v>1</v>
      </c>
      <c r="I1294" s="2">
        <v>1</v>
      </c>
      <c r="J1294" s="2">
        <v>0</v>
      </c>
      <c r="K1294" s="2" t="s">
        <v>61</v>
      </c>
      <c r="L1294" s="6" t="s">
        <v>62</v>
      </c>
      <c r="M1294" s="5">
        <v>230000000</v>
      </c>
      <c r="N1294" s="2">
        <v>0</v>
      </c>
      <c r="O1294" s="2">
        <v>4.6230849999999997</v>
      </c>
      <c r="P1294" s="2">
        <v>-74.069689999999994</v>
      </c>
      <c r="Q1294" s="2" t="s">
        <v>4202</v>
      </c>
      <c r="R1294" s="2">
        <v>11575239.050000001</v>
      </c>
      <c r="S1294" s="2">
        <v>0</v>
      </c>
      <c r="T1294" s="2" t="s">
        <v>77</v>
      </c>
      <c r="U1294" s="2" t="s">
        <v>78</v>
      </c>
      <c r="V1294" s="2" t="s">
        <v>28</v>
      </c>
      <c r="W1294" s="2" t="s">
        <v>79</v>
      </c>
      <c r="X1294" s="2" t="s">
        <v>80</v>
      </c>
      <c r="Y1294" s="2">
        <v>0.40227340129841599</v>
      </c>
      <c r="Z1294" s="2">
        <v>4.6254861111111101</v>
      </c>
      <c r="AA1294" s="2">
        <v>-74.066980555555503</v>
      </c>
      <c r="AB1294" s="2">
        <v>2621</v>
      </c>
      <c r="AC1294" s="2" t="s">
        <v>31</v>
      </c>
      <c r="AD1294" s="2" t="s">
        <v>32</v>
      </c>
      <c r="AE1294" s="2" t="s">
        <v>33</v>
      </c>
      <c r="AF1294" s="2" t="s">
        <v>34</v>
      </c>
      <c r="AG1294" s="2" t="s">
        <v>35</v>
      </c>
      <c r="AH1294" s="2">
        <v>0.166848512724458</v>
      </c>
      <c r="AI1294" s="2">
        <v>0.96495356964853696</v>
      </c>
      <c r="AJ1294" s="2">
        <v>0.120885605718508</v>
      </c>
      <c r="AK1294" s="2">
        <v>4.1823543409542398E-2</v>
      </c>
      <c r="AL1294" s="2">
        <v>0.179957208342369</v>
      </c>
      <c r="AN1294" s="2">
        <v>6.8</v>
      </c>
      <c r="AO1294" s="2">
        <v>19.899999999999999</v>
      </c>
      <c r="AP1294" s="2">
        <v>564</v>
      </c>
      <c r="AQ1294" s="2">
        <v>68</v>
      </c>
      <c r="AR1294" s="2">
        <v>1.5</v>
      </c>
      <c r="AS1294" s="2">
        <v>135</v>
      </c>
      <c r="AT1294" s="2">
        <v>0.8</v>
      </c>
      <c r="AU1294" s="2">
        <v>162</v>
      </c>
      <c r="AV1294" s="2">
        <v>9.1</v>
      </c>
      <c r="AW1294" s="2">
        <v>9.1999999999999993</v>
      </c>
      <c r="AX1294" s="2">
        <v>18.3</v>
      </c>
      <c r="AY1294" s="2">
        <v>0.34</v>
      </c>
      <c r="AZ1294" s="2">
        <v>7.3</v>
      </c>
      <c r="BA1294" s="2">
        <v>0.9</v>
      </c>
      <c r="BB1294" s="2">
        <v>7.5</v>
      </c>
      <c r="BC1294" s="2">
        <v>2.9</v>
      </c>
      <c r="BD1294" s="2">
        <f>+AN1294*EXP(-0.0495*Y1294)</f>
        <v>6.6659339998090585</v>
      </c>
      <c r="BE1294" s="2">
        <f>+AO1294*EXP(-0.024*Y1294)</f>
        <v>19.708798691112968</v>
      </c>
    </row>
    <row r="1295" spans="1:57" x14ac:dyDescent="0.2">
      <c r="A1295" s="2" t="s">
        <v>3521</v>
      </c>
      <c r="B1295" s="2" t="s">
        <v>19</v>
      </c>
      <c r="C1295" s="2" t="s">
        <v>3245</v>
      </c>
      <c r="D1295" s="2" t="s">
        <v>21</v>
      </c>
      <c r="E1295" s="2" t="s">
        <v>74</v>
      </c>
      <c r="F1295" s="2">
        <v>3</v>
      </c>
      <c r="G1295" s="2">
        <v>19.38</v>
      </c>
      <c r="H1295" s="2">
        <v>1</v>
      </c>
      <c r="I1295" s="2">
        <v>1</v>
      </c>
      <c r="J1295" s="2">
        <v>0</v>
      </c>
      <c r="K1295" s="2" t="s">
        <v>61</v>
      </c>
      <c r="L1295" s="6" t="s">
        <v>113</v>
      </c>
      <c r="M1295" s="5">
        <v>165000000</v>
      </c>
      <c r="N1295" s="2">
        <v>0</v>
      </c>
      <c r="O1295" s="2">
        <v>4.6520799999999998</v>
      </c>
      <c r="P1295" s="2">
        <v>-74.062070000000006</v>
      </c>
      <c r="Q1295" s="2" t="s">
        <v>3522</v>
      </c>
      <c r="R1295" s="2">
        <v>8513931.8890000004</v>
      </c>
      <c r="S1295" s="2">
        <v>0</v>
      </c>
      <c r="T1295" s="2" t="s">
        <v>26</v>
      </c>
      <c r="U1295" s="2" t="s">
        <v>27</v>
      </c>
      <c r="V1295" s="2" t="s">
        <v>28</v>
      </c>
      <c r="W1295" s="2" t="s">
        <v>29</v>
      </c>
      <c r="X1295" s="2" t="s">
        <v>30</v>
      </c>
      <c r="Y1295" s="2">
        <v>2.5313750674670401</v>
      </c>
      <c r="Z1295" s="2">
        <v>4.6584666666666701</v>
      </c>
      <c r="AA1295" s="2">
        <v>-74.083966666666697</v>
      </c>
      <c r="AB1295" s="2">
        <v>2552</v>
      </c>
      <c r="AC1295" s="2" t="s">
        <v>31</v>
      </c>
      <c r="AD1295" s="2" t="s">
        <v>32</v>
      </c>
      <c r="AE1295" s="2" t="s">
        <v>33</v>
      </c>
      <c r="AF1295" s="2" t="s">
        <v>34</v>
      </c>
      <c r="AG1295" s="2" t="s">
        <v>81</v>
      </c>
      <c r="AH1295" s="2">
        <v>0.32889612002999102</v>
      </c>
      <c r="AI1295" s="2">
        <v>1.2363600487053199</v>
      </c>
      <c r="AJ1295" s="2">
        <v>6.84886074482116E-2</v>
      </c>
      <c r="AK1295" s="2">
        <v>6.15843893469619E-2</v>
      </c>
      <c r="AL1295" s="2">
        <v>0.10048172246551</v>
      </c>
      <c r="AN1295" s="2">
        <v>6.8</v>
      </c>
      <c r="AO1295" s="2">
        <v>19.899999999999999</v>
      </c>
      <c r="AP1295" s="2">
        <v>564</v>
      </c>
      <c r="AQ1295" s="2">
        <v>68</v>
      </c>
      <c r="AR1295" s="2">
        <v>1.5</v>
      </c>
      <c r="AS1295" s="2">
        <v>135</v>
      </c>
      <c r="AT1295" s="2">
        <v>0.8</v>
      </c>
      <c r="AU1295" s="2">
        <v>162</v>
      </c>
      <c r="AV1295" s="2">
        <v>9.1</v>
      </c>
      <c r="AW1295" s="2">
        <v>9.1999999999999993</v>
      </c>
      <c r="AX1295" s="2">
        <v>18.3</v>
      </c>
      <c r="AY1295" s="2">
        <v>0.34</v>
      </c>
      <c r="AZ1295" s="2">
        <v>7.3</v>
      </c>
      <c r="BA1295" s="2">
        <v>0.9</v>
      </c>
      <c r="BB1295" s="2">
        <v>7.5</v>
      </c>
      <c r="BC1295" s="2">
        <v>2.9</v>
      </c>
      <c r="BD1295" s="2">
        <f>+AN1295*EXP(-0.0495*Y1295)</f>
        <v>5.9991605214188271</v>
      </c>
      <c r="BE1295" s="2">
        <f>+AO1295*EXP(-0.024*Y1295)</f>
        <v>18.727007440854067</v>
      </c>
    </row>
    <row r="1296" spans="1:57" x14ac:dyDescent="0.2">
      <c r="A1296" s="2" t="s">
        <v>4098</v>
      </c>
      <c r="B1296" s="2" t="s">
        <v>19</v>
      </c>
      <c r="C1296" s="2" t="s">
        <v>3245</v>
      </c>
      <c r="D1296" s="2" t="s">
        <v>21</v>
      </c>
      <c r="E1296" s="2" t="s">
        <v>74</v>
      </c>
      <c r="F1296" s="2">
        <v>4</v>
      </c>
      <c r="G1296" s="2">
        <v>19.260000000000002</v>
      </c>
      <c r="H1296" s="2">
        <v>1</v>
      </c>
      <c r="I1296" s="2">
        <v>1</v>
      </c>
      <c r="J1296" s="2">
        <v>1</v>
      </c>
      <c r="K1296" s="2" t="s">
        <v>61</v>
      </c>
      <c r="L1296" s="6" t="s">
        <v>62</v>
      </c>
      <c r="M1296" s="5">
        <v>235000000</v>
      </c>
      <c r="N1296" s="2">
        <v>0</v>
      </c>
      <c r="O1296" s="2">
        <v>4.6446540000000001</v>
      </c>
      <c r="P1296" s="2">
        <v>-74.063519999999997</v>
      </c>
      <c r="Q1296" s="2" t="s">
        <v>4099</v>
      </c>
      <c r="R1296" s="2">
        <v>12201453.789999999</v>
      </c>
      <c r="S1296" s="2">
        <v>0</v>
      </c>
      <c r="T1296" s="2" t="s">
        <v>77</v>
      </c>
      <c r="U1296" s="2" t="s">
        <v>78</v>
      </c>
      <c r="V1296" s="2" t="s">
        <v>28</v>
      </c>
      <c r="W1296" s="2" t="s">
        <v>79</v>
      </c>
      <c r="X1296" s="2" t="s">
        <v>80</v>
      </c>
      <c r="Y1296" s="2">
        <v>2.1680316308081502</v>
      </c>
      <c r="Z1296" s="2">
        <v>4.6254861111111101</v>
      </c>
      <c r="AA1296" s="2">
        <v>-74.066980555555503</v>
      </c>
      <c r="AB1296" s="2">
        <v>2621</v>
      </c>
      <c r="AC1296" s="2" t="s">
        <v>31</v>
      </c>
      <c r="AD1296" s="2" t="s">
        <v>32</v>
      </c>
      <c r="AE1296" s="2" t="s">
        <v>33</v>
      </c>
      <c r="AF1296" s="2" t="s">
        <v>34</v>
      </c>
      <c r="AG1296" s="2" t="s">
        <v>81</v>
      </c>
      <c r="AH1296" s="2">
        <v>0.31570698930699098</v>
      </c>
      <c r="AI1296" s="2">
        <v>0.78168165468401396</v>
      </c>
      <c r="AJ1296" s="2">
        <v>0.31459975012539299</v>
      </c>
      <c r="AK1296" s="2">
        <v>8.6559906724114399E-2</v>
      </c>
      <c r="AL1296" s="2">
        <v>0.44092125536440702</v>
      </c>
      <c r="AN1296" s="2">
        <v>6.8</v>
      </c>
      <c r="AO1296" s="2">
        <v>19.899999999999999</v>
      </c>
      <c r="AP1296" s="2">
        <v>564</v>
      </c>
      <c r="AQ1296" s="2">
        <v>68</v>
      </c>
      <c r="AR1296" s="2">
        <v>1.5</v>
      </c>
      <c r="AS1296" s="2">
        <v>135</v>
      </c>
      <c r="AT1296" s="2">
        <v>0.8</v>
      </c>
      <c r="AU1296" s="2">
        <v>162</v>
      </c>
      <c r="AV1296" s="2">
        <v>9.1</v>
      </c>
      <c r="AW1296" s="2">
        <v>9.1999999999999993</v>
      </c>
      <c r="AX1296" s="2">
        <v>18.3</v>
      </c>
      <c r="AY1296" s="2">
        <v>0.34</v>
      </c>
      <c r="AZ1296" s="2">
        <v>7.3</v>
      </c>
      <c r="BA1296" s="2">
        <v>0.9</v>
      </c>
      <c r="BB1296" s="2">
        <v>7.5</v>
      </c>
      <c r="BC1296" s="2">
        <v>2.9</v>
      </c>
      <c r="BD1296" s="2">
        <f>+AN1296*EXP(-0.0495*Y1296)</f>
        <v>6.1080345658847079</v>
      </c>
      <c r="BE1296" s="2">
        <f>+AO1296*EXP(-0.024*Y1296)</f>
        <v>18.891025586296326</v>
      </c>
    </row>
    <row r="1297" spans="1:57" x14ac:dyDescent="0.2">
      <c r="A1297" s="2" t="s">
        <v>4138</v>
      </c>
      <c r="B1297" s="2" t="s">
        <v>19</v>
      </c>
      <c r="C1297" s="2" t="s">
        <v>3245</v>
      </c>
      <c r="D1297" s="2" t="s">
        <v>21</v>
      </c>
      <c r="E1297" s="2" t="s">
        <v>1049</v>
      </c>
      <c r="F1297" s="2">
        <v>3</v>
      </c>
      <c r="G1297" s="2">
        <v>19.2</v>
      </c>
      <c r="H1297" s="2">
        <v>1</v>
      </c>
      <c r="I1297" s="2">
        <v>1</v>
      </c>
      <c r="J1297" s="2">
        <v>0</v>
      </c>
      <c r="K1297" s="2" t="s">
        <v>61</v>
      </c>
      <c r="L1297" s="6" t="s">
        <v>84</v>
      </c>
      <c r="M1297" s="5">
        <v>220000000</v>
      </c>
      <c r="N1297" s="2">
        <v>0</v>
      </c>
      <c r="O1297" s="2">
        <v>4.6061300000000003</v>
      </c>
      <c r="P1297" s="2">
        <v>-74.069969999999998</v>
      </c>
      <c r="Q1297" s="2" t="s">
        <v>4139</v>
      </c>
      <c r="R1297" s="2">
        <v>11458333.33</v>
      </c>
      <c r="S1297" s="2">
        <v>0</v>
      </c>
      <c r="T1297" s="2" t="s">
        <v>77</v>
      </c>
      <c r="U1297" s="2" t="s">
        <v>78</v>
      </c>
      <c r="V1297" s="2" t="s">
        <v>28</v>
      </c>
      <c r="W1297" s="2" t="s">
        <v>79</v>
      </c>
      <c r="X1297" s="2" t="s">
        <v>80</v>
      </c>
      <c r="Y1297" s="2">
        <v>2.18009478929637</v>
      </c>
      <c r="Z1297" s="2">
        <v>4.6254861111111101</v>
      </c>
      <c r="AA1297" s="2">
        <v>-74.066980555555503</v>
      </c>
      <c r="AB1297" s="2">
        <v>2621</v>
      </c>
      <c r="AC1297" s="2" t="s">
        <v>31</v>
      </c>
      <c r="AD1297" s="2" t="s">
        <v>32</v>
      </c>
      <c r="AE1297" s="2" t="s">
        <v>33</v>
      </c>
      <c r="AF1297" s="2" t="s">
        <v>34</v>
      </c>
      <c r="AG1297" s="2" t="s">
        <v>89</v>
      </c>
      <c r="AH1297" s="2">
        <v>0.33692176853821998</v>
      </c>
      <c r="AI1297" s="2">
        <v>0.596463717676738</v>
      </c>
      <c r="AJ1297" s="2">
        <v>7.3215722638269295E-2</v>
      </c>
      <c r="AK1297" s="2">
        <v>0.116779089236161</v>
      </c>
      <c r="AL1297" s="2">
        <v>4.7608575896544499E-2</v>
      </c>
      <c r="AN1297" s="2">
        <v>6.8</v>
      </c>
      <c r="AO1297" s="2">
        <v>19.899999999999999</v>
      </c>
      <c r="AP1297" s="2">
        <v>564</v>
      </c>
      <c r="AQ1297" s="2">
        <v>68</v>
      </c>
      <c r="AR1297" s="2">
        <v>1.5</v>
      </c>
      <c r="AS1297" s="2">
        <v>135</v>
      </c>
      <c r="AT1297" s="2">
        <v>0.8</v>
      </c>
      <c r="AU1297" s="2">
        <v>162</v>
      </c>
      <c r="AV1297" s="2">
        <v>9.1</v>
      </c>
      <c r="AW1297" s="2">
        <v>9.1999999999999993</v>
      </c>
      <c r="AX1297" s="2">
        <v>18.3</v>
      </c>
      <c r="AY1297" s="2">
        <v>0.34</v>
      </c>
      <c r="AZ1297" s="2">
        <v>7.3</v>
      </c>
      <c r="BA1297" s="2">
        <v>0.9</v>
      </c>
      <c r="BB1297" s="2">
        <v>7.5</v>
      </c>
      <c r="BC1297" s="2">
        <v>2.9</v>
      </c>
      <c r="BD1297" s="2">
        <f>+AN1297*EXP(-0.0495*Y1297)</f>
        <v>6.1043883862515278</v>
      </c>
      <c r="BE1297" s="2">
        <f>+AO1297*EXP(-0.024*Y1297)</f>
        <v>18.885557127481487</v>
      </c>
    </row>
    <row r="1298" spans="1:57" x14ac:dyDescent="0.2">
      <c r="A1298" s="2" t="s">
        <v>3632</v>
      </c>
      <c r="B1298" s="2" t="s">
        <v>19</v>
      </c>
      <c r="C1298" s="2" t="s">
        <v>3245</v>
      </c>
      <c r="D1298" s="2" t="s">
        <v>21</v>
      </c>
      <c r="E1298" s="2" t="s">
        <v>635</v>
      </c>
      <c r="F1298" s="2">
        <v>3</v>
      </c>
      <c r="G1298" s="2">
        <v>19.07</v>
      </c>
      <c r="H1298" s="2">
        <v>1</v>
      </c>
      <c r="I1298" s="2">
        <v>1</v>
      </c>
      <c r="J1298" s="2">
        <v>0</v>
      </c>
      <c r="K1298" s="2" t="s">
        <v>61</v>
      </c>
      <c r="L1298" s="6" t="s">
        <v>62</v>
      </c>
      <c r="M1298" s="5">
        <v>290000000</v>
      </c>
      <c r="N1298" s="2">
        <v>0</v>
      </c>
      <c r="O1298" s="2">
        <v>4.6795400000000003</v>
      </c>
      <c r="P1298" s="2">
        <v>-74.062219999999996</v>
      </c>
      <c r="Q1298" s="2" t="s">
        <v>3633</v>
      </c>
      <c r="R1298" s="2">
        <v>15207131.619999999</v>
      </c>
      <c r="S1298" s="2">
        <v>0</v>
      </c>
      <c r="T1298" s="2" t="s">
        <v>26</v>
      </c>
      <c r="U1298" s="2" t="s">
        <v>27</v>
      </c>
      <c r="V1298" s="2" t="s">
        <v>28</v>
      </c>
      <c r="W1298" s="2" t="s">
        <v>29</v>
      </c>
      <c r="X1298" s="2" t="s">
        <v>30</v>
      </c>
      <c r="Y1298" s="2">
        <v>3.3652185922776701</v>
      </c>
      <c r="Z1298" s="2">
        <v>4.6584666666666701</v>
      </c>
      <c r="AA1298" s="2">
        <v>-74.083966666666697</v>
      </c>
      <c r="AB1298" s="2">
        <v>2552</v>
      </c>
      <c r="AC1298" s="2" t="s">
        <v>31</v>
      </c>
      <c r="AD1298" s="2" t="s">
        <v>32</v>
      </c>
      <c r="AE1298" s="2" t="s">
        <v>33</v>
      </c>
      <c r="AF1298" s="2" t="s">
        <v>34</v>
      </c>
      <c r="AG1298" s="2" t="s">
        <v>293</v>
      </c>
      <c r="AH1298" s="2">
        <v>0.30154588239758601</v>
      </c>
      <c r="AI1298" s="2">
        <v>2.44325086147348</v>
      </c>
      <c r="AJ1298" s="2">
        <v>8.0864748451987906E-2</v>
      </c>
      <c r="AK1298" s="2">
        <v>2.4439631384472301E-2</v>
      </c>
      <c r="AL1298" s="2">
        <v>0.150107903773048</v>
      </c>
      <c r="AN1298" s="2">
        <v>6.8</v>
      </c>
      <c r="AO1298" s="2">
        <v>19.899999999999999</v>
      </c>
      <c r="AP1298" s="2">
        <v>564</v>
      </c>
      <c r="AQ1298" s="2">
        <v>68</v>
      </c>
      <c r="AR1298" s="2">
        <v>1.5</v>
      </c>
      <c r="AS1298" s="2">
        <v>135</v>
      </c>
      <c r="AT1298" s="2">
        <v>0.8</v>
      </c>
      <c r="AU1298" s="2">
        <v>162</v>
      </c>
      <c r="AV1298" s="2">
        <v>9.1</v>
      </c>
      <c r="AW1298" s="2">
        <v>9.1999999999999993</v>
      </c>
      <c r="AX1298" s="2">
        <v>18.3</v>
      </c>
      <c r="AY1298" s="2">
        <v>0.34</v>
      </c>
      <c r="AZ1298" s="2">
        <v>7.3</v>
      </c>
      <c r="BA1298" s="2">
        <v>0.9</v>
      </c>
      <c r="BB1298" s="2">
        <v>7.5</v>
      </c>
      <c r="BC1298" s="2">
        <v>2.9</v>
      </c>
      <c r="BD1298" s="2">
        <f>+AN1298*EXP(-0.0495*Y1298)</f>
        <v>5.7565842799949438</v>
      </c>
      <c r="BE1298" s="2">
        <f>+AO1298*EXP(-0.024*Y1298)</f>
        <v>18.355963085812654</v>
      </c>
    </row>
    <row r="1299" spans="1:57" x14ac:dyDescent="0.2">
      <c r="A1299" s="2" t="s">
        <v>4482</v>
      </c>
      <c r="B1299" s="2" t="s">
        <v>19</v>
      </c>
      <c r="C1299" s="2" t="s">
        <v>3245</v>
      </c>
      <c r="D1299" s="2" t="s">
        <v>21</v>
      </c>
      <c r="E1299" s="2" t="s">
        <v>83</v>
      </c>
      <c r="F1299" s="2">
        <v>6</v>
      </c>
      <c r="G1299" s="2">
        <v>19</v>
      </c>
      <c r="H1299" s="2">
        <v>1</v>
      </c>
      <c r="I1299" s="2">
        <v>1</v>
      </c>
      <c r="J1299" s="2">
        <v>0</v>
      </c>
      <c r="K1299" s="2" t="s">
        <v>61</v>
      </c>
      <c r="L1299" s="6" t="s">
        <v>62</v>
      </c>
      <c r="M1299" s="5">
        <v>285000000</v>
      </c>
      <c r="N1299" s="2">
        <v>0</v>
      </c>
      <c r="O1299" s="2">
        <v>4.6842385000000002</v>
      </c>
      <c r="P1299" s="2">
        <v>-74.057136499999999</v>
      </c>
      <c r="Q1299" s="2" t="s">
        <v>4483</v>
      </c>
      <c r="R1299" s="2">
        <v>15000000</v>
      </c>
      <c r="S1299" s="2">
        <v>0</v>
      </c>
      <c r="T1299" s="2" t="s">
        <v>26</v>
      </c>
      <c r="U1299" s="2" t="s">
        <v>27</v>
      </c>
      <c r="V1299" s="2" t="s">
        <v>28</v>
      </c>
      <c r="W1299" s="2" t="s">
        <v>29</v>
      </c>
      <c r="X1299" s="2" t="s">
        <v>30</v>
      </c>
      <c r="Y1299" s="2">
        <v>4.1342427783508402</v>
      </c>
      <c r="Z1299" s="2">
        <v>4.6584666666666701</v>
      </c>
      <c r="AA1299" s="2">
        <v>-74.083966666666697</v>
      </c>
      <c r="AB1299" s="2">
        <v>2552</v>
      </c>
      <c r="AC1299" s="2" t="s">
        <v>31</v>
      </c>
      <c r="AD1299" s="2" t="s">
        <v>32</v>
      </c>
      <c r="AE1299" s="2" t="s">
        <v>33</v>
      </c>
      <c r="AF1299" s="2" t="s">
        <v>34</v>
      </c>
      <c r="AG1299" s="2" t="s">
        <v>81</v>
      </c>
      <c r="AH1299" s="2">
        <v>7.1390550429358393E-2</v>
      </c>
      <c r="AI1299" s="2">
        <v>2.2601193499990702</v>
      </c>
      <c r="AJ1299" s="2">
        <v>0.50849635179195496</v>
      </c>
      <c r="AK1299" s="2">
        <v>1.3244134167873E-2</v>
      </c>
      <c r="AL1299" s="2">
        <v>0.136999234361524</v>
      </c>
      <c r="AN1299" s="2">
        <v>6.8</v>
      </c>
      <c r="AO1299" s="2">
        <v>19.899999999999999</v>
      </c>
      <c r="AP1299" s="2">
        <v>564</v>
      </c>
      <c r="AQ1299" s="2">
        <v>68</v>
      </c>
      <c r="AR1299" s="2">
        <v>1.5</v>
      </c>
      <c r="AS1299" s="2">
        <v>135</v>
      </c>
      <c r="AT1299" s="2">
        <v>0.8</v>
      </c>
      <c r="AU1299" s="2">
        <v>162</v>
      </c>
      <c r="AV1299" s="2">
        <v>9.1</v>
      </c>
      <c r="AW1299" s="2">
        <v>9.1999999999999993</v>
      </c>
      <c r="AX1299" s="2">
        <v>18.3</v>
      </c>
      <c r="AY1299" s="2">
        <v>0.34</v>
      </c>
      <c r="AZ1299" s="2">
        <v>7.3</v>
      </c>
      <c r="BA1299" s="2">
        <v>0.9</v>
      </c>
      <c r="BB1299" s="2">
        <v>7.5</v>
      </c>
      <c r="BC1299" s="2">
        <v>2.9</v>
      </c>
      <c r="BD1299" s="2">
        <f>+AN1299*EXP(-0.0495*Y1299)</f>
        <v>5.5415685621902542</v>
      </c>
      <c r="BE1299" s="2">
        <f>+AO1299*EXP(-0.024*Y1299)</f>
        <v>18.020282066921993</v>
      </c>
    </row>
    <row r="1300" spans="1:57" x14ac:dyDescent="0.2">
      <c r="A1300" s="2" t="s">
        <v>4291</v>
      </c>
      <c r="B1300" s="2" t="s">
        <v>19</v>
      </c>
      <c r="C1300" s="2" t="s">
        <v>3245</v>
      </c>
      <c r="D1300" s="2" t="s">
        <v>21</v>
      </c>
      <c r="E1300" s="2" t="s">
        <v>1437</v>
      </c>
      <c r="F1300" s="2">
        <v>6</v>
      </c>
      <c r="G1300" s="2">
        <v>19</v>
      </c>
      <c r="H1300" s="2">
        <v>1</v>
      </c>
      <c r="I1300" s="2">
        <v>1</v>
      </c>
      <c r="J1300" s="2">
        <v>0</v>
      </c>
      <c r="K1300" s="2" t="s">
        <v>61</v>
      </c>
      <c r="L1300" s="6" t="s">
        <v>62</v>
      </c>
      <c r="M1300" s="5">
        <v>250000000</v>
      </c>
      <c r="N1300" s="2">
        <v>0</v>
      </c>
      <c r="O1300" s="2">
        <v>4.6842026710000004</v>
      </c>
      <c r="P1300" s="2">
        <v>-74.05719757</v>
      </c>
      <c r="Q1300" s="2" t="s">
        <v>4292</v>
      </c>
      <c r="R1300" s="2">
        <v>13157894.74</v>
      </c>
      <c r="S1300" s="2">
        <v>0</v>
      </c>
      <c r="T1300" s="2" t="s">
        <v>26</v>
      </c>
      <c r="U1300" s="2" t="s">
        <v>27</v>
      </c>
      <c r="V1300" s="2" t="s">
        <v>28</v>
      </c>
      <c r="W1300" s="2" t="s">
        <v>29</v>
      </c>
      <c r="X1300" s="2" t="s">
        <v>30</v>
      </c>
      <c r="Y1300" s="2">
        <v>4.1265967514521096</v>
      </c>
      <c r="Z1300" s="2">
        <v>4.6584666666666701</v>
      </c>
      <c r="AA1300" s="2">
        <v>-74.083966666666697</v>
      </c>
      <c r="AB1300" s="2">
        <v>2552</v>
      </c>
      <c r="AC1300" s="2" t="s">
        <v>31</v>
      </c>
      <c r="AD1300" s="2" t="s">
        <v>32</v>
      </c>
      <c r="AE1300" s="2" t="s">
        <v>33</v>
      </c>
      <c r="AF1300" s="2" t="s">
        <v>34</v>
      </c>
      <c r="AG1300" s="2" t="s">
        <v>81</v>
      </c>
      <c r="AH1300" s="2">
        <v>6.3565125963518695E-2</v>
      </c>
      <c r="AI1300" s="2">
        <v>2.2639362009750901</v>
      </c>
      <c r="AJ1300" s="2">
        <v>0.51619810408508804</v>
      </c>
      <c r="AK1300" s="2">
        <v>1.8456129419446202E-2</v>
      </c>
      <c r="AL1300" s="2">
        <v>0.12915547237709499</v>
      </c>
      <c r="AN1300" s="2">
        <v>6.8</v>
      </c>
      <c r="AO1300" s="2">
        <v>19.899999999999999</v>
      </c>
      <c r="AP1300" s="2">
        <v>564</v>
      </c>
      <c r="AQ1300" s="2">
        <v>68</v>
      </c>
      <c r="AR1300" s="2">
        <v>1.5</v>
      </c>
      <c r="AS1300" s="2">
        <v>135</v>
      </c>
      <c r="AT1300" s="2">
        <v>0.8</v>
      </c>
      <c r="AU1300" s="2">
        <v>162</v>
      </c>
      <c r="AV1300" s="2">
        <v>9.1</v>
      </c>
      <c r="AW1300" s="2">
        <v>9.1999999999999993</v>
      </c>
      <c r="AX1300" s="2">
        <v>18.3</v>
      </c>
      <c r="AY1300" s="2">
        <v>0.34</v>
      </c>
      <c r="AZ1300" s="2">
        <v>7.3</v>
      </c>
      <c r="BA1300" s="2">
        <v>0.9</v>
      </c>
      <c r="BB1300" s="2">
        <v>7.5</v>
      </c>
      <c r="BC1300" s="2">
        <v>2.9</v>
      </c>
      <c r="BD1300" s="2">
        <f>+AN1300*EXP(-0.0495*Y1300)</f>
        <v>5.5436663227669145</v>
      </c>
      <c r="BE1300" s="2">
        <f>+AO1300*EXP(-0.024*Y1300)</f>
        <v>18.023589175821389</v>
      </c>
    </row>
    <row r="1301" spans="1:57" x14ac:dyDescent="0.2">
      <c r="A1301" s="2" t="s">
        <v>3465</v>
      </c>
      <c r="B1301" s="2" t="s">
        <v>19</v>
      </c>
      <c r="C1301" s="2" t="s">
        <v>3245</v>
      </c>
      <c r="D1301" s="2" t="s">
        <v>21</v>
      </c>
      <c r="E1301" s="2" t="s">
        <v>635</v>
      </c>
      <c r="F1301" s="2">
        <v>4</v>
      </c>
      <c r="G1301" s="2">
        <v>19</v>
      </c>
      <c r="H1301" s="2">
        <v>1</v>
      </c>
      <c r="I1301" s="2">
        <v>1</v>
      </c>
      <c r="J1301" s="2">
        <v>0</v>
      </c>
      <c r="K1301" s="2" t="s">
        <v>61</v>
      </c>
      <c r="L1301" s="6" t="s">
        <v>62</v>
      </c>
      <c r="M1301" s="5">
        <v>210000000</v>
      </c>
      <c r="N1301" s="2">
        <v>0</v>
      </c>
      <c r="O1301" s="2">
        <v>4.6807699999999999</v>
      </c>
      <c r="P1301" s="2">
        <v>-74.06344</v>
      </c>
      <c r="Q1301" s="2" t="s">
        <v>3466</v>
      </c>
      <c r="R1301" s="2">
        <v>11052631.58</v>
      </c>
      <c r="S1301" s="2">
        <v>0</v>
      </c>
      <c r="T1301" s="2" t="s">
        <v>26</v>
      </c>
      <c r="U1301" s="2" t="s">
        <v>27</v>
      </c>
      <c r="V1301" s="2" t="s">
        <v>28</v>
      </c>
      <c r="W1301" s="2" t="s">
        <v>29</v>
      </c>
      <c r="X1301" s="2" t="s">
        <v>30</v>
      </c>
      <c r="Y1301" s="2">
        <v>3.36912116224907</v>
      </c>
      <c r="Z1301" s="2">
        <v>4.6584666666666701</v>
      </c>
      <c r="AA1301" s="2">
        <v>-74.083966666666697</v>
      </c>
      <c r="AB1301" s="2">
        <v>2552</v>
      </c>
      <c r="AC1301" s="2" t="s">
        <v>31</v>
      </c>
      <c r="AD1301" s="2" t="s">
        <v>32</v>
      </c>
      <c r="AE1301" s="2" t="s">
        <v>33</v>
      </c>
      <c r="AF1301" s="2" t="s">
        <v>34</v>
      </c>
      <c r="AG1301" s="2" t="s">
        <v>293</v>
      </c>
      <c r="AH1301" s="2">
        <v>0.159508653436576</v>
      </c>
      <c r="AI1301" s="2">
        <v>2.62908769335982</v>
      </c>
      <c r="AJ1301" s="2">
        <v>0.27130691102620003</v>
      </c>
      <c r="AK1301" s="2">
        <v>7.9116797465294306E-2</v>
      </c>
      <c r="AL1301" s="2">
        <v>3.8544174977960699E-2</v>
      </c>
      <c r="AN1301" s="2">
        <v>6.8</v>
      </c>
      <c r="AO1301" s="2">
        <v>19.899999999999999</v>
      </c>
      <c r="AP1301" s="2">
        <v>564</v>
      </c>
      <c r="AQ1301" s="2">
        <v>68</v>
      </c>
      <c r="AR1301" s="2">
        <v>1.5</v>
      </c>
      <c r="AS1301" s="2">
        <v>135</v>
      </c>
      <c r="AT1301" s="2">
        <v>0.8</v>
      </c>
      <c r="AU1301" s="2">
        <v>162</v>
      </c>
      <c r="AV1301" s="2">
        <v>9.1</v>
      </c>
      <c r="AW1301" s="2">
        <v>9.1999999999999993</v>
      </c>
      <c r="AX1301" s="2">
        <v>18.3</v>
      </c>
      <c r="AY1301" s="2">
        <v>0.34</v>
      </c>
      <c r="AZ1301" s="2">
        <v>7.3</v>
      </c>
      <c r="BA1301" s="2">
        <v>0.9</v>
      </c>
      <c r="BB1301" s="2">
        <v>7.5</v>
      </c>
      <c r="BC1301" s="2">
        <v>2.9</v>
      </c>
      <c r="BD1301" s="2">
        <f>+AN1301*EXP(-0.0495*Y1301)</f>
        <v>5.7554723464875375</v>
      </c>
      <c r="BE1301" s="2">
        <f>+AO1301*EXP(-0.024*Y1301)</f>
        <v>18.354243915996044</v>
      </c>
    </row>
    <row r="1302" spans="1:57" x14ac:dyDescent="0.2">
      <c r="A1302" s="2" t="s">
        <v>3456</v>
      </c>
      <c r="B1302" s="2" t="s">
        <v>19</v>
      </c>
      <c r="C1302" s="2" t="s">
        <v>3245</v>
      </c>
      <c r="D1302" s="2" t="s">
        <v>21</v>
      </c>
      <c r="E1302" s="2" t="s">
        <v>635</v>
      </c>
      <c r="F1302" s="2">
        <v>4</v>
      </c>
      <c r="G1302" s="2">
        <v>19</v>
      </c>
      <c r="H1302" s="2">
        <v>1</v>
      </c>
      <c r="I1302" s="2">
        <v>1</v>
      </c>
      <c r="J1302" s="2">
        <v>0</v>
      </c>
      <c r="K1302" s="2" t="s">
        <v>61</v>
      </c>
      <c r="L1302" s="6" t="s">
        <v>62</v>
      </c>
      <c r="M1302" s="5">
        <v>210000000</v>
      </c>
      <c r="N1302" s="2">
        <v>0</v>
      </c>
      <c r="O1302" s="2">
        <v>4.6808160000000001</v>
      </c>
      <c r="P1302" s="2">
        <v>-74.063536999999997</v>
      </c>
      <c r="Q1302" s="2" t="s">
        <v>3457</v>
      </c>
      <c r="R1302" s="2">
        <v>11052631.58</v>
      </c>
      <c r="S1302" s="2">
        <v>0</v>
      </c>
      <c r="T1302" s="2" t="s">
        <v>26</v>
      </c>
      <c r="U1302" s="2" t="s">
        <v>27</v>
      </c>
      <c r="V1302" s="2" t="s">
        <v>28</v>
      </c>
      <c r="W1302" s="2" t="s">
        <v>29</v>
      </c>
      <c r="X1302" s="2" t="s">
        <v>30</v>
      </c>
      <c r="Y1302" s="2">
        <v>3.3656390548137902</v>
      </c>
      <c r="Z1302" s="2">
        <v>4.6584666666666701</v>
      </c>
      <c r="AA1302" s="2">
        <v>-74.083966666666697</v>
      </c>
      <c r="AB1302" s="2">
        <v>2552</v>
      </c>
      <c r="AC1302" s="2" t="s">
        <v>31</v>
      </c>
      <c r="AD1302" s="2" t="s">
        <v>32</v>
      </c>
      <c r="AE1302" s="2" t="s">
        <v>33</v>
      </c>
      <c r="AF1302" s="2" t="s">
        <v>34</v>
      </c>
      <c r="AG1302" s="2" t="s">
        <v>293</v>
      </c>
      <c r="AH1302" s="2">
        <v>0.15090324549935999</v>
      </c>
      <c r="AI1302" s="2">
        <v>2.6409175171358101</v>
      </c>
      <c r="AJ1302" s="2">
        <v>0.28275190412778201</v>
      </c>
      <c r="AK1302" s="2">
        <v>7.7127947246968406E-2</v>
      </c>
      <c r="AL1302" s="2">
        <v>3.5333119265407699E-2</v>
      </c>
      <c r="AN1302" s="2">
        <v>6.8</v>
      </c>
      <c r="AO1302" s="2">
        <v>19.899999999999999</v>
      </c>
      <c r="AP1302" s="2">
        <v>564</v>
      </c>
      <c r="AQ1302" s="2">
        <v>68</v>
      </c>
      <c r="AR1302" s="2">
        <v>1.5</v>
      </c>
      <c r="AS1302" s="2">
        <v>135</v>
      </c>
      <c r="AT1302" s="2">
        <v>0.8</v>
      </c>
      <c r="AU1302" s="2">
        <v>162</v>
      </c>
      <c r="AV1302" s="2">
        <v>9.1</v>
      </c>
      <c r="AW1302" s="2">
        <v>9.1999999999999993</v>
      </c>
      <c r="AX1302" s="2">
        <v>18.3</v>
      </c>
      <c r="AY1302" s="2">
        <v>0.34</v>
      </c>
      <c r="AZ1302" s="2">
        <v>7.3</v>
      </c>
      <c r="BA1302" s="2">
        <v>0.9</v>
      </c>
      <c r="BB1302" s="2">
        <v>7.5</v>
      </c>
      <c r="BC1302" s="2">
        <v>2.9</v>
      </c>
      <c r="BD1302" s="2">
        <f>+AN1302*EXP(-0.0495*Y1302)</f>
        <v>5.7564644700544694</v>
      </c>
      <c r="BE1302" s="2">
        <f>+AO1302*EXP(-0.024*Y1302)</f>
        <v>18.35577785487224</v>
      </c>
    </row>
    <row r="1303" spans="1:57" x14ac:dyDescent="0.2">
      <c r="A1303" s="2" t="s">
        <v>3968</v>
      </c>
      <c r="B1303" s="2" t="s">
        <v>19</v>
      </c>
      <c r="C1303" s="2" t="s">
        <v>3245</v>
      </c>
      <c r="D1303" s="2" t="s">
        <v>21</v>
      </c>
      <c r="E1303" s="2" t="s">
        <v>3874</v>
      </c>
      <c r="F1303" s="2">
        <v>3</v>
      </c>
      <c r="G1303" s="2">
        <v>19</v>
      </c>
      <c r="H1303" s="2">
        <v>1</v>
      </c>
      <c r="I1303" s="2">
        <v>1</v>
      </c>
      <c r="J1303" s="2">
        <v>0</v>
      </c>
      <c r="K1303" s="2" t="s">
        <v>61</v>
      </c>
      <c r="L1303" s="6" t="s">
        <v>62</v>
      </c>
      <c r="M1303" s="5">
        <v>185000000</v>
      </c>
      <c r="N1303" s="2">
        <v>0</v>
      </c>
      <c r="O1303" s="2">
        <v>4.6120352750000002</v>
      </c>
      <c r="P1303" s="2">
        <v>-74.083343510000006</v>
      </c>
      <c r="Q1303" s="2" t="s">
        <v>3969</v>
      </c>
      <c r="R1303" s="2">
        <v>9736842.1050000004</v>
      </c>
      <c r="S1303" s="2">
        <v>0</v>
      </c>
      <c r="T1303" s="2" t="s">
        <v>77</v>
      </c>
      <c r="U1303" s="2" t="s">
        <v>78</v>
      </c>
      <c r="V1303" s="2" t="s">
        <v>28</v>
      </c>
      <c r="W1303" s="2" t="s">
        <v>79</v>
      </c>
      <c r="X1303" s="2" t="s">
        <v>80</v>
      </c>
      <c r="Y1303" s="2">
        <v>2.3533875422271602</v>
      </c>
      <c r="Z1303" s="2">
        <v>4.6254861111111101</v>
      </c>
      <c r="AA1303" s="2">
        <v>-74.066980555555503</v>
      </c>
      <c r="AB1303" s="2">
        <v>2621</v>
      </c>
      <c r="AC1303" s="2" t="s">
        <v>31</v>
      </c>
      <c r="AD1303" s="2" t="s">
        <v>32</v>
      </c>
      <c r="AE1303" s="2" t="s">
        <v>33</v>
      </c>
      <c r="AF1303" s="2" t="s">
        <v>34</v>
      </c>
      <c r="AG1303" s="2" t="s">
        <v>259</v>
      </c>
      <c r="AH1303" s="2">
        <v>0.45944140595864802</v>
      </c>
      <c r="AI1303" s="2">
        <v>2.0882793383665699</v>
      </c>
      <c r="AJ1303" s="2">
        <v>0.71345744375067599</v>
      </c>
      <c r="AK1303" s="2">
        <v>0.41694945040836001</v>
      </c>
      <c r="AL1303" s="2">
        <v>0.18173417389588201</v>
      </c>
      <c r="AN1303" s="2">
        <v>6.8</v>
      </c>
      <c r="AO1303" s="2">
        <v>19.899999999999999</v>
      </c>
      <c r="AP1303" s="2">
        <v>564</v>
      </c>
      <c r="AQ1303" s="2">
        <v>68</v>
      </c>
      <c r="AR1303" s="2">
        <v>1.5</v>
      </c>
      <c r="AS1303" s="2">
        <v>135</v>
      </c>
      <c r="AT1303" s="2">
        <v>0.8</v>
      </c>
      <c r="AU1303" s="2">
        <v>162</v>
      </c>
      <c r="AV1303" s="2">
        <v>9.1</v>
      </c>
      <c r="AW1303" s="2">
        <v>9.1999999999999993</v>
      </c>
      <c r="AX1303" s="2">
        <v>18.3</v>
      </c>
      <c r="AY1303" s="2">
        <v>0.34</v>
      </c>
      <c r="AZ1303" s="2">
        <v>7.3</v>
      </c>
      <c r="BA1303" s="2">
        <v>0.9</v>
      </c>
      <c r="BB1303" s="2">
        <v>7.5</v>
      </c>
      <c r="BC1303" s="2">
        <v>2.9</v>
      </c>
      <c r="BD1303" s="2">
        <f>+AN1303*EXP(-0.0495*Y1303)</f>
        <v>6.0522489415256695</v>
      </c>
      <c r="BE1303" s="2">
        <f>+AO1303*EXP(-0.024*Y1303)</f>
        <v>18.807174713272428</v>
      </c>
    </row>
    <row r="1304" spans="1:57" x14ac:dyDescent="0.2">
      <c r="A1304" s="2" t="s">
        <v>4440</v>
      </c>
      <c r="B1304" s="2" t="s">
        <v>19</v>
      </c>
      <c r="C1304" s="2" t="s">
        <v>3245</v>
      </c>
      <c r="D1304" s="2" t="s">
        <v>21</v>
      </c>
      <c r="E1304" s="2" t="s">
        <v>3749</v>
      </c>
      <c r="F1304" s="2">
        <v>4</v>
      </c>
      <c r="G1304" s="2">
        <v>18.8</v>
      </c>
      <c r="H1304" s="2">
        <v>1</v>
      </c>
      <c r="I1304" s="2">
        <v>1</v>
      </c>
      <c r="J1304" s="2">
        <v>0</v>
      </c>
      <c r="K1304" s="2" t="s">
        <v>61</v>
      </c>
      <c r="L1304" s="6" t="s">
        <v>62</v>
      </c>
      <c r="M1304" s="5">
        <v>220000000</v>
      </c>
      <c r="N1304" s="2">
        <v>0</v>
      </c>
      <c r="O1304" s="2">
        <v>4.6413550380000004</v>
      </c>
      <c r="P1304" s="2">
        <v>-74.078201289999996</v>
      </c>
      <c r="Q1304" s="2" t="s">
        <v>4441</v>
      </c>
      <c r="R1304" s="2">
        <v>11702127.66</v>
      </c>
      <c r="S1304" s="2">
        <v>0</v>
      </c>
      <c r="T1304" s="2" t="s">
        <v>26</v>
      </c>
      <c r="U1304" s="2" t="s">
        <v>27</v>
      </c>
      <c r="V1304" s="2" t="s">
        <v>28</v>
      </c>
      <c r="W1304" s="2" t="s">
        <v>29</v>
      </c>
      <c r="X1304" s="2" t="s">
        <v>30</v>
      </c>
      <c r="Y1304" s="2">
        <v>2.0093983901241699</v>
      </c>
      <c r="Z1304" s="2">
        <v>4.6584666666666701</v>
      </c>
      <c r="AA1304" s="2">
        <v>-74.083966666666697</v>
      </c>
      <c r="AB1304" s="2">
        <v>2552</v>
      </c>
      <c r="AC1304" s="2" t="s">
        <v>31</v>
      </c>
      <c r="AD1304" s="2" t="s">
        <v>32</v>
      </c>
      <c r="AE1304" s="2" t="s">
        <v>33</v>
      </c>
      <c r="AF1304" s="2" t="s">
        <v>34</v>
      </c>
      <c r="AG1304" s="2" t="s">
        <v>35</v>
      </c>
      <c r="AH1304" s="2">
        <v>0.450298814231401</v>
      </c>
      <c r="AI1304" s="2">
        <v>2.1962033788358699</v>
      </c>
      <c r="AJ1304" s="2">
        <v>0.54873481527185397</v>
      </c>
      <c r="AK1304" s="2">
        <v>0.20740653109515</v>
      </c>
      <c r="AL1304" s="2">
        <v>0.75363206920742698</v>
      </c>
      <c r="AN1304" s="2">
        <v>6.8</v>
      </c>
      <c r="AO1304" s="2">
        <v>19.899999999999999</v>
      </c>
      <c r="AP1304" s="2">
        <v>564</v>
      </c>
      <c r="AQ1304" s="2">
        <v>68</v>
      </c>
      <c r="AR1304" s="2">
        <v>1.5</v>
      </c>
      <c r="AS1304" s="2">
        <v>135</v>
      </c>
      <c r="AT1304" s="2">
        <v>0.8</v>
      </c>
      <c r="AU1304" s="2">
        <v>162</v>
      </c>
      <c r="AV1304" s="2">
        <v>9.1</v>
      </c>
      <c r="AW1304" s="2">
        <v>9.1999999999999993</v>
      </c>
      <c r="AX1304" s="2">
        <v>18.3</v>
      </c>
      <c r="AY1304" s="2">
        <v>0.34</v>
      </c>
      <c r="AZ1304" s="2">
        <v>7.3</v>
      </c>
      <c r="BA1304" s="2">
        <v>0.9</v>
      </c>
      <c r="BB1304" s="2">
        <v>7.5</v>
      </c>
      <c r="BC1304" s="2">
        <v>2.9</v>
      </c>
      <c r="BD1304" s="2">
        <f>+AN1304*EXP(-0.0495*Y1304)</f>
        <v>6.1561857656080061</v>
      </c>
      <c r="BE1304" s="2">
        <f>+AO1304*EXP(-0.024*Y1304)</f>
        <v>18.963084541209419</v>
      </c>
    </row>
    <row r="1305" spans="1:57" x14ac:dyDescent="0.2">
      <c r="A1305" s="2" t="s">
        <v>4246</v>
      </c>
      <c r="B1305" s="2" t="s">
        <v>19</v>
      </c>
      <c r="C1305" s="2" t="s">
        <v>3245</v>
      </c>
      <c r="D1305" s="2" t="s">
        <v>21</v>
      </c>
      <c r="E1305" s="2" t="s">
        <v>1597</v>
      </c>
      <c r="F1305" s="2">
        <v>4</v>
      </c>
      <c r="G1305" s="2">
        <v>18.36</v>
      </c>
      <c r="H1305" s="2">
        <v>1</v>
      </c>
      <c r="I1305" s="2">
        <v>1</v>
      </c>
      <c r="J1305" s="2">
        <v>0</v>
      </c>
      <c r="K1305" s="2" t="s">
        <v>61</v>
      </c>
      <c r="L1305" s="6" t="s">
        <v>62</v>
      </c>
      <c r="M1305" s="5">
        <v>260000000</v>
      </c>
      <c r="N1305" s="2">
        <v>0</v>
      </c>
      <c r="O1305" s="2">
        <v>4.6207900000000004</v>
      </c>
      <c r="P1305" s="2">
        <v>-74.069847899999999</v>
      </c>
      <c r="Q1305" s="2" t="s">
        <v>4247</v>
      </c>
      <c r="R1305" s="2">
        <v>14161220.039999999</v>
      </c>
      <c r="S1305" s="2">
        <v>0</v>
      </c>
      <c r="T1305" s="2" t="s">
        <v>77</v>
      </c>
      <c r="U1305" s="2" t="s">
        <v>78</v>
      </c>
      <c r="V1305" s="2" t="s">
        <v>28</v>
      </c>
      <c r="W1305" s="2" t="s">
        <v>79</v>
      </c>
      <c r="X1305" s="2" t="s">
        <v>80</v>
      </c>
      <c r="Y1305" s="2">
        <v>0.61197084813372904</v>
      </c>
      <c r="Z1305" s="2">
        <v>4.6254861111111101</v>
      </c>
      <c r="AA1305" s="2">
        <v>-74.066980555555503</v>
      </c>
      <c r="AB1305" s="2">
        <v>2621</v>
      </c>
      <c r="AC1305" s="2" t="s">
        <v>31</v>
      </c>
      <c r="AD1305" s="2" t="s">
        <v>32</v>
      </c>
      <c r="AE1305" s="2" t="s">
        <v>33</v>
      </c>
      <c r="AF1305" s="2" t="s">
        <v>34</v>
      </c>
      <c r="AG1305" s="2" t="s">
        <v>89</v>
      </c>
      <c r="AH1305" s="2">
        <v>8.7974262755785904E-2</v>
      </c>
      <c r="AI1305" s="2">
        <v>0.90960420774957196</v>
      </c>
      <c r="AJ1305" s="2">
        <v>0.29365371323456002</v>
      </c>
      <c r="AK1305" s="2">
        <v>5.9438789586333897E-2</v>
      </c>
      <c r="AL1305" s="2">
        <v>6.24547781244238E-2</v>
      </c>
      <c r="AN1305" s="2">
        <v>6.8</v>
      </c>
      <c r="AO1305" s="2">
        <v>19.899999999999999</v>
      </c>
      <c r="AP1305" s="2">
        <v>564</v>
      </c>
      <c r="AQ1305" s="2">
        <v>68</v>
      </c>
      <c r="AR1305" s="2">
        <v>1.5</v>
      </c>
      <c r="AS1305" s="2">
        <v>135</v>
      </c>
      <c r="AT1305" s="2">
        <v>0.8</v>
      </c>
      <c r="AU1305" s="2">
        <v>162</v>
      </c>
      <c r="AV1305" s="2">
        <v>9.1</v>
      </c>
      <c r="AW1305" s="2">
        <v>9.1999999999999993</v>
      </c>
      <c r="AX1305" s="2">
        <v>18.3</v>
      </c>
      <c r="AY1305" s="2">
        <v>0.34</v>
      </c>
      <c r="AZ1305" s="2">
        <v>7.3</v>
      </c>
      <c r="BA1305" s="2">
        <v>0.9</v>
      </c>
      <c r="BB1305" s="2">
        <v>7.5</v>
      </c>
      <c r="BC1305" s="2">
        <v>2.9</v>
      </c>
      <c r="BD1305" s="2">
        <f>+AN1305*EXP(-0.0495*Y1305)</f>
        <v>6.5970993183102085</v>
      </c>
      <c r="BE1305" s="2">
        <f>+AO1305*EXP(-0.024*Y1305)</f>
        <v>19.60985863529406</v>
      </c>
    </row>
    <row r="1306" spans="1:57" x14ac:dyDescent="0.2">
      <c r="A1306" s="2" t="s">
        <v>3935</v>
      </c>
      <c r="B1306" s="2" t="s">
        <v>19</v>
      </c>
      <c r="C1306" s="2" t="s">
        <v>3245</v>
      </c>
      <c r="D1306" s="2" t="s">
        <v>21</v>
      </c>
      <c r="E1306" s="2" t="s">
        <v>2472</v>
      </c>
      <c r="F1306" s="2">
        <v>4</v>
      </c>
      <c r="G1306" s="2">
        <v>18.260000000000002</v>
      </c>
      <c r="H1306" s="2">
        <v>1</v>
      </c>
      <c r="I1306" s="2">
        <v>1</v>
      </c>
      <c r="J1306" s="2">
        <v>1</v>
      </c>
      <c r="K1306" s="2" t="s">
        <v>61</v>
      </c>
      <c r="L1306" s="6" t="s">
        <v>62</v>
      </c>
      <c r="M1306" s="5">
        <v>710000000</v>
      </c>
      <c r="N1306" s="2">
        <v>0</v>
      </c>
      <c r="O1306" s="2">
        <v>4.6712499999999997</v>
      </c>
      <c r="P1306" s="2">
        <v>-74.064930000000004</v>
      </c>
      <c r="Q1306" s="2" t="s">
        <v>3936</v>
      </c>
      <c r="R1306" s="2">
        <v>38882803.939999998</v>
      </c>
      <c r="S1306" s="2">
        <v>0</v>
      </c>
      <c r="T1306" s="2" t="s">
        <v>26</v>
      </c>
      <c r="U1306" s="2" t="s">
        <v>27</v>
      </c>
      <c r="V1306" s="2" t="s">
        <v>28</v>
      </c>
      <c r="W1306" s="2" t="s">
        <v>29</v>
      </c>
      <c r="X1306" s="2" t="s">
        <v>30</v>
      </c>
      <c r="Y1306" s="2">
        <v>2.5467879479722999</v>
      </c>
      <c r="Z1306" s="2">
        <v>4.6584666666666701</v>
      </c>
      <c r="AA1306" s="2">
        <v>-74.083966666666697</v>
      </c>
      <c r="AB1306" s="2">
        <v>2552</v>
      </c>
      <c r="AC1306" s="2" t="s">
        <v>31</v>
      </c>
      <c r="AD1306" s="2" t="s">
        <v>32</v>
      </c>
      <c r="AE1306" s="2" t="s">
        <v>33</v>
      </c>
      <c r="AF1306" s="2" t="s">
        <v>34</v>
      </c>
      <c r="AG1306" s="2" t="s">
        <v>293</v>
      </c>
      <c r="AH1306" s="2">
        <v>0.136890712308541</v>
      </c>
      <c r="AI1306" s="2">
        <v>2.3076183359975002</v>
      </c>
      <c r="AJ1306" s="2">
        <v>0.80888925508398402</v>
      </c>
      <c r="AK1306" s="2">
        <v>0.12815544697217901</v>
      </c>
      <c r="AL1306" s="2">
        <v>4.7779363435587897E-2</v>
      </c>
      <c r="AN1306" s="2">
        <v>6.8</v>
      </c>
      <c r="AO1306" s="2">
        <v>19.899999999999999</v>
      </c>
      <c r="AP1306" s="2">
        <v>564</v>
      </c>
      <c r="AQ1306" s="2">
        <v>68</v>
      </c>
      <c r="AR1306" s="2">
        <v>1.5</v>
      </c>
      <c r="AS1306" s="2">
        <v>135</v>
      </c>
      <c r="AT1306" s="2">
        <v>0.8</v>
      </c>
      <c r="AU1306" s="2">
        <v>162</v>
      </c>
      <c r="AV1306" s="2">
        <v>9.1</v>
      </c>
      <c r="AW1306" s="2">
        <v>9.1999999999999993</v>
      </c>
      <c r="AX1306" s="2">
        <v>18.3</v>
      </c>
      <c r="AY1306" s="2">
        <v>0.34</v>
      </c>
      <c r="AZ1306" s="2">
        <v>7.3</v>
      </c>
      <c r="BA1306" s="2">
        <v>0.9</v>
      </c>
      <c r="BB1306" s="2">
        <v>7.5</v>
      </c>
      <c r="BC1306" s="2">
        <v>2.9</v>
      </c>
      <c r="BD1306" s="2">
        <f>+AN1306*EXP(-0.0495*Y1306)</f>
        <v>5.9945852819115446</v>
      </c>
      <c r="BE1306" s="2">
        <f>+AO1306*EXP(-0.024*Y1306)</f>
        <v>18.720081430860446</v>
      </c>
    </row>
    <row r="1307" spans="1:57" x14ac:dyDescent="0.2">
      <c r="A1307" s="2" t="s">
        <v>3917</v>
      </c>
      <c r="B1307" s="2" t="s">
        <v>19</v>
      </c>
      <c r="C1307" s="2" t="s">
        <v>3245</v>
      </c>
      <c r="D1307" s="2" t="s">
        <v>21</v>
      </c>
      <c r="E1307" s="2" t="s">
        <v>180</v>
      </c>
      <c r="F1307" s="2">
        <v>6</v>
      </c>
      <c r="G1307" s="2">
        <v>18</v>
      </c>
      <c r="H1307" s="2">
        <v>1</v>
      </c>
      <c r="I1307" s="2">
        <v>1</v>
      </c>
      <c r="J1307" s="2">
        <v>0</v>
      </c>
      <c r="K1307" s="2" t="s">
        <v>61</v>
      </c>
      <c r="L1307" s="6" t="s">
        <v>62</v>
      </c>
      <c r="M1307" s="5">
        <v>300000000</v>
      </c>
      <c r="N1307" s="2">
        <v>0</v>
      </c>
      <c r="O1307" s="2">
        <v>4.6798238750000003</v>
      </c>
      <c r="P1307" s="2">
        <v>-74.053001399999999</v>
      </c>
      <c r="Q1307" s="2" t="s">
        <v>3918</v>
      </c>
      <c r="R1307" s="2">
        <v>16666666.67</v>
      </c>
      <c r="S1307" s="2">
        <v>0</v>
      </c>
      <c r="T1307" s="2" t="s">
        <v>26</v>
      </c>
      <c r="U1307" s="2" t="s">
        <v>27</v>
      </c>
      <c r="V1307" s="2" t="s">
        <v>28</v>
      </c>
      <c r="W1307" s="2" t="s">
        <v>29</v>
      </c>
      <c r="X1307" s="2" t="s">
        <v>30</v>
      </c>
      <c r="Y1307" s="2">
        <v>4.17800380783207</v>
      </c>
      <c r="Z1307" s="2">
        <v>4.6584666666666701</v>
      </c>
      <c r="AA1307" s="2">
        <v>-74.083966666666697</v>
      </c>
      <c r="AB1307" s="2">
        <v>2552</v>
      </c>
      <c r="AC1307" s="2" t="s">
        <v>31</v>
      </c>
      <c r="AD1307" s="2" t="s">
        <v>32</v>
      </c>
      <c r="AE1307" s="2" t="s">
        <v>33</v>
      </c>
      <c r="AF1307" s="2" t="s">
        <v>34</v>
      </c>
      <c r="AG1307" s="2" t="s">
        <v>81</v>
      </c>
      <c r="AH1307" s="2">
        <v>0.69333475171088099</v>
      </c>
      <c r="AI1307" s="2">
        <v>1.6274071651873101</v>
      </c>
      <c r="AJ1307" s="2">
        <v>0.656276914186674</v>
      </c>
      <c r="AK1307" s="2">
        <v>3.7979268129725997E-2</v>
      </c>
      <c r="AL1307" s="2">
        <v>0.64471973563544205</v>
      </c>
      <c r="AN1307" s="2">
        <v>6.8</v>
      </c>
      <c r="AO1307" s="2">
        <v>19.899999999999999</v>
      </c>
      <c r="AP1307" s="2">
        <v>564</v>
      </c>
      <c r="AQ1307" s="2">
        <v>68</v>
      </c>
      <c r="AR1307" s="2">
        <v>1.5</v>
      </c>
      <c r="AS1307" s="2">
        <v>135</v>
      </c>
      <c r="AT1307" s="2">
        <v>0.8</v>
      </c>
      <c r="AU1307" s="2">
        <v>162</v>
      </c>
      <c r="AV1307" s="2">
        <v>9.1</v>
      </c>
      <c r="AW1307" s="2">
        <v>9.1999999999999993</v>
      </c>
      <c r="AX1307" s="2">
        <v>18.3</v>
      </c>
      <c r="AY1307" s="2">
        <v>0.34</v>
      </c>
      <c r="AZ1307" s="2">
        <v>7.3</v>
      </c>
      <c r="BA1307" s="2">
        <v>0.9</v>
      </c>
      <c r="BB1307" s="2">
        <v>7.5</v>
      </c>
      <c r="BC1307" s="2">
        <v>2.9</v>
      </c>
      <c r="BD1307" s="2">
        <f>+AN1307*EXP(-0.0495*Y1307)</f>
        <v>5.529577569260856</v>
      </c>
      <c r="BE1307" s="2">
        <f>+AO1307*EXP(-0.024*Y1307)</f>
        <v>18.001365935858242</v>
      </c>
    </row>
    <row r="1308" spans="1:57" x14ac:dyDescent="0.2">
      <c r="A1308" s="2" t="s">
        <v>4050</v>
      </c>
      <c r="B1308" s="2" t="s">
        <v>19</v>
      </c>
      <c r="C1308" s="2" t="s">
        <v>3245</v>
      </c>
      <c r="D1308" s="2" t="s">
        <v>21</v>
      </c>
      <c r="E1308" s="2" t="s">
        <v>180</v>
      </c>
      <c r="F1308" s="2">
        <v>6</v>
      </c>
      <c r="G1308" s="2">
        <v>18</v>
      </c>
      <c r="H1308" s="2">
        <v>1</v>
      </c>
      <c r="I1308" s="2">
        <v>1</v>
      </c>
      <c r="J1308" s="2">
        <v>0</v>
      </c>
      <c r="K1308" s="2" t="s">
        <v>61</v>
      </c>
      <c r="L1308" s="6" t="s">
        <v>62</v>
      </c>
      <c r="M1308" s="5">
        <v>300000000</v>
      </c>
      <c r="N1308" s="2">
        <v>0</v>
      </c>
      <c r="O1308" s="2">
        <v>4.6798238750000003</v>
      </c>
      <c r="P1308" s="2">
        <v>-74.053001399999999</v>
      </c>
      <c r="Q1308" s="2" t="s">
        <v>4051</v>
      </c>
      <c r="R1308" s="2">
        <v>16666666.67</v>
      </c>
      <c r="S1308" s="2">
        <v>0</v>
      </c>
      <c r="T1308" s="2" t="s">
        <v>26</v>
      </c>
      <c r="U1308" s="2" t="s">
        <v>27</v>
      </c>
      <c r="V1308" s="2" t="s">
        <v>28</v>
      </c>
      <c r="W1308" s="2" t="s">
        <v>29</v>
      </c>
      <c r="X1308" s="2" t="s">
        <v>30</v>
      </c>
      <c r="Y1308" s="2">
        <v>4.17800380783207</v>
      </c>
      <c r="Z1308" s="2">
        <v>4.6584666666666701</v>
      </c>
      <c r="AA1308" s="2">
        <v>-74.083966666666697</v>
      </c>
      <c r="AB1308" s="2">
        <v>2552</v>
      </c>
      <c r="AC1308" s="2" t="s">
        <v>31</v>
      </c>
      <c r="AD1308" s="2" t="s">
        <v>32</v>
      </c>
      <c r="AE1308" s="2" t="s">
        <v>33</v>
      </c>
      <c r="AF1308" s="2" t="s">
        <v>34</v>
      </c>
      <c r="AG1308" s="2" t="s">
        <v>81</v>
      </c>
      <c r="AH1308" s="2">
        <v>0.69333475171088099</v>
      </c>
      <c r="AI1308" s="2">
        <v>1.6274071651873101</v>
      </c>
      <c r="AJ1308" s="2">
        <v>0.656276914186674</v>
      </c>
      <c r="AK1308" s="2">
        <v>3.7979268129725997E-2</v>
      </c>
      <c r="AL1308" s="2">
        <v>0.64471973563544205</v>
      </c>
      <c r="AN1308" s="2">
        <v>6.8</v>
      </c>
      <c r="AO1308" s="2">
        <v>19.899999999999999</v>
      </c>
      <c r="AP1308" s="2">
        <v>564</v>
      </c>
      <c r="AQ1308" s="2">
        <v>68</v>
      </c>
      <c r="AR1308" s="2">
        <v>1.5</v>
      </c>
      <c r="AS1308" s="2">
        <v>135</v>
      </c>
      <c r="AT1308" s="2">
        <v>0.8</v>
      </c>
      <c r="AU1308" s="2">
        <v>162</v>
      </c>
      <c r="AV1308" s="2">
        <v>9.1</v>
      </c>
      <c r="AW1308" s="2">
        <v>9.1999999999999993</v>
      </c>
      <c r="AX1308" s="2">
        <v>18.3</v>
      </c>
      <c r="AY1308" s="2">
        <v>0.34</v>
      </c>
      <c r="AZ1308" s="2">
        <v>7.3</v>
      </c>
      <c r="BA1308" s="2">
        <v>0.9</v>
      </c>
      <c r="BB1308" s="2">
        <v>7.5</v>
      </c>
      <c r="BC1308" s="2">
        <v>2.9</v>
      </c>
      <c r="BD1308" s="2">
        <f>+AN1308*EXP(-0.0495*Y1308)</f>
        <v>5.529577569260856</v>
      </c>
      <c r="BE1308" s="2">
        <f>+AO1308*EXP(-0.024*Y1308)</f>
        <v>18.001365935858242</v>
      </c>
    </row>
    <row r="1309" spans="1:57" x14ac:dyDescent="0.2">
      <c r="A1309" s="2" t="s">
        <v>3710</v>
      </c>
      <c r="B1309" s="2" t="s">
        <v>19</v>
      </c>
      <c r="C1309" s="2" t="s">
        <v>3245</v>
      </c>
      <c r="D1309" s="2" t="s">
        <v>21</v>
      </c>
      <c r="E1309" s="2" t="s">
        <v>3600</v>
      </c>
      <c r="F1309" s="2">
        <v>5</v>
      </c>
      <c r="G1309" s="2">
        <v>18</v>
      </c>
      <c r="H1309" s="2">
        <v>1</v>
      </c>
      <c r="I1309" s="2">
        <v>1</v>
      </c>
      <c r="J1309" s="2">
        <v>0</v>
      </c>
      <c r="K1309" s="2" t="s">
        <v>61</v>
      </c>
      <c r="L1309" s="6" t="s">
        <v>62</v>
      </c>
      <c r="M1309" s="5">
        <v>275000000</v>
      </c>
      <c r="N1309" s="2">
        <v>0</v>
      </c>
      <c r="O1309" s="2">
        <v>4.6843300000000001</v>
      </c>
      <c r="P1309" s="2">
        <v>-74.057180000000002</v>
      </c>
      <c r="Q1309" s="2" t="s">
        <v>3711</v>
      </c>
      <c r="R1309" s="2">
        <v>15277777.779999999</v>
      </c>
      <c r="S1309" s="2">
        <v>0</v>
      </c>
      <c r="T1309" s="2" t="s">
        <v>26</v>
      </c>
      <c r="U1309" s="2" t="s">
        <v>27</v>
      </c>
      <c r="V1309" s="2" t="s">
        <v>28</v>
      </c>
      <c r="W1309" s="2" t="s">
        <v>29</v>
      </c>
      <c r="X1309" s="2" t="s">
        <v>30</v>
      </c>
      <c r="Y1309" s="2">
        <v>4.13784958201202</v>
      </c>
      <c r="Z1309" s="2">
        <v>4.6584666666666701</v>
      </c>
      <c r="AA1309" s="2">
        <v>-74.083966666666697</v>
      </c>
      <c r="AB1309" s="2">
        <v>2552</v>
      </c>
      <c r="AC1309" s="2" t="s">
        <v>31</v>
      </c>
      <c r="AD1309" s="2" t="s">
        <v>32</v>
      </c>
      <c r="AE1309" s="2" t="s">
        <v>33</v>
      </c>
      <c r="AF1309" s="2" t="s">
        <v>34</v>
      </c>
      <c r="AG1309" s="2" t="s">
        <v>81</v>
      </c>
      <c r="AH1309" s="2">
        <v>7.2472650881882497E-2</v>
      </c>
      <c r="AI1309" s="2">
        <v>2.2694251142748101</v>
      </c>
      <c r="AJ1309" s="2">
        <v>0.50982825709640101</v>
      </c>
      <c r="AK1309" s="2">
        <v>2.33396928908342E-2</v>
      </c>
      <c r="AL1309" s="2">
        <v>0.13828508794302499</v>
      </c>
      <c r="AN1309" s="2">
        <v>6.8</v>
      </c>
      <c r="AO1309" s="2">
        <v>19.899999999999999</v>
      </c>
      <c r="AP1309" s="2">
        <v>564</v>
      </c>
      <c r="AQ1309" s="2">
        <v>68</v>
      </c>
      <c r="AR1309" s="2">
        <v>1.5</v>
      </c>
      <c r="AS1309" s="2">
        <v>135</v>
      </c>
      <c r="AT1309" s="2">
        <v>0.8</v>
      </c>
      <c r="AU1309" s="2">
        <v>162</v>
      </c>
      <c r="AV1309" s="2">
        <v>9.1</v>
      </c>
      <c r="AW1309" s="2">
        <v>9.1999999999999993</v>
      </c>
      <c r="AX1309" s="2">
        <v>18.3</v>
      </c>
      <c r="AY1309" s="2">
        <v>0.34</v>
      </c>
      <c r="AZ1309" s="2">
        <v>7.3</v>
      </c>
      <c r="BA1309" s="2">
        <v>0.9</v>
      </c>
      <c r="BB1309" s="2">
        <v>7.5</v>
      </c>
      <c r="BC1309" s="2">
        <v>2.9</v>
      </c>
      <c r="BD1309" s="2">
        <f>+AN1309*EXP(-0.0495*Y1309)</f>
        <v>5.5405792766907567</v>
      </c>
      <c r="BE1309" s="2">
        <f>+AO1309*EXP(-0.024*Y1309)</f>
        <v>18.018722239570831</v>
      </c>
    </row>
    <row r="1310" spans="1:57" x14ac:dyDescent="0.2">
      <c r="A1310" s="2" t="s">
        <v>3976</v>
      </c>
      <c r="B1310" s="2" t="s">
        <v>19</v>
      </c>
      <c r="C1310" s="2" t="s">
        <v>3245</v>
      </c>
      <c r="D1310" s="2" t="s">
        <v>21</v>
      </c>
      <c r="E1310" s="2" t="s">
        <v>83</v>
      </c>
      <c r="F1310" s="2">
        <v>6</v>
      </c>
      <c r="G1310" s="2">
        <v>18</v>
      </c>
      <c r="H1310" s="2">
        <v>1</v>
      </c>
      <c r="I1310" s="2">
        <v>1</v>
      </c>
      <c r="J1310" s="2">
        <v>0</v>
      </c>
      <c r="K1310" s="2" t="s">
        <v>61</v>
      </c>
      <c r="L1310" s="6" t="s">
        <v>62</v>
      </c>
      <c r="M1310" s="5">
        <v>275000000</v>
      </c>
      <c r="N1310" s="2">
        <v>0</v>
      </c>
      <c r="O1310" s="2">
        <v>4.6773028999999999</v>
      </c>
      <c r="P1310" s="2">
        <v>-74.053129999999996</v>
      </c>
      <c r="Q1310" s="2" t="s">
        <v>3977</v>
      </c>
      <c r="R1310" s="2">
        <v>15277777.779999999</v>
      </c>
      <c r="S1310" s="2">
        <v>0</v>
      </c>
      <c r="T1310" s="2" t="s">
        <v>26</v>
      </c>
      <c r="U1310" s="2" t="s">
        <v>27</v>
      </c>
      <c r="V1310" s="2" t="s">
        <v>28</v>
      </c>
      <c r="W1310" s="2" t="s">
        <v>29</v>
      </c>
      <c r="X1310" s="2" t="s">
        <v>30</v>
      </c>
      <c r="Y1310" s="2">
        <v>4.01276452115511</v>
      </c>
      <c r="Z1310" s="2">
        <v>4.6584666666666701</v>
      </c>
      <c r="AA1310" s="2">
        <v>-74.083966666666697</v>
      </c>
      <c r="AB1310" s="2">
        <v>2552</v>
      </c>
      <c r="AC1310" s="2" t="s">
        <v>31</v>
      </c>
      <c r="AD1310" s="2" t="s">
        <v>32</v>
      </c>
      <c r="AE1310" s="2" t="s">
        <v>33</v>
      </c>
      <c r="AF1310" s="2" t="s">
        <v>34</v>
      </c>
      <c r="AG1310" s="2" t="s">
        <v>81</v>
      </c>
      <c r="AH1310" s="2">
        <v>0.66878573925118701</v>
      </c>
      <c r="AI1310" s="2">
        <v>1.47806830152258</v>
      </c>
      <c r="AJ1310" s="2">
        <v>0.93520577071382005</v>
      </c>
      <c r="AK1310" s="2">
        <v>5.1524877232809602E-2</v>
      </c>
      <c r="AL1310" s="2">
        <v>0.71175139708906698</v>
      </c>
      <c r="AN1310" s="2">
        <v>6.8</v>
      </c>
      <c r="AO1310" s="2">
        <v>19.899999999999999</v>
      </c>
      <c r="AP1310" s="2">
        <v>564</v>
      </c>
      <c r="AQ1310" s="2">
        <v>68</v>
      </c>
      <c r="AR1310" s="2">
        <v>1.5</v>
      </c>
      <c r="AS1310" s="2">
        <v>135</v>
      </c>
      <c r="AT1310" s="2">
        <v>0.8</v>
      </c>
      <c r="AU1310" s="2">
        <v>162</v>
      </c>
      <c r="AV1310" s="2">
        <v>9.1</v>
      </c>
      <c r="AW1310" s="2">
        <v>9.1999999999999993</v>
      </c>
      <c r="AX1310" s="2">
        <v>18.3</v>
      </c>
      <c r="AY1310" s="2">
        <v>0.34</v>
      </c>
      <c r="AZ1310" s="2">
        <v>7.3</v>
      </c>
      <c r="BA1310" s="2">
        <v>0.9</v>
      </c>
      <c r="BB1310" s="2">
        <v>7.5</v>
      </c>
      <c r="BC1310" s="2">
        <v>2.9</v>
      </c>
      <c r="BD1310" s="2">
        <f>+AN1310*EXP(-0.0495*Y1310)</f>
        <v>5.5749913645474436</v>
      </c>
      <c r="BE1310" s="2">
        <f>+AO1310*EXP(-0.024*Y1310)</f>
        <v>18.07289646675251</v>
      </c>
    </row>
    <row r="1311" spans="1:57" x14ac:dyDescent="0.2">
      <c r="A1311" s="2" t="s">
        <v>3958</v>
      </c>
      <c r="B1311" s="2" t="s">
        <v>19</v>
      </c>
      <c r="C1311" s="2" t="s">
        <v>3245</v>
      </c>
      <c r="D1311" s="2" t="s">
        <v>21</v>
      </c>
      <c r="E1311" s="2" t="s">
        <v>87</v>
      </c>
      <c r="F1311" s="2">
        <v>4</v>
      </c>
      <c r="G1311" s="2">
        <v>18</v>
      </c>
      <c r="H1311" s="2">
        <v>1</v>
      </c>
      <c r="I1311" s="2">
        <v>1</v>
      </c>
      <c r="J1311" s="2">
        <v>0</v>
      </c>
      <c r="K1311" s="2" t="s">
        <v>61</v>
      </c>
      <c r="L1311" s="6" t="s">
        <v>62</v>
      </c>
      <c r="M1311" s="5">
        <v>235000000</v>
      </c>
      <c r="N1311" s="2">
        <v>0</v>
      </c>
      <c r="O1311" s="2">
        <v>4.620807171</v>
      </c>
      <c r="P1311" s="2">
        <v>-74.069808960000003</v>
      </c>
      <c r="Q1311" s="2" t="s">
        <v>3959</v>
      </c>
      <c r="R1311" s="2">
        <v>13055555.560000001</v>
      </c>
      <c r="S1311" s="2">
        <v>0</v>
      </c>
      <c r="T1311" s="2" t="s">
        <v>77</v>
      </c>
      <c r="U1311" s="2" t="s">
        <v>78</v>
      </c>
      <c r="V1311" s="2" t="s">
        <v>28</v>
      </c>
      <c r="W1311" s="2" t="s">
        <v>79</v>
      </c>
      <c r="X1311" s="2" t="s">
        <v>80</v>
      </c>
      <c r="Y1311" s="2">
        <v>0.60809773645286203</v>
      </c>
      <c r="Z1311" s="2">
        <v>4.6254861111111101</v>
      </c>
      <c r="AA1311" s="2">
        <v>-74.066980555555503</v>
      </c>
      <c r="AB1311" s="2">
        <v>2621</v>
      </c>
      <c r="AC1311" s="2" t="s">
        <v>31</v>
      </c>
      <c r="AD1311" s="2" t="s">
        <v>32</v>
      </c>
      <c r="AE1311" s="2" t="s">
        <v>33</v>
      </c>
      <c r="AF1311" s="2" t="s">
        <v>34</v>
      </c>
      <c r="AG1311" s="2" t="s">
        <v>89</v>
      </c>
      <c r="AH1311" s="2">
        <v>8.5492623193352907E-2</v>
      </c>
      <c r="AI1311" s="2">
        <v>0.90726769379138505</v>
      </c>
      <c r="AJ1311" s="2">
        <v>0.29340098349553601</v>
      </c>
      <c r="AK1311" s="2">
        <v>6.3275620831689597E-2</v>
      </c>
      <c r="AL1311" s="2">
        <v>6.5837343293662295E-2</v>
      </c>
      <c r="AN1311" s="2">
        <v>6.8</v>
      </c>
      <c r="AO1311" s="2">
        <v>19.899999999999999</v>
      </c>
      <c r="AP1311" s="2">
        <v>564</v>
      </c>
      <c r="AQ1311" s="2">
        <v>68</v>
      </c>
      <c r="AR1311" s="2">
        <v>1.5</v>
      </c>
      <c r="AS1311" s="2">
        <v>135</v>
      </c>
      <c r="AT1311" s="2">
        <v>0.8</v>
      </c>
      <c r="AU1311" s="2">
        <v>162</v>
      </c>
      <c r="AV1311" s="2">
        <v>9.1</v>
      </c>
      <c r="AW1311" s="2">
        <v>9.1999999999999993</v>
      </c>
      <c r="AX1311" s="2">
        <v>18.3</v>
      </c>
      <c r="AY1311" s="2">
        <v>0.34</v>
      </c>
      <c r="AZ1311" s="2">
        <v>7.3</v>
      </c>
      <c r="BA1311" s="2">
        <v>0.9</v>
      </c>
      <c r="BB1311" s="2">
        <v>7.5</v>
      </c>
      <c r="BC1311" s="2">
        <v>2.9</v>
      </c>
      <c r="BD1311" s="2">
        <f>+AN1311*EXP(-0.0495*Y1311)</f>
        <v>6.5983642290303255</v>
      </c>
      <c r="BE1311" s="2">
        <f>+AO1311*EXP(-0.024*Y1311)</f>
        <v>19.611681548157861</v>
      </c>
    </row>
    <row r="1312" spans="1:57" x14ac:dyDescent="0.2">
      <c r="A1312" s="2" t="s">
        <v>3866</v>
      </c>
      <c r="B1312" s="2" t="s">
        <v>19</v>
      </c>
      <c r="C1312" s="2" t="s">
        <v>3245</v>
      </c>
      <c r="D1312" s="2" t="s">
        <v>21</v>
      </c>
      <c r="E1312" s="2" t="s">
        <v>332</v>
      </c>
      <c r="F1312" s="2">
        <v>3</v>
      </c>
      <c r="G1312" s="2">
        <v>18</v>
      </c>
      <c r="H1312" s="2">
        <v>1</v>
      </c>
      <c r="I1312" s="2">
        <v>1</v>
      </c>
      <c r="J1312" s="2">
        <v>0</v>
      </c>
      <c r="K1312" s="2" t="s">
        <v>61</v>
      </c>
      <c r="L1312" s="6" t="s">
        <v>62</v>
      </c>
      <c r="M1312" s="5">
        <v>210000000</v>
      </c>
      <c r="N1312" s="2">
        <v>0</v>
      </c>
      <c r="O1312" s="2">
        <v>4.6020183560000003</v>
      </c>
      <c r="P1312" s="2">
        <v>-74.069892879999998</v>
      </c>
      <c r="Q1312" s="2" t="s">
        <v>3867</v>
      </c>
      <c r="R1312" s="2">
        <v>11666666.67</v>
      </c>
      <c r="S1312" s="2">
        <v>0</v>
      </c>
      <c r="T1312" s="2" t="s">
        <v>77</v>
      </c>
      <c r="U1312" s="2" t="s">
        <v>78</v>
      </c>
      <c r="V1312" s="2" t="s">
        <v>28</v>
      </c>
      <c r="W1312" s="2" t="s">
        <v>79</v>
      </c>
      <c r="X1312" s="2" t="s">
        <v>80</v>
      </c>
      <c r="Y1312" s="2">
        <v>2.6323288673612</v>
      </c>
      <c r="Z1312" s="2">
        <v>4.6254861111111101</v>
      </c>
      <c r="AA1312" s="2">
        <v>-74.066980555555503</v>
      </c>
      <c r="AB1312" s="2">
        <v>2621</v>
      </c>
      <c r="AC1312" s="2" t="s">
        <v>31</v>
      </c>
      <c r="AD1312" s="2" t="s">
        <v>32</v>
      </c>
      <c r="AE1312" s="2" t="s">
        <v>33</v>
      </c>
      <c r="AF1312" s="2" t="s">
        <v>34</v>
      </c>
      <c r="AG1312" s="2" t="s">
        <v>89</v>
      </c>
      <c r="AH1312" s="2">
        <v>0.176644836774623</v>
      </c>
      <c r="AI1312" s="2">
        <v>0.68033613950615601</v>
      </c>
      <c r="AJ1312" s="2">
        <v>0.23132781887093101</v>
      </c>
      <c r="AK1312" s="2">
        <v>0.187684442493078</v>
      </c>
      <c r="AL1312" s="2">
        <v>0.135348438087284</v>
      </c>
      <c r="AN1312" s="2">
        <v>6.8</v>
      </c>
      <c r="AO1312" s="2">
        <v>19.899999999999999</v>
      </c>
      <c r="AP1312" s="2">
        <v>564</v>
      </c>
      <c r="AQ1312" s="2">
        <v>68</v>
      </c>
      <c r="AR1312" s="2">
        <v>1.5</v>
      </c>
      <c r="AS1312" s="2">
        <v>135</v>
      </c>
      <c r="AT1312" s="2">
        <v>0.8</v>
      </c>
      <c r="AU1312" s="2">
        <v>162</v>
      </c>
      <c r="AV1312" s="2">
        <v>9.1</v>
      </c>
      <c r="AW1312" s="2">
        <v>9.1999999999999993</v>
      </c>
      <c r="AX1312" s="2">
        <v>18.3</v>
      </c>
      <c r="AY1312" s="2">
        <v>0.34</v>
      </c>
      <c r="AZ1312" s="2">
        <v>7.3</v>
      </c>
      <c r="BA1312" s="2">
        <v>0.9</v>
      </c>
      <c r="BB1312" s="2">
        <v>7.5</v>
      </c>
      <c r="BC1312" s="2">
        <v>2.9</v>
      </c>
      <c r="BD1312" s="2">
        <f>+AN1312*EXP(-0.0495*Y1312)</f>
        <v>5.9692562192200613</v>
      </c>
      <c r="BE1312" s="2">
        <f>+AO1312*EXP(-0.024*Y1312)</f>
        <v>18.681688862532958</v>
      </c>
    </row>
    <row r="1313" spans="1:57" x14ac:dyDescent="0.2">
      <c r="A1313" s="2" t="s">
        <v>4404</v>
      </c>
      <c r="B1313" s="2" t="s">
        <v>19</v>
      </c>
      <c r="C1313" s="2" t="s">
        <v>3245</v>
      </c>
      <c r="D1313" s="2" t="s">
        <v>21</v>
      </c>
      <c r="E1313" s="2" t="s">
        <v>3600</v>
      </c>
      <c r="F1313" s="2">
        <v>6</v>
      </c>
      <c r="G1313" s="2">
        <v>17.09</v>
      </c>
      <c r="H1313" s="2">
        <v>1</v>
      </c>
      <c r="I1313" s="2">
        <v>1</v>
      </c>
      <c r="J1313" s="2">
        <v>0</v>
      </c>
      <c r="K1313" s="2" t="s">
        <v>61</v>
      </c>
      <c r="L1313" s="6" t="s">
        <v>62</v>
      </c>
      <c r="M1313" s="5">
        <v>298000000</v>
      </c>
      <c r="N1313" s="2">
        <v>0</v>
      </c>
      <c r="O1313" s="2">
        <v>4.6797000000000004</v>
      </c>
      <c r="P1313" s="2">
        <v>-74.052899999999994</v>
      </c>
      <c r="Q1313" s="2" t="s">
        <v>4405</v>
      </c>
      <c r="R1313" s="2">
        <v>17437097.719999999</v>
      </c>
      <c r="S1313" s="2">
        <v>0</v>
      </c>
      <c r="T1313" s="2" t="s">
        <v>26</v>
      </c>
      <c r="U1313" s="2" t="s">
        <v>27</v>
      </c>
      <c r="V1313" s="2" t="s">
        <v>28</v>
      </c>
      <c r="W1313" s="2" t="s">
        <v>29</v>
      </c>
      <c r="X1313" s="2" t="s">
        <v>30</v>
      </c>
      <c r="Y1313" s="2">
        <v>4.17944596942489</v>
      </c>
      <c r="Z1313" s="2">
        <v>4.6584666666666701</v>
      </c>
      <c r="AA1313" s="2">
        <v>-74.083966666666697</v>
      </c>
      <c r="AB1313" s="2">
        <v>2552</v>
      </c>
      <c r="AC1313" s="2" t="s">
        <v>31</v>
      </c>
      <c r="AD1313" s="2" t="s">
        <v>32</v>
      </c>
      <c r="AE1313" s="2" t="s">
        <v>33</v>
      </c>
      <c r="AF1313" s="2" t="s">
        <v>34</v>
      </c>
      <c r="AG1313" s="2" t="s">
        <v>81</v>
      </c>
      <c r="AH1313" s="2">
        <v>0.71081335312402505</v>
      </c>
      <c r="AI1313" s="2">
        <v>1.6115656048806599</v>
      </c>
      <c r="AJ1313" s="2">
        <v>0.66969420811301095</v>
      </c>
      <c r="AK1313" s="2">
        <v>2.7362594421733E-2</v>
      </c>
      <c r="AL1313" s="2">
        <v>0.65723921997657297</v>
      </c>
      <c r="AN1313" s="2">
        <v>6.8</v>
      </c>
      <c r="AO1313" s="2">
        <v>19.899999999999999</v>
      </c>
      <c r="AP1313" s="2">
        <v>564</v>
      </c>
      <c r="AQ1313" s="2">
        <v>68</v>
      </c>
      <c r="AR1313" s="2">
        <v>1.5</v>
      </c>
      <c r="AS1313" s="2">
        <v>135</v>
      </c>
      <c r="AT1313" s="2">
        <v>0.8</v>
      </c>
      <c r="AU1313" s="2">
        <v>162</v>
      </c>
      <c r="AV1313" s="2">
        <v>9.1</v>
      </c>
      <c r="AW1313" s="2">
        <v>9.1999999999999993</v>
      </c>
      <c r="AX1313" s="2">
        <v>18.3</v>
      </c>
      <c r="AY1313" s="2">
        <v>0.34</v>
      </c>
      <c r="AZ1313" s="2">
        <v>7.3</v>
      </c>
      <c r="BA1313" s="2">
        <v>0.9</v>
      </c>
      <c r="BB1313" s="2">
        <v>7.5</v>
      </c>
      <c r="BC1313" s="2">
        <v>2.9</v>
      </c>
      <c r="BD1313" s="2">
        <f>+AN1313*EXP(-0.0495*Y1313)</f>
        <v>5.5291828434026229</v>
      </c>
      <c r="BE1313" s="2">
        <f>+AO1313*EXP(-0.024*Y1313)</f>
        <v>18.00074288555507</v>
      </c>
    </row>
    <row r="1314" spans="1:57" x14ac:dyDescent="0.2">
      <c r="A1314" s="2" t="s">
        <v>3377</v>
      </c>
      <c r="B1314" s="2" t="s">
        <v>19</v>
      </c>
      <c r="C1314" s="2" t="s">
        <v>3245</v>
      </c>
      <c r="D1314" s="2" t="s">
        <v>21</v>
      </c>
      <c r="E1314" s="2" t="s">
        <v>180</v>
      </c>
      <c r="F1314" s="2">
        <v>6</v>
      </c>
      <c r="G1314" s="2">
        <v>17</v>
      </c>
      <c r="H1314" s="2">
        <v>1</v>
      </c>
      <c r="I1314" s="2">
        <v>1</v>
      </c>
      <c r="J1314" s="2">
        <v>0</v>
      </c>
      <c r="K1314" s="2" t="s">
        <v>61</v>
      </c>
      <c r="L1314" s="6" t="s">
        <v>62</v>
      </c>
      <c r="M1314" s="5">
        <v>300000000</v>
      </c>
      <c r="N1314" s="2">
        <v>0</v>
      </c>
      <c r="O1314" s="2">
        <v>4.6781046850000001</v>
      </c>
      <c r="P1314" s="2">
        <v>-74.052261920000007</v>
      </c>
      <c r="Q1314" s="2" t="s">
        <v>3378</v>
      </c>
      <c r="R1314" s="2">
        <v>17647058.82</v>
      </c>
      <c r="S1314" s="2">
        <v>0</v>
      </c>
      <c r="T1314" s="2" t="s">
        <v>26</v>
      </c>
      <c r="U1314" s="2" t="s">
        <v>27</v>
      </c>
      <c r="V1314" s="2" t="s">
        <v>28</v>
      </c>
      <c r="W1314" s="2" t="s">
        <v>29</v>
      </c>
      <c r="X1314" s="2" t="s">
        <v>30</v>
      </c>
      <c r="Y1314" s="2">
        <v>4.1416004971254603</v>
      </c>
      <c r="Z1314" s="2">
        <v>4.6584666666666701</v>
      </c>
      <c r="AA1314" s="2">
        <v>-74.083966666666697</v>
      </c>
      <c r="AB1314" s="2">
        <v>2552</v>
      </c>
      <c r="AC1314" s="2" t="s">
        <v>31</v>
      </c>
      <c r="AD1314" s="2" t="s">
        <v>32</v>
      </c>
      <c r="AE1314" s="2" t="s">
        <v>33</v>
      </c>
      <c r="AF1314" s="2" t="s">
        <v>34</v>
      </c>
      <c r="AG1314" s="2" t="s">
        <v>81</v>
      </c>
      <c r="AH1314" s="2">
        <v>0.78464787877637399</v>
      </c>
      <c r="AI1314" s="2">
        <v>1.47119290417534</v>
      </c>
      <c r="AJ1314" s="2">
        <v>0.84808387531690999</v>
      </c>
      <c r="AK1314" s="2">
        <v>0.113683694751261</v>
      </c>
      <c r="AL1314" s="2">
        <v>0.76500545451985502</v>
      </c>
      <c r="AN1314" s="2">
        <v>6.8</v>
      </c>
      <c r="AO1314" s="2">
        <v>19.899999999999999</v>
      </c>
      <c r="AP1314" s="2">
        <v>564</v>
      </c>
      <c r="AQ1314" s="2">
        <v>68</v>
      </c>
      <c r="AR1314" s="2">
        <v>1.5</v>
      </c>
      <c r="AS1314" s="2">
        <v>135</v>
      </c>
      <c r="AT1314" s="2">
        <v>0.8</v>
      </c>
      <c r="AU1314" s="2">
        <v>162</v>
      </c>
      <c r="AV1314" s="2">
        <v>9.1</v>
      </c>
      <c r="AW1314" s="2">
        <v>9.1999999999999993</v>
      </c>
      <c r="AX1314" s="2">
        <v>18.3</v>
      </c>
      <c r="AY1314" s="2">
        <v>0.34</v>
      </c>
      <c r="AZ1314" s="2">
        <v>7.3</v>
      </c>
      <c r="BA1314" s="2">
        <v>0.9</v>
      </c>
      <c r="BB1314" s="2">
        <v>7.5</v>
      </c>
      <c r="BC1314" s="2">
        <v>2.9</v>
      </c>
      <c r="BD1314" s="2">
        <f>+AN1314*EXP(-0.0495*Y1314)</f>
        <v>5.5395506511802797</v>
      </c>
      <c r="BE1314" s="2">
        <f>+AO1314*EXP(-0.024*Y1314)</f>
        <v>18.017100231838327</v>
      </c>
    </row>
    <row r="1315" spans="1:57" x14ac:dyDescent="0.2">
      <c r="A1315" s="2" t="s">
        <v>3630</v>
      </c>
      <c r="B1315" s="2" t="s">
        <v>19</v>
      </c>
      <c r="C1315" s="2" t="s">
        <v>3245</v>
      </c>
      <c r="D1315" s="2" t="s">
        <v>21</v>
      </c>
      <c r="E1315" s="2" t="s">
        <v>180</v>
      </c>
      <c r="F1315" s="2">
        <v>6</v>
      </c>
      <c r="G1315" s="2">
        <v>17</v>
      </c>
      <c r="H1315" s="2">
        <v>1</v>
      </c>
      <c r="I1315" s="2">
        <v>1</v>
      </c>
      <c r="J1315" s="2">
        <v>0</v>
      </c>
      <c r="K1315" s="2" t="s">
        <v>61</v>
      </c>
      <c r="L1315" s="6" t="s">
        <v>62</v>
      </c>
      <c r="M1315" s="5">
        <v>298000000</v>
      </c>
      <c r="N1315" s="2">
        <v>0</v>
      </c>
      <c r="O1315" s="2">
        <v>4.6797599999999999</v>
      </c>
      <c r="P1315" s="2">
        <v>-74.053020000000004</v>
      </c>
      <c r="Q1315" s="2" t="s">
        <v>3631</v>
      </c>
      <c r="R1315" s="2">
        <v>17529411.760000002</v>
      </c>
      <c r="S1315" s="2">
        <v>0</v>
      </c>
      <c r="T1315" s="2" t="s">
        <v>26</v>
      </c>
      <c r="U1315" s="2" t="s">
        <v>27</v>
      </c>
      <c r="V1315" s="2" t="s">
        <v>28</v>
      </c>
      <c r="W1315" s="2" t="s">
        <v>29</v>
      </c>
      <c r="X1315" s="2" t="s">
        <v>30</v>
      </c>
      <c r="Y1315" s="2">
        <v>4.17226336837797</v>
      </c>
      <c r="Z1315" s="2">
        <v>4.6584666666666701</v>
      </c>
      <c r="AA1315" s="2">
        <v>-74.083966666666697</v>
      </c>
      <c r="AB1315" s="2">
        <v>2552</v>
      </c>
      <c r="AC1315" s="2" t="s">
        <v>31</v>
      </c>
      <c r="AD1315" s="2" t="s">
        <v>32</v>
      </c>
      <c r="AE1315" s="2" t="s">
        <v>33</v>
      </c>
      <c r="AF1315" s="2" t="s">
        <v>34</v>
      </c>
      <c r="AG1315" s="2" t="s">
        <v>81</v>
      </c>
      <c r="AH1315" s="2">
        <v>0.69645482471546805</v>
      </c>
      <c r="AI1315" s="2">
        <v>1.62641661952815</v>
      </c>
      <c r="AJ1315" s="2">
        <v>0.66340194425071997</v>
      </c>
      <c r="AK1315" s="2">
        <v>3.9579235140639102E-2</v>
      </c>
      <c r="AL1315" s="2">
        <v>0.64332313669566799</v>
      </c>
      <c r="AN1315" s="2">
        <v>6.8</v>
      </c>
      <c r="AO1315" s="2">
        <v>19.899999999999999</v>
      </c>
      <c r="AP1315" s="2">
        <v>564</v>
      </c>
      <c r="AQ1315" s="2">
        <v>68</v>
      </c>
      <c r="AR1315" s="2">
        <v>1.5</v>
      </c>
      <c r="AS1315" s="2">
        <v>135</v>
      </c>
      <c r="AT1315" s="2">
        <v>0.8</v>
      </c>
      <c r="AU1315" s="2">
        <v>162</v>
      </c>
      <c r="AV1315" s="2">
        <v>9.1</v>
      </c>
      <c r="AW1315" s="2">
        <v>9.1999999999999993</v>
      </c>
      <c r="AX1315" s="2">
        <v>18.3</v>
      </c>
      <c r="AY1315" s="2">
        <v>0.34</v>
      </c>
      <c r="AZ1315" s="2">
        <v>7.3</v>
      </c>
      <c r="BA1315" s="2">
        <v>0.9</v>
      </c>
      <c r="BB1315" s="2">
        <v>7.5</v>
      </c>
      <c r="BC1315" s="2">
        <v>2.9</v>
      </c>
      <c r="BD1315" s="2">
        <f>+AN1315*EXP(-0.0495*Y1315)</f>
        <v>5.5311490316767147</v>
      </c>
      <c r="BE1315" s="2">
        <f>+AO1315*EXP(-0.024*Y1315)</f>
        <v>18.003846164735467</v>
      </c>
    </row>
    <row r="1316" spans="1:57" x14ac:dyDescent="0.2">
      <c r="A1316" s="2" t="s">
        <v>4612</v>
      </c>
      <c r="B1316" s="2" t="s">
        <v>19</v>
      </c>
      <c r="C1316" s="2" t="s">
        <v>3245</v>
      </c>
      <c r="D1316" s="2" t="s">
        <v>21</v>
      </c>
      <c r="E1316" s="2" t="s">
        <v>1025</v>
      </c>
      <c r="F1316" s="2">
        <v>6</v>
      </c>
      <c r="G1316" s="2">
        <v>17</v>
      </c>
      <c r="H1316" s="2">
        <v>1</v>
      </c>
      <c r="I1316" s="2">
        <v>1</v>
      </c>
      <c r="J1316" s="2">
        <v>0</v>
      </c>
      <c r="K1316" s="2" t="s">
        <v>61</v>
      </c>
      <c r="L1316" s="6" t="s">
        <v>62</v>
      </c>
      <c r="M1316" s="5">
        <v>285000000</v>
      </c>
      <c r="N1316" s="2">
        <v>0</v>
      </c>
      <c r="O1316" s="2">
        <v>4.6843304630000002</v>
      </c>
      <c r="P1316" s="2">
        <v>-74.057121280000004</v>
      </c>
      <c r="Q1316" s="2" t="s">
        <v>4613</v>
      </c>
      <c r="R1316" s="2">
        <v>16764705.880000001</v>
      </c>
      <c r="S1316" s="2">
        <v>0</v>
      </c>
      <c r="T1316" s="2" t="s">
        <v>26</v>
      </c>
      <c r="U1316" s="2" t="s">
        <v>27</v>
      </c>
      <c r="V1316" s="2" t="s">
        <v>28</v>
      </c>
      <c r="W1316" s="2" t="s">
        <v>29</v>
      </c>
      <c r="X1316" s="2" t="s">
        <v>30</v>
      </c>
      <c r="Y1316" s="2">
        <v>4.1425671985115899</v>
      </c>
      <c r="Z1316" s="2">
        <v>4.6584666666666701</v>
      </c>
      <c r="AA1316" s="2">
        <v>-74.083966666666697</v>
      </c>
      <c r="AB1316" s="2">
        <v>2552</v>
      </c>
      <c r="AC1316" s="2" t="s">
        <v>31</v>
      </c>
      <c r="AD1316" s="2" t="s">
        <v>32</v>
      </c>
      <c r="AE1316" s="2" t="s">
        <v>33</v>
      </c>
      <c r="AF1316" s="2" t="s">
        <v>34</v>
      </c>
      <c r="AG1316" s="2" t="s">
        <v>81</v>
      </c>
      <c r="AH1316" s="2">
        <v>7.7894453601892094E-2</v>
      </c>
      <c r="AI1316" s="2">
        <v>2.2638577744548698</v>
      </c>
      <c r="AJ1316" s="2">
        <v>0.50362570346152502</v>
      </c>
      <c r="AK1316" s="2">
        <v>1.9398409097633101E-2</v>
      </c>
      <c r="AL1316" s="2">
        <v>0.143732031112032</v>
      </c>
      <c r="AN1316" s="2">
        <v>6.8</v>
      </c>
      <c r="AO1316" s="2">
        <v>19.899999999999999</v>
      </c>
      <c r="AP1316" s="2">
        <v>564</v>
      </c>
      <c r="AQ1316" s="2">
        <v>68</v>
      </c>
      <c r="AR1316" s="2">
        <v>1.5</v>
      </c>
      <c r="AS1316" s="2">
        <v>135</v>
      </c>
      <c r="AT1316" s="2">
        <v>0.8</v>
      </c>
      <c r="AU1316" s="2">
        <v>162</v>
      </c>
      <c r="AV1316" s="2">
        <v>9.1</v>
      </c>
      <c r="AW1316" s="2">
        <v>9.1999999999999993</v>
      </c>
      <c r="AX1316" s="2">
        <v>18.3</v>
      </c>
      <c r="AY1316" s="2">
        <v>0.34</v>
      </c>
      <c r="AZ1316" s="2">
        <v>7.3</v>
      </c>
      <c r="BA1316" s="2">
        <v>0.9</v>
      </c>
      <c r="BB1316" s="2">
        <v>7.5</v>
      </c>
      <c r="BC1316" s="2">
        <v>2.9</v>
      </c>
      <c r="BD1316" s="2">
        <f>+AN1316*EXP(-0.0495*Y1316)</f>
        <v>5.5392855805033694</v>
      </c>
      <c r="BE1316" s="2">
        <f>+AO1316*EXP(-0.024*Y1316)</f>
        <v>18.016682224948966</v>
      </c>
    </row>
    <row r="1317" spans="1:57" x14ac:dyDescent="0.2">
      <c r="A1317" s="2" t="s">
        <v>3647</v>
      </c>
      <c r="B1317" s="2" t="s">
        <v>19</v>
      </c>
      <c r="C1317" s="2" t="s">
        <v>3245</v>
      </c>
      <c r="D1317" s="2" t="s">
        <v>21</v>
      </c>
      <c r="E1317" s="2" t="s">
        <v>762</v>
      </c>
      <c r="F1317" s="2">
        <v>4</v>
      </c>
      <c r="G1317" s="2">
        <v>17</v>
      </c>
      <c r="H1317" s="2">
        <v>1</v>
      </c>
      <c r="I1317" s="2">
        <v>1</v>
      </c>
      <c r="J1317" s="2">
        <v>0</v>
      </c>
      <c r="K1317" s="2" t="s">
        <v>61</v>
      </c>
      <c r="L1317" s="6" t="s">
        <v>62</v>
      </c>
      <c r="M1317" s="5">
        <v>220000000</v>
      </c>
      <c r="N1317" s="2">
        <v>0</v>
      </c>
      <c r="O1317" s="2">
        <v>4.6492643359999999</v>
      </c>
      <c r="P1317" s="2">
        <v>-74.06062317</v>
      </c>
      <c r="Q1317" s="2" t="s">
        <v>3648</v>
      </c>
      <c r="R1317" s="2">
        <v>12941176.470000001</v>
      </c>
      <c r="S1317" s="2">
        <v>0</v>
      </c>
      <c r="T1317" s="2" t="s">
        <v>77</v>
      </c>
      <c r="U1317" s="2" t="s">
        <v>78</v>
      </c>
      <c r="V1317" s="2" t="s">
        <v>28</v>
      </c>
      <c r="W1317" s="2" t="s">
        <v>79</v>
      </c>
      <c r="X1317" s="2" t="s">
        <v>80</v>
      </c>
      <c r="Y1317" s="2">
        <v>2.73935564023019</v>
      </c>
      <c r="Z1317" s="2">
        <v>4.6254861111111101</v>
      </c>
      <c r="AA1317" s="2">
        <v>-74.066980555555503</v>
      </c>
      <c r="AB1317" s="2">
        <v>2621</v>
      </c>
      <c r="AC1317" s="2" t="s">
        <v>31</v>
      </c>
      <c r="AD1317" s="2" t="s">
        <v>32</v>
      </c>
      <c r="AE1317" s="2" t="s">
        <v>33</v>
      </c>
      <c r="AF1317" s="2" t="s">
        <v>34</v>
      </c>
      <c r="AG1317" s="2" t="s">
        <v>81</v>
      </c>
      <c r="AH1317" s="2">
        <v>0.48047507213726798</v>
      </c>
      <c r="AI1317" s="2">
        <v>0.94883221163235598</v>
      </c>
      <c r="AJ1317" s="2">
        <v>0.122969964216448</v>
      </c>
      <c r="AK1317" s="2">
        <v>2.01978275070629E-2</v>
      </c>
      <c r="AL1317" s="2">
        <v>4.4696621889111401E-2</v>
      </c>
      <c r="AN1317" s="2">
        <v>6.8</v>
      </c>
      <c r="AO1317" s="2">
        <v>19.899999999999999</v>
      </c>
      <c r="AP1317" s="2">
        <v>564</v>
      </c>
      <c r="AQ1317" s="2">
        <v>68</v>
      </c>
      <c r="AR1317" s="2">
        <v>1.5</v>
      </c>
      <c r="AS1317" s="2">
        <v>135</v>
      </c>
      <c r="AT1317" s="2">
        <v>0.8</v>
      </c>
      <c r="AU1317" s="2">
        <v>162</v>
      </c>
      <c r="AV1317" s="2">
        <v>9.1</v>
      </c>
      <c r="AW1317" s="2">
        <v>9.1999999999999993</v>
      </c>
      <c r="AX1317" s="2">
        <v>18.3</v>
      </c>
      <c r="AY1317" s="2">
        <v>0.34</v>
      </c>
      <c r="AZ1317" s="2">
        <v>7.3</v>
      </c>
      <c r="BA1317" s="2">
        <v>0.9</v>
      </c>
      <c r="BB1317" s="2">
        <v>7.5</v>
      </c>
      <c r="BC1317" s="2">
        <v>2.9</v>
      </c>
      <c r="BD1317" s="2">
        <f>+AN1317*EXP(-0.0495*Y1317)</f>
        <v>5.9377157645353433</v>
      </c>
      <c r="BE1317" s="2">
        <f>+AO1317*EXP(-0.024*Y1317)</f>
        <v>18.63376385908813</v>
      </c>
    </row>
    <row r="1318" spans="1:57" x14ac:dyDescent="0.2">
      <c r="A1318" s="2" t="s">
        <v>3306</v>
      </c>
      <c r="B1318" s="2" t="s">
        <v>19</v>
      </c>
      <c r="C1318" s="2" t="s">
        <v>3245</v>
      </c>
      <c r="D1318" s="2" t="s">
        <v>21</v>
      </c>
      <c r="E1318" s="2" t="s">
        <v>2472</v>
      </c>
      <c r="F1318" s="2">
        <v>4</v>
      </c>
      <c r="G1318" s="2">
        <v>16.5</v>
      </c>
      <c r="H1318" s="2">
        <v>1</v>
      </c>
      <c r="I1318" s="2">
        <v>1</v>
      </c>
      <c r="J1318" s="2">
        <v>1</v>
      </c>
      <c r="K1318" s="2" t="s">
        <v>61</v>
      </c>
      <c r="L1318" s="6" t="s">
        <v>62</v>
      </c>
      <c r="M1318" s="5">
        <v>526000000</v>
      </c>
      <c r="N1318" s="2">
        <v>0</v>
      </c>
      <c r="O1318" s="2">
        <v>4.6712499999999997</v>
      </c>
      <c r="P1318" s="2">
        <v>-74.064930000000004</v>
      </c>
      <c r="Q1318" s="2" t="s">
        <v>3307</v>
      </c>
      <c r="R1318" s="2">
        <v>31878787.879999999</v>
      </c>
      <c r="S1318" s="2">
        <v>0</v>
      </c>
      <c r="T1318" s="2" t="s">
        <v>26</v>
      </c>
      <c r="U1318" s="2" t="s">
        <v>27</v>
      </c>
      <c r="V1318" s="2" t="s">
        <v>28</v>
      </c>
      <c r="W1318" s="2" t="s">
        <v>29</v>
      </c>
      <c r="X1318" s="2" t="s">
        <v>30</v>
      </c>
      <c r="Y1318" s="2">
        <v>2.5467879479722999</v>
      </c>
      <c r="Z1318" s="2">
        <v>4.6584666666666701</v>
      </c>
      <c r="AA1318" s="2">
        <v>-74.083966666666697</v>
      </c>
      <c r="AB1318" s="2">
        <v>2552</v>
      </c>
      <c r="AC1318" s="2" t="s">
        <v>31</v>
      </c>
      <c r="AD1318" s="2" t="s">
        <v>32</v>
      </c>
      <c r="AE1318" s="2" t="s">
        <v>33</v>
      </c>
      <c r="AF1318" s="2" t="s">
        <v>34</v>
      </c>
      <c r="AG1318" s="2" t="s">
        <v>293</v>
      </c>
      <c r="AH1318" s="2">
        <v>0.136890712308541</v>
      </c>
      <c r="AI1318" s="2">
        <v>2.3076183359975002</v>
      </c>
      <c r="AJ1318" s="2">
        <v>0.80888925508398402</v>
      </c>
      <c r="AK1318" s="2">
        <v>0.12815544697217901</v>
      </c>
      <c r="AL1318" s="2">
        <v>4.7779363435587897E-2</v>
      </c>
      <c r="AN1318" s="2">
        <v>6.8</v>
      </c>
      <c r="AO1318" s="2">
        <v>19.899999999999999</v>
      </c>
      <c r="AP1318" s="2">
        <v>564</v>
      </c>
      <c r="AQ1318" s="2">
        <v>68</v>
      </c>
      <c r="AR1318" s="2">
        <v>1.5</v>
      </c>
      <c r="AS1318" s="2">
        <v>135</v>
      </c>
      <c r="AT1318" s="2">
        <v>0.8</v>
      </c>
      <c r="AU1318" s="2">
        <v>162</v>
      </c>
      <c r="AV1318" s="2">
        <v>9.1</v>
      </c>
      <c r="AW1318" s="2">
        <v>9.1999999999999993</v>
      </c>
      <c r="AX1318" s="2">
        <v>18.3</v>
      </c>
      <c r="AY1318" s="2">
        <v>0.34</v>
      </c>
      <c r="AZ1318" s="2">
        <v>7.3</v>
      </c>
      <c r="BA1318" s="2">
        <v>0.9</v>
      </c>
      <c r="BB1318" s="2">
        <v>7.5</v>
      </c>
      <c r="BC1318" s="2">
        <v>2.9</v>
      </c>
      <c r="BD1318" s="2">
        <f>+AN1318*EXP(-0.0495*Y1318)</f>
        <v>5.9945852819115446</v>
      </c>
      <c r="BE1318" s="2">
        <f>+AO1318*EXP(-0.024*Y1318)</f>
        <v>18.720081430860446</v>
      </c>
    </row>
    <row r="1319" spans="1:57" x14ac:dyDescent="0.2">
      <c r="A1319" s="2" t="s">
        <v>4448</v>
      </c>
      <c r="B1319" s="2" t="s">
        <v>19</v>
      </c>
      <c r="C1319" s="2" t="s">
        <v>3245</v>
      </c>
      <c r="D1319" s="2" t="s">
        <v>21</v>
      </c>
      <c r="E1319" s="2" t="s">
        <v>83</v>
      </c>
      <c r="F1319" s="2">
        <v>6</v>
      </c>
      <c r="G1319" s="2">
        <v>16</v>
      </c>
      <c r="H1319" s="2">
        <v>1</v>
      </c>
      <c r="I1319" s="2">
        <v>1</v>
      </c>
      <c r="J1319" s="2">
        <v>0</v>
      </c>
      <c r="K1319" s="2" t="s">
        <v>61</v>
      </c>
      <c r="L1319" s="6" t="s">
        <v>62</v>
      </c>
      <c r="M1319" s="5">
        <v>300000000</v>
      </c>
      <c r="N1319" s="2">
        <v>0</v>
      </c>
      <c r="O1319" s="2">
        <v>4.6773905999999998</v>
      </c>
      <c r="P1319" s="2">
        <v>-74.052758699999998</v>
      </c>
      <c r="Q1319" s="2" t="s">
        <v>4449</v>
      </c>
      <c r="R1319" s="2">
        <v>18750000</v>
      </c>
      <c r="S1319" s="2">
        <v>0</v>
      </c>
      <c r="T1319" s="2" t="s">
        <v>26</v>
      </c>
      <c r="U1319" s="2" t="s">
        <v>27</v>
      </c>
      <c r="V1319" s="2" t="s">
        <v>28</v>
      </c>
      <c r="W1319" s="2" t="s">
        <v>29</v>
      </c>
      <c r="X1319" s="2" t="s">
        <v>30</v>
      </c>
      <c r="Y1319" s="2">
        <v>4.0530113881987999</v>
      </c>
      <c r="Z1319" s="2">
        <v>4.6584666666666701</v>
      </c>
      <c r="AA1319" s="2">
        <v>-74.083966666666697</v>
      </c>
      <c r="AB1319" s="2">
        <v>2552</v>
      </c>
      <c r="AC1319" s="2" t="s">
        <v>31</v>
      </c>
      <c r="AD1319" s="2" t="s">
        <v>32</v>
      </c>
      <c r="AE1319" s="2" t="s">
        <v>33</v>
      </c>
      <c r="AF1319" s="2" t="s">
        <v>34</v>
      </c>
      <c r="AG1319" s="2" t="s">
        <v>81</v>
      </c>
      <c r="AH1319" s="2">
        <v>0.71107756185800997</v>
      </c>
      <c r="AI1319" s="2">
        <v>1.45426260712171</v>
      </c>
      <c r="AJ1319" s="2">
        <v>0.92484920510178303</v>
      </c>
      <c r="AK1319" s="2">
        <v>2.59368528508668E-2</v>
      </c>
      <c r="AL1319" s="2">
        <v>0.74403925435608798</v>
      </c>
      <c r="AN1319" s="2">
        <v>6.8</v>
      </c>
      <c r="AO1319" s="2">
        <v>19.899999999999999</v>
      </c>
      <c r="AP1319" s="2">
        <v>564</v>
      </c>
      <c r="AQ1319" s="2">
        <v>68</v>
      </c>
      <c r="AR1319" s="2">
        <v>1.5</v>
      </c>
      <c r="AS1319" s="2">
        <v>135</v>
      </c>
      <c r="AT1319" s="2">
        <v>0.8</v>
      </c>
      <c r="AU1319" s="2">
        <v>162</v>
      </c>
      <c r="AV1319" s="2">
        <v>9.1</v>
      </c>
      <c r="AW1319" s="2">
        <v>9.1999999999999993</v>
      </c>
      <c r="AX1319" s="2">
        <v>18.3</v>
      </c>
      <c r="AY1319" s="2">
        <v>0.34</v>
      </c>
      <c r="AZ1319" s="2">
        <v>7.3</v>
      </c>
      <c r="BA1319" s="2">
        <v>0.9</v>
      </c>
      <c r="BB1319" s="2">
        <v>7.5</v>
      </c>
      <c r="BC1319" s="2">
        <v>2.9</v>
      </c>
      <c r="BD1319" s="2">
        <f>+AN1319*EXP(-0.0495*Y1319)</f>
        <v>5.5638958117650494</v>
      </c>
      <c r="BE1319" s="2">
        <f>+AO1319*EXP(-0.024*Y1319)</f>
        <v>18.055447836073181</v>
      </c>
    </row>
    <row r="1320" spans="1:57" x14ac:dyDescent="0.2">
      <c r="A1320" s="2" t="s">
        <v>4165</v>
      </c>
      <c r="B1320" s="2" t="s">
        <v>19</v>
      </c>
      <c r="C1320" s="2" t="s">
        <v>3245</v>
      </c>
      <c r="D1320" s="2" t="s">
        <v>21</v>
      </c>
      <c r="E1320" s="2" t="s">
        <v>81</v>
      </c>
      <c r="F1320" s="2">
        <v>3</v>
      </c>
      <c r="G1320" s="2">
        <v>16</v>
      </c>
      <c r="H1320" s="2">
        <v>1</v>
      </c>
      <c r="I1320" s="2">
        <v>1</v>
      </c>
      <c r="J1320" s="2">
        <v>0</v>
      </c>
      <c r="K1320" s="2" t="s">
        <v>61</v>
      </c>
      <c r="L1320" s="6" t="s">
        <v>62</v>
      </c>
      <c r="M1320" s="5">
        <v>219500000</v>
      </c>
      <c r="N1320" s="2">
        <v>0</v>
      </c>
      <c r="O1320" s="2">
        <v>4.6461673000000001</v>
      </c>
      <c r="P1320" s="2">
        <v>-74.062497100000002</v>
      </c>
      <c r="Q1320" s="2" t="s">
        <v>4166</v>
      </c>
      <c r="R1320" s="2">
        <v>13718750</v>
      </c>
      <c r="S1320" s="2">
        <v>0</v>
      </c>
      <c r="T1320" s="2" t="s">
        <v>77</v>
      </c>
      <c r="U1320" s="2" t="s">
        <v>78</v>
      </c>
      <c r="V1320" s="2" t="s">
        <v>28</v>
      </c>
      <c r="W1320" s="2" t="s">
        <v>79</v>
      </c>
      <c r="X1320" s="2" t="s">
        <v>80</v>
      </c>
      <c r="Y1320" s="2">
        <v>2.3553521790118199</v>
      </c>
      <c r="Z1320" s="2">
        <v>4.6254861111111101</v>
      </c>
      <c r="AA1320" s="2">
        <v>-74.066980555555503</v>
      </c>
      <c r="AB1320" s="2">
        <v>2621</v>
      </c>
      <c r="AC1320" s="2" t="s">
        <v>31</v>
      </c>
      <c r="AD1320" s="2" t="s">
        <v>32</v>
      </c>
      <c r="AE1320" s="2" t="s">
        <v>33</v>
      </c>
      <c r="AF1320" s="2" t="s">
        <v>34</v>
      </c>
      <c r="AG1320" s="2" t="s">
        <v>81</v>
      </c>
      <c r="AH1320" s="2">
        <v>0.361056780610435</v>
      </c>
      <c r="AI1320" s="2">
        <v>0.79614683255112695</v>
      </c>
      <c r="AJ1320" s="2">
        <v>0.16532030121402599</v>
      </c>
      <c r="AK1320" s="2">
        <v>0.16164885477369101</v>
      </c>
      <c r="AL1320" s="2">
        <v>0.40269990647514298</v>
      </c>
      <c r="AN1320" s="2">
        <v>6.8</v>
      </c>
      <c r="AO1320" s="2">
        <v>19.899999999999999</v>
      </c>
      <c r="AP1320" s="2">
        <v>564</v>
      </c>
      <c r="AQ1320" s="2">
        <v>68</v>
      </c>
      <c r="AR1320" s="2">
        <v>1.5</v>
      </c>
      <c r="AS1320" s="2">
        <v>135</v>
      </c>
      <c r="AT1320" s="2">
        <v>0.8</v>
      </c>
      <c r="AU1320" s="2">
        <v>162</v>
      </c>
      <c r="AV1320" s="2">
        <v>9.1</v>
      </c>
      <c r="AW1320" s="2">
        <v>9.1999999999999993</v>
      </c>
      <c r="AX1320" s="2">
        <v>18.3</v>
      </c>
      <c r="AY1320" s="2">
        <v>0.34</v>
      </c>
      <c r="AZ1320" s="2">
        <v>7.3</v>
      </c>
      <c r="BA1320" s="2">
        <v>0.9</v>
      </c>
      <c r="BB1320" s="2">
        <v>7.5</v>
      </c>
      <c r="BC1320" s="2">
        <v>2.9</v>
      </c>
      <c r="BD1320" s="2">
        <f>+AN1320*EXP(-0.0495*Y1320)</f>
        <v>6.0516603918346492</v>
      </c>
      <c r="BE1320" s="2">
        <f>+AO1320*EXP(-0.024*Y1320)</f>
        <v>18.806287951764393</v>
      </c>
    </row>
    <row r="1321" spans="1:57" x14ac:dyDescent="0.2">
      <c r="A1321" s="2" t="s">
        <v>3514</v>
      </c>
      <c r="B1321" s="2" t="s">
        <v>19</v>
      </c>
      <c r="C1321" s="2" t="s">
        <v>3245</v>
      </c>
      <c r="D1321" s="2" t="s">
        <v>21</v>
      </c>
      <c r="E1321" s="2" t="s">
        <v>899</v>
      </c>
      <c r="F1321" s="2">
        <v>4</v>
      </c>
      <c r="G1321" s="2">
        <v>16</v>
      </c>
      <c r="H1321" s="2">
        <v>1</v>
      </c>
      <c r="I1321" s="2">
        <v>1</v>
      </c>
      <c r="J1321" s="2">
        <v>0</v>
      </c>
      <c r="K1321" s="2" t="s">
        <v>61</v>
      </c>
      <c r="L1321" s="6" t="s">
        <v>62</v>
      </c>
      <c r="M1321" s="5">
        <v>210000000</v>
      </c>
      <c r="N1321" s="2">
        <v>0</v>
      </c>
      <c r="O1321" s="2">
        <v>4.63605</v>
      </c>
      <c r="P1321" s="2">
        <v>-74.064970000000002</v>
      </c>
      <c r="Q1321" s="2" t="s">
        <v>3515</v>
      </c>
      <c r="R1321" s="2">
        <v>13125000</v>
      </c>
      <c r="S1321" s="2">
        <v>0</v>
      </c>
      <c r="T1321" s="2" t="s">
        <v>77</v>
      </c>
      <c r="U1321" s="2" t="s">
        <v>78</v>
      </c>
      <c r="V1321" s="2" t="s">
        <v>28</v>
      </c>
      <c r="W1321" s="2" t="s">
        <v>79</v>
      </c>
      <c r="X1321" s="2" t="s">
        <v>80</v>
      </c>
      <c r="Y1321" s="2">
        <v>1.19693941596141</v>
      </c>
      <c r="Z1321" s="2">
        <v>4.6254861111111101</v>
      </c>
      <c r="AA1321" s="2">
        <v>-74.066980555555503</v>
      </c>
      <c r="AB1321" s="2">
        <v>2621</v>
      </c>
      <c r="AC1321" s="2" t="s">
        <v>31</v>
      </c>
      <c r="AD1321" s="2" t="s">
        <v>32</v>
      </c>
      <c r="AE1321" s="2" t="s">
        <v>33</v>
      </c>
      <c r="AF1321" s="2" t="s">
        <v>34</v>
      </c>
      <c r="AG1321" s="2" t="s">
        <v>81</v>
      </c>
      <c r="AH1321" s="2">
        <v>0.26162897487648601</v>
      </c>
      <c r="AI1321" s="2">
        <v>0.61759708874596997</v>
      </c>
      <c r="AJ1321" s="2">
        <v>0.22924936466944601</v>
      </c>
      <c r="AK1321" s="2">
        <v>1.1488725060239501E-2</v>
      </c>
      <c r="AL1321" s="2">
        <v>8.0939445853641101E-3</v>
      </c>
      <c r="AN1321" s="2">
        <v>6.8</v>
      </c>
      <c r="AO1321" s="2">
        <v>19.899999999999999</v>
      </c>
      <c r="AP1321" s="2">
        <v>564</v>
      </c>
      <c r="AQ1321" s="2">
        <v>68</v>
      </c>
      <c r="AR1321" s="2">
        <v>1.5</v>
      </c>
      <c r="AS1321" s="2">
        <v>135</v>
      </c>
      <c r="AT1321" s="2">
        <v>0.8</v>
      </c>
      <c r="AU1321" s="2">
        <v>162</v>
      </c>
      <c r="AV1321" s="2">
        <v>9.1</v>
      </c>
      <c r="AW1321" s="2">
        <v>9.1999999999999993</v>
      </c>
      <c r="AX1321" s="2">
        <v>18.3</v>
      </c>
      <c r="AY1321" s="2">
        <v>0.34</v>
      </c>
      <c r="AZ1321" s="2">
        <v>7.3</v>
      </c>
      <c r="BA1321" s="2">
        <v>0.9</v>
      </c>
      <c r="BB1321" s="2">
        <v>7.5</v>
      </c>
      <c r="BC1321" s="2">
        <v>2.9</v>
      </c>
      <c r="BD1321" s="2">
        <f>+AN1321*EXP(-0.0495*Y1321)</f>
        <v>6.4088132352956784</v>
      </c>
      <c r="BE1321" s="2">
        <f>+AO1321*EXP(-0.024*Y1321)</f>
        <v>19.336474556629291</v>
      </c>
    </row>
    <row r="1322" spans="1:57" x14ac:dyDescent="0.2">
      <c r="A1322" s="2" t="s">
        <v>3523</v>
      </c>
      <c r="B1322" s="2" t="s">
        <v>19</v>
      </c>
      <c r="C1322" s="2" t="s">
        <v>3245</v>
      </c>
      <c r="D1322" s="2" t="s">
        <v>21</v>
      </c>
      <c r="E1322" s="2" t="s">
        <v>3524</v>
      </c>
      <c r="F1322" s="2">
        <v>3</v>
      </c>
      <c r="G1322" s="2">
        <v>15.32</v>
      </c>
      <c r="H1322" s="2">
        <v>1</v>
      </c>
      <c r="I1322" s="2">
        <v>1</v>
      </c>
      <c r="J1322" s="2">
        <v>0</v>
      </c>
      <c r="K1322" s="2" t="s">
        <v>61</v>
      </c>
      <c r="L1322" s="6" t="s">
        <v>62</v>
      </c>
      <c r="M1322" s="5">
        <v>220000000</v>
      </c>
      <c r="N1322" s="2">
        <v>0</v>
      </c>
      <c r="O1322" s="2">
        <v>4.6020200000000004</v>
      </c>
      <c r="P1322" s="2">
        <v>-74.069890000000001</v>
      </c>
      <c r="Q1322" s="2" t="s">
        <v>3525</v>
      </c>
      <c r="R1322" s="2">
        <v>14360313.32</v>
      </c>
      <c r="S1322" s="2">
        <v>0</v>
      </c>
      <c r="T1322" s="2" t="s">
        <v>77</v>
      </c>
      <c r="U1322" s="2" t="s">
        <v>78</v>
      </c>
      <c r="V1322" s="2" t="s">
        <v>28</v>
      </c>
      <c r="W1322" s="2" t="s">
        <v>79</v>
      </c>
      <c r="X1322" s="2" t="s">
        <v>80</v>
      </c>
      <c r="Y1322" s="2">
        <v>2.63210802907262</v>
      </c>
      <c r="Z1322" s="2">
        <v>4.6254861111111101</v>
      </c>
      <c r="AA1322" s="2">
        <v>-74.066980555555503</v>
      </c>
      <c r="AB1322" s="2">
        <v>2621</v>
      </c>
      <c r="AC1322" s="2" t="s">
        <v>31</v>
      </c>
      <c r="AD1322" s="2" t="s">
        <v>32</v>
      </c>
      <c r="AE1322" s="2" t="s">
        <v>33</v>
      </c>
      <c r="AF1322" s="2" t="s">
        <v>34</v>
      </c>
      <c r="AG1322" s="2" t="s">
        <v>89</v>
      </c>
      <c r="AH1322" s="2">
        <v>0.17628200858970999</v>
      </c>
      <c r="AI1322" s="2">
        <v>0.67997626349955098</v>
      </c>
      <c r="AJ1322" s="2">
        <v>0.23097141726849499</v>
      </c>
      <c r="AK1322" s="2">
        <v>0.18805069877057701</v>
      </c>
      <c r="AL1322" s="2">
        <v>0.135548028370063</v>
      </c>
      <c r="AN1322" s="2">
        <v>6.8</v>
      </c>
      <c r="AO1322" s="2">
        <v>19.899999999999999</v>
      </c>
      <c r="AP1322" s="2">
        <v>564</v>
      </c>
      <c r="AQ1322" s="2">
        <v>68</v>
      </c>
      <c r="AR1322" s="2">
        <v>1.5</v>
      </c>
      <c r="AS1322" s="2">
        <v>135</v>
      </c>
      <c r="AT1322" s="2">
        <v>0.8</v>
      </c>
      <c r="AU1322" s="2">
        <v>162</v>
      </c>
      <c r="AV1322" s="2">
        <v>9.1</v>
      </c>
      <c r="AW1322" s="2">
        <v>9.1999999999999993</v>
      </c>
      <c r="AX1322" s="2">
        <v>18.3</v>
      </c>
      <c r="AY1322" s="2">
        <v>0.34</v>
      </c>
      <c r="AZ1322" s="2">
        <v>7.3</v>
      </c>
      <c r="BA1322" s="2">
        <v>0.9</v>
      </c>
      <c r="BB1322" s="2">
        <v>7.5</v>
      </c>
      <c r="BC1322" s="2">
        <v>2.9</v>
      </c>
      <c r="BD1322" s="2">
        <f>+AN1322*EXP(-0.0495*Y1322)</f>
        <v>5.9693214724729327</v>
      </c>
      <c r="BE1322" s="2">
        <f>+AO1322*EXP(-0.024*Y1322)</f>
        <v>18.681787877968063</v>
      </c>
    </row>
    <row r="1323" spans="1:57" x14ac:dyDescent="0.2">
      <c r="A1323" s="2" t="s">
        <v>3930</v>
      </c>
      <c r="B1323" s="2" t="s">
        <v>19</v>
      </c>
      <c r="C1323" s="2" t="s">
        <v>3245</v>
      </c>
      <c r="D1323" s="2" t="s">
        <v>21</v>
      </c>
      <c r="E1323" s="2" t="s">
        <v>3931</v>
      </c>
      <c r="F1323" s="2">
        <v>4</v>
      </c>
      <c r="G1323" s="2">
        <v>15</v>
      </c>
      <c r="H1323" s="2">
        <v>1</v>
      </c>
      <c r="I1323" s="2">
        <v>1</v>
      </c>
      <c r="J1323" s="2">
        <v>0</v>
      </c>
      <c r="K1323" s="2" t="s">
        <v>61</v>
      </c>
      <c r="L1323" s="6" t="s">
        <v>62</v>
      </c>
      <c r="M1323" s="5">
        <v>250000000</v>
      </c>
      <c r="N1323" s="2">
        <v>0</v>
      </c>
      <c r="O1323" s="2">
        <v>4.6227939999999998</v>
      </c>
      <c r="P1323" s="2">
        <v>-74.090960199999998</v>
      </c>
      <c r="Q1323" s="2" t="s">
        <v>3932</v>
      </c>
      <c r="R1323" s="2">
        <v>16666666.67</v>
      </c>
      <c r="S1323" s="2">
        <v>0</v>
      </c>
      <c r="T1323" s="2" t="s">
        <v>77</v>
      </c>
      <c r="U1323" s="2" t="s">
        <v>78</v>
      </c>
      <c r="V1323" s="2" t="s">
        <v>28</v>
      </c>
      <c r="W1323" s="2" t="s">
        <v>79</v>
      </c>
      <c r="X1323" s="2" t="s">
        <v>80</v>
      </c>
      <c r="Y1323" s="2">
        <v>2.6775369153745001</v>
      </c>
      <c r="Z1323" s="2">
        <v>4.6254861111111101</v>
      </c>
      <c r="AA1323" s="2">
        <v>-74.066980555555503</v>
      </c>
      <c r="AB1323" s="2">
        <v>2621</v>
      </c>
      <c r="AC1323" s="2" t="s">
        <v>31</v>
      </c>
      <c r="AD1323" s="2" t="s">
        <v>32</v>
      </c>
      <c r="AE1323" s="2" t="s">
        <v>33</v>
      </c>
      <c r="AF1323" s="2" t="s">
        <v>34</v>
      </c>
      <c r="AG1323" s="2" t="s">
        <v>239</v>
      </c>
      <c r="AH1323" s="2">
        <v>0.66743251898662503</v>
      </c>
      <c r="AI1323" s="2">
        <v>3.1337604789985098</v>
      </c>
      <c r="AJ1323" s="2">
        <v>1.5332800914459901</v>
      </c>
      <c r="AK1323" s="2">
        <v>6.5377647119212901E-2</v>
      </c>
      <c r="AL1323" s="2">
        <v>0.54905754830896403</v>
      </c>
      <c r="AN1323" s="2">
        <v>6.8</v>
      </c>
      <c r="AO1323" s="2">
        <v>19.899999999999999</v>
      </c>
      <c r="AP1323" s="2">
        <v>564</v>
      </c>
      <c r="AQ1323" s="2">
        <v>68</v>
      </c>
      <c r="AR1323" s="2">
        <v>1.5</v>
      </c>
      <c r="AS1323" s="2">
        <v>135</v>
      </c>
      <c r="AT1323" s="2">
        <v>0.8</v>
      </c>
      <c r="AU1323" s="2">
        <v>162</v>
      </c>
      <c r="AV1323" s="2">
        <v>9.1</v>
      </c>
      <c r="AW1323" s="2">
        <v>9.1999999999999993</v>
      </c>
      <c r="AX1323" s="2">
        <v>18.3</v>
      </c>
      <c r="AY1323" s="2">
        <v>0.34</v>
      </c>
      <c r="AZ1323" s="2">
        <v>7.3</v>
      </c>
      <c r="BA1323" s="2">
        <v>0.9</v>
      </c>
      <c r="BB1323" s="2">
        <v>7.5</v>
      </c>
      <c r="BC1323" s="2">
        <v>2.9</v>
      </c>
      <c r="BD1323" s="2">
        <f>+AN1323*EXP(-0.0495*Y1323)</f>
        <v>5.9559131624464419</v>
      </c>
      <c r="BE1323" s="2">
        <f>+AO1323*EXP(-0.024*Y1323)</f>
        <v>18.661430350204302</v>
      </c>
    </row>
    <row r="1324" spans="1:57" x14ac:dyDescent="0.2">
      <c r="A1324" s="2" t="s">
        <v>3329</v>
      </c>
      <c r="B1324" s="2" t="s">
        <v>19</v>
      </c>
      <c r="C1324" s="2" t="s">
        <v>3245</v>
      </c>
      <c r="D1324" s="2" t="s">
        <v>21</v>
      </c>
      <c r="E1324" s="2" t="s">
        <v>1049</v>
      </c>
      <c r="F1324" s="2">
        <v>3</v>
      </c>
      <c r="G1324" s="2">
        <v>15</v>
      </c>
      <c r="H1324" s="2">
        <v>1</v>
      </c>
      <c r="I1324" s="2">
        <v>1</v>
      </c>
      <c r="J1324" s="2">
        <v>1</v>
      </c>
      <c r="K1324" s="2" t="s">
        <v>61</v>
      </c>
      <c r="L1324" s="6" t="s">
        <v>62</v>
      </c>
      <c r="M1324" s="5">
        <v>235000000</v>
      </c>
      <c r="N1324" s="2">
        <v>0</v>
      </c>
      <c r="O1324" s="2">
        <v>4.6044030190000003</v>
      </c>
      <c r="P1324" s="2">
        <v>-74.069770809999994</v>
      </c>
      <c r="Q1324" s="2" t="s">
        <v>3330</v>
      </c>
      <c r="R1324" s="2">
        <v>15666666.67</v>
      </c>
      <c r="S1324" s="2">
        <v>0</v>
      </c>
      <c r="T1324" s="2" t="s">
        <v>77</v>
      </c>
      <c r="U1324" s="2" t="s">
        <v>78</v>
      </c>
      <c r="V1324" s="2" t="s">
        <v>28</v>
      </c>
      <c r="W1324" s="2" t="s">
        <v>79</v>
      </c>
      <c r="X1324" s="2" t="s">
        <v>80</v>
      </c>
      <c r="Y1324" s="2">
        <v>2.3672918568659398</v>
      </c>
      <c r="Z1324" s="2">
        <v>4.6254861111111101</v>
      </c>
      <c r="AA1324" s="2">
        <v>-74.066980555555503</v>
      </c>
      <c r="AB1324" s="2">
        <v>2621</v>
      </c>
      <c r="AC1324" s="2" t="s">
        <v>31</v>
      </c>
      <c r="AD1324" s="2" t="s">
        <v>32</v>
      </c>
      <c r="AE1324" s="2" t="s">
        <v>33</v>
      </c>
      <c r="AF1324" s="2" t="s">
        <v>34</v>
      </c>
      <c r="AG1324" s="2" t="s">
        <v>89</v>
      </c>
      <c r="AH1324" s="2">
        <v>0.25230736745610899</v>
      </c>
      <c r="AI1324" s="2">
        <v>0.60247651624883403</v>
      </c>
      <c r="AJ1324" s="2">
        <v>0.22368280090843801</v>
      </c>
      <c r="AK1324" s="2">
        <v>2.8440013202581601E-2</v>
      </c>
      <c r="AL1324" s="2">
        <v>4.1660420676381503E-2</v>
      </c>
      <c r="AN1324" s="2">
        <v>6.8</v>
      </c>
      <c r="AO1324" s="2">
        <v>19.899999999999999</v>
      </c>
      <c r="AP1324" s="2">
        <v>564</v>
      </c>
      <c r="AQ1324" s="2">
        <v>68</v>
      </c>
      <c r="AR1324" s="2">
        <v>1.5</v>
      </c>
      <c r="AS1324" s="2">
        <v>135</v>
      </c>
      <c r="AT1324" s="2">
        <v>0.8</v>
      </c>
      <c r="AU1324" s="2">
        <v>162</v>
      </c>
      <c r="AV1324" s="2">
        <v>9.1</v>
      </c>
      <c r="AW1324" s="2">
        <v>9.1999999999999993</v>
      </c>
      <c r="AX1324" s="2">
        <v>18.3</v>
      </c>
      <c r="AY1324" s="2">
        <v>0.34</v>
      </c>
      <c r="AZ1324" s="2">
        <v>7.3</v>
      </c>
      <c r="BA1324" s="2">
        <v>0.9</v>
      </c>
      <c r="BB1324" s="2">
        <v>7.5</v>
      </c>
      <c r="BC1324" s="2">
        <v>2.9</v>
      </c>
      <c r="BD1324" s="2">
        <f>+AN1324*EXP(-0.0495*Y1324)</f>
        <v>6.0480848322014529</v>
      </c>
      <c r="BE1324" s="2">
        <f>+AO1324*EXP(-0.024*Y1324)</f>
        <v>18.800899739328887</v>
      </c>
    </row>
    <row r="1325" spans="1:57" x14ac:dyDescent="0.2">
      <c r="A1325" s="2" t="s">
        <v>4134</v>
      </c>
      <c r="B1325" s="2" t="s">
        <v>19</v>
      </c>
      <c r="C1325" s="2" t="s">
        <v>3245</v>
      </c>
      <c r="D1325" s="2" t="s">
        <v>21</v>
      </c>
      <c r="E1325" s="2" t="s">
        <v>2472</v>
      </c>
      <c r="F1325" s="2">
        <v>4</v>
      </c>
      <c r="G1325" s="2">
        <v>13.7</v>
      </c>
      <c r="H1325" s="2">
        <v>1</v>
      </c>
      <c r="I1325" s="2">
        <v>1</v>
      </c>
      <c r="J1325" s="2">
        <v>0</v>
      </c>
      <c r="K1325" s="2" t="s">
        <v>61</v>
      </c>
      <c r="L1325" s="6" t="s">
        <v>62</v>
      </c>
      <c r="M1325" s="5">
        <v>320000000</v>
      </c>
      <c r="N1325" s="2">
        <v>0</v>
      </c>
      <c r="O1325" s="2">
        <v>4.6707900000000002</v>
      </c>
      <c r="P1325" s="2">
        <v>-74.06456</v>
      </c>
      <c r="Q1325" s="2" t="s">
        <v>4135</v>
      </c>
      <c r="R1325" s="2">
        <v>23357664.23</v>
      </c>
      <c r="S1325" s="2">
        <v>0</v>
      </c>
      <c r="T1325" s="2" t="s">
        <v>26</v>
      </c>
      <c r="U1325" s="2" t="s">
        <v>27</v>
      </c>
      <c r="V1325" s="2" t="s">
        <v>28</v>
      </c>
      <c r="W1325" s="2" t="s">
        <v>29</v>
      </c>
      <c r="X1325" s="2" t="s">
        <v>30</v>
      </c>
      <c r="Y1325" s="2">
        <v>2.5530597955163099</v>
      </c>
      <c r="Z1325" s="2">
        <v>4.6584666666666701</v>
      </c>
      <c r="AA1325" s="2">
        <v>-74.083966666666697</v>
      </c>
      <c r="AB1325" s="2">
        <v>2552</v>
      </c>
      <c r="AC1325" s="2" t="s">
        <v>31</v>
      </c>
      <c r="AD1325" s="2" t="s">
        <v>32</v>
      </c>
      <c r="AE1325" s="2" t="s">
        <v>33</v>
      </c>
      <c r="AF1325" s="2" t="s">
        <v>34</v>
      </c>
      <c r="AG1325" s="2" t="s">
        <v>293</v>
      </c>
      <c r="AH1325" s="2">
        <v>7.3545681956696002E-2</v>
      </c>
      <c r="AI1325" s="2">
        <v>2.2526620581152499</v>
      </c>
      <c r="AJ1325" s="2">
        <v>0.74943146700746099</v>
      </c>
      <c r="AK1325" s="2">
        <v>6.7409460054772899E-2</v>
      </c>
      <c r="AL1325" s="2">
        <v>7.7137130958816802E-2</v>
      </c>
      <c r="AN1325" s="2">
        <v>6.8</v>
      </c>
      <c r="AO1325" s="2">
        <v>19.899999999999999</v>
      </c>
      <c r="AP1325" s="2">
        <v>564</v>
      </c>
      <c r="AQ1325" s="2">
        <v>68</v>
      </c>
      <c r="AR1325" s="2">
        <v>1.5</v>
      </c>
      <c r="AS1325" s="2">
        <v>135</v>
      </c>
      <c r="AT1325" s="2">
        <v>0.8</v>
      </c>
      <c r="AU1325" s="2">
        <v>162</v>
      </c>
      <c r="AV1325" s="2">
        <v>9.1</v>
      </c>
      <c r="AW1325" s="2">
        <v>9.1999999999999993</v>
      </c>
      <c r="AX1325" s="2">
        <v>18.3</v>
      </c>
      <c r="AY1325" s="2">
        <v>0.34</v>
      </c>
      <c r="AZ1325" s="2">
        <v>7.3</v>
      </c>
      <c r="BA1325" s="2">
        <v>0.9</v>
      </c>
      <c r="BB1325" s="2">
        <v>7.5</v>
      </c>
      <c r="BC1325" s="2">
        <v>2.9</v>
      </c>
      <c r="BD1325" s="2">
        <f>+AN1325*EXP(-0.0495*Y1325)</f>
        <v>5.9927245130839388</v>
      </c>
      <c r="BE1325" s="2">
        <f>+AO1325*EXP(-0.024*Y1325)</f>
        <v>18.717263815003751</v>
      </c>
    </row>
    <row r="1326" spans="1:57" x14ac:dyDescent="0.2">
      <c r="A1326" s="2" t="s">
        <v>279</v>
      </c>
      <c r="B1326" s="2" t="s">
        <v>19</v>
      </c>
      <c r="C1326" s="2" t="s">
        <v>20</v>
      </c>
      <c r="D1326" s="2" t="s">
        <v>21</v>
      </c>
      <c r="E1326" s="2" t="s">
        <v>280</v>
      </c>
      <c r="F1326" s="2">
        <v>4</v>
      </c>
      <c r="G1326" s="2">
        <v>10</v>
      </c>
      <c r="H1326" s="2">
        <v>3</v>
      </c>
      <c r="I1326" s="2">
        <v>2</v>
      </c>
      <c r="J1326" s="2">
        <v>1</v>
      </c>
      <c r="K1326" s="2" t="s">
        <v>61</v>
      </c>
      <c r="L1326" s="6" t="s">
        <v>84</v>
      </c>
      <c r="M1326" s="5">
        <v>749500000</v>
      </c>
      <c r="N1326" s="2">
        <v>0</v>
      </c>
      <c r="O1326" s="2">
        <v>4.6942315099999998</v>
      </c>
      <c r="P1326" s="2">
        <v>-74.081764219999997</v>
      </c>
      <c r="Q1326" s="2" t="s">
        <v>281</v>
      </c>
      <c r="R1326" s="2">
        <v>74950000</v>
      </c>
      <c r="S1326" s="2">
        <v>0</v>
      </c>
      <c r="T1326" s="2" t="s">
        <v>26</v>
      </c>
      <c r="U1326" s="2" t="s">
        <v>27</v>
      </c>
      <c r="V1326" s="2" t="s">
        <v>28</v>
      </c>
      <c r="W1326" s="2" t="s">
        <v>29</v>
      </c>
      <c r="X1326" s="2" t="s">
        <v>30</v>
      </c>
      <c r="Y1326" s="2">
        <v>3.9888160314299901</v>
      </c>
      <c r="Z1326" s="2">
        <v>4.6584666666666701</v>
      </c>
      <c r="AA1326" s="2">
        <v>-74.083966666666697</v>
      </c>
      <c r="AB1326" s="2">
        <v>2552</v>
      </c>
      <c r="AC1326" s="2" t="s">
        <v>31</v>
      </c>
      <c r="AD1326" s="2" t="s">
        <v>32</v>
      </c>
      <c r="AE1326" s="2" t="s">
        <v>33</v>
      </c>
      <c r="AF1326" s="2" t="s">
        <v>34</v>
      </c>
      <c r="AG1326" s="2" t="s">
        <v>72</v>
      </c>
      <c r="AH1326" s="2">
        <v>0.48544413650441798</v>
      </c>
      <c r="AI1326" s="2">
        <v>5.1427018674468199</v>
      </c>
      <c r="AJ1326" s="2">
        <v>1.12054801333763</v>
      </c>
      <c r="AK1326" s="2">
        <v>0.42331405662289301</v>
      </c>
      <c r="AL1326" s="2">
        <v>0.43777867381907698</v>
      </c>
      <c r="AN1326" s="2">
        <v>6.8</v>
      </c>
      <c r="AO1326" s="2">
        <v>19.899999999999999</v>
      </c>
      <c r="AP1326" s="2">
        <v>564</v>
      </c>
      <c r="AQ1326" s="2">
        <v>68</v>
      </c>
      <c r="AR1326" s="2">
        <v>1.5</v>
      </c>
      <c r="AS1326" s="2">
        <v>135</v>
      </c>
      <c r="AT1326" s="2">
        <v>0.8</v>
      </c>
      <c r="AU1326" s="2">
        <v>162</v>
      </c>
      <c r="AV1326" s="2">
        <v>9.1</v>
      </c>
      <c r="AW1326" s="2">
        <v>9.1999999999999993</v>
      </c>
      <c r="AX1326" s="2">
        <v>18.3</v>
      </c>
      <c r="AY1326" s="2">
        <v>0.34</v>
      </c>
      <c r="AZ1326" s="2">
        <v>7.3</v>
      </c>
      <c r="BA1326" s="2">
        <v>0.9</v>
      </c>
      <c r="BB1326" s="2">
        <v>7.5</v>
      </c>
      <c r="BC1326" s="2">
        <v>2.9</v>
      </c>
      <c r="BD1326" s="2">
        <f>+AN1326*EXP(-0.0495*Y1326)</f>
        <v>5.58160415820082</v>
      </c>
      <c r="BE1326" s="2">
        <f>+AO1326*EXP(-0.024*Y1326)</f>
        <v>18.083287098353765</v>
      </c>
    </row>
    <row r="1327" spans="1:57" x14ac:dyDescent="0.2">
      <c r="A1327" s="2" t="s">
        <v>2987</v>
      </c>
      <c r="B1327" s="2" t="s">
        <v>19</v>
      </c>
      <c r="C1327" s="2" t="s">
        <v>1907</v>
      </c>
      <c r="D1327" s="2" t="s">
        <v>21</v>
      </c>
      <c r="E1327" s="2" t="s">
        <v>488</v>
      </c>
      <c r="F1327" s="2">
        <v>2</v>
      </c>
      <c r="G1327" s="2">
        <v>780</v>
      </c>
      <c r="H1327" s="2">
        <v>5</v>
      </c>
      <c r="I1327" s="2">
        <v>4</v>
      </c>
      <c r="J1327" s="2">
        <v>0</v>
      </c>
      <c r="K1327" s="2" t="s">
        <v>61</v>
      </c>
      <c r="L1327" s="6" t="s">
        <v>113</v>
      </c>
      <c r="M1327" s="5">
        <v>4000000000</v>
      </c>
      <c r="N1327" s="2">
        <v>0</v>
      </c>
      <c r="O1327" s="2">
        <v>4.5964</v>
      </c>
      <c r="P1327" s="2">
        <v>-74.070580000000007</v>
      </c>
      <c r="Q1327" s="2" t="s">
        <v>2988</v>
      </c>
      <c r="R1327" s="2">
        <v>5128205.1279999996</v>
      </c>
      <c r="S1327" s="2">
        <v>0</v>
      </c>
      <c r="T1327" s="2" t="s">
        <v>547</v>
      </c>
      <c r="U1327" s="2" t="s">
        <v>548</v>
      </c>
      <c r="V1327" s="2" t="s">
        <v>28</v>
      </c>
      <c r="W1327" s="2" t="s">
        <v>547</v>
      </c>
      <c r="X1327" s="2" t="s">
        <v>549</v>
      </c>
      <c r="Y1327" s="2">
        <v>3.0337511447165801</v>
      </c>
      <c r="Z1327" s="2">
        <v>4.5725527777777799</v>
      </c>
      <c r="AA1327" s="2">
        <v>-74.083813888888898</v>
      </c>
      <c r="AB1327" s="2">
        <v>2688</v>
      </c>
      <c r="AC1327" s="2" t="s">
        <v>31</v>
      </c>
      <c r="AD1327" s="2" t="s">
        <v>58</v>
      </c>
      <c r="AE1327" s="2" t="s">
        <v>33</v>
      </c>
      <c r="AF1327" s="2" t="s">
        <v>34</v>
      </c>
      <c r="AG1327" s="2" t="s">
        <v>488</v>
      </c>
      <c r="AH1327" s="2">
        <v>0.58529735178700504</v>
      </c>
      <c r="AI1327" s="2">
        <v>0.46758734995193502</v>
      </c>
      <c r="AJ1327" s="2">
        <v>0.23986871032302301</v>
      </c>
      <c r="AK1327" s="2">
        <v>0.38928460976859203</v>
      </c>
      <c r="AL1327" s="2">
        <v>7.7383704889991698E-3</v>
      </c>
      <c r="AM1327" s="2">
        <v>14.7</v>
      </c>
      <c r="AN1327" s="2">
        <v>6.8</v>
      </c>
      <c r="AO1327" s="2">
        <v>17.3</v>
      </c>
      <c r="AP1327" s="2">
        <v>564</v>
      </c>
      <c r="AQ1327" s="2">
        <v>68</v>
      </c>
      <c r="AR1327" s="2">
        <v>1.3</v>
      </c>
      <c r="AS1327" s="2">
        <v>118</v>
      </c>
      <c r="AT1327" s="2">
        <v>25.2</v>
      </c>
      <c r="AU1327" s="2">
        <v>123</v>
      </c>
      <c r="AV1327" s="2">
        <v>7</v>
      </c>
      <c r="AW1327" s="2">
        <v>5.0999999999999996</v>
      </c>
      <c r="AX1327" s="2">
        <v>12.1</v>
      </c>
      <c r="AY1327" s="2">
        <v>0.32</v>
      </c>
      <c r="AZ1327" s="2">
        <v>9.8000000000000007</v>
      </c>
      <c r="BA1327" s="2">
        <v>1</v>
      </c>
      <c r="BB1327" s="2">
        <v>8.1</v>
      </c>
      <c r="BC1327" s="2">
        <v>1.3</v>
      </c>
      <c r="BD1327" s="2">
        <f>+AN1327*EXP(-0.0495*Y1327)</f>
        <v>5.8518153568678937</v>
      </c>
      <c r="BE1327" s="2">
        <f>+AO1327*EXP(-0.024*Y1327)</f>
        <v>16.085149805764186</v>
      </c>
    </row>
    <row r="1328" spans="1:57" x14ac:dyDescent="0.2">
      <c r="A1328" s="2" t="s">
        <v>2887</v>
      </c>
      <c r="B1328" s="2" t="s">
        <v>19</v>
      </c>
      <c r="C1328" s="2" t="s">
        <v>1907</v>
      </c>
      <c r="D1328" s="2" t="s">
        <v>21</v>
      </c>
      <c r="E1328" s="2" t="s">
        <v>2888</v>
      </c>
      <c r="F1328" s="2">
        <v>1</v>
      </c>
      <c r="G1328" s="2">
        <v>272</v>
      </c>
      <c r="H1328" s="2">
        <v>5</v>
      </c>
      <c r="I1328" s="2">
        <v>3</v>
      </c>
      <c r="J1328" s="2">
        <v>0</v>
      </c>
      <c r="K1328" s="2" t="s">
        <v>61</v>
      </c>
      <c r="L1328" s="6" t="s">
        <v>62</v>
      </c>
      <c r="M1328" s="5">
        <v>820000000</v>
      </c>
      <c r="N1328" s="2">
        <v>0</v>
      </c>
      <c r="O1328" s="2">
        <v>4.5904384</v>
      </c>
      <c r="P1328" s="2">
        <v>-74.094119800000001</v>
      </c>
      <c r="Q1328" s="2" t="s">
        <v>2889</v>
      </c>
      <c r="R1328" s="2">
        <v>3014705.8820000002</v>
      </c>
      <c r="S1328" s="2">
        <v>0</v>
      </c>
      <c r="T1328" s="2" t="s">
        <v>547</v>
      </c>
      <c r="U1328" s="2" t="s">
        <v>548</v>
      </c>
      <c r="V1328" s="2" t="s">
        <v>28</v>
      </c>
      <c r="W1328" s="2" t="s">
        <v>547</v>
      </c>
      <c r="X1328" s="2" t="s">
        <v>549</v>
      </c>
      <c r="Y1328" s="2">
        <v>2.2960697248248598</v>
      </c>
      <c r="Z1328" s="2">
        <v>4.5725527777777799</v>
      </c>
      <c r="AA1328" s="2">
        <v>-74.083813888888898</v>
      </c>
      <c r="AB1328" s="2">
        <v>2688</v>
      </c>
      <c r="AC1328" s="2" t="s">
        <v>31</v>
      </c>
      <c r="AD1328" s="2" t="s">
        <v>58</v>
      </c>
      <c r="AE1328" s="2" t="s">
        <v>33</v>
      </c>
      <c r="AF1328" s="2" t="s">
        <v>34</v>
      </c>
      <c r="AG1328" s="2" t="s">
        <v>938</v>
      </c>
      <c r="AH1328" s="2">
        <v>0.43195925871037799</v>
      </c>
      <c r="AI1328" s="2">
        <v>2.7689975740012001</v>
      </c>
      <c r="AJ1328" s="2">
        <v>0.325455161026455</v>
      </c>
      <c r="AK1328" s="2">
        <v>0.210660315427809</v>
      </c>
      <c r="AL1328" s="2">
        <v>0.118155925567399</v>
      </c>
      <c r="AM1328" s="2">
        <v>14.7</v>
      </c>
      <c r="AN1328" s="2">
        <v>6.8</v>
      </c>
      <c r="AO1328" s="2">
        <v>17.3</v>
      </c>
      <c r="AP1328" s="2">
        <v>564</v>
      </c>
      <c r="AQ1328" s="2">
        <v>68</v>
      </c>
      <c r="AR1328" s="2">
        <v>1.3</v>
      </c>
      <c r="AS1328" s="2">
        <v>118</v>
      </c>
      <c r="AT1328" s="2">
        <v>25.2</v>
      </c>
      <c r="AU1328" s="2">
        <v>123</v>
      </c>
      <c r="AV1328" s="2">
        <v>7</v>
      </c>
      <c r="AW1328" s="2">
        <v>5.0999999999999996</v>
      </c>
      <c r="AX1328" s="2">
        <v>12.1</v>
      </c>
      <c r="AY1328" s="2">
        <v>0.32</v>
      </c>
      <c r="AZ1328" s="2">
        <v>9.8000000000000007</v>
      </c>
      <c r="BA1328" s="2">
        <v>1</v>
      </c>
      <c r="BB1328" s="2">
        <v>8.1</v>
      </c>
      <c r="BC1328" s="2">
        <v>1.3</v>
      </c>
      <c r="BD1328" s="2">
        <f>+AN1328*EXP(-0.0495*Y1328)</f>
        <v>6.0694449586702302</v>
      </c>
      <c r="BE1328" s="2">
        <f>+AO1328*EXP(-0.024*Y1328)</f>
        <v>16.372462834432227</v>
      </c>
    </row>
    <row r="1329" spans="1:57" x14ac:dyDescent="0.2">
      <c r="A1329" s="2" t="s">
        <v>3158</v>
      </c>
      <c r="B1329" s="2" t="s">
        <v>19</v>
      </c>
      <c r="C1329" s="2" t="s">
        <v>1907</v>
      </c>
      <c r="D1329" s="2" t="s">
        <v>21</v>
      </c>
      <c r="E1329" s="2" t="s">
        <v>2372</v>
      </c>
      <c r="F1329" s="2">
        <v>3</v>
      </c>
      <c r="G1329" s="2">
        <v>192</v>
      </c>
      <c r="H1329" s="2">
        <v>5</v>
      </c>
      <c r="I1329" s="2">
        <v>4</v>
      </c>
      <c r="J1329" s="2">
        <v>1</v>
      </c>
      <c r="K1329" s="2" t="s">
        <v>61</v>
      </c>
      <c r="L1329" s="6" t="s">
        <v>113</v>
      </c>
      <c r="M1329" s="5">
        <v>800000000</v>
      </c>
      <c r="N1329" s="2">
        <v>0</v>
      </c>
      <c r="O1329" s="2">
        <v>4.5853200000000003</v>
      </c>
      <c r="P1329" s="2">
        <v>-74.101259999999996</v>
      </c>
      <c r="Q1329" s="2" t="s">
        <v>3159</v>
      </c>
      <c r="R1329" s="2">
        <v>4166666.6669999999</v>
      </c>
      <c r="S1329" s="2">
        <v>0</v>
      </c>
      <c r="T1329" s="2" t="s">
        <v>547</v>
      </c>
      <c r="U1329" s="2" t="s">
        <v>548</v>
      </c>
      <c r="V1329" s="2" t="s">
        <v>28</v>
      </c>
      <c r="W1329" s="2" t="s">
        <v>547</v>
      </c>
      <c r="X1329" s="2" t="s">
        <v>549</v>
      </c>
      <c r="Y1329" s="2">
        <v>2.4015847161697601</v>
      </c>
      <c r="Z1329" s="2">
        <v>4.5725527777777799</v>
      </c>
      <c r="AA1329" s="2">
        <v>-74.083813888888898</v>
      </c>
      <c r="AB1329" s="2">
        <v>2688</v>
      </c>
      <c r="AC1329" s="2" t="s">
        <v>31</v>
      </c>
      <c r="AD1329" s="2" t="s">
        <v>58</v>
      </c>
      <c r="AE1329" s="2" t="s">
        <v>33</v>
      </c>
      <c r="AF1329" s="2" t="s">
        <v>34</v>
      </c>
      <c r="AG1329" s="2" t="s">
        <v>938</v>
      </c>
      <c r="AH1329" s="2">
        <v>0.33131000180993497</v>
      </c>
      <c r="AI1329" s="2">
        <v>3.1829760171269701</v>
      </c>
      <c r="AJ1329" s="2">
        <v>0.46820004500275803</v>
      </c>
      <c r="AK1329" s="2">
        <v>0.10827353605158201</v>
      </c>
      <c r="AL1329" s="2">
        <v>0.22630238486954901</v>
      </c>
      <c r="AM1329" s="2">
        <v>14.7</v>
      </c>
      <c r="AN1329" s="2">
        <v>6.8</v>
      </c>
      <c r="AO1329" s="2">
        <v>17.3</v>
      </c>
      <c r="AP1329" s="2">
        <v>564</v>
      </c>
      <c r="AQ1329" s="2">
        <v>68</v>
      </c>
      <c r="AR1329" s="2">
        <v>1.3</v>
      </c>
      <c r="AS1329" s="2">
        <v>118</v>
      </c>
      <c r="AT1329" s="2">
        <v>25.2</v>
      </c>
      <c r="AU1329" s="2">
        <v>123</v>
      </c>
      <c r="AV1329" s="2">
        <v>7</v>
      </c>
      <c r="AW1329" s="2">
        <v>5.0999999999999996</v>
      </c>
      <c r="AX1329" s="2">
        <v>12.1</v>
      </c>
      <c r="AY1329" s="2">
        <v>0.32</v>
      </c>
      <c r="AZ1329" s="2">
        <v>9.8000000000000007</v>
      </c>
      <c r="BA1329" s="2">
        <v>1</v>
      </c>
      <c r="BB1329" s="2">
        <v>8.1</v>
      </c>
      <c r="BC1329" s="2">
        <v>1.3</v>
      </c>
      <c r="BD1329" s="2">
        <f>+AN1329*EXP(-0.0495*Y1329)</f>
        <v>6.0378269379852627</v>
      </c>
      <c r="BE1329" s="2">
        <f>+AO1329*EXP(-0.024*Y1329)</f>
        <v>16.331054320606356</v>
      </c>
    </row>
    <row r="1330" spans="1:57" x14ac:dyDescent="0.2">
      <c r="A1330" s="2" t="s">
        <v>2237</v>
      </c>
      <c r="B1330" s="2" t="s">
        <v>19</v>
      </c>
      <c r="C1330" s="2" t="s">
        <v>1907</v>
      </c>
      <c r="D1330" s="2" t="s">
        <v>21</v>
      </c>
      <c r="E1330" s="2" t="s">
        <v>2238</v>
      </c>
      <c r="F1330" s="2">
        <v>3</v>
      </c>
      <c r="G1330" s="2">
        <v>168</v>
      </c>
      <c r="H1330" s="2">
        <v>4</v>
      </c>
      <c r="I1330" s="2">
        <v>2</v>
      </c>
      <c r="J1330" s="2">
        <v>2</v>
      </c>
      <c r="K1330" s="2" t="s">
        <v>61</v>
      </c>
      <c r="L1330" s="6" t="s">
        <v>75</v>
      </c>
      <c r="M1330" s="5">
        <v>890000000</v>
      </c>
      <c r="N1330" s="2">
        <v>0</v>
      </c>
      <c r="O1330" s="2">
        <v>4.5706129999999998</v>
      </c>
      <c r="P1330" s="2">
        <v>-74.103408999999999</v>
      </c>
      <c r="Q1330" s="2" t="s">
        <v>2239</v>
      </c>
      <c r="R1330" s="2">
        <v>5297619.0480000004</v>
      </c>
      <c r="S1330" s="2">
        <v>0</v>
      </c>
      <c r="T1330" s="2" t="s">
        <v>547</v>
      </c>
      <c r="U1330" s="2" t="s">
        <v>548</v>
      </c>
      <c r="V1330" s="2" t="s">
        <v>28</v>
      </c>
      <c r="W1330" s="2" t="s">
        <v>547</v>
      </c>
      <c r="X1330" s="2" t="s">
        <v>549</v>
      </c>
      <c r="Y1330" s="2">
        <v>2.18507382880773</v>
      </c>
      <c r="Z1330" s="2">
        <v>4.5725527777777799</v>
      </c>
      <c r="AA1330" s="2">
        <v>-74.083813888888898</v>
      </c>
      <c r="AB1330" s="2">
        <v>2688</v>
      </c>
      <c r="AC1330" s="2" t="s">
        <v>31</v>
      </c>
      <c r="AD1330" s="2" t="s">
        <v>58</v>
      </c>
      <c r="AE1330" s="2" t="s">
        <v>33</v>
      </c>
      <c r="AF1330" s="2" t="s">
        <v>34</v>
      </c>
      <c r="AG1330" s="2" t="s">
        <v>1798</v>
      </c>
      <c r="AH1330" s="2">
        <v>0.53692903702794803</v>
      </c>
      <c r="AI1330" s="2">
        <v>2.8698379010504702</v>
      </c>
      <c r="AJ1330" s="2">
        <v>1.74832380273261</v>
      </c>
      <c r="AK1330" s="2">
        <v>0.51765447006945198</v>
      </c>
      <c r="AL1330" s="2">
        <v>0.23129304322270999</v>
      </c>
      <c r="AM1330" s="2">
        <v>14.7</v>
      </c>
      <c r="AN1330" s="2">
        <v>6.8</v>
      </c>
      <c r="AO1330" s="2">
        <v>17.3</v>
      </c>
      <c r="AP1330" s="2">
        <v>564</v>
      </c>
      <c r="AQ1330" s="2">
        <v>68</v>
      </c>
      <c r="AR1330" s="2">
        <v>1.3</v>
      </c>
      <c r="AS1330" s="2">
        <v>118</v>
      </c>
      <c r="AT1330" s="2">
        <v>25.2</v>
      </c>
      <c r="AU1330" s="2">
        <v>123</v>
      </c>
      <c r="AV1330" s="2">
        <v>7</v>
      </c>
      <c r="AW1330" s="2">
        <v>5.0999999999999996</v>
      </c>
      <c r="AX1330" s="2">
        <v>12.1</v>
      </c>
      <c r="AY1330" s="2">
        <v>0.32</v>
      </c>
      <c r="AZ1330" s="2">
        <v>9.8000000000000007</v>
      </c>
      <c r="BA1330" s="2">
        <v>1</v>
      </c>
      <c r="BB1330" s="2">
        <v>8.1</v>
      </c>
      <c r="BC1330" s="2">
        <v>1.3</v>
      </c>
      <c r="BD1330" s="2">
        <f>+AN1330*EXP(-0.0495*Y1330)</f>
        <v>6.1028840690850856</v>
      </c>
      <c r="BE1330" s="2">
        <f>+AO1330*EXP(-0.024*Y1330)</f>
        <v>16.416135606963497</v>
      </c>
    </row>
    <row r="1331" spans="1:57" x14ac:dyDescent="0.2">
      <c r="A1331" s="2" t="s">
        <v>2227</v>
      </c>
      <c r="B1331" s="2" t="s">
        <v>19</v>
      </c>
      <c r="C1331" s="2" t="s">
        <v>1907</v>
      </c>
      <c r="D1331" s="2" t="s">
        <v>21</v>
      </c>
      <c r="E1331" s="2" t="s">
        <v>2228</v>
      </c>
      <c r="F1331" s="2">
        <v>2</v>
      </c>
      <c r="G1331" s="2">
        <v>137</v>
      </c>
      <c r="H1331" s="2">
        <v>5</v>
      </c>
      <c r="I1331" s="2">
        <v>3</v>
      </c>
      <c r="J1331" s="2">
        <v>0</v>
      </c>
      <c r="K1331" s="2" t="s">
        <v>61</v>
      </c>
      <c r="L1331" s="6" t="s">
        <v>113</v>
      </c>
      <c r="M1331" s="5">
        <v>330000000</v>
      </c>
      <c r="N1331" s="2">
        <v>0</v>
      </c>
      <c r="O1331" s="2">
        <v>4.556646347</v>
      </c>
      <c r="P1331" s="2">
        <v>-74.100410460000006</v>
      </c>
      <c r="Q1331" s="2" t="s">
        <v>2229</v>
      </c>
      <c r="R1331" s="2">
        <v>2408759.1239999998</v>
      </c>
      <c r="S1331" s="2">
        <v>0</v>
      </c>
      <c r="T1331" s="2" t="s">
        <v>547</v>
      </c>
      <c r="U1331" s="2" t="s">
        <v>548</v>
      </c>
      <c r="V1331" s="2" t="s">
        <v>28</v>
      </c>
      <c r="W1331" s="2" t="s">
        <v>547</v>
      </c>
      <c r="X1331" s="2" t="s">
        <v>549</v>
      </c>
      <c r="Y1331" s="2">
        <v>2.5548154991221601</v>
      </c>
      <c r="Z1331" s="2">
        <v>4.5725527777777799</v>
      </c>
      <c r="AA1331" s="2">
        <v>-74.083813888888898</v>
      </c>
      <c r="AB1331" s="2">
        <v>2688</v>
      </c>
      <c r="AC1331" s="2" t="s">
        <v>31</v>
      </c>
      <c r="AD1331" s="2" t="s">
        <v>58</v>
      </c>
      <c r="AE1331" s="2" t="s">
        <v>33</v>
      </c>
      <c r="AF1331" s="2" t="s">
        <v>34</v>
      </c>
      <c r="AG1331" s="2" t="s">
        <v>550</v>
      </c>
      <c r="AH1331" s="2">
        <v>1.0711933529378099</v>
      </c>
      <c r="AI1331" s="2">
        <v>2.0018035188806298</v>
      </c>
      <c r="AJ1331" s="2">
        <v>2.67304514318946</v>
      </c>
      <c r="AK1331" s="2">
        <v>0.72320401192054595</v>
      </c>
      <c r="AL1331" s="2">
        <v>0.26117700412468098</v>
      </c>
      <c r="AM1331" s="2">
        <v>14.7</v>
      </c>
      <c r="AN1331" s="2">
        <v>6.8</v>
      </c>
      <c r="AO1331" s="2">
        <v>17.3</v>
      </c>
      <c r="AP1331" s="2">
        <v>564</v>
      </c>
      <c r="AQ1331" s="2">
        <v>68</v>
      </c>
      <c r="AR1331" s="2">
        <v>1.3</v>
      </c>
      <c r="AS1331" s="2">
        <v>118</v>
      </c>
      <c r="AT1331" s="2">
        <v>25.2</v>
      </c>
      <c r="AU1331" s="2">
        <v>123</v>
      </c>
      <c r="AV1331" s="2">
        <v>7</v>
      </c>
      <c r="AW1331" s="2">
        <v>5.0999999999999996</v>
      </c>
      <c r="AX1331" s="2">
        <v>12.1</v>
      </c>
      <c r="AY1331" s="2">
        <v>0.32</v>
      </c>
      <c r="AZ1331" s="2">
        <v>9.8000000000000007</v>
      </c>
      <c r="BA1331" s="2">
        <v>1</v>
      </c>
      <c r="BB1331" s="2">
        <v>8.1</v>
      </c>
      <c r="BC1331" s="2">
        <v>1.3</v>
      </c>
      <c r="BD1331" s="2">
        <f>+AN1331*EXP(-0.0495*Y1331)</f>
        <v>5.9922037240366519</v>
      </c>
      <c r="BE1331" s="2">
        <f>+AO1331*EXP(-0.024*Y1331)</f>
        <v>16.271106532567291</v>
      </c>
    </row>
    <row r="1332" spans="1:57" x14ac:dyDescent="0.2">
      <c r="A1332" s="2" t="s">
        <v>2371</v>
      </c>
      <c r="B1332" s="2" t="s">
        <v>19</v>
      </c>
      <c r="C1332" s="2" t="s">
        <v>1907</v>
      </c>
      <c r="D1332" s="2" t="s">
        <v>21</v>
      </c>
      <c r="E1332" s="2" t="s">
        <v>2372</v>
      </c>
      <c r="F1332" s="2">
        <v>3</v>
      </c>
      <c r="G1332" s="2">
        <v>128.1</v>
      </c>
      <c r="H1332" s="2">
        <v>5</v>
      </c>
      <c r="I1332" s="2">
        <v>5</v>
      </c>
      <c r="J1332" s="2">
        <v>1</v>
      </c>
      <c r="K1332" s="2" t="s">
        <v>61</v>
      </c>
      <c r="L1332" s="6" t="s">
        <v>113</v>
      </c>
      <c r="M1332" s="5">
        <v>850000000</v>
      </c>
      <c r="N1332" s="2">
        <v>0</v>
      </c>
      <c r="O1332" s="2">
        <v>4.5857739999999998</v>
      </c>
      <c r="P1332" s="2">
        <v>-74.098236</v>
      </c>
      <c r="Q1332" s="2" t="s">
        <v>2373</v>
      </c>
      <c r="R1332" s="2">
        <v>6635441.0619999999</v>
      </c>
      <c r="S1332" s="2">
        <v>0</v>
      </c>
      <c r="T1332" s="2" t="s">
        <v>547</v>
      </c>
      <c r="U1332" s="2" t="s">
        <v>548</v>
      </c>
      <c r="V1332" s="2" t="s">
        <v>28</v>
      </c>
      <c r="W1332" s="2" t="s">
        <v>547</v>
      </c>
      <c r="X1332" s="2" t="s">
        <v>549</v>
      </c>
      <c r="Y1332" s="2">
        <v>2.1742160258965701</v>
      </c>
      <c r="Z1332" s="2">
        <v>4.5725527777777799</v>
      </c>
      <c r="AA1332" s="2">
        <v>-74.083813888888898</v>
      </c>
      <c r="AB1332" s="2">
        <v>2688</v>
      </c>
      <c r="AC1332" s="2" t="s">
        <v>31</v>
      </c>
      <c r="AD1332" s="2" t="s">
        <v>58</v>
      </c>
      <c r="AE1332" s="2" t="s">
        <v>33</v>
      </c>
      <c r="AF1332" s="2" t="s">
        <v>34</v>
      </c>
      <c r="AG1332" s="2" t="s">
        <v>938</v>
      </c>
      <c r="AH1332" s="2">
        <v>0.33550221742102199</v>
      </c>
      <c r="AI1332" s="2">
        <v>2.89444949524942</v>
      </c>
      <c r="AJ1332" s="2">
        <v>0.15241891159215301</v>
      </c>
      <c r="AK1332" s="2">
        <v>7.69713446333605E-2</v>
      </c>
      <c r="AL1332" s="2">
        <v>5.3238499686156099E-2</v>
      </c>
      <c r="AM1332" s="2">
        <v>14.7</v>
      </c>
      <c r="AN1332" s="2">
        <v>6.8</v>
      </c>
      <c r="AO1332" s="2">
        <v>17.3</v>
      </c>
      <c r="AP1332" s="2">
        <v>564</v>
      </c>
      <c r="AQ1332" s="2">
        <v>68</v>
      </c>
      <c r="AR1332" s="2">
        <v>1.3</v>
      </c>
      <c r="AS1332" s="2">
        <v>118</v>
      </c>
      <c r="AT1332" s="2">
        <v>25.2</v>
      </c>
      <c r="AU1332" s="2">
        <v>123</v>
      </c>
      <c r="AV1332" s="2">
        <v>7</v>
      </c>
      <c r="AW1332" s="2">
        <v>5.0999999999999996</v>
      </c>
      <c r="AX1332" s="2">
        <v>12.1</v>
      </c>
      <c r="AY1332" s="2">
        <v>0.32</v>
      </c>
      <c r="AZ1332" s="2">
        <v>9.8000000000000007</v>
      </c>
      <c r="BA1332" s="2">
        <v>1</v>
      </c>
      <c r="BB1332" s="2">
        <v>8.1</v>
      </c>
      <c r="BC1332" s="2">
        <v>1.3</v>
      </c>
      <c r="BD1332" s="2">
        <f>+AN1332*EXP(-0.0495*Y1332)</f>
        <v>6.1061650143609549</v>
      </c>
      <c r="BE1332" s="2">
        <f>+AO1332*EXP(-0.024*Y1332)</f>
        <v>16.420414000346312</v>
      </c>
    </row>
    <row r="1333" spans="1:57" x14ac:dyDescent="0.2">
      <c r="A1333" s="2" t="s">
        <v>544</v>
      </c>
      <c r="B1333" s="2" t="s">
        <v>19</v>
      </c>
      <c r="C1333" s="2" t="s">
        <v>20</v>
      </c>
      <c r="D1333" s="2" t="s">
        <v>21</v>
      </c>
      <c r="E1333" s="2" t="s">
        <v>545</v>
      </c>
      <c r="F1333" s="2">
        <v>3</v>
      </c>
      <c r="G1333" s="2">
        <v>68</v>
      </c>
      <c r="H1333" s="2">
        <v>3</v>
      </c>
      <c r="I1333" s="2">
        <v>2</v>
      </c>
      <c r="J1333" s="2">
        <v>1</v>
      </c>
      <c r="K1333" s="2" t="s">
        <v>61</v>
      </c>
      <c r="L1333" s="6" t="s">
        <v>84</v>
      </c>
      <c r="M1333" s="5">
        <v>330000000</v>
      </c>
      <c r="N1333" s="2">
        <v>0</v>
      </c>
      <c r="O1333" s="2">
        <v>4.580991268</v>
      </c>
      <c r="P1333" s="2">
        <v>-74.081542970000001</v>
      </c>
      <c r="Q1333" s="2" t="s">
        <v>546</v>
      </c>
      <c r="R1333" s="2">
        <v>4852941.176</v>
      </c>
      <c r="S1333" s="2">
        <v>0</v>
      </c>
      <c r="T1333" s="2" t="s">
        <v>547</v>
      </c>
      <c r="U1333" s="2" t="s">
        <v>548</v>
      </c>
      <c r="V1333" s="2" t="s">
        <v>28</v>
      </c>
      <c r="W1333" s="2" t="s">
        <v>547</v>
      </c>
      <c r="X1333" s="2" t="s">
        <v>549</v>
      </c>
      <c r="Y1333" s="2">
        <v>0.97258045542723304</v>
      </c>
      <c r="Z1333" s="2">
        <v>4.5725527777777799</v>
      </c>
      <c r="AA1333" s="2">
        <v>-74.083813888888898</v>
      </c>
      <c r="AB1333" s="2">
        <v>2688</v>
      </c>
      <c r="AC1333" s="2" t="s">
        <v>31</v>
      </c>
      <c r="AD1333" s="2" t="s">
        <v>58</v>
      </c>
      <c r="AE1333" s="2" t="s">
        <v>33</v>
      </c>
      <c r="AF1333" s="2" t="s">
        <v>34</v>
      </c>
      <c r="AG1333" s="2" t="s">
        <v>550</v>
      </c>
      <c r="AH1333" s="2">
        <v>0.83665733790510899</v>
      </c>
      <c r="AI1333" s="2">
        <v>1.0273651741251699</v>
      </c>
      <c r="AJ1333" s="2">
        <v>1.0333620617148001</v>
      </c>
      <c r="AK1333" s="2">
        <v>0.51300906507308297</v>
      </c>
      <c r="AL1333" s="2">
        <v>8.8191099866231595E-2</v>
      </c>
      <c r="AM1333" s="2">
        <v>14.7</v>
      </c>
      <c r="AN1333" s="2">
        <v>6.8</v>
      </c>
      <c r="AO1333" s="2">
        <v>17.3</v>
      </c>
      <c r="AP1333" s="2">
        <v>564</v>
      </c>
      <c r="AQ1333" s="2">
        <v>68</v>
      </c>
      <c r="AR1333" s="2">
        <v>1.3</v>
      </c>
      <c r="AS1333" s="2">
        <v>118</v>
      </c>
      <c r="AT1333" s="2">
        <v>25.2</v>
      </c>
      <c r="AU1333" s="2">
        <v>123</v>
      </c>
      <c r="AV1333" s="2">
        <v>7</v>
      </c>
      <c r="AW1333" s="2">
        <v>5.0999999999999996</v>
      </c>
      <c r="AX1333" s="2">
        <v>12.1</v>
      </c>
      <c r="AY1333" s="2">
        <v>0.32</v>
      </c>
      <c r="AZ1333" s="2">
        <v>9.8000000000000007</v>
      </c>
      <c r="BA1333" s="2">
        <v>1</v>
      </c>
      <c r="BB1333" s="2">
        <v>8.1</v>
      </c>
      <c r="BC1333" s="2">
        <v>1.3</v>
      </c>
      <c r="BD1333" s="2">
        <f>+AN1333*EXP(-0.0495*Y1333)</f>
        <v>6.4803847243172967</v>
      </c>
      <c r="BE1333" s="2">
        <f>+AO1333*EXP(-0.024*Y1333)</f>
        <v>16.900861054025818</v>
      </c>
    </row>
    <row r="1334" spans="1:57" x14ac:dyDescent="0.2">
      <c r="A1334" s="2" t="s">
        <v>1205</v>
      </c>
      <c r="B1334" s="2" t="s">
        <v>19</v>
      </c>
      <c r="C1334" s="2" t="s">
        <v>20</v>
      </c>
      <c r="D1334" s="2" t="s">
        <v>21</v>
      </c>
      <c r="E1334" s="2" t="s">
        <v>1206</v>
      </c>
      <c r="F1334" s="2">
        <v>3</v>
      </c>
      <c r="G1334" s="2">
        <v>62</v>
      </c>
      <c r="H1334" s="2">
        <v>3</v>
      </c>
      <c r="I1334" s="2">
        <v>2</v>
      </c>
      <c r="J1334" s="2">
        <v>1</v>
      </c>
      <c r="K1334" s="2" t="s">
        <v>61</v>
      </c>
      <c r="L1334" s="6" t="s">
        <v>113</v>
      </c>
      <c r="M1334" s="5">
        <v>270000000</v>
      </c>
      <c r="N1334" s="2">
        <v>0</v>
      </c>
      <c r="O1334" s="2">
        <v>4.5731472999999996</v>
      </c>
      <c r="P1334" s="2">
        <v>-74.081940000000003</v>
      </c>
      <c r="Q1334" s="2" t="s">
        <v>1207</v>
      </c>
      <c r="R1334" s="2">
        <v>4354838.71</v>
      </c>
      <c r="S1334" s="2">
        <v>0</v>
      </c>
      <c r="T1334" s="2" t="s">
        <v>547</v>
      </c>
      <c r="U1334" s="2" t="s">
        <v>548</v>
      </c>
      <c r="V1334" s="2" t="s">
        <v>28</v>
      </c>
      <c r="W1334" s="2" t="s">
        <v>547</v>
      </c>
      <c r="X1334" s="2" t="s">
        <v>549</v>
      </c>
      <c r="Y1334" s="2">
        <v>0.21821449146566699</v>
      </c>
      <c r="Z1334" s="2">
        <v>4.5725527777777799</v>
      </c>
      <c r="AA1334" s="2">
        <v>-74.083813888888898</v>
      </c>
      <c r="AB1334" s="2">
        <v>2688</v>
      </c>
      <c r="AC1334" s="2" t="s">
        <v>31</v>
      </c>
      <c r="AD1334" s="2" t="s">
        <v>58</v>
      </c>
      <c r="AE1334" s="2" t="s">
        <v>33</v>
      </c>
      <c r="AF1334" s="2" t="s">
        <v>34</v>
      </c>
      <c r="AG1334" s="2" t="s">
        <v>550</v>
      </c>
      <c r="AH1334" s="2">
        <v>1.31565494411704</v>
      </c>
      <c r="AI1334" s="2">
        <v>0.81268202374137599</v>
      </c>
      <c r="AJ1334" s="2">
        <v>0.17357235573232899</v>
      </c>
      <c r="AK1334" s="2">
        <v>0.232268641369724</v>
      </c>
      <c r="AL1334" s="2">
        <v>0.15159344007442399</v>
      </c>
      <c r="AM1334" s="2">
        <v>14.7</v>
      </c>
      <c r="AN1334" s="2">
        <v>6.8</v>
      </c>
      <c r="AO1334" s="2">
        <v>17.3</v>
      </c>
      <c r="AP1334" s="2">
        <v>564</v>
      </c>
      <c r="AQ1334" s="2">
        <v>68</v>
      </c>
      <c r="AR1334" s="2">
        <v>1.3</v>
      </c>
      <c r="AS1334" s="2">
        <v>118</v>
      </c>
      <c r="AT1334" s="2">
        <v>25.2</v>
      </c>
      <c r="AU1334" s="2">
        <v>123</v>
      </c>
      <c r="AV1334" s="2">
        <v>7</v>
      </c>
      <c r="AW1334" s="2">
        <v>5.0999999999999996</v>
      </c>
      <c r="AX1334" s="2">
        <v>12.1</v>
      </c>
      <c r="AY1334" s="2">
        <v>0.32</v>
      </c>
      <c r="AZ1334" s="2">
        <v>9.8000000000000007</v>
      </c>
      <c r="BA1334" s="2">
        <v>1</v>
      </c>
      <c r="BB1334" s="2">
        <v>8.1</v>
      </c>
      <c r="BC1334" s="2">
        <v>1.3</v>
      </c>
      <c r="BD1334" s="2">
        <f>+AN1334*EXP(-0.0495*Y1334)</f>
        <v>6.7269442724917061</v>
      </c>
      <c r="BE1334" s="2">
        <f>+AO1334*EXP(-0.024*Y1334)</f>
        <v>17.209634179266782</v>
      </c>
    </row>
    <row r="1335" spans="1:57" x14ac:dyDescent="0.2">
      <c r="A1335" s="2" t="s">
        <v>1064</v>
      </c>
      <c r="B1335" s="2" t="s">
        <v>19</v>
      </c>
      <c r="C1335" s="2" t="s">
        <v>20</v>
      </c>
      <c r="D1335" s="2" t="s">
        <v>21</v>
      </c>
      <c r="E1335" s="2" t="s">
        <v>1065</v>
      </c>
      <c r="F1335" s="2">
        <v>3</v>
      </c>
      <c r="G1335" s="2">
        <v>56.63</v>
      </c>
      <c r="H1335" s="2">
        <v>4</v>
      </c>
      <c r="I1335" s="2">
        <v>3</v>
      </c>
      <c r="J1335" s="2">
        <v>0</v>
      </c>
      <c r="K1335" s="2" t="s">
        <v>61</v>
      </c>
      <c r="L1335" s="6" t="s">
        <v>75</v>
      </c>
      <c r="M1335" s="5">
        <v>257000000</v>
      </c>
      <c r="N1335" s="2">
        <v>0</v>
      </c>
      <c r="O1335" s="2">
        <v>4.5676430000000003</v>
      </c>
      <c r="P1335" s="2">
        <v>-74.101653999999996</v>
      </c>
      <c r="Q1335" s="2" t="s">
        <v>1066</v>
      </c>
      <c r="R1335" s="2">
        <v>4538230.62</v>
      </c>
      <c r="S1335" s="2">
        <v>0</v>
      </c>
      <c r="T1335" s="2" t="s">
        <v>547</v>
      </c>
      <c r="U1335" s="2" t="s">
        <v>548</v>
      </c>
      <c r="V1335" s="2" t="s">
        <v>28</v>
      </c>
      <c r="W1335" s="2" t="s">
        <v>547</v>
      </c>
      <c r="X1335" s="2" t="s">
        <v>549</v>
      </c>
      <c r="Y1335" s="2">
        <v>2.05370095691059</v>
      </c>
      <c r="Z1335" s="2">
        <v>4.5725527777777799</v>
      </c>
      <c r="AA1335" s="2">
        <v>-74.083813888888898</v>
      </c>
      <c r="AB1335" s="2">
        <v>2688</v>
      </c>
      <c r="AC1335" s="2" t="s">
        <v>31</v>
      </c>
      <c r="AD1335" s="2" t="s">
        <v>58</v>
      </c>
      <c r="AE1335" s="2" t="s">
        <v>33</v>
      </c>
      <c r="AF1335" s="2" t="s">
        <v>34</v>
      </c>
      <c r="AG1335" s="2" t="s">
        <v>550</v>
      </c>
      <c r="AH1335" s="2">
        <v>0.53487263824710496</v>
      </c>
      <c r="AI1335" s="2">
        <v>2.5248309659278898</v>
      </c>
      <c r="AJ1335" s="2">
        <v>1.99436889985143</v>
      </c>
      <c r="AK1335" s="2">
        <v>0.43854769902207102</v>
      </c>
      <c r="AL1335" s="2">
        <v>0.22046556065171199</v>
      </c>
      <c r="AM1335" s="2">
        <v>14.7</v>
      </c>
      <c r="AN1335" s="2">
        <v>6.8</v>
      </c>
      <c r="AO1335" s="2">
        <v>17.3</v>
      </c>
      <c r="AP1335" s="2">
        <v>564</v>
      </c>
      <c r="AQ1335" s="2">
        <v>68</v>
      </c>
      <c r="AR1335" s="2">
        <v>1.3</v>
      </c>
      <c r="AS1335" s="2">
        <v>118</v>
      </c>
      <c r="AT1335" s="2">
        <v>25.2</v>
      </c>
      <c r="AU1335" s="2">
        <v>123</v>
      </c>
      <c r="AV1335" s="2">
        <v>7</v>
      </c>
      <c r="AW1335" s="2">
        <v>5.0999999999999996</v>
      </c>
      <c r="AX1335" s="2">
        <v>12.1</v>
      </c>
      <c r="AY1335" s="2">
        <v>0.32</v>
      </c>
      <c r="AZ1335" s="2">
        <v>9.8000000000000007</v>
      </c>
      <c r="BA1335" s="2">
        <v>1</v>
      </c>
      <c r="BB1335" s="2">
        <v>8.1</v>
      </c>
      <c r="BC1335" s="2">
        <v>1.3</v>
      </c>
      <c r="BD1335" s="2">
        <f>+AN1335*EXP(-0.0495*Y1335)</f>
        <v>6.1427001836624076</v>
      </c>
      <c r="BE1335" s="2">
        <f>+AO1335*EXP(-0.024*Y1335)</f>
        <v>16.467976527027208</v>
      </c>
    </row>
    <row r="1336" spans="1:57" x14ac:dyDescent="0.2">
      <c r="A1336" s="2" t="s">
        <v>1385</v>
      </c>
      <c r="B1336" s="2" t="s">
        <v>19</v>
      </c>
      <c r="C1336" s="2" t="s">
        <v>20</v>
      </c>
      <c r="D1336" s="2" t="s">
        <v>21</v>
      </c>
      <c r="E1336" s="2" t="s">
        <v>1386</v>
      </c>
      <c r="F1336" s="2">
        <v>3</v>
      </c>
      <c r="G1336" s="2">
        <v>54</v>
      </c>
      <c r="H1336" s="2">
        <v>1</v>
      </c>
      <c r="I1336" s="2">
        <v>2</v>
      </c>
      <c r="J1336" s="2">
        <v>1</v>
      </c>
      <c r="K1336" s="2" t="s">
        <v>61</v>
      </c>
      <c r="L1336" s="6" t="s">
        <v>84</v>
      </c>
      <c r="M1336" s="5">
        <v>525000000</v>
      </c>
      <c r="N1336" s="2">
        <v>0</v>
      </c>
      <c r="O1336" s="2">
        <v>4.59701395</v>
      </c>
      <c r="P1336" s="2">
        <v>-74.072875980000006</v>
      </c>
      <c r="Q1336" s="2" t="s">
        <v>1387</v>
      </c>
      <c r="R1336" s="2">
        <v>9722222.2219999991</v>
      </c>
      <c r="S1336" s="2">
        <v>0</v>
      </c>
      <c r="T1336" s="2" t="s">
        <v>547</v>
      </c>
      <c r="U1336" s="2" t="s">
        <v>548</v>
      </c>
      <c r="V1336" s="2" t="s">
        <v>28</v>
      </c>
      <c r="W1336" s="2" t="s">
        <v>547</v>
      </c>
      <c r="X1336" s="2" t="s">
        <v>549</v>
      </c>
      <c r="Y1336" s="2">
        <v>2.9812481378625901</v>
      </c>
      <c r="Z1336" s="2">
        <v>4.5725527777777799</v>
      </c>
      <c r="AA1336" s="2">
        <v>-74.083813888888898</v>
      </c>
      <c r="AB1336" s="2">
        <v>2688</v>
      </c>
      <c r="AC1336" s="2" t="s">
        <v>31</v>
      </c>
      <c r="AD1336" s="2" t="s">
        <v>58</v>
      </c>
      <c r="AE1336" s="2" t="s">
        <v>33</v>
      </c>
      <c r="AF1336" s="2" t="s">
        <v>34</v>
      </c>
      <c r="AG1336" s="2" t="s">
        <v>488</v>
      </c>
      <c r="AH1336" s="2">
        <v>0.45742788782550498</v>
      </c>
      <c r="AI1336" s="2">
        <v>0.72555999768620905</v>
      </c>
      <c r="AJ1336" s="2">
        <v>9.0224544235419202E-2</v>
      </c>
      <c r="AK1336" s="2">
        <v>0.30292992505161898</v>
      </c>
      <c r="AL1336" s="2">
        <v>8.6294774090784093E-2</v>
      </c>
      <c r="AM1336" s="2">
        <v>14.7</v>
      </c>
      <c r="AN1336" s="2">
        <v>6.8</v>
      </c>
      <c r="AO1336" s="2">
        <v>17.3</v>
      </c>
      <c r="AP1336" s="2">
        <v>564</v>
      </c>
      <c r="AQ1336" s="2">
        <v>68</v>
      </c>
      <c r="AR1336" s="2">
        <v>1.3</v>
      </c>
      <c r="AS1336" s="2">
        <v>118</v>
      </c>
      <c r="AT1336" s="2">
        <v>25.2</v>
      </c>
      <c r="AU1336" s="2">
        <v>123</v>
      </c>
      <c r="AV1336" s="2">
        <v>7</v>
      </c>
      <c r="AW1336" s="2">
        <v>5.0999999999999996</v>
      </c>
      <c r="AX1336" s="2">
        <v>12.1</v>
      </c>
      <c r="AY1336" s="2">
        <v>0.32</v>
      </c>
      <c r="AZ1336" s="2">
        <v>9.8000000000000007</v>
      </c>
      <c r="BA1336" s="2">
        <v>1</v>
      </c>
      <c r="BB1336" s="2">
        <v>8.1</v>
      </c>
      <c r="BC1336" s="2">
        <v>1.3</v>
      </c>
      <c r="BD1336" s="2">
        <f>+AN1336*EXP(-0.0495*Y1336)</f>
        <v>5.8670434125233726</v>
      </c>
      <c r="BE1336" s="2">
        <f>+AO1336*EXP(-0.024*Y1336)</f>
        <v>16.105431030516048</v>
      </c>
    </row>
    <row r="1337" spans="1:57" x14ac:dyDescent="0.2">
      <c r="A1337" s="2" t="s">
        <v>1236</v>
      </c>
      <c r="B1337" s="2" t="s">
        <v>19</v>
      </c>
      <c r="C1337" s="2" t="s">
        <v>20</v>
      </c>
      <c r="D1337" s="2" t="s">
        <v>21</v>
      </c>
      <c r="E1337" s="2" t="s">
        <v>1237</v>
      </c>
      <c r="F1337" s="2">
        <v>3</v>
      </c>
      <c r="G1337" s="2">
        <v>50.02</v>
      </c>
      <c r="H1337" s="2">
        <v>2</v>
      </c>
      <c r="I1337" s="2">
        <v>2</v>
      </c>
      <c r="J1337" s="2">
        <v>1</v>
      </c>
      <c r="K1337" s="2" t="s">
        <v>61</v>
      </c>
      <c r="L1337" s="6" t="s">
        <v>62</v>
      </c>
      <c r="M1337" s="5">
        <v>285000000</v>
      </c>
      <c r="N1337" s="2">
        <v>0</v>
      </c>
      <c r="O1337" s="2">
        <v>4.5962700840000004</v>
      </c>
      <c r="P1337" s="2">
        <v>-74.092231749999996</v>
      </c>
      <c r="Q1337" s="2" t="s">
        <v>1238</v>
      </c>
      <c r="R1337" s="2">
        <v>5697720.9119999995</v>
      </c>
      <c r="S1337" s="2">
        <v>0</v>
      </c>
      <c r="T1337" s="2" t="s">
        <v>547</v>
      </c>
      <c r="U1337" s="2" t="s">
        <v>548</v>
      </c>
      <c r="V1337" s="2" t="s">
        <v>28</v>
      </c>
      <c r="W1337" s="2" t="s">
        <v>547</v>
      </c>
      <c r="X1337" s="2" t="s">
        <v>549</v>
      </c>
      <c r="Y1337" s="2">
        <v>2.8005610316965299</v>
      </c>
      <c r="Z1337" s="2">
        <v>4.5725527777777799</v>
      </c>
      <c r="AA1337" s="2">
        <v>-74.083813888888898</v>
      </c>
      <c r="AB1337" s="2">
        <v>2688</v>
      </c>
      <c r="AC1337" s="2" t="s">
        <v>31</v>
      </c>
      <c r="AD1337" s="2" t="s">
        <v>58</v>
      </c>
      <c r="AE1337" s="2" t="s">
        <v>33</v>
      </c>
      <c r="AF1337" s="2" t="s">
        <v>34</v>
      </c>
      <c r="AG1337" s="2" t="s">
        <v>259</v>
      </c>
      <c r="AH1337" s="2">
        <v>0.54697669707154895</v>
      </c>
      <c r="AI1337" s="2">
        <v>2.8686779158949598</v>
      </c>
      <c r="AJ1337" s="2">
        <v>0.70986795186642104</v>
      </c>
      <c r="AK1337" s="2">
        <v>0.42014647958177098</v>
      </c>
      <c r="AL1337" s="2">
        <v>0.11840619113894001</v>
      </c>
      <c r="AM1337" s="2">
        <v>14.7</v>
      </c>
      <c r="AN1337" s="2">
        <v>6.8</v>
      </c>
      <c r="AO1337" s="2">
        <v>17.3</v>
      </c>
      <c r="AP1337" s="2">
        <v>564</v>
      </c>
      <c r="AQ1337" s="2">
        <v>68</v>
      </c>
      <c r="AR1337" s="2">
        <v>1.3</v>
      </c>
      <c r="AS1337" s="2">
        <v>118</v>
      </c>
      <c r="AT1337" s="2">
        <v>25.2</v>
      </c>
      <c r="AU1337" s="2">
        <v>123</v>
      </c>
      <c r="AV1337" s="2">
        <v>7</v>
      </c>
      <c r="AW1337" s="2">
        <v>5.0999999999999996</v>
      </c>
      <c r="AX1337" s="2">
        <v>12.1</v>
      </c>
      <c r="AY1337" s="2">
        <v>0.32</v>
      </c>
      <c r="AZ1337" s="2">
        <v>9.8000000000000007</v>
      </c>
      <c r="BA1337" s="2">
        <v>1</v>
      </c>
      <c r="BB1337" s="2">
        <v>8.1</v>
      </c>
      <c r="BC1337" s="2">
        <v>1.3</v>
      </c>
      <c r="BD1337" s="2">
        <f>+AN1337*EXP(-0.0495*Y1337)</f>
        <v>5.9197536870499405</v>
      </c>
      <c r="BE1337" s="2">
        <f>+AO1337*EXP(-0.024*Y1337)</f>
        <v>16.175423731609232</v>
      </c>
    </row>
    <row r="1338" spans="1:57" x14ac:dyDescent="0.2">
      <c r="A1338" s="2" t="s">
        <v>586</v>
      </c>
      <c r="B1338" s="2" t="s">
        <v>19</v>
      </c>
      <c r="C1338" s="2" t="s">
        <v>20</v>
      </c>
      <c r="D1338" s="2" t="s">
        <v>21</v>
      </c>
      <c r="E1338" s="2" t="s">
        <v>587</v>
      </c>
      <c r="F1338" s="2">
        <v>2</v>
      </c>
      <c r="G1338" s="2">
        <v>43.46</v>
      </c>
      <c r="H1338" s="2">
        <v>2</v>
      </c>
      <c r="I1338" s="2">
        <v>1</v>
      </c>
      <c r="J1338" s="2">
        <v>0</v>
      </c>
      <c r="K1338" s="2" t="s">
        <v>23</v>
      </c>
      <c r="L1338" s="6" t="s">
        <v>24</v>
      </c>
      <c r="M1338" s="5">
        <v>236372175</v>
      </c>
      <c r="N1338" s="2">
        <v>0</v>
      </c>
      <c r="O1338" s="2">
        <v>4.5528700000000004</v>
      </c>
      <c r="P1338" s="2">
        <v>-74.082669999999993</v>
      </c>
      <c r="Q1338" s="2" t="s">
        <v>588</v>
      </c>
      <c r="R1338" s="2">
        <v>5438844.3399999999</v>
      </c>
      <c r="S1338" s="2">
        <v>0</v>
      </c>
      <c r="T1338" s="2" t="s">
        <v>547</v>
      </c>
      <c r="U1338" s="2" t="s">
        <v>548</v>
      </c>
      <c r="V1338" s="2" t="s">
        <v>28</v>
      </c>
      <c r="W1338" s="2" t="s">
        <v>547</v>
      </c>
      <c r="X1338" s="2" t="s">
        <v>549</v>
      </c>
      <c r="Y1338" s="2">
        <v>2.19475048133258</v>
      </c>
      <c r="Z1338" s="2">
        <v>4.5725527777777799</v>
      </c>
      <c r="AA1338" s="2">
        <v>-74.083813888888898</v>
      </c>
      <c r="AB1338" s="2">
        <v>2688</v>
      </c>
      <c r="AC1338" s="2" t="s">
        <v>31</v>
      </c>
      <c r="AD1338" s="2" t="s">
        <v>58</v>
      </c>
      <c r="AE1338" s="2" t="s">
        <v>33</v>
      </c>
      <c r="AF1338" s="2" t="s">
        <v>34</v>
      </c>
      <c r="AG1338" s="2" t="s">
        <v>550</v>
      </c>
      <c r="AH1338" s="2">
        <v>2.1318103437654101</v>
      </c>
      <c r="AI1338" s="2">
        <v>0.24142839016586201</v>
      </c>
      <c r="AJ1338" s="2">
        <v>2.0784744798968999</v>
      </c>
      <c r="AK1338" s="2">
        <v>0.16085053247008799</v>
      </c>
      <c r="AL1338" s="2">
        <v>0.25346354770746898</v>
      </c>
      <c r="AM1338" s="2">
        <v>14.7</v>
      </c>
      <c r="AN1338" s="2">
        <v>6.8</v>
      </c>
      <c r="AO1338" s="2">
        <v>17.3</v>
      </c>
      <c r="AP1338" s="2">
        <v>564</v>
      </c>
      <c r="AQ1338" s="2">
        <v>68</v>
      </c>
      <c r="AR1338" s="2">
        <v>1.3</v>
      </c>
      <c r="AS1338" s="2">
        <v>118</v>
      </c>
      <c r="AT1338" s="2">
        <v>25.2</v>
      </c>
      <c r="AU1338" s="2">
        <v>123</v>
      </c>
      <c r="AV1338" s="2">
        <v>7</v>
      </c>
      <c r="AW1338" s="2">
        <v>5.0999999999999996</v>
      </c>
      <c r="AX1338" s="2">
        <v>12.1</v>
      </c>
      <c r="AY1338" s="2">
        <v>0.32</v>
      </c>
      <c r="AZ1338" s="2">
        <v>9.8000000000000007</v>
      </c>
      <c r="BA1338" s="2">
        <v>1</v>
      </c>
      <c r="BB1338" s="2">
        <v>8.1</v>
      </c>
      <c r="BC1338" s="2">
        <v>1.3</v>
      </c>
      <c r="BD1338" s="2">
        <f>+AN1338*EXP(-0.0495*Y1338)</f>
        <v>6.0999615224000339</v>
      </c>
      <c r="BE1338" s="2">
        <f>+AO1338*EXP(-0.024*Y1338)</f>
        <v>16.412323571871834</v>
      </c>
    </row>
    <row r="1339" spans="1:57" x14ac:dyDescent="0.2">
      <c r="A1339" s="2" t="s">
        <v>3806</v>
      </c>
      <c r="B1339" s="2" t="s">
        <v>19</v>
      </c>
      <c r="C1339" s="2" t="s">
        <v>3245</v>
      </c>
      <c r="D1339" s="2" t="s">
        <v>21</v>
      </c>
      <c r="E1339" s="2" t="s">
        <v>3418</v>
      </c>
      <c r="F1339" s="2">
        <v>3</v>
      </c>
      <c r="G1339" s="2">
        <v>36</v>
      </c>
      <c r="H1339" s="2">
        <v>1</v>
      </c>
      <c r="I1339" s="2">
        <v>1</v>
      </c>
      <c r="J1339" s="2">
        <v>0</v>
      </c>
      <c r="K1339" s="2" t="s">
        <v>61</v>
      </c>
      <c r="L1339" s="6" t="s">
        <v>84</v>
      </c>
      <c r="M1339" s="5">
        <v>228000000</v>
      </c>
      <c r="N1339" s="2">
        <v>0</v>
      </c>
      <c r="O1339" s="2">
        <v>4.6000899999999998</v>
      </c>
      <c r="P1339" s="2">
        <v>-74.087990000000005</v>
      </c>
      <c r="Q1339" s="2" t="s">
        <v>3807</v>
      </c>
      <c r="R1339" s="2">
        <v>6333333.3329999996</v>
      </c>
      <c r="S1339" s="2">
        <v>0</v>
      </c>
      <c r="T1339" s="2" t="s">
        <v>547</v>
      </c>
      <c r="U1339" s="2" t="s">
        <v>548</v>
      </c>
      <c r="V1339" s="2" t="s">
        <v>28</v>
      </c>
      <c r="W1339" s="2" t="s">
        <v>547</v>
      </c>
      <c r="X1339" s="2" t="s">
        <v>549</v>
      </c>
      <c r="Y1339" s="2">
        <v>3.1002568219256998</v>
      </c>
      <c r="Z1339" s="2">
        <v>4.5725527777777799</v>
      </c>
      <c r="AA1339" s="2">
        <v>-74.083813888888898</v>
      </c>
      <c r="AB1339" s="2">
        <v>2688</v>
      </c>
      <c r="AC1339" s="2" t="s">
        <v>31</v>
      </c>
      <c r="AD1339" s="2" t="s">
        <v>58</v>
      </c>
      <c r="AE1339" s="2" t="s">
        <v>33</v>
      </c>
      <c r="AF1339" s="2" t="s">
        <v>34</v>
      </c>
      <c r="AG1339" s="2" t="s">
        <v>259</v>
      </c>
      <c r="AH1339" s="2">
        <v>9.18553028753748E-2</v>
      </c>
      <c r="AI1339" s="2">
        <v>2.4330059959829899</v>
      </c>
      <c r="AJ1339" s="2">
        <v>0.33962851708498099</v>
      </c>
      <c r="AK1339" s="2">
        <v>0.40177341015076101</v>
      </c>
      <c r="AL1339" s="2">
        <v>0.31336492684066503</v>
      </c>
      <c r="AM1339" s="2">
        <v>14.7</v>
      </c>
      <c r="AN1339" s="2">
        <v>6.8</v>
      </c>
      <c r="AO1339" s="2">
        <v>17.3</v>
      </c>
      <c r="AP1339" s="2">
        <v>564</v>
      </c>
      <c r="AQ1339" s="2">
        <v>68</v>
      </c>
      <c r="AR1339" s="2">
        <v>1.3</v>
      </c>
      <c r="AS1339" s="2">
        <v>118</v>
      </c>
      <c r="AT1339" s="2">
        <v>25.2</v>
      </c>
      <c r="AU1339" s="2">
        <v>123</v>
      </c>
      <c r="AV1339" s="2">
        <v>7</v>
      </c>
      <c r="AW1339" s="2">
        <v>5.0999999999999996</v>
      </c>
      <c r="AX1339" s="2">
        <v>12.1</v>
      </c>
      <c r="AY1339" s="2">
        <v>0.32</v>
      </c>
      <c r="AZ1339" s="2">
        <v>9.8000000000000007</v>
      </c>
      <c r="BA1339" s="2">
        <v>1</v>
      </c>
      <c r="BB1339" s="2">
        <v>8.1</v>
      </c>
      <c r="BC1339" s="2">
        <v>1.3</v>
      </c>
      <c r="BD1339" s="2">
        <f>+AN1339*EXP(-0.0495*Y1339)</f>
        <v>5.8325826738429765</v>
      </c>
      <c r="BE1339" s="2">
        <f>+AO1339*EXP(-0.024*Y1339)</f>
        <v>16.059496193800378</v>
      </c>
    </row>
    <row r="1340" spans="1:57" x14ac:dyDescent="0.2">
      <c r="A1340" s="2" t="s">
        <v>3919</v>
      </c>
      <c r="B1340" s="2" t="s">
        <v>19</v>
      </c>
      <c r="C1340" s="2" t="s">
        <v>3245</v>
      </c>
      <c r="D1340" s="2" t="s">
        <v>21</v>
      </c>
      <c r="E1340" s="2" t="s">
        <v>3418</v>
      </c>
      <c r="F1340" s="2">
        <v>3</v>
      </c>
      <c r="G1340" s="2">
        <v>36</v>
      </c>
      <c r="H1340" s="2">
        <v>1</v>
      </c>
      <c r="I1340" s="2">
        <v>1</v>
      </c>
      <c r="J1340" s="2">
        <v>0</v>
      </c>
      <c r="K1340" s="2" t="s">
        <v>61</v>
      </c>
      <c r="L1340" s="6" t="s">
        <v>84</v>
      </c>
      <c r="M1340" s="5">
        <v>215000000</v>
      </c>
      <c r="N1340" s="2">
        <v>0</v>
      </c>
      <c r="O1340" s="2">
        <v>4.6000899999999998</v>
      </c>
      <c r="P1340" s="2">
        <v>-74.087990000000005</v>
      </c>
      <c r="Q1340" s="2" t="s">
        <v>3920</v>
      </c>
      <c r="R1340" s="2">
        <v>5972222.2220000001</v>
      </c>
      <c r="S1340" s="2">
        <v>0</v>
      </c>
      <c r="T1340" s="2" t="s">
        <v>547</v>
      </c>
      <c r="U1340" s="2" t="s">
        <v>548</v>
      </c>
      <c r="V1340" s="2" t="s">
        <v>28</v>
      </c>
      <c r="W1340" s="2" t="s">
        <v>547</v>
      </c>
      <c r="X1340" s="2" t="s">
        <v>549</v>
      </c>
      <c r="Y1340" s="2">
        <v>3.1002568219256998</v>
      </c>
      <c r="Z1340" s="2">
        <v>4.5725527777777799</v>
      </c>
      <c r="AA1340" s="2">
        <v>-74.083813888888898</v>
      </c>
      <c r="AB1340" s="2">
        <v>2688</v>
      </c>
      <c r="AC1340" s="2" t="s">
        <v>31</v>
      </c>
      <c r="AD1340" s="2" t="s">
        <v>58</v>
      </c>
      <c r="AE1340" s="2" t="s">
        <v>33</v>
      </c>
      <c r="AF1340" s="2" t="s">
        <v>34</v>
      </c>
      <c r="AG1340" s="2" t="s">
        <v>259</v>
      </c>
      <c r="AH1340" s="2">
        <v>9.18553028753748E-2</v>
      </c>
      <c r="AI1340" s="2">
        <v>2.4330059959829899</v>
      </c>
      <c r="AJ1340" s="2">
        <v>0.33962851708498099</v>
      </c>
      <c r="AK1340" s="2">
        <v>0.40177341015076101</v>
      </c>
      <c r="AL1340" s="2">
        <v>0.31336492684066503</v>
      </c>
      <c r="AM1340" s="2">
        <v>14.7</v>
      </c>
      <c r="AN1340" s="2">
        <v>6.8</v>
      </c>
      <c r="AO1340" s="2">
        <v>17.3</v>
      </c>
      <c r="AP1340" s="2">
        <v>564</v>
      </c>
      <c r="AQ1340" s="2">
        <v>68</v>
      </c>
      <c r="AR1340" s="2">
        <v>1.3</v>
      </c>
      <c r="AS1340" s="2">
        <v>118</v>
      </c>
      <c r="AT1340" s="2">
        <v>25.2</v>
      </c>
      <c r="AU1340" s="2">
        <v>123</v>
      </c>
      <c r="AV1340" s="2">
        <v>7</v>
      </c>
      <c r="AW1340" s="2">
        <v>5.0999999999999996</v>
      </c>
      <c r="AX1340" s="2">
        <v>12.1</v>
      </c>
      <c r="AY1340" s="2">
        <v>0.32</v>
      </c>
      <c r="AZ1340" s="2">
        <v>9.8000000000000007</v>
      </c>
      <c r="BA1340" s="2">
        <v>1</v>
      </c>
      <c r="BB1340" s="2">
        <v>8.1</v>
      </c>
      <c r="BC1340" s="2">
        <v>1.3</v>
      </c>
      <c r="BD1340" s="2">
        <f>+AN1340*EXP(-0.0495*Y1340)</f>
        <v>5.8325826738429765</v>
      </c>
      <c r="BE1340" s="2">
        <f>+AO1340*EXP(-0.024*Y1340)</f>
        <v>16.059496193800378</v>
      </c>
    </row>
    <row r="1341" spans="1:57" x14ac:dyDescent="0.2">
      <c r="A1341" s="2" t="s">
        <v>4191</v>
      </c>
      <c r="B1341" s="2" t="s">
        <v>19</v>
      </c>
      <c r="C1341" s="2" t="s">
        <v>3245</v>
      </c>
      <c r="D1341" s="2" t="s">
        <v>21</v>
      </c>
      <c r="E1341" s="2" t="s">
        <v>3524</v>
      </c>
      <c r="F1341" s="2">
        <v>2</v>
      </c>
      <c r="G1341" s="2">
        <v>33</v>
      </c>
      <c r="H1341" s="2">
        <v>1</v>
      </c>
      <c r="I1341" s="2">
        <v>1</v>
      </c>
      <c r="J1341" s="2">
        <v>0</v>
      </c>
      <c r="K1341" s="2" t="s">
        <v>61</v>
      </c>
      <c r="L1341" s="6" t="s">
        <v>62</v>
      </c>
      <c r="M1341" s="5">
        <v>231206250</v>
      </c>
      <c r="N1341" s="2">
        <v>0</v>
      </c>
      <c r="O1341" s="2">
        <v>4.5922900000000002</v>
      </c>
      <c r="P1341" s="2">
        <v>-74.074700000000007</v>
      </c>
      <c r="Q1341" s="2" t="s">
        <v>4192</v>
      </c>
      <c r="R1341" s="2">
        <v>7006250</v>
      </c>
      <c r="S1341" s="2">
        <v>0</v>
      </c>
      <c r="T1341" s="2" t="s">
        <v>547</v>
      </c>
      <c r="U1341" s="2" t="s">
        <v>548</v>
      </c>
      <c r="V1341" s="2" t="s">
        <v>28</v>
      </c>
      <c r="W1341" s="2" t="s">
        <v>547</v>
      </c>
      <c r="X1341" s="2" t="s">
        <v>549</v>
      </c>
      <c r="Y1341" s="2">
        <v>2.41871081390084</v>
      </c>
      <c r="Z1341" s="2">
        <v>4.5725527777777799</v>
      </c>
      <c r="AA1341" s="2">
        <v>-74.083813888888898</v>
      </c>
      <c r="AB1341" s="2">
        <v>2688</v>
      </c>
      <c r="AC1341" s="2" t="s">
        <v>31</v>
      </c>
      <c r="AD1341" s="2" t="s">
        <v>58</v>
      </c>
      <c r="AE1341" s="2" t="s">
        <v>33</v>
      </c>
      <c r="AF1341" s="2" t="s">
        <v>34</v>
      </c>
      <c r="AG1341" s="2" t="s">
        <v>488</v>
      </c>
      <c r="AH1341" s="2">
        <v>0.81407377752250798</v>
      </c>
      <c r="AI1341" s="2">
        <v>0.95117915264695896</v>
      </c>
      <c r="AJ1341" s="2">
        <v>0.32831541981415402</v>
      </c>
      <c r="AK1341" s="2">
        <v>0.31939287990835302</v>
      </c>
      <c r="AL1341" s="2">
        <v>0.26963746018599599</v>
      </c>
      <c r="AM1341" s="2">
        <v>14.7</v>
      </c>
      <c r="AN1341" s="2">
        <v>6.8</v>
      </c>
      <c r="AO1341" s="2">
        <v>17.3</v>
      </c>
      <c r="AP1341" s="2">
        <v>564</v>
      </c>
      <c r="AQ1341" s="2">
        <v>68</v>
      </c>
      <c r="AR1341" s="2">
        <v>1.3</v>
      </c>
      <c r="AS1341" s="2">
        <v>118</v>
      </c>
      <c r="AT1341" s="2">
        <v>25.2</v>
      </c>
      <c r="AU1341" s="2">
        <v>123</v>
      </c>
      <c r="AV1341" s="2">
        <v>7</v>
      </c>
      <c r="AW1341" s="2">
        <v>5.0999999999999996</v>
      </c>
      <c r="AX1341" s="2">
        <v>12.1</v>
      </c>
      <c r="AY1341" s="2">
        <v>0.32</v>
      </c>
      <c r="AZ1341" s="2">
        <v>9.8000000000000007</v>
      </c>
      <c r="BA1341" s="2">
        <v>1</v>
      </c>
      <c r="BB1341" s="2">
        <v>8.1</v>
      </c>
      <c r="BC1341" s="2">
        <v>1.3</v>
      </c>
      <c r="BD1341" s="2">
        <f>+AN1341*EXP(-0.0495*Y1341)</f>
        <v>6.0327105884593974</v>
      </c>
      <c r="BE1341" s="2">
        <f>+AO1341*EXP(-0.024*Y1341)</f>
        <v>16.324343206346914</v>
      </c>
    </row>
    <row r="1342" spans="1:57" x14ac:dyDescent="0.2">
      <c r="A1342" s="2" t="s">
        <v>3720</v>
      </c>
      <c r="B1342" s="2" t="s">
        <v>19</v>
      </c>
      <c r="C1342" s="2" t="s">
        <v>3245</v>
      </c>
      <c r="D1342" s="2" t="s">
        <v>21</v>
      </c>
      <c r="E1342" s="2" t="s">
        <v>3418</v>
      </c>
      <c r="F1342" s="2">
        <v>3</v>
      </c>
      <c r="G1342" s="2">
        <v>32</v>
      </c>
      <c r="H1342" s="2">
        <v>1</v>
      </c>
      <c r="I1342" s="2">
        <v>1</v>
      </c>
      <c r="J1342" s="2">
        <v>0</v>
      </c>
      <c r="K1342" s="2" t="s">
        <v>61</v>
      </c>
      <c r="L1342" s="6" t="s">
        <v>62</v>
      </c>
      <c r="M1342" s="5">
        <v>222000000</v>
      </c>
      <c r="N1342" s="2">
        <v>0</v>
      </c>
      <c r="O1342" s="2">
        <v>4.6000099179999996</v>
      </c>
      <c r="P1342" s="2">
        <v>-74.087921140000006</v>
      </c>
      <c r="Q1342" s="2" t="s">
        <v>3721</v>
      </c>
      <c r="R1342" s="2">
        <v>6937500</v>
      </c>
      <c r="S1342" s="2">
        <v>0</v>
      </c>
      <c r="T1342" s="2" t="s">
        <v>547</v>
      </c>
      <c r="U1342" s="2" t="s">
        <v>548</v>
      </c>
      <c r="V1342" s="2" t="s">
        <v>28</v>
      </c>
      <c r="W1342" s="2" t="s">
        <v>547</v>
      </c>
      <c r="X1342" s="2" t="s">
        <v>549</v>
      </c>
      <c r="Y1342" s="2">
        <v>3.0903064636084401</v>
      </c>
      <c r="Z1342" s="2">
        <v>4.5725527777777799</v>
      </c>
      <c r="AA1342" s="2">
        <v>-74.083813888888898</v>
      </c>
      <c r="AB1342" s="2">
        <v>2688</v>
      </c>
      <c r="AC1342" s="2" t="s">
        <v>31</v>
      </c>
      <c r="AD1342" s="2" t="s">
        <v>58</v>
      </c>
      <c r="AE1342" s="2" t="s">
        <v>33</v>
      </c>
      <c r="AF1342" s="2" t="s">
        <v>34</v>
      </c>
      <c r="AG1342" s="2" t="s">
        <v>259</v>
      </c>
      <c r="AH1342" s="2">
        <v>9.6375190892342102E-2</v>
      </c>
      <c r="AI1342" s="2">
        <v>2.4239999436435902</v>
      </c>
      <c r="AJ1342" s="2">
        <v>0.34721083832299998</v>
      </c>
      <c r="AK1342" s="2">
        <v>0.40640792990414898</v>
      </c>
      <c r="AL1342" s="2">
        <v>0.30492885417983501</v>
      </c>
      <c r="AM1342" s="2">
        <v>14.7</v>
      </c>
      <c r="AN1342" s="2">
        <v>6.8</v>
      </c>
      <c r="AO1342" s="2">
        <v>17.3</v>
      </c>
      <c r="AP1342" s="2">
        <v>564</v>
      </c>
      <c r="AQ1342" s="2">
        <v>68</v>
      </c>
      <c r="AR1342" s="2">
        <v>1.3</v>
      </c>
      <c r="AS1342" s="2">
        <v>118</v>
      </c>
      <c r="AT1342" s="2">
        <v>25.2</v>
      </c>
      <c r="AU1342" s="2">
        <v>123</v>
      </c>
      <c r="AV1342" s="2">
        <v>7</v>
      </c>
      <c r="AW1342" s="2">
        <v>5.0999999999999996</v>
      </c>
      <c r="AX1342" s="2">
        <v>12.1</v>
      </c>
      <c r="AY1342" s="2">
        <v>0.32</v>
      </c>
      <c r="AZ1342" s="2">
        <v>9.8000000000000007</v>
      </c>
      <c r="BA1342" s="2">
        <v>1</v>
      </c>
      <c r="BB1342" s="2">
        <v>8.1</v>
      </c>
      <c r="BC1342" s="2">
        <v>1.3</v>
      </c>
      <c r="BD1342" s="2">
        <f>+AN1342*EXP(-0.0495*Y1342)</f>
        <v>5.835456177678835</v>
      </c>
      <c r="BE1342" s="2">
        <f>+AO1342*EXP(-0.024*Y1342)</f>
        <v>16.063331797566281</v>
      </c>
    </row>
    <row r="1343" spans="1:57" x14ac:dyDescent="0.2">
      <c r="A1343" s="2" t="s">
        <v>3642</v>
      </c>
      <c r="B1343" s="2" t="s">
        <v>19</v>
      </c>
      <c r="C1343" s="2" t="s">
        <v>3245</v>
      </c>
      <c r="D1343" s="2" t="s">
        <v>21</v>
      </c>
      <c r="E1343" s="2" t="s">
        <v>3643</v>
      </c>
      <c r="F1343" s="2">
        <v>2</v>
      </c>
      <c r="G1343" s="2">
        <v>32</v>
      </c>
      <c r="H1343" s="2">
        <v>1</v>
      </c>
      <c r="I1343" s="2">
        <v>1</v>
      </c>
      <c r="J1343" s="2">
        <v>0</v>
      </c>
      <c r="K1343" s="2" t="s">
        <v>61</v>
      </c>
      <c r="L1343" s="6" t="s">
        <v>62</v>
      </c>
      <c r="M1343" s="5">
        <v>163000000</v>
      </c>
      <c r="N1343" s="2">
        <v>0</v>
      </c>
      <c r="O1343" s="2">
        <v>4.5817704199999998</v>
      </c>
      <c r="P1343" s="2">
        <v>-74.084342960000001</v>
      </c>
      <c r="Q1343" s="2" t="s">
        <v>3644</v>
      </c>
      <c r="R1343" s="2">
        <v>5093750</v>
      </c>
      <c r="S1343" s="2">
        <v>0</v>
      </c>
      <c r="T1343" s="2" t="s">
        <v>547</v>
      </c>
      <c r="U1343" s="2" t="s">
        <v>548</v>
      </c>
      <c r="V1343" s="2" t="s">
        <v>28</v>
      </c>
      <c r="W1343" s="2" t="s">
        <v>547</v>
      </c>
      <c r="X1343" s="2" t="s">
        <v>549</v>
      </c>
      <c r="Y1343" s="2">
        <v>1.02778134655211</v>
      </c>
      <c r="Z1343" s="2">
        <v>4.5725527777777799</v>
      </c>
      <c r="AA1343" s="2">
        <v>-74.083813888888898</v>
      </c>
      <c r="AB1343" s="2">
        <v>2688</v>
      </c>
      <c r="AC1343" s="2" t="s">
        <v>31</v>
      </c>
      <c r="AD1343" s="2" t="s">
        <v>58</v>
      </c>
      <c r="AE1343" s="2" t="s">
        <v>33</v>
      </c>
      <c r="AF1343" s="2" t="s">
        <v>34</v>
      </c>
      <c r="AG1343" s="2" t="s">
        <v>550</v>
      </c>
      <c r="AH1343" s="2">
        <v>0.57035930595908302</v>
      </c>
      <c r="AI1343" s="2">
        <v>1.3278619985921001</v>
      </c>
      <c r="AJ1343" s="2">
        <v>1.1630796687661</v>
      </c>
      <c r="AK1343" s="2">
        <v>0.19078164742916801</v>
      </c>
      <c r="AL1343" s="2">
        <v>3.9617715075487003E-2</v>
      </c>
      <c r="AM1343" s="2">
        <v>14.7</v>
      </c>
      <c r="AN1343" s="2">
        <v>6.8</v>
      </c>
      <c r="AO1343" s="2">
        <v>17.3</v>
      </c>
      <c r="AP1343" s="2">
        <v>564</v>
      </c>
      <c r="AQ1343" s="2">
        <v>68</v>
      </c>
      <c r="AR1343" s="2">
        <v>1.3</v>
      </c>
      <c r="AS1343" s="2">
        <v>118</v>
      </c>
      <c r="AT1343" s="2">
        <v>25.2</v>
      </c>
      <c r="AU1343" s="2">
        <v>123</v>
      </c>
      <c r="AV1343" s="2">
        <v>7</v>
      </c>
      <c r="AW1343" s="2">
        <v>5.0999999999999996</v>
      </c>
      <c r="AX1343" s="2">
        <v>12.1</v>
      </c>
      <c r="AY1343" s="2">
        <v>0.32</v>
      </c>
      <c r="AZ1343" s="2">
        <v>9.8000000000000007</v>
      </c>
      <c r="BA1343" s="2">
        <v>1</v>
      </c>
      <c r="BB1343" s="2">
        <v>8.1</v>
      </c>
      <c r="BC1343" s="2">
        <v>1.3</v>
      </c>
      <c r="BD1343" s="2">
        <f>+AN1343*EXP(-0.0495*Y1343)</f>
        <v>6.4627016053117945</v>
      </c>
      <c r="BE1343" s="2">
        <f>+AO1343*EXP(-0.024*Y1343)</f>
        <v>16.878485257082694</v>
      </c>
    </row>
    <row r="1344" spans="1:57" x14ac:dyDescent="0.2">
      <c r="A1344" s="2" t="s">
        <v>4415</v>
      </c>
      <c r="B1344" s="2" t="s">
        <v>19</v>
      </c>
      <c r="C1344" s="2" t="s">
        <v>3245</v>
      </c>
      <c r="D1344" s="2" t="s">
        <v>21</v>
      </c>
      <c r="E1344" s="2" t="s">
        <v>4309</v>
      </c>
      <c r="F1344" s="2">
        <v>3</v>
      </c>
      <c r="G1344" s="2">
        <v>31</v>
      </c>
      <c r="H1344" s="2">
        <v>1</v>
      </c>
      <c r="I1344" s="2">
        <v>1</v>
      </c>
      <c r="J1344" s="2">
        <v>0</v>
      </c>
      <c r="K1344" s="2" t="s">
        <v>61</v>
      </c>
      <c r="L1344" s="6" t="s">
        <v>84</v>
      </c>
      <c r="M1344" s="5">
        <v>180000000</v>
      </c>
      <c r="N1344" s="2">
        <v>0</v>
      </c>
      <c r="O1344" s="2">
        <v>4.5779066000000004</v>
      </c>
      <c r="P1344" s="2">
        <v>-74.085494999999995</v>
      </c>
      <c r="Q1344" s="2" t="s">
        <v>4416</v>
      </c>
      <c r="R1344" s="2">
        <v>5806451.6129999999</v>
      </c>
      <c r="S1344" s="2">
        <v>0</v>
      </c>
      <c r="T1344" s="2" t="s">
        <v>547</v>
      </c>
      <c r="U1344" s="2" t="s">
        <v>548</v>
      </c>
      <c r="V1344" s="2" t="s">
        <v>28</v>
      </c>
      <c r="W1344" s="2" t="s">
        <v>547</v>
      </c>
      <c r="X1344" s="2" t="s">
        <v>549</v>
      </c>
      <c r="Y1344" s="2">
        <v>0.62449702987656297</v>
      </c>
      <c r="Z1344" s="2">
        <v>4.5725527777777799</v>
      </c>
      <c r="AA1344" s="2">
        <v>-74.083813888888898</v>
      </c>
      <c r="AB1344" s="2">
        <v>2688</v>
      </c>
      <c r="AC1344" s="2" t="s">
        <v>31</v>
      </c>
      <c r="AD1344" s="2" t="s">
        <v>58</v>
      </c>
      <c r="AE1344" s="2" t="s">
        <v>33</v>
      </c>
      <c r="AF1344" s="2" t="s">
        <v>34</v>
      </c>
      <c r="AG1344" s="2" t="s">
        <v>550</v>
      </c>
      <c r="AH1344" s="2">
        <v>0.67196129237299396</v>
      </c>
      <c r="AI1344" s="2">
        <v>1.2579202074318201</v>
      </c>
      <c r="AJ1344" s="2">
        <v>0.82220341938041297</v>
      </c>
      <c r="AK1344" s="2">
        <v>0.425432435077994</v>
      </c>
      <c r="AL1344" s="2">
        <v>0.17254175935893001</v>
      </c>
      <c r="AM1344" s="2">
        <v>14.7</v>
      </c>
      <c r="AN1344" s="2">
        <v>6.8</v>
      </c>
      <c r="AO1344" s="2">
        <v>17.3</v>
      </c>
      <c r="AP1344" s="2">
        <v>564</v>
      </c>
      <c r="AQ1344" s="2">
        <v>68</v>
      </c>
      <c r="AR1344" s="2">
        <v>1.3</v>
      </c>
      <c r="AS1344" s="2">
        <v>118</v>
      </c>
      <c r="AT1344" s="2">
        <v>25.2</v>
      </c>
      <c r="AU1344" s="2">
        <v>123</v>
      </c>
      <c r="AV1344" s="2">
        <v>7</v>
      </c>
      <c r="AW1344" s="2">
        <v>5.0999999999999996</v>
      </c>
      <c r="AX1344" s="2">
        <v>12.1</v>
      </c>
      <c r="AY1344" s="2">
        <v>0.32</v>
      </c>
      <c r="AZ1344" s="2">
        <v>9.8000000000000007</v>
      </c>
      <c r="BA1344" s="2">
        <v>1</v>
      </c>
      <c r="BB1344" s="2">
        <v>8.1</v>
      </c>
      <c r="BC1344" s="2">
        <v>1.3</v>
      </c>
      <c r="BD1344" s="2">
        <f>+AN1344*EXP(-0.0495*Y1344)</f>
        <v>6.5930100811794592</v>
      </c>
      <c r="BE1344" s="2">
        <f>+AO1344*EXP(-0.024*Y1344)</f>
        <v>17.042642280448693</v>
      </c>
    </row>
    <row r="1345" spans="1:57" x14ac:dyDescent="0.2">
      <c r="A1345" s="2" t="s">
        <v>4339</v>
      </c>
      <c r="B1345" s="2" t="s">
        <v>19</v>
      </c>
      <c r="C1345" s="2" t="s">
        <v>3245</v>
      </c>
      <c r="D1345" s="2" t="s">
        <v>21</v>
      </c>
      <c r="E1345" s="2" t="s">
        <v>899</v>
      </c>
      <c r="F1345" s="2">
        <v>3</v>
      </c>
      <c r="G1345" s="2">
        <v>29</v>
      </c>
      <c r="H1345" s="2">
        <v>1</v>
      </c>
      <c r="I1345" s="2">
        <v>1</v>
      </c>
      <c r="J1345" s="2">
        <v>0</v>
      </c>
      <c r="K1345" s="2" t="s">
        <v>61</v>
      </c>
      <c r="L1345" s="6" t="s">
        <v>62</v>
      </c>
      <c r="M1345" s="5">
        <v>253700000</v>
      </c>
      <c r="N1345" s="2">
        <v>0</v>
      </c>
      <c r="O1345" s="2">
        <v>4.5706325999999997</v>
      </c>
      <c r="P1345" s="2">
        <v>-74.099030400000004</v>
      </c>
      <c r="Q1345" s="2" t="s">
        <v>4340</v>
      </c>
      <c r="R1345" s="2">
        <v>8748275.8619999997</v>
      </c>
      <c r="S1345" s="2">
        <v>0</v>
      </c>
      <c r="T1345" s="2" t="s">
        <v>547</v>
      </c>
      <c r="U1345" s="2" t="s">
        <v>548</v>
      </c>
      <c r="V1345" s="2" t="s">
        <v>28</v>
      </c>
      <c r="W1345" s="2" t="s">
        <v>547</v>
      </c>
      <c r="X1345" s="2" t="s">
        <v>549</v>
      </c>
      <c r="Y1345" s="2">
        <v>1.70198124644154</v>
      </c>
      <c r="Z1345" s="2">
        <v>4.5725527777777799</v>
      </c>
      <c r="AA1345" s="2">
        <v>-74.083813888888898</v>
      </c>
      <c r="AB1345" s="2">
        <v>2688</v>
      </c>
      <c r="AC1345" s="2" t="s">
        <v>31</v>
      </c>
      <c r="AD1345" s="2" t="s">
        <v>58</v>
      </c>
      <c r="AE1345" s="2" t="s">
        <v>33</v>
      </c>
      <c r="AF1345" s="2" t="s">
        <v>34</v>
      </c>
      <c r="AG1345" s="2" t="s">
        <v>550</v>
      </c>
      <c r="AH1345" s="2">
        <v>9.7163574275330705E-2</v>
      </c>
      <c r="AI1345" s="2">
        <v>2.48013584880117</v>
      </c>
      <c r="AJ1345" s="2">
        <v>1.6124630540985401</v>
      </c>
      <c r="AK1345" s="2">
        <v>0.25381062714865699</v>
      </c>
      <c r="AL1345" s="2">
        <v>0.13902026455222399</v>
      </c>
      <c r="AM1345" s="2">
        <v>14.7</v>
      </c>
      <c r="AN1345" s="2">
        <v>6.8</v>
      </c>
      <c r="AO1345" s="2">
        <v>17.3</v>
      </c>
      <c r="AP1345" s="2">
        <v>564</v>
      </c>
      <c r="AQ1345" s="2">
        <v>68</v>
      </c>
      <c r="AR1345" s="2">
        <v>1.3</v>
      </c>
      <c r="AS1345" s="2">
        <v>118</v>
      </c>
      <c r="AT1345" s="2">
        <v>25.2</v>
      </c>
      <c r="AU1345" s="2">
        <v>123</v>
      </c>
      <c r="AV1345" s="2">
        <v>7</v>
      </c>
      <c r="AW1345" s="2">
        <v>5.0999999999999996</v>
      </c>
      <c r="AX1345" s="2">
        <v>12.1</v>
      </c>
      <c r="AY1345" s="2">
        <v>0.32</v>
      </c>
      <c r="AZ1345" s="2">
        <v>9.8000000000000007</v>
      </c>
      <c r="BA1345" s="2">
        <v>1</v>
      </c>
      <c r="BB1345" s="2">
        <v>8.1</v>
      </c>
      <c r="BC1345" s="2">
        <v>1.3</v>
      </c>
      <c r="BD1345" s="2">
        <f>+AN1345*EXP(-0.0495*Y1345)</f>
        <v>6.2505817566666773</v>
      </c>
      <c r="BE1345" s="2">
        <f>+AO1345*EXP(-0.024*Y1345)</f>
        <v>16.607575581433885</v>
      </c>
    </row>
    <row r="1346" spans="1:57" x14ac:dyDescent="0.2">
      <c r="A1346" s="2" t="s">
        <v>3609</v>
      </c>
      <c r="B1346" s="2" t="s">
        <v>19</v>
      </c>
      <c r="C1346" s="2" t="s">
        <v>3245</v>
      </c>
      <c r="D1346" s="2" t="s">
        <v>21</v>
      </c>
      <c r="E1346" s="2" t="s">
        <v>3418</v>
      </c>
      <c r="F1346" s="2">
        <v>3</v>
      </c>
      <c r="G1346" s="2">
        <v>28.98</v>
      </c>
      <c r="H1346" s="2">
        <v>1</v>
      </c>
      <c r="I1346" s="2">
        <v>1</v>
      </c>
      <c r="J1346" s="2">
        <v>0</v>
      </c>
      <c r="K1346" s="2" t="s">
        <v>61</v>
      </c>
      <c r="L1346" s="6" t="s">
        <v>62</v>
      </c>
      <c r="M1346" s="5">
        <v>189000000</v>
      </c>
      <c r="N1346" s="2">
        <v>0</v>
      </c>
      <c r="O1346" s="2">
        <v>4.6000899999999998</v>
      </c>
      <c r="P1346" s="2">
        <v>-74.087990000000005</v>
      </c>
      <c r="Q1346" s="2" t="s">
        <v>3610</v>
      </c>
      <c r="R1346" s="2">
        <v>6521739.1299999999</v>
      </c>
      <c r="S1346" s="2">
        <v>0</v>
      </c>
      <c r="T1346" s="2" t="s">
        <v>547</v>
      </c>
      <c r="U1346" s="2" t="s">
        <v>548</v>
      </c>
      <c r="V1346" s="2" t="s">
        <v>28</v>
      </c>
      <c r="W1346" s="2" t="s">
        <v>547</v>
      </c>
      <c r="X1346" s="2" t="s">
        <v>549</v>
      </c>
      <c r="Y1346" s="2">
        <v>3.1002568219256998</v>
      </c>
      <c r="Z1346" s="2">
        <v>4.5725527777777799</v>
      </c>
      <c r="AA1346" s="2">
        <v>-74.083813888888898</v>
      </c>
      <c r="AB1346" s="2">
        <v>2688</v>
      </c>
      <c r="AC1346" s="2" t="s">
        <v>31</v>
      </c>
      <c r="AD1346" s="2" t="s">
        <v>58</v>
      </c>
      <c r="AE1346" s="2" t="s">
        <v>33</v>
      </c>
      <c r="AF1346" s="2" t="s">
        <v>34</v>
      </c>
      <c r="AG1346" s="2" t="s">
        <v>259</v>
      </c>
      <c r="AH1346" s="2">
        <v>9.18553028753748E-2</v>
      </c>
      <c r="AI1346" s="2">
        <v>2.4330059959829899</v>
      </c>
      <c r="AJ1346" s="2">
        <v>0.33962851708498099</v>
      </c>
      <c r="AK1346" s="2">
        <v>0.40177341015076101</v>
      </c>
      <c r="AL1346" s="2">
        <v>0.31336492684066503</v>
      </c>
      <c r="AM1346" s="2">
        <v>14.7</v>
      </c>
      <c r="AN1346" s="2">
        <v>6.8</v>
      </c>
      <c r="AO1346" s="2">
        <v>17.3</v>
      </c>
      <c r="AP1346" s="2">
        <v>564</v>
      </c>
      <c r="AQ1346" s="2">
        <v>68</v>
      </c>
      <c r="AR1346" s="2">
        <v>1.3</v>
      </c>
      <c r="AS1346" s="2">
        <v>118</v>
      </c>
      <c r="AT1346" s="2">
        <v>25.2</v>
      </c>
      <c r="AU1346" s="2">
        <v>123</v>
      </c>
      <c r="AV1346" s="2">
        <v>7</v>
      </c>
      <c r="AW1346" s="2">
        <v>5.0999999999999996</v>
      </c>
      <c r="AX1346" s="2">
        <v>12.1</v>
      </c>
      <c r="AY1346" s="2">
        <v>0.32</v>
      </c>
      <c r="AZ1346" s="2">
        <v>9.8000000000000007</v>
      </c>
      <c r="BA1346" s="2">
        <v>1</v>
      </c>
      <c r="BB1346" s="2">
        <v>8.1</v>
      </c>
      <c r="BC1346" s="2">
        <v>1.3</v>
      </c>
      <c r="BD1346" s="2">
        <f>+AN1346*EXP(-0.0495*Y1346)</f>
        <v>5.8325826738429765</v>
      </c>
      <c r="BE1346" s="2">
        <f>+AO1346*EXP(-0.024*Y1346)</f>
        <v>16.059496193800378</v>
      </c>
    </row>
    <row r="1347" spans="1:57" x14ac:dyDescent="0.2">
      <c r="A1347" s="2" t="s">
        <v>3992</v>
      </c>
      <c r="B1347" s="2" t="s">
        <v>19</v>
      </c>
      <c r="C1347" s="2" t="s">
        <v>3245</v>
      </c>
      <c r="D1347" s="2" t="s">
        <v>21</v>
      </c>
      <c r="E1347" s="2" t="s">
        <v>3524</v>
      </c>
      <c r="F1347" s="2">
        <v>2</v>
      </c>
      <c r="G1347" s="2">
        <v>28</v>
      </c>
      <c r="H1347" s="2">
        <v>1</v>
      </c>
      <c r="I1347" s="2">
        <v>1</v>
      </c>
      <c r="J1347" s="2">
        <v>0</v>
      </c>
      <c r="K1347" s="2" t="s">
        <v>61</v>
      </c>
      <c r="L1347" s="6" t="s">
        <v>62</v>
      </c>
      <c r="M1347" s="5">
        <v>245000000</v>
      </c>
      <c r="N1347" s="2">
        <v>0</v>
      </c>
      <c r="O1347" s="2">
        <v>4.5921608999999997</v>
      </c>
      <c r="P1347" s="2">
        <v>-74.074710199999998</v>
      </c>
      <c r="Q1347" s="2" t="s">
        <v>3993</v>
      </c>
      <c r="R1347" s="2">
        <v>8750000</v>
      </c>
      <c r="S1347" s="2">
        <v>0</v>
      </c>
      <c r="T1347" s="2" t="s">
        <v>547</v>
      </c>
      <c r="U1347" s="2" t="s">
        <v>548</v>
      </c>
      <c r="V1347" s="2" t="s">
        <v>28</v>
      </c>
      <c r="W1347" s="2" t="s">
        <v>547</v>
      </c>
      <c r="X1347" s="2" t="s">
        <v>549</v>
      </c>
      <c r="Y1347" s="2">
        <v>2.4051879537040199</v>
      </c>
      <c r="Z1347" s="2">
        <v>4.5725527777777799</v>
      </c>
      <c r="AA1347" s="2">
        <v>-74.083813888888898</v>
      </c>
      <c r="AB1347" s="2">
        <v>2688</v>
      </c>
      <c r="AC1347" s="2" t="s">
        <v>31</v>
      </c>
      <c r="AD1347" s="2" t="s">
        <v>58</v>
      </c>
      <c r="AE1347" s="2" t="s">
        <v>33</v>
      </c>
      <c r="AF1347" s="2" t="s">
        <v>34</v>
      </c>
      <c r="AG1347" s="2" t="s">
        <v>488</v>
      </c>
      <c r="AH1347" s="2">
        <v>0.81644888645812597</v>
      </c>
      <c r="AI1347" s="2">
        <v>0.95465949922670001</v>
      </c>
      <c r="AJ1347" s="2">
        <v>0.34121955911528801</v>
      </c>
      <c r="AK1347" s="2">
        <v>0.32622476909847098</v>
      </c>
      <c r="AL1347" s="2">
        <v>0.27611193643834298</v>
      </c>
      <c r="AM1347" s="2">
        <v>14.7</v>
      </c>
      <c r="AN1347" s="2">
        <v>6.8</v>
      </c>
      <c r="AO1347" s="2">
        <v>17.3</v>
      </c>
      <c r="AP1347" s="2">
        <v>564</v>
      </c>
      <c r="AQ1347" s="2">
        <v>68</v>
      </c>
      <c r="AR1347" s="2">
        <v>1.3</v>
      </c>
      <c r="AS1347" s="2">
        <v>118</v>
      </c>
      <c r="AT1347" s="2">
        <v>25.2</v>
      </c>
      <c r="AU1347" s="2">
        <v>123</v>
      </c>
      <c r="AV1347" s="2">
        <v>7</v>
      </c>
      <c r="AW1347" s="2">
        <v>5.0999999999999996</v>
      </c>
      <c r="AX1347" s="2">
        <v>12.1</v>
      </c>
      <c r="AY1347" s="2">
        <v>0.32</v>
      </c>
      <c r="AZ1347" s="2">
        <v>9.8000000000000007</v>
      </c>
      <c r="BA1347" s="2">
        <v>1</v>
      </c>
      <c r="BB1347" s="2">
        <v>8.1</v>
      </c>
      <c r="BC1347" s="2">
        <v>1.3</v>
      </c>
      <c r="BD1347" s="2">
        <f>+AN1347*EXP(-0.0495*Y1347)</f>
        <v>6.0367501256482887</v>
      </c>
      <c r="BE1347" s="2">
        <f>+AO1347*EXP(-0.024*Y1347)</f>
        <v>16.329642109639963</v>
      </c>
    </row>
    <row r="1348" spans="1:57" x14ac:dyDescent="0.2">
      <c r="A1348" s="2" t="s">
        <v>4335</v>
      </c>
      <c r="B1348" s="2" t="s">
        <v>19</v>
      </c>
      <c r="C1348" s="2" t="s">
        <v>3245</v>
      </c>
      <c r="D1348" s="2" t="s">
        <v>21</v>
      </c>
      <c r="E1348" s="2" t="s">
        <v>1237</v>
      </c>
      <c r="F1348" s="2">
        <v>3</v>
      </c>
      <c r="G1348" s="2">
        <v>27</v>
      </c>
      <c r="H1348" s="2">
        <v>1</v>
      </c>
      <c r="I1348" s="2">
        <v>1</v>
      </c>
      <c r="J1348" s="2">
        <v>0</v>
      </c>
      <c r="K1348" s="2" t="s">
        <v>61</v>
      </c>
      <c r="L1348" s="6" t="s">
        <v>62</v>
      </c>
      <c r="M1348" s="5">
        <v>230000000</v>
      </c>
      <c r="N1348" s="2">
        <v>0</v>
      </c>
      <c r="O1348" s="2">
        <v>4.5962529180000002</v>
      </c>
      <c r="P1348" s="2">
        <v>-74.089256289999994</v>
      </c>
      <c r="Q1348" s="2" t="s">
        <v>4336</v>
      </c>
      <c r="R1348" s="2">
        <v>8518518.5189999994</v>
      </c>
      <c r="S1348" s="2">
        <v>0</v>
      </c>
      <c r="T1348" s="2" t="s">
        <v>547</v>
      </c>
      <c r="U1348" s="2" t="s">
        <v>548</v>
      </c>
      <c r="V1348" s="2" t="s">
        <v>28</v>
      </c>
      <c r="W1348" s="2" t="s">
        <v>547</v>
      </c>
      <c r="X1348" s="2" t="s">
        <v>549</v>
      </c>
      <c r="Y1348" s="2">
        <v>2.7065226468547201</v>
      </c>
      <c r="Z1348" s="2">
        <v>4.5725527777777799</v>
      </c>
      <c r="AA1348" s="2">
        <v>-74.083813888888898</v>
      </c>
      <c r="AB1348" s="2">
        <v>2688</v>
      </c>
      <c r="AC1348" s="2" t="s">
        <v>31</v>
      </c>
      <c r="AD1348" s="2" t="s">
        <v>58</v>
      </c>
      <c r="AE1348" s="2" t="s">
        <v>33</v>
      </c>
      <c r="AF1348" s="2" t="s">
        <v>34</v>
      </c>
      <c r="AG1348" s="2" t="s">
        <v>259</v>
      </c>
      <c r="AH1348" s="2">
        <v>0.361333344746195</v>
      </c>
      <c r="AI1348" s="2">
        <v>2.53872717056566</v>
      </c>
      <c r="AJ1348" s="2">
        <v>0.73267162071291303</v>
      </c>
      <c r="AK1348" s="2">
        <v>0.37188627580232603</v>
      </c>
      <c r="AL1348" s="2">
        <v>8.1339482063039606E-2</v>
      </c>
      <c r="AM1348" s="2">
        <v>14.7</v>
      </c>
      <c r="AN1348" s="2">
        <v>6.8</v>
      </c>
      <c r="AO1348" s="2">
        <v>17.3</v>
      </c>
      <c r="AP1348" s="2">
        <v>564</v>
      </c>
      <c r="AQ1348" s="2">
        <v>68</v>
      </c>
      <c r="AR1348" s="2">
        <v>1.3</v>
      </c>
      <c r="AS1348" s="2">
        <v>118</v>
      </c>
      <c r="AT1348" s="2">
        <v>25.2</v>
      </c>
      <c r="AU1348" s="2">
        <v>123</v>
      </c>
      <c r="AV1348" s="2">
        <v>7</v>
      </c>
      <c r="AW1348" s="2">
        <v>5.0999999999999996</v>
      </c>
      <c r="AX1348" s="2">
        <v>12.1</v>
      </c>
      <c r="AY1348" s="2">
        <v>0.32</v>
      </c>
      <c r="AZ1348" s="2">
        <v>9.8000000000000007</v>
      </c>
      <c r="BA1348" s="2">
        <v>1</v>
      </c>
      <c r="BB1348" s="2">
        <v>8.1</v>
      </c>
      <c r="BC1348" s="2">
        <v>1.3</v>
      </c>
      <c r="BD1348" s="2">
        <f>+AN1348*EXP(-0.0495*Y1348)</f>
        <v>5.9473737833026439</v>
      </c>
      <c r="BE1348" s="2">
        <f>+AO1348*EXP(-0.024*Y1348)</f>
        <v>16.211971616268563</v>
      </c>
    </row>
    <row r="1349" spans="1:57" x14ac:dyDescent="0.2">
      <c r="A1349" s="2" t="s">
        <v>3859</v>
      </c>
      <c r="B1349" s="2" t="s">
        <v>19</v>
      </c>
      <c r="C1349" s="2" t="s">
        <v>3245</v>
      </c>
      <c r="D1349" s="2" t="s">
        <v>21</v>
      </c>
      <c r="E1349" s="2" t="s">
        <v>3860</v>
      </c>
      <c r="F1349" s="2">
        <v>3</v>
      </c>
      <c r="G1349" s="2">
        <v>27</v>
      </c>
      <c r="H1349" s="2">
        <v>1</v>
      </c>
      <c r="I1349" s="2">
        <v>1</v>
      </c>
      <c r="J1349" s="2">
        <v>1</v>
      </c>
      <c r="K1349" s="2" t="s">
        <v>61</v>
      </c>
      <c r="L1349" s="6" t="s">
        <v>84</v>
      </c>
      <c r="M1349" s="5">
        <v>230000000</v>
      </c>
      <c r="N1349" s="2">
        <v>0</v>
      </c>
      <c r="O1349" s="2">
        <v>4.5903248789999997</v>
      </c>
      <c r="P1349" s="2">
        <v>-74.095176699999996</v>
      </c>
      <c r="Q1349" s="2" t="s">
        <v>3861</v>
      </c>
      <c r="R1349" s="2">
        <v>8518518.5189999994</v>
      </c>
      <c r="S1349" s="2">
        <v>0</v>
      </c>
      <c r="T1349" s="2" t="s">
        <v>547</v>
      </c>
      <c r="U1349" s="2" t="s">
        <v>548</v>
      </c>
      <c r="V1349" s="2" t="s">
        <v>28</v>
      </c>
      <c r="W1349" s="2" t="s">
        <v>547</v>
      </c>
      <c r="X1349" s="2" t="s">
        <v>549</v>
      </c>
      <c r="Y1349" s="2">
        <v>2.3460098454918001</v>
      </c>
      <c r="Z1349" s="2">
        <v>4.5725527777777799</v>
      </c>
      <c r="AA1349" s="2">
        <v>-74.083813888888898</v>
      </c>
      <c r="AB1349" s="2">
        <v>2688</v>
      </c>
      <c r="AC1349" s="2" t="s">
        <v>31</v>
      </c>
      <c r="AD1349" s="2" t="s">
        <v>58</v>
      </c>
      <c r="AE1349" s="2" t="s">
        <v>33</v>
      </c>
      <c r="AF1349" s="2" t="s">
        <v>34</v>
      </c>
      <c r="AG1349" s="2" t="s">
        <v>938</v>
      </c>
      <c r="AH1349" s="2">
        <v>0.46755763201579298</v>
      </c>
      <c r="AI1349" s="2">
        <v>2.8548664417335599</v>
      </c>
      <c r="AJ1349" s="2">
        <v>0.439910343855268</v>
      </c>
      <c r="AK1349" s="2">
        <v>0.32484094166099098</v>
      </c>
      <c r="AL1349" s="2">
        <v>0.20271613705408101</v>
      </c>
      <c r="AM1349" s="2">
        <v>14.7</v>
      </c>
      <c r="AN1349" s="2">
        <v>6.8</v>
      </c>
      <c r="AO1349" s="2">
        <v>17.3</v>
      </c>
      <c r="AP1349" s="2">
        <v>564</v>
      </c>
      <c r="AQ1349" s="2">
        <v>68</v>
      </c>
      <c r="AR1349" s="2">
        <v>1.3</v>
      </c>
      <c r="AS1349" s="2">
        <v>118</v>
      </c>
      <c r="AT1349" s="2">
        <v>25.2</v>
      </c>
      <c r="AU1349" s="2">
        <v>123</v>
      </c>
      <c r="AV1349" s="2">
        <v>7</v>
      </c>
      <c r="AW1349" s="2">
        <v>5.0999999999999996</v>
      </c>
      <c r="AX1349" s="2">
        <v>12.1</v>
      </c>
      <c r="AY1349" s="2">
        <v>0.32</v>
      </c>
      <c r="AZ1349" s="2">
        <v>9.8000000000000007</v>
      </c>
      <c r="BA1349" s="2">
        <v>1</v>
      </c>
      <c r="BB1349" s="2">
        <v>8.1</v>
      </c>
      <c r="BC1349" s="2">
        <v>1.3</v>
      </c>
      <c r="BD1349" s="2">
        <f>+AN1349*EXP(-0.0495*Y1349)</f>
        <v>6.0544596021975501</v>
      </c>
      <c r="BE1349" s="2">
        <f>+AO1349*EXP(-0.024*Y1349)</f>
        <v>16.352851163221121</v>
      </c>
    </row>
    <row r="1350" spans="1:57" x14ac:dyDescent="0.2">
      <c r="A1350" s="2" t="s">
        <v>3417</v>
      </c>
      <c r="B1350" s="2" t="s">
        <v>19</v>
      </c>
      <c r="C1350" s="2" t="s">
        <v>3245</v>
      </c>
      <c r="D1350" s="2" t="s">
        <v>21</v>
      </c>
      <c r="E1350" s="2" t="s">
        <v>3418</v>
      </c>
      <c r="F1350" s="2">
        <v>3</v>
      </c>
      <c r="G1350" s="2">
        <v>26</v>
      </c>
      <c r="H1350" s="2">
        <v>1</v>
      </c>
      <c r="I1350" s="2">
        <v>1</v>
      </c>
      <c r="J1350" s="2">
        <v>0</v>
      </c>
      <c r="K1350" s="2" t="s">
        <v>61</v>
      </c>
      <c r="L1350" s="6" t="s">
        <v>62</v>
      </c>
      <c r="M1350" s="5">
        <v>170000000</v>
      </c>
      <c r="N1350" s="2">
        <v>0</v>
      </c>
      <c r="O1350" s="2">
        <v>4.6000899999999998</v>
      </c>
      <c r="P1350" s="2">
        <v>-74.087990000000005</v>
      </c>
      <c r="Q1350" s="2" t="s">
        <v>3419</v>
      </c>
      <c r="R1350" s="2">
        <v>6538461.5379999997</v>
      </c>
      <c r="S1350" s="2">
        <v>0</v>
      </c>
      <c r="T1350" s="2" t="s">
        <v>547</v>
      </c>
      <c r="U1350" s="2" t="s">
        <v>548</v>
      </c>
      <c r="V1350" s="2" t="s">
        <v>28</v>
      </c>
      <c r="W1350" s="2" t="s">
        <v>547</v>
      </c>
      <c r="X1350" s="2" t="s">
        <v>549</v>
      </c>
      <c r="Y1350" s="2">
        <v>3.1002568219256998</v>
      </c>
      <c r="Z1350" s="2">
        <v>4.5725527777777799</v>
      </c>
      <c r="AA1350" s="2">
        <v>-74.083813888888898</v>
      </c>
      <c r="AB1350" s="2">
        <v>2688</v>
      </c>
      <c r="AC1350" s="2" t="s">
        <v>31</v>
      </c>
      <c r="AD1350" s="2" t="s">
        <v>58</v>
      </c>
      <c r="AE1350" s="2" t="s">
        <v>33</v>
      </c>
      <c r="AF1350" s="2" t="s">
        <v>34</v>
      </c>
      <c r="AG1350" s="2" t="s">
        <v>259</v>
      </c>
      <c r="AH1350" s="2">
        <v>9.18553028753748E-2</v>
      </c>
      <c r="AI1350" s="2">
        <v>2.4330059959829899</v>
      </c>
      <c r="AJ1350" s="2">
        <v>0.33962851708498099</v>
      </c>
      <c r="AK1350" s="2">
        <v>0.40177341015076101</v>
      </c>
      <c r="AL1350" s="2">
        <v>0.31336492684066503</v>
      </c>
      <c r="AM1350" s="2">
        <v>14.7</v>
      </c>
      <c r="AN1350" s="2">
        <v>6.8</v>
      </c>
      <c r="AO1350" s="2">
        <v>17.3</v>
      </c>
      <c r="AP1350" s="2">
        <v>564</v>
      </c>
      <c r="AQ1350" s="2">
        <v>68</v>
      </c>
      <c r="AR1350" s="2">
        <v>1.3</v>
      </c>
      <c r="AS1350" s="2">
        <v>118</v>
      </c>
      <c r="AT1350" s="2">
        <v>25.2</v>
      </c>
      <c r="AU1350" s="2">
        <v>123</v>
      </c>
      <c r="AV1350" s="2">
        <v>7</v>
      </c>
      <c r="AW1350" s="2">
        <v>5.0999999999999996</v>
      </c>
      <c r="AX1350" s="2">
        <v>12.1</v>
      </c>
      <c r="AY1350" s="2">
        <v>0.32</v>
      </c>
      <c r="AZ1350" s="2">
        <v>9.8000000000000007</v>
      </c>
      <c r="BA1350" s="2">
        <v>1</v>
      </c>
      <c r="BB1350" s="2">
        <v>8.1</v>
      </c>
      <c r="BC1350" s="2">
        <v>1.3</v>
      </c>
      <c r="BD1350" s="2">
        <f>+AN1350*EXP(-0.0495*Y1350)</f>
        <v>5.8325826738429765</v>
      </c>
      <c r="BE1350" s="2">
        <f>+AO1350*EXP(-0.024*Y1350)</f>
        <v>16.059496193800378</v>
      </c>
    </row>
    <row r="1351" spans="1:57" x14ac:dyDescent="0.2">
      <c r="A1351" s="2" t="s">
        <v>4444</v>
      </c>
      <c r="B1351" s="2" t="s">
        <v>19</v>
      </c>
      <c r="C1351" s="2" t="s">
        <v>3245</v>
      </c>
      <c r="D1351" s="2" t="s">
        <v>21</v>
      </c>
      <c r="E1351" s="2" t="s">
        <v>1237</v>
      </c>
      <c r="F1351" s="2">
        <v>3</v>
      </c>
      <c r="G1351" s="2">
        <v>25</v>
      </c>
      <c r="H1351" s="2">
        <v>1</v>
      </c>
      <c r="I1351" s="2">
        <v>1</v>
      </c>
      <c r="J1351" s="2">
        <v>0</v>
      </c>
      <c r="K1351" s="2" t="s">
        <v>61</v>
      </c>
      <c r="L1351" s="6" t="s">
        <v>62</v>
      </c>
      <c r="M1351" s="5">
        <v>290000000</v>
      </c>
      <c r="N1351" s="2">
        <v>0</v>
      </c>
      <c r="O1351" s="2">
        <v>4.5962529180000002</v>
      </c>
      <c r="P1351" s="2">
        <v>-74.089256289999994</v>
      </c>
      <c r="Q1351" s="2" t="s">
        <v>4445</v>
      </c>
      <c r="R1351" s="2">
        <v>11600000</v>
      </c>
      <c r="S1351" s="2">
        <v>0</v>
      </c>
      <c r="T1351" s="2" t="s">
        <v>547</v>
      </c>
      <c r="U1351" s="2" t="s">
        <v>548</v>
      </c>
      <c r="V1351" s="2" t="s">
        <v>28</v>
      </c>
      <c r="W1351" s="2" t="s">
        <v>547</v>
      </c>
      <c r="X1351" s="2" t="s">
        <v>549</v>
      </c>
      <c r="Y1351" s="2">
        <v>2.7065226468547201</v>
      </c>
      <c r="Z1351" s="2">
        <v>4.5725527777777799</v>
      </c>
      <c r="AA1351" s="2">
        <v>-74.083813888888898</v>
      </c>
      <c r="AB1351" s="2">
        <v>2688</v>
      </c>
      <c r="AC1351" s="2" t="s">
        <v>31</v>
      </c>
      <c r="AD1351" s="2" t="s">
        <v>58</v>
      </c>
      <c r="AE1351" s="2" t="s">
        <v>33</v>
      </c>
      <c r="AF1351" s="2" t="s">
        <v>34</v>
      </c>
      <c r="AG1351" s="2" t="s">
        <v>259</v>
      </c>
      <c r="AH1351" s="2">
        <v>0.361333344746195</v>
      </c>
      <c r="AI1351" s="2">
        <v>2.53872717056566</v>
      </c>
      <c r="AJ1351" s="2">
        <v>0.73267162071291303</v>
      </c>
      <c r="AK1351" s="2">
        <v>0.37188627580232603</v>
      </c>
      <c r="AL1351" s="2">
        <v>8.1339482063039606E-2</v>
      </c>
      <c r="AM1351" s="2">
        <v>14.7</v>
      </c>
      <c r="AN1351" s="2">
        <v>6.8</v>
      </c>
      <c r="AO1351" s="2">
        <v>17.3</v>
      </c>
      <c r="AP1351" s="2">
        <v>564</v>
      </c>
      <c r="AQ1351" s="2">
        <v>68</v>
      </c>
      <c r="AR1351" s="2">
        <v>1.3</v>
      </c>
      <c r="AS1351" s="2">
        <v>118</v>
      </c>
      <c r="AT1351" s="2">
        <v>25.2</v>
      </c>
      <c r="AU1351" s="2">
        <v>123</v>
      </c>
      <c r="AV1351" s="2">
        <v>7</v>
      </c>
      <c r="AW1351" s="2">
        <v>5.0999999999999996</v>
      </c>
      <c r="AX1351" s="2">
        <v>12.1</v>
      </c>
      <c r="AY1351" s="2">
        <v>0.32</v>
      </c>
      <c r="AZ1351" s="2">
        <v>9.8000000000000007</v>
      </c>
      <c r="BA1351" s="2">
        <v>1</v>
      </c>
      <c r="BB1351" s="2">
        <v>8.1</v>
      </c>
      <c r="BC1351" s="2">
        <v>1.3</v>
      </c>
      <c r="BD1351" s="2">
        <f>+AN1351*EXP(-0.0495*Y1351)</f>
        <v>5.9473737833026439</v>
      </c>
      <c r="BE1351" s="2">
        <f>+AO1351*EXP(-0.024*Y1351)</f>
        <v>16.211971616268563</v>
      </c>
    </row>
    <row r="1352" spans="1:57" x14ac:dyDescent="0.2">
      <c r="A1352" s="2" t="s">
        <v>4382</v>
      </c>
      <c r="B1352" s="2" t="s">
        <v>19</v>
      </c>
      <c r="C1352" s="2" t="s">
        <v>3245</v>
      </c>
      <c r="D1352" s="2" t="s">
        <v>21</v>
      </c>
      <c r="E1352" s="2" t="s">
        <v>1237</v>
      </c>
      <c r="F1352" s="2">
        <v>3</v>
      </c>
      <c r="G1352" s="2">
        <v>25</v>
      </c>
      <c r="H1352" s="2">
        <v>1</v>
      </c>
      <c r="I1352" s="2">
        <v>1</v>
      </c>
      <c r="J1352" s="2">
        <v>0</v>
      </c>
      <c r="K1352" s="2" t="s">
        <v>61</v>
      </c>
      <c r="L1352" s="6" t="s">
        <v>62</v>
      </c>
      <c r="M1352" s="5">
        <v>260000000</v>
      </c>
      <c r="N1352" s="2">
        <v>0</v>
      </c>
      <c r="O1352" s="2">
        <v>4.5962529180000002</v>
      </c>
      <c r="P1352" s="2">
        <v>-74.089256289999994</v>
      </c>
      <c r="Q1352" s="2" t="s">
        <v>4383</v>
      </c>
      <c r="R1352" s="2">
        <v>10400000</v>
      </c>
      <c r="S1352" s="2">
        <v>0</v>
      </c>
      <c r="T1352" s="2" t="s">
        <v>547</v>
      </c>
      <c r="U1352" s="2" t="s">
        <v>548</v>
      </c>
      <c r="V1352" s="2" t="s">
        <v>28</v>
      </c>
      <c r="W1352" s="2" t="s">
        <v>547</v>
      </c>
      <c r="X1352" s="2" t="s">
        <v>549</v>
      </c>
      <c r="Y1352" s="2">
        <v>2.7065226468547201</v>
      </c>
      <c r="Z1352" s="2">
        <v>4.5725527777777799</v>
      </c>
      <c r="AA1352" s="2">
        <v>-74.083813888888898</v>
      </c>
      <c r="AB1352" s="2">
        <v>2688</v>
      </c>
      <c r="AC1352" s="2" t="s">
        <v>31</v>
      </c>
      <c r="AD1352" s="2" t="s">
        <v>58</v>
      </c>
      <c r="AE1352" s="2" t="s">
        <v>33</v>
      </c>
      <c r="AF1352" s="2" t="s">
        <v>34</v>
      </c>
      <c r="AG1352" s="2" t="s">
        <v>259</v>
      </c>
      <c r="AH1352" s="2">
        <v>0.361333344746195</v>
      </c>
      <c r="AI1352" s="2">
        <v>2.53872717056566</v>
      </c>
      <c r="AJ1352" s="2">
        <v>0.73267162071291303</v>
      </c>
      <c r="AK1352" s="2">
        <v>0.37188627580232603</v>
      </c>
      <c r="AL1352" s="2">
        <v>8.1339482063039606E-2</v>
      </c>
      <c r="AM1352" s="2">
        <v>14.7</v>
      </c>
      <c r="AN1352" s="2">
        <v>6.8</v>
      </c>
      <c r="AO1352" s="2">
        <v>17.3</v>
      </c>
      <c r="AP1352" s="2">
        <v>564</v>
      </c>
      <c r="AQ1352" s="2">
        <v>68</v>
      </c>
      <c r="AR1352" s="2">
        <v>1.3</v>
      </c>
      <c r="AS1352" s="2">
        <v>118</v>
      </c>
      <c r="AT1352" s="2">
        <v>25.2</v>
      </c>
      <c r="AU1352" s="2">
        <v>123</v>
      </c>
      <c r="AV1352" s="2">
        <v>7</v>
      </c>
      <c r="AW1352" s="2">
        <v>5.0999999999999996</v>
      </c>
      <c r="AX1352" s="2">
        <v>12.1</v>
      </c>
      <c r="AY1352" s="2">
        <v>0.32</v>
      </c>
      <c r="AZ1352" s="2">
        <v>9.8000000000000007</v>
      </c>
      <c r="BA1352" s="2">
        <v>1</v>
      </c>
      <c r="BB1352" s="2">
        <v>8.1</v>
      </c>
      <c r="BC1352" s="2">
        <v>1.3</v>
      </c>
      <c r="BD1352" s="2">
        <f>+AN1352*EXP(-0.0495*Y1352)</f>
        <v>5.9473737833026439</v>
      </c>
      <c r="BE1352" s="2">
        <f>+AO1352*EXP(-0.024*Y1352)</f>
        <v>16.211971616268563</v>
      </c>
    </row>
    <row r="1353" spans="1:57" x14ac:dyDescent="0.2">
      <c r="A1353" s="2" t="s">
        <v>4063</v>
      </c>
      <c r="B1353" s="2" t="s">
        <v>19</v>
      </c>
      <c r="C1353" s="2" t="s">
        <v>3245</v>
      </c>
      <c r="D1353" s="2" t="s">
        <v>21</v>
      </c>
      <c r="E1353" s="2" t="s">
        <v>3418</v>
      </c>
      <c r="F1353" s="2">
        <v>3</v>
      </c>
      <c r="G1353" s="2">
        <v>25</v>
      </c>
      <c r="H1353" s="2">
        <v>1</v>
      </c>
      <c r="I1353" s="2">
        <v>1</v>
      </c>
      <c r="J1353" s="2">
        <v>0</v>
      </c>
      <c r="K1353" s="2" t="s">
        <v>61</v>
      </c>
      <c r="L1353" s="6" t="s">
        <v>62</v>
      </c>
      <c r="M1353" s="5">
        <v>180000000</v>
      </c>
      <c r="N1353" s="2">
        <v>0</v>
      </c>
      <c r="O1353" s="2">
        <v>4.6000099179999996</v>
      </c>
      <c r="P1353" s="2">
        <v>-74.087921140000006</v>
      </c>
      <c r="Q1353" s="2" t="s">
        <v>4064</v>
      </c>
      <c r="R1353" s="2">
        <v>7200000</v>
      </c>
      <c r="S1353" s="2">
        <v>0</v>
      </c>
      <c r="T1353" s="2" t="s">
        <v>547</v>
      </c>
      <c r="U1353" s="2" t="s">
        <v>548</v>
      </c>
      <c r="V1353" s="2" t="s">
        <v>28</v>
      </c>
      <c r="W1353" s="2" t="s">
        <v>547</v>
      </c>
      <c r="X1353" s="2" t="s">
        <v>549</v>
      </c>
      <c r="Y1353" s="2">
        <v>3.0903064636084401</v>
      </c>
      <c r="Z1353" s="2">
        <v>4.5725527777777799</v>
      </c>
      <c r="AA1353" s="2">
        <v>-74.083813888888898</v>
      </c>
      <c r="AB1353" s="2">
        <v>2688</v>
      </c>
      <c r="AC1353" s="2" t="s">
        <v>31</v>
      </c>
      <c r="AD1353" s="2" t="s">
        <v>58</v>
      </c>
      <c r="AE1353" s="2" t="s">
        <v>33</v>
      </c>
      <c r="AF1353" s="2" t="s">
        <v>34</v>
      </c>
      <c r="AG1353" s="2" t="s">
        <v>259</v>
      </c>
      <c r="AH1353" s="2">
        <v>9.6375190892342102E-2</v>
      </c>
      <c r="AI1353" s="2">
        <v>2.4239999436435902</v>
      </c>
      <c r="AJ1353" s="2">
        <v>0.34721083832299998</v>
      </c>
      <c r="AK1353" s="2">
        <v>0.40640792990414898</v>
      </c>
      <c r="AL1353" s="2">
        <v>0.30492885417983501</v>
      </c>
      <c r="AM1353" s="2">
        <v>14.7</v>
      </c>
      <c r="AN1353" s="2">
        <v>6.8</v>
      </c>
      <c r="AO1353" s="2">
        <v>17.3</v>
      </c>
      <c r="AP1353" s="2">
        <v>564</v>
      </c>
      <c r="AQ1353" s="2">
        <v>68</v>
      </c>
      <c r="AR1353" s="2">
        <v>1.3</v>
      </c>
      <c r="AS1353" s="2">
        <v>118</v>
      </c>
      <c r="AT1353" s="2">
        <v>25.2</v>
      </c>
      <c r="AU1353" s="2">
        <v>123</v>
      </c>
      <c r="AV1353" s="2">
        <v>7</v>
      </c>
      <c r="AW1353" s="2">
        <v>5.0999999999999996</v>
      </c>
      <c r="AX1353" s="2">
        <v>12.1</v>
      </c>
      <c r="AY1353" s="2">
        <v>0.32</v>
      </c>
      <c r="AZ1353" s="2">
        <v>9.8000000000000007</v>
      </c>
      <c r="BA1353" s="2">
        <v>1</v>
      </c>
      <c r="BB1353" s="2">
        <v>8.1</v>
      </c>
      <c r="BC1353" s="2">
        <v>1.3</v>
      </c>
      <c r="BD1353" s="2">
        <f>+AN1353*EXP(-0.0495*Y1353)</f>
        <v>5.835456177678835</v>
      </c>
      <c r="BE1353" s="2">
        <f>+AO1353*EXP(-0.024*Y1353)</f>
        <v>16.063331797566281</v>
      </c>
    </row>
    <row r="1354" spans="1:57" x14ac:dyDescent="0.2">
      <c r="A1354" s="2" t="s">
        <v>4308</v>
      </c>
      <c r="B1354" s="2" t="s">
        <v>19</v>
      </c>
      <c r="C1354" s="2" t="s">
        <v>3245</v>
      </c>
      <c r="D1354" s="2" t="s">
        <v>21</v>
      </c>
      <c r="E1354" s="2" t="s">
        <v>4309</v>
      </c>
      <c r="F1354" s="2">
        <v>3</v>
      </c>
      <c r="G1354" s="2">
        <v>24</v>
      </c>
      <c r="H1354" s="2">
        <v>1</v>
      </c>
      <c r="I1354" s="2">
        <v>1</v>
      </c>
      <c r="J1354" s="2">
        <v>1</v>
      </c>
      <c r="K1354" s="2" t="s">
        <v>61</v>
      </c>
      <c r="L1354" s="6" t="s">
        <v>84</v>
      </c>
      <c r="M1354" s="5">
        <v>190000000</v>
      </c>
      <c r="N1354" s="2">
        <v>0</v>
      </c>
      <c r="O1354" s="2">
        <v>4.5785127000000001</v>
      </c>
      <c r="P1354" s="2">
        <v>-74.085099999999997</v>
      </c>
      <c r="Q1354" s="2" t="s">
        <v>4310</v>
      </c>
      <c r="R1354" s="2">
        <v>7916666.6670000004</v>
      </c>
      <c r="S1354" s="2">
        <v>0</v>
      </c>
      <c r="T1354" s="2" t="s">
        <v>547</v>
      </c>
      <c r="U1354" s="2" t="s">
        <v>548</v>
      </c>
      <c r="V1354" s="2" t="s">
        <v>28</v>
      </c>
      <c r="W1354" s="2" t="s">
        <v>547</v>
      </c>
      <c r="X1354" s="2" t="s">
        <v>549</v>
      </c>
      <c r="Y1354" s="2">
        <v>0.67863112090141497</v>
      </c>
      <c r="Z1354" s="2">
        <v>4.5725527777777799</v>
      </c>
      <c r="AA1354" s="2">
        <v>-74.083813888888898</v>
      </c>
      <c r="AB1354" s="2">
        <v>2688</v>
      </c>
      <c r="AC1354" s="2" t="s">
        <v>31</v>
      </c>
      <c r="AD1354" s="2" t="s">
        <v>58</v>
      </c>
      <c r="AE1354" s="2" t="s">
        <v>33</v>
      </c>
      <c r="AF1354" s="2" t="s">
        <v>34</v>
      </c>
      <c r="AG1354" s="2" t="s">
        <v>550</v>
      </c>
      <c r="AH1354" s="2">
        <v>0.67178347606335698</v>
      </c>
      <c r="AI1354" s="2">
        <v>1.2395125493924199</v>
      </c>
      <c r="AJ1354" s="2">
        <v>0.85810789565479995</v>
      </c>
      <c r="AK1354" s="2">
        <v>0.42377325348442402</v>
      </c>
      <c r="AL1354" s="2">
        <v>0.171711847837552</v>
      </c>
      <c r="AM1354" s="2">
        <v>14.7</v>
      </c>
      <c r="AN1354" s="2">
        <v>6.8</v>
      </c>
      <c r="AO1354" s="2">
        <v>17.3</v>
      </c>
      <c r="AP1354" s="2">
        <v>564</v>
      </c>
      <c r="AQ1354" s="2">
        <v>68</v>
      </c>
      <c r="AR1354" s="2">
        <v>1.3</v>
      </c>
      <c r="AS1354" s="2">
        <v>118</v>
      </c>
      <c r="AT1354" s="2">
        <v>25.2</v>
      </c>
      <c r="AU1354" s="2">
        <v>123</v>
      </c>
      <c r="AV1354" s="2">
        <v>7</v>
      </c>
      <c r="AW1354" s="2">
        <v>5.0999999999999996</v>
      </c>
      <c r="AX1354" s="2">
        <v>12.1</v>
      </c>
      <c r="AY1354" s="2">
        <v>0.32</v>
      </c>
      <c r="AZ1354" s="2">
        <v>9.8000000000000007</v>
      </c>
      <c r="BA1354" s="2">
        <v>1</v>
      </c>
      <c r="BB1354" s="2">
        <v>8.1</v>
      </c>
      <c r="BC1354" s="2">
        <v>1.3</v>
      </c>
      <c r="BD1354" s="2">
        <f>+AN1354*EXP(-0.0495*Y1354)</f>
        <v>6.5753668533749501</v>
      </c>
      <c r="BE1354" s="2">
        <f>+AO1354*EXP(-0.024*Y1354)</f>
        <v>17.020514547173665</v>
      </c>
    </row>
    <row r="1355" spans="1:57" x14ac:dyDescent="0.2">
      <c r="A1355" s="2" t="s">
        <v>4369</v>
      </c>
      <c r="B1355" s="2" t="s">
        <v>19</v>
      </c>
      <c r="C1355" s="2" t="s">
        <v>3245</v>
      </c>
      <c r="D1355" s="2" t="s">
        <v>21</v>
      </c>
      <c r="E1355" s="2" t="s">
        <v>2372</v>
      </c>
      <c r="F1355" s="2">
        <v>3</v>
      </c>
      <c r="G1355" s="2">
        <v>19</v>
      </c>
      <c r="H1355" s="2">
        <v>1</v>
      </c>
      <c r="I1355" s="2">
        <v>1</v>
      </c>
      <c r="J1355" s="2">
        <v>0</v>
      </c>
      <c r="K1355" s="2" t="s">
        <v>61</v>
      </c>
      <c r="L1355" s="6" t="s">
        <v>62</v>
      </c>
      <c r="M1355" s="5">
        <v>178863636</v>
      </c>
      <c r="N1355" s="2">
        <v>0</v>
      </c>
      <c r="O1355" s="2">
        <v>4.5830869669999998</v>
      </c>
      <c r="P1355" s="2">
        <v>-74.103279110000003</v>
      </c>
      <c r="Q1355" s="2" t="s">
        <v>4370</v>
      </c>
      <c r="R1355" s="2">
        <v>9413875.5789999999</v>
      </c>
      <c r="S1355" s="2">
        <v>0</v>
      </c>
      <c r="T1355" s="2" t="s">
        <v>547</v>
      </c>
      <c r="U1355" s="2" t="s">
        <v>548</v>
      </c>
      <c r="V1355" s="2" t="s">
        <v>28</v>
      </c>
      <c r="W1355" s="2" t="s">
        <v>547</v>
      </c>
      <c r="X1355" s="2" t="s">
        <v>549</v>
      </c>
      <c r="Y1355" s="2">
        <v>2.4577426855099702</v>
      </c>
      <c r="Z1355" s="2">
        <v>4.5725527777777799</v>
      </c>
      <c r="AA1355" s="2">
        <v>-74.083813888888898</v>
      </c>
      <c r="AB1355" s="2">
        <v>2688</v>
      </c>
      <c r="AC1355" s="2" t="s">
        <v>31</v>
      </c>
      <c r="AD1355" s="2" t="s">
        <v>58</v>
      </c>
      <c r="AE1355" s="2" t="s">
        <v>33</v>
      </c>
      <c r="AF1355" s="2" t="s">
        <v>34</v>
      </c>
      <c r="AG1355" s="2" t="s">
        <v>938</v>
      </c>
      <c r="AH1355" s="2">
        <v>0.246620465295666</v>
      </c>
      <c r="AI1355" s="2">
        <v>3.3111137245903302</v>
      </c>
      <c r="AJ1355" s="2">
        <v>0.72585916317519805</v>
      </c>
      <c r="AK1355" s="2">
        <v>4.5436673017484899E-2</v>
      </c>
      <c r="AL1355" s="2">
        <v>0.53639878925059103</v>
      </c>
      <c r="AM1355" s="2">
        <v>14.7</v>
      </c>
      <c r="AN1355" s="2">
        <v>6.8</v>
      </c>
      <c r="AO1355" s="2">
        <v>17.3</v>
      </c>
      <c r="AP1355" s="2">
        <v>564</v>
      </c>
      <c r="AQ1355" s="2">
        <v>68</v>
      </c>
      <c r="AR1355" s="2">
        <v>1.3</v>
      </c>
      <c r="AS1355" s="2">
        <v>118</v>
      </c>
      <c r="AT1355" s="2">
        <v>25.2</v>
      </c>
      <c r="AU1355" s="2">
        <v>123</v>
      </c>
      <c r="AV1355" s="2">
        <v>7</v>
      </c>
      <c r="AW1355" s="2">
        <v>5.0999999999999996</v>
      </c>
      <c r="AX1355" s="2">
        <v>12.1</v>
      </c>
      <c r="AY1355" s="2">
        <v>0.32</v>
      </c>
      <c r="AZ1355" s="2">
        <v>9.8000000000000007</v>
      </c>
      <c r="BA1355" s="2">
        <v>1</v>
      </c>
      <c r="BB1355" s="2">
        <v>8.1</v>
      </c>
      <c r="BC1355" s="2">
        <v>1.3</v>
      </c>
      <c r="BD1355" s="2">
        <f>+AN1355*EXP(-0.0495*Y1355)</f>
        <v>6.021066175771808</v>
      </c>
      <c r="BE1355" s="2">
        <f>+AO1355*EXP(-0.024*Y1355)</f>
        <v>16.309058294614001</v>
      </c>
    </row>
    <row r="1356" spans="1:57" x14ac:dyDescent="0.2">
      <c r="A1356" s="2" t="s">
        <v>2392</v>
      </c>
      <c r="B1356" s="2" t="s">
        <v>19</v>
      </c>
      <c r="C1356" s="2" t="s">
        <v>1907</v>
      </c>
      <c r="D1356" s="2" t="s">
        <v>21</v>
      </c>
      <c r="E1356" s="2" t="s">
        <v>59</v>
      </c>
      <c r="F1356" s="2">
        <v>6</v>
      </c>
      <c r="G1356" s="2">
        <v>600</v>
      </c>
      <c r="H1356" s="2">
        <v>5</v>
      </c>
      <c r="I1356" s="2">
        <v>5</v>
      </c>
      <c r="J1356" s="2">
        <v>4</v>
      </c>
      <c r="K1356" s="2" t="s">
        <v>61</v>
      </c>
      <c r="L1356" s="6" t="s">
        <v>75</v>
      </c>
      <c r="M1356" s="5">
        <v>2700000000</v>
      </c>
      <c r="N1356" s="2">
        <v>0</v>
      </c>
      <c r="O1356" s="2">
        <v>4.6927659970000004</v>
      </c>
      <c r="P1356" s="2">
        <v>-74.033305209999995</v>
      </c>
      <c r="Q1356" s="2" t="s">
        <v>2393</v>
      </c>
      <c r="R1356" s="2">
        <v>4500000</v>
      </c>
      <c r="S1356" s="2">
        <v>0</v>
      </c>
      <c r="T1356" s="2" t="s">
        <v>55</v>
      </c>
      <c r="U1356" s="2" t="s">
        <v>56</v>
      </c>
      <c r="V1356" s="2" t="s">
        <v>28</v>
      </c>
      <c r="W1356" s="2" t="s">
        <v>55</v>
      </c>
      <c r="X1356" s="2" t="s">
        <v>57</v>
      </c>
      <c r="Y1356" s="2">
        <v>1.98350213297867</v>
      </c>
      <c r="Z1356" s="2">
        <v>4.71035</v>
      </c>
      <c r="AA1356" s="2">
        <v>-74.030416666666696</v>
      </c>
      <c r="AB1356" s="2">
        <v>2570</v>
      </c>
      <c r="AC1356" s="2" t="s">
        <v>31</v>
      </c>
      <c r="AD1356" s="2" t="s">
        <v>58</v>
      </c>
      <c r="AE1356" s="2" t="s">
        <v>33</v>
      </c>
      <c r="AF1356" s="2" t="s">
        <v>34</v>
      </c>
      <c r="AG1356" s="2" t="s">
        <v>59</v>
      </c>
      <c r="AH1356" s="2">
        <v>2.5106164066644299</v>
      </c>
      <c r="AI1356" s="2">
        <v>0.74573091997506102</v>
      </c>
      <c r="AJ1356" s="2">
        <v>0.440366830393352</v>
      </c>
      <c r="AK1356" s="2">
        <v>9.3531879565894094E-2</v>
      </c>
      <c r="AL1356" s="2">
        <v>0.44491302343466799</v>
      </c>
      <c r="AM1356" s="2">
        <v>15.5</v>
      </c>
      <c r="AN1356" s="2">
        <v>2.4</v>
      </c>
      <c r="AO1356" s="2">
        <v>10.9</v>
      </c>
      <c r="AP1356" s="2">
        <v>564</v>
      </c>
      <c r="AQ1356" s="2">
        <v>68</v>
      </c>
      <c r="AR1356" s="2">
        <v>1.5</v>
      </c>
      <c r="AS1356" s="2">
        <v>135</v>
      </c>
      <c r="AT1356" s="2">
        <v>0</v>
      </c>
      <c r="AU1356" s="2">
        <v>162</v>
      </c>
      <c r="AV1356" s="2">
        <v>9.1</v>
      </c>
      <c r="AW1356" s="2">
        <v>9.1999999999999993</v>
      </c>
      <c r="AX1356" s="2">
        <v>18.3</v>
      </c>
      <c r="AY1356" s="2">
        <v>0.34</v>
      </c>
      <c r="AZ1356" s="2">
        <v>7.3</v>
      </c>
      <c r="BA1356" s="2">
        <v>0.9</v>
      </c>
      <c r="BB1356" s="2">
        <v>7.5</v>
      </c>
      <c r="BC1356" s="2">
        <v>2.9</v>
      </c>
      <c r="BD1356" s="2">
        <f>+AN1356*EXP(-0.0495*Y1356)</f>
        <v>2.1755584316534549</v>
      </c>
      <c r="BE1356" s="2">
        <f>+AO1356*EXP(-0.024*Y1356)</f>
        <v>10.393272668476895</v>
      </c>
    </row>
    <row r="1357" spans="1:57" x14ac:dyDescent="0.2">
      <c r="A1357" s="2" t="s">
        <v>2132</v>
      </c>
      <c r="B1357" s="2" t="s">
        <v>19</v>
      </c>
      <c r="C1357" s="2" t="s">
        <v>1907</v>
      </c>
      <c r="D1357" s="2" t="s">
        <v>21</v>
      </c>
      <c r="E1357" s="2" t="s">
        <v>53</v>
      </c>
      <c r="F1357" s="2">
        <v>6</v>
      </c>
      <c r="G1357" s="2">
        <v>600</v>
      </c>
      <c r="H1357" s="2">
        <v>5</v>
      </c>
      <c r="I1357" s="2">
        <v>5</v>
      </c>
      <c r="J1357" s="2">
        <v>3</v>
      </c>
      <c r="K1357" s="2" t="s">
        <v>61</v>
      </c>
      <c r="L1357" s="6" t="s">
        <v>113</v>
      </c>
      <c r="M1357" s="5">
        <v>4000000000</v>
      </c>
      <c r="N1357" s="2">
        <v>0</v>
      </c>
      <c r="O1357" s="2">
        <v>4.6999239560000001</v>
      </c>
      <c r="P1357" s="2">
        <v>-74.040776589999993</v>
      </c>
      <c r="Q1357" s="2" t="s">
        <v>2133</v>
      </c>
      <c r="R1357" s="2">
        <v>6666666.6670000004</v>
      </c>
      <c r="S1357" s="2">
        <v>0</v>
      </c>
      <c r="T1357" s="2" t="s">
        <v>55</v>
      </c>
      <c r="U1357" s="2" t="s">
        <v>56</v>
      </c>
      <c r="V1357" s="2" t="s">
        <v>28</v>
      </c>
      <c r="W1357" s="2" t="s">
        <v>55</v>
      </c>
      <c r="X1357" s="2" t="s">
        <v>57</v>
      </c>
      <c r="Y1357" s="2">
        <v>1.6334337965344501</v>
      </c>
      <c r="Z1357" s="2">
        <v>4.71035</v>
      </c>
      <c r="AA1357" s="2">
        <v>-74.030416666666696</v>
      </c>
      <c r="AB1357" s="2">
        <v>2570</v>
      </c>
      <c r="AC1357" s="2" t="s">
        <v>31</v>
      </c>
      <c r="AD1357" s="2" t="s">
        <v>58</v>
      </c>
      <c r="AE1357" s="2" t="s">
        <v>33</v>
      </c>
      <c r="AF1357" s="2" t="s">
        <v>34</v>
      </c>
      <c r="AG1357" s="2" t="s">
        <v>59</v>
      </c>
      <c r="AH1357" s="2">
        <v>1.57958184745623</v>
      </c>
      <c r="AI1357" s="2">
        <v>1.6555632076105</v>
      </c>
      <c r="AJ1357" s="2">
        <v>0.93472143551390197</v>
      </c>
      <c r="AK1357" s="2">
        <v>1.5189608539149999E-2</v>
      </c>
      <c r="AL1357" s="2">
        <v>0.1093653024449</v>
      </c>
      <c r="AM1357" s="2">
        <v>15.5</v>
      </c>
      <c r="AN1357" s="2">
        <v>2.4</v>
      </c>
      <c r="AO1357" s="2">
        <v>10.9</v>
      </c>
      <c r="AP1357" s="2">
        <v>564</v>
      </c>
      <c r="AQ1357" s="2">
        <v>68</v>
      </c>
      <c r="AR1357" s="2">
        <v>1.5</v>
      </c>
      <c r="AS1357" s="2">
        <v>135</v>
      </c>
      <c r="AT1357" s="2">
        <v>0</v>
      </c>
      <c r="AU1357" s="2">
        <v>162</v>
      </c>
      <c r="AV1357" s="2">
        <v>9.1</v>
      </c>
      <c r="AW1357" s="2">
        <v>9.1999999999999993</v>
      </c>
      <c r="AX1357" s="2">
        <v>18.3</v>
      </c>
      <c r="AY1357" s="2">
        <v>0.34</v>
      </c>
      <c r="AZ1357" s="2">
        <v>7.3</v>
      </c>
      <c r="BA1357" s="2">
        <v>0.9</v>
      </c>
      <c r="BB1357" s="2">
        <v>7.5</v>
      </c>
      <c r="BC1357" s="2">
        <v>2.9</v>
      </c>
      <c r="BD1357" s="2">
        <f>+AN1357*EXP(-0.0495*Y1357)</f>
        <v>2.2135858660649412</v>
      </c>
      <c r="BE1357" s="2">
        <f>+AO1357*EXP(-0.024*Y1357)</f>
        <v>10.480961051945117</v>
      </c>
    </row>
    <row r="1358" spans="1:57" x14ac:dyDescent="0.2">
      <c r="A1358" s="2" t="s">
        <v>3106</v>
      </c>
      <c r="B1358" s="2" t="s">
        <v>19</v>
      </c>
      <c r="C1358" s="2" t="s">
        <v>1907</v>
      </c>
      <c r="D1358" s="2" t="s">
        <v>21</v>
      </c>
      <c r="E1358" s="2" t="s">
        <v>295</v>
      </c>
      <c r="F1358" s="2">
        <v>5</v>
      </c>
      <c r="G1358" s="2">
        <v>556.25</v>
      </c>
      <c r="H1358" s="2">
        <v>4</v>
      </c>
      <c r="I1358" s="2">
        <v>4</v>
      </c>
      <c r="J1358" s="2">
        <v>4</v>
      </c>
      <c r="K1358" s="2" t="s">
        <v>61</v>
      </c>
      <c r="L1358" s="6" t="s">
        <v>75</v>
      </c>
      <c r="M1358" s="5">
        <v>3000000000</v>
      </c>
      <c r="N1358" s="2">
        <v>0</v>
      </c>
      <c r="O1358" s="2">
        <v>4.7015000000000002</v>
      </c>
      <c r="P1358" s="2">
        <v>-74.05941</v>
      </c>
      <c r="Q1358" s="2" t="s">
        <v>3107</v>
      </c>
      <c r="R1358" s="2">
        <v>5393258.4270000001</v>
      </c>
      <c r="S1358" s="2">
        <v>0</v>
      </c>
      <c r="T1358" s="2" t="s">
        <v>55</v>
      </c>
      <c r="U1358" s="2" t="s">
        <v>56</v>
      </c>
      <c r="V1358" s="2" t="s">
        <v>28</v>
      </c>
      <c r="W1358" s="2" t="s">
        <v>55</v>
      </c>
      <c r="X1358" s="2" t="s">
        <v>57</v>
      </c>
      <c r="Y1358" s="2">
        <v>3.3641292696896699</v>
      </c>
      <c r="Z1358" s="2">
        <v>4.71035</v>
      </c>
      <c r="AA1358" s="2">
        <v>-74.030416666666696</v>
      </c>
      <c r="AB1358" s="2">
        <v>2570</v>
      </c>
      <c r="AC1358" s="2" t="s">
        <v>31</v>
      </c>
      <c r="AD1358" s="2" t="s">
        <v>58</v>
      </c>
      <c r="AE1358" s="2" t="s">
        <v>33</v>
      </c>
      <c r="AF1358" s="2" t="s">
        <v>34</v>
      </c>
      <c r="AG1358" s="2" t="s">
        <v>72</v>
      </c>
      <c r="AH1358" s="2">
        <v>0.587995178415188</v>
      </c>
      <c r="AI1358" s="2">
        <v>3.6069430039963501</v>
      </c>
      <c r="AJ1358" s="2">
        <v>1.2017667715284699</v>
      </c>
      <c r="AK1358" s="2">
        <v>6.0796814668973E-2</v>
      </c>
      <c r="AL1358" s="2">
        <v>2.14438808091982E-2</v>
      </c>
      <c r="AM1358" s="2">
        <v>15.5</v>
      </c>
      <c r="AN1358" s="2">
        <v>2.4</v>
      </c>
      <c r="AO1358" s="2">
        <v>10.9</v>
      </c>
      <c r="AP1358" s="2">
        <v>564</v>
      </c>
      <c r="AQ1358" s="2">
        <v>68</v>
      </c>
      <c r="AR1358" s="2">
        <v>1.5</v>
      </c>
      <c r="AS1358" s="2">
        <v>135</v>
      </c>
      <c r="AT1358" s="2">
        <v>0</v>
      </c>
      <c r="AU1358" s="2">
        <v>162</v>
      </c>
      <c r="AV1358" s="2">
        <v>9.1</v>
      </c>
      <c r="AW1358" s="2">
        <v>9.1999999999999993</v>
      </c>
      <c r="AX1358" s="2">
        <v>18.3</v>
      </c>
      <c r="AY1358" s="2">
        <v>0.34</v>
      </c>
      <c r="AZ1358" s="2">
        <v>7.3</v>
      </c>
      <c r="BA1358" s="2">
        <v>0.9</v>
      </c>
      <c r="BB1358" s="2">
        <v>7.5</v>
      </c>
      <c r="BC1358" s="2">
        <v>2.9</v>
      </c>
      <c r="BD1358" s="2">
        <f>+AN1358*EXP(-0.0495*Y1358)</f>
        <v>2.0318451853551012</v>
      </c>
      <c r="BE1358" s="2">
        <f>+AO1358*EXP(-0.024*Y1358)</f>
        <v>10.054534097668109</v>
      </c>
    </row>
    <row r="1359" spans="1:57" x14ac:dyDescent="0.2">
      <c r="A1359" s="2" t="s">
        <v>2728</v>
      </c>
      <c r="B1359" s="2" t="s">
        <v>19</v>
      </c>
      <c r="C1359" s="2" t="s">
        <v>1907</v>
      </c>
      <c r="D1359" s="2" t="s">
        <v>21</v>
      </c>
      <c r="E1359" s="2" t="s">
        <v>295</v>
      </c>
      <c r="F1359" s="2">
        <v>5</v>
      </c>
      <c r="G1359" s="2">
        <v>550</v>
      </c>
      <c r="H1359" s="2">
        <v>5</v>
      </c>
      <c r="I1359" s="2">
        <v>5</v>
      </c>
      <c r="J1359" s="2">
        <v>3</v>
      </c>
      <c r="K1359" s="2" t="s">
        <v>61</v>
      </c>
      <c r="L1359" s="6" t="s">
        <v>62</v>
      </c>
      <c r="M1359" s="5">
        <v>1700000000</v>
      </c>
      <c r="N1359" s="2">
        <v>0</v>
      </c>
      <c r="O1359" s="2">
        <v>4.702</v>
      </c>
      <c r="P1359" s="2">
        <v>-74.057000000000002</v>
      </c>
      <c r="Q1359" s="2" t="s">
        <v>2729</v>
      </c>
      <c r="R1359" s="2">
        <v>3090909.091</v>
      </c>
      <c r="S1359" s="2">
        <v>0</v>
      </c>
      <c r="T1359" s="2" t="s">
        <v>55</v>
      </c>
      <c r="U1359" s="2" t="s">
        <v>56</v>
      </c>
      <c r="V1359" s="2" t="s">
        <v>28</v>
      </c>
      <c r="W1359" s="2" t="s">
        <v>55</v>
      </c>
      <c r="X1359" s="2" t="s">
        <v>57</v>
      </c>
      <c r="Y1359" s="2">
        <v>3.09227655457941</v>
      </c>
      <c r="Z1359" s="2">
        <v>4.71035</v>
      </c>
      <c r="AA1359" s="2">
        <v>-74.030416666666696</v>
      </c>
      <c r="AB1359" s="2">
        <v>2570</v>
      </c>
      <c r="AC1359" s="2" t="s">
        <v>31</v>
      </c>
      <c r="AD1359" s="2" t="s">
        <v>58</v>
      </c>
      <c r="AE1359" s="2" t="s">
        <v>33</v>
      </c>
      <c r="AF1359" s="2" t="s">
        <v>34</v>
      </c>
      <c r="AG1359" s="2" t="s">
        <v>72</v>
      </c>
      <c r="AH1359" s="2">
        <v>0.42397409488945198</v>
      </c>
      <c r="AI1359" s="2">
        <v>3.4609608905310698</v>
      </c>
      <c r="AJ1359" s="2">
        <v>1.2466723864560301</v>
      </c>
      <c r="AK1359" s="2">
        <v>0.113616746840524</v>
      </c>
      <c r="AL1359" s="2">
        <v>0.14321875678533</v>
      </c>
      <c r="AM1359" s="2">
        <v>15.5</v>
      </c>
      <c r="AN1359" s="2">
        <v>2.4</v>
      </c>
      <c r="AO1359" s="2">
        <v>10.9</v>
      </c>
      <c r="AP1359" s="2">
        <v>564</v>
      </c>
      <c r="AQ1359" s="2">
        <v>68</v>
      </c>
      <c r="AR1359" s="2">
        <v>1.5</v>
      </c>
      <c r="AS1359" s="2">
        <v>135</v>
      </c>
      <c r="AT1359" s="2">
        <v>0</v>
      </c>
      <c r="AU1359" s="2">
        <v>162</v>
      </c>
      <c r="AV1359" s="2">
        <v>9.1</v>
      </c>
      <c r="AW1359" s="2">
        <v>9.1999999999999993</v>
      </c>
      <c r="AX1359" s="2">
        <v>18.3</v>
      </c>
      <c r="AY1359" s="2">
        <v>0.34</v>
      </c>
      <c r="AZ1359" s="2">
        <v>7.3</v>
      </c>
      <c r="BA1359" s="2">
        <v>0.9</v>
      </c>
      <c r="BB1359" s="2">
        <v>7.5</v>
      </c>
      <c r="BC1359" s="2">
        <v>2.9</v>
      </c>
      <c r="BD1359" s="2">
        <f>+AN1359*EXP(-0.0495*Y1359)</f>
        <v>2.0593719298726199</v>
      </c>
      <c r="BE1359" s="2">
        <f>+AO1359*EXP(-0.024*Y1359)</f>
        <v>10.120349025245201</v>
      </c>
    </row>
    <row r="1360" spans="1:57" x14ac:dyDescent="0.2">
      <c r="A1360" s="2" t="s">
        <v>837</v>
      </c>
      <c r="B1360" s="2" t="s">
        <v>19</v>
      </c>
      <c r="C1360" s="2" t="s">
        <v>20</v>
      </c>
      <c r="D1360" s="2" t="s">
        <v>21</v>
      </c>
      <c r="E1360" s="2" t="s">
        <v>699</v>
      </c>
      <c r="F1360" s="2">
        <v>6</v>
      </c>
      <c r="G1360" s="2">
        <v>518</v>
      </c>
      <c r="H1360" s="2">
        <v>5</v>
      </c>
      <c r="I1360" s="2">
        <v>5</v>
      </c>
      <c r="J1360" s="2">
        <v>4</v>
      </c>
      <c r="K1360" s="2" t="s">
        <v>61</v>
      </c>
      <c r="L1360" s="6" t="s">
        <v>113</v>
      </c>
      <c r="M1360" s="5">
        <v>3200000000</v>
      </c>
      <c r="N1360" s="2">
        <v>0</v>
      </c>
      <c r="O1360" s="2">
        <v>4.6929454780000004</v>
      </c>
      <c r="P1360" s="2">
        <v>-74.04146326</v>
      </c>
      <c r="Q1360" s="2" t="s">
        <v>838</v>
      </c>
      <c r="R1360" s="2">
        <v>6177606.1780000003</v>
      </c>
      <c r="S1360" s="2">
        <v>0</v>
      </c>
      <c r="T1360" s="2" t="s">
        <v>55</v>
      </c>
      <c r="U1360" s="2" t="s">
        <v>56</v>
      </c>
      <c r="V1360" s="2" t="s">
        <v>28</v>
      </c>
      <c r="W1360" s="2" t="s">
        <v>55</v>
      </c>
      <c r="X1360" s="2" t="s">
        <v>57</v>
      </c>
      <c r="Y1360" s="2">
        <v>2.2925458073395899</v>
      </c>
      <c r="Z1360" s="2">
        <v>4.71035</v>
      </c>
      <c r="AA1360" s="2">
        <v>-74.030416666666696</v>
      </c>
      <c r="AB1360" s="2">
        <v>2570</v>
      </c>
      <c r="AC1360" s="2" t="s">
        <v>31</v>
      </c>
      <c r="AD1360" s="2" t="s">
        <v>58</v>
      </c>
      <c r="AE1360" s="2" t="s">
        <v>33</v>
      </c>
      <c r="AF1360" s="2" t="s">
        <v>34</v>
      </c>
      <c r="AG1360" s="2" t="s">
        <v>59</v>
      </c>
      <c r="AH1360" s="2">
        <v>1.6320462915839899</v>
      </c>
      <c r="AI1360" s="2">
        <v>1.6439204965659899</v>
      </c>
      <c r="AJ1360" s="2">
        <v>0.93077043858701702</v>
      </c>
      <c r="AK1360" s="2">
        <v>0.27881923417531501</v>
      </c>
      <c r="AL1360" s="2">
        <v>0.34814648183115898</v>
      </c>
      <c r="AM1360" s="2">
        <v>15.5</v>
      </c>
      <c r="AN1360" s="2">
        <v>2.4</v>
      </c>
      <c r="AO1360" s="2">
        <v>10.9</v>
      </c>
      <c r="AP1360" s="2">
        <v>564</v>
      </c>
      <c r="AQ1360" s="2">
        <v>68</v>
      </c>
      <c r="AR1360" s="2">
        <v>1.5</v>
      </c>
      <c r="AS1360" s="2">
        <v>135</v>
      </c>
      <c r="AT1360" s="2">
        <v>0</v>
      </c>
      <c r="AU1360" s="2">
        <v>162</v>
      </c>
      <c r="AV1360" s="2">
        <v>9.1</v>
      </c>
      <c r="AW1360" s="2">
        <v>9.1999999999999993</v>
      </c>
      <c r="AX1360" s="2">
        <v>18.3</v>
      </c>
      <c r="AY1360" s="2">
        <v>0.34</v>
      </c>
      <c r="AZ1360" s="2">
        <v>7.3</v>
      </c>
      <c r="BA1360" s="2">
        <v>0.9</v>
      </c>
      <c r="BB1360" s="2">
        <v>7.5</v>
      </c>
      <c r="BC1360" s="2">
        <v>2.9</v>
      </c>
      <c r="BD1360" s="2">
        <f>+AN1360*EXP(-0.0495*Y1360)</f>
        <v>2.1425307416692441</v>
      </c>
      <c r="BE1360" s="2">
        <f>+AO1360*EXP(-0.024*Y1360)</f>
        <v>10.316470439306254</v>
      </c>
    </row>
    <row r="1361" spans="1:57" x14ac:dyDescent="0.2">
      <c r="A1361" s="2" t="s">
        <v>947</v>
      </c>
      <c r="B1361" s="2" t="s">
        <v>19</v>
      </c>
      <c r="C1361" s="2" t="s">
        <v>20</v>
      </c>
      <c r="D1361" s="2" t="s">
        <v>21</v>
      </c>
      <c r="E1361" s="2" t="s">
        <v>419</v>
      </c>
      <c r="F1361" s="2">
        <v>6</v>
      </c>
      <c r="G1361" s="2">
        <v>500</v>
      </c>
      <c r="H1361" s="2">
        <v>4</v>
      </c>
      <c r="I1361" s="2">
        <v>5</v>
      </c>
      <c r="J1361" s="2">
        <v>4</v>
      </c>
      <c r="K1361" s="2" t="s">
        <v>61</v>
      </c>
      <c r="L1361" s="6" t="s">
        <v>84</v>
      </c>
      <c r="M1361" s="5">
        <v>3500000000</v>
      </c>
      <c r="N1361" s="2">
        <v>0</v>
      </c>
      <c r="O1361" s="2">
        <v>4.689905167</v>
      </c>
      <c r="P1361" s="2">
        <v>-74.048332209999998</v>
      </c>
      <c r="Q1361" s="2" t="s">
        <v>948</v>
      </c>
      <c r="R1361" s="2">
        <v>7000000</v>
      </c>
      <c r="S1361" s="2">
        <v>0</v>
      </c>
      <c r="T1361" s="2" t="s">
        <v>55</v>
      </c>
      <c r="U1361" s="2" t="s">
        <v>56</v>
      </c>
      <c r="V1361" s="2" t="s">
        <v>28</v>
      </c>
      <c r="W1361" s="2" t="s">
        <v>55</v>
      </c>
      <c r="X1361" s="2" t="s">
        <v>57</v>
      </c>
      <c r="Y1361" s="2">
        <v>3.0216687431307099</v>
      </c>
      <c r="Z1361" s="2">
        <v>4.71035</v>
      </c>
      <c r="AA1361" s="2">
        <v>-74.030416666666696</v>
      </c>
      <c r="AB1361" s="2">
        <v>2570</v>
      </c>
      <c r="AC1361" s="2" t="s">
        <v>31</v>
      </c>
      <c r="AD1361" s="2" t="s">
        <v>58</v>
      </c>
      <c r="AE1361" s="2" t="s">
        <v>33</v>
      </c>
      <c r="AF1361" s="2" t="s">
        <v>34</v>
      </c>
      <c r="AG1361" s="2" t="s">
        <v>59</v>
      </c>
      <c r="AH1361" s="2">
        <v>0.93450628892023602</v>
      </c>
      <c r="AI1361" s="2">
        <v>1.8341055739074199</v>
      </c>
      <c r="AJ1361" s="2">
        <v>0.335035110802122</v>
      </c>
      <c r="AK1361" s="2">
        <v>0.17351961802684801</v>
      </c>
      <c r="AL1361" s="2">
        <v>0.16916018828488899</v>
      </c>
      <c r="AM1361" s="2">
        <v>15.5</v>
      </c>
      <c r="AN1361" s="2">
        <v>2.4</v>
      </c>
      <c r="AO1361" s="2">
        <v>10.9</v>
      </c>
      <c r="AP1361" s="2">
        <v>564</v>
      </c>
      <c r="AQ1361" s="2">
        <v>68</v>
      </c>
      <c r="AR1361" s="2">
        <v>1.5</v>
      </c>
      <c r="AS1361" s="2">
        <v>135</v>
      </c>
      <c r="AT1361" s="2">
        <v>0</v>
      </c>
      <c r="AU1361" s="2">
        <v>162</v>
      </c>
      <c r="AV1361" s="2">
        <v>9.1</v>
      </c>
      <c r="AW1361" s="2">
        <v>9.1999999999999993</v>
      </c>
      <c r="AX1361" s="2">
        <v>18.3</v>
      </c>
      <c r="AY1361" s="2">
        <v>0.34</v>
      </c>
      <c r="AZ1361" s="2">
        <v>7.3</v>
      </c>
      <c r="BA1361" s="2">
        <v>0.9</v>
      </c>
      <c r="BB1361" s="2">
        <v>7.5</v>
      </c>
      <c r="BC1361" s="2">
        <v>2.9</v>
      </c>
      <c r="BD1361" s="2">
        <f>+AN1361*EXP(-0.0495*Y1361)</f>
        <v>2.0665822061769652</v>
      </c>
      <c r="BE1361" s="2">
        <f>+AO1361*EXP(-0.024*Y1361)</f>
        <v>10.137513381087413</v>
      </c>
    </row>
    <row r="1362" spans="1:57" x14ac:dyDescent="0.2">
      <c r="A1362" s="2" t="s">
        <v>2516</v>
      </c>
      <c r="B1362" s="2" t="s">
        <v>19</v>
      </c>
      <c r="C1362" s="2" t="s">
        <v>1907</v>
      </c>
      <c r="D1362" s="2" t="s">
        <v>21</v>
      </c>
      <c r="E1362" s="2" t="s">
        <v>223</v>
      </c>
      <c r="F1362" s="2">
        <v>6</v>
      </c>
      <c r="G1362" s="2">
        <v>500</v>
      </c>
      <c r="H1362" s="2">
        <v>4</v>
      </c>
      <c r="I1362" s="2">
        <v>5</v>
      </c>
      <c r="J1362" s="2">
        <v>4</v>
      </c>
      <c r="K1362" s="2" t="s">
        <v>61</v>
      </c>
      <c r="L1362" s="6" t="s">
        <v>113</v>
      </c>
      <c r="M1362" s="5">
        <v>3800000000</v>
      </c>
      <c r="N1362" s="2">
        <v>30000000</v>
      </c>
      <c r="O1362" s="2">
        <v>4.6873426199999999</v>
      </c>
      <c r="P1362" s="2">
        <v>-74.034070720000003</v>
      </c>
      <c r="Q1362" s="2" t="s">
        <v>2517</v>
      </c>
      <c r="R1362" s="2">
        <v>7600000</v>
      </c>
      <c r="S1362" s="2">
        <v>60000</v>
      </c>
      <c r="T1362" s="2" t="s">
        <v>55</v>
      </c>
      <c r="U1362" s="2" t="s">
        <v>56</v>
      </c>
      <c r="V1362" s="2" t="s">
        <v>28</v>
      </c>
      <c r="W1362" s="2" t="s">
        <v>55</v>
      </c>
      <c r="X1362" s="2" t="s">
        <v>57</v>
      </c>
      <c r="Y1362" s="2">
        <v>2.5930561542663702</v>
      </c>
      <c r="Z1362" s="2">
        <v>4.71035</v>
      </c>
      <c r="AA1362" s="2">
        <v>-74.030416666666696</v>
      </c>
      <c r="AB1362" s="2">
        <v>2570</v>
      </c>
      <c r="AC1362" s="2" t="s">
        <v>31</v>
      </c>
      <c r="AD1362" s="2" t="s">
        <v>58</v>
      </c>
      <c r="AE1362" s="2" t="s">
        <v>33</v>
      </c>
      <c r="AF1362" s="2" t="s">
        <v>34</v>
      </c>
      <c r="AG1362" s="2" t="s">
        <v>59</v>
      </c>
      <c r="AH1362" s="2">
        <v>2.52970848728746</v>
      </c>
      <c r="AI1362" s="2">
        <v>0.84161090733537502</v>
      </c>
      <c r="AJ1362" s="2">
        <v>0.749095171028764</v>
      </c>
      <c r="AK1362" s="2">
        <v>0.37835216612517197</v>
      </c>
      <c r="AL1362" s="2">
        <v>0.30810608242008802</v>
      </c>
      <c r="AM1362" s="2">
        <v>15.5</v>
      </c>
      <c r="AN1362" s="2">
        <v>2.4</v>
      </c>
      <c r="AO1362" s="2">
        <v>10.9</v>
      </c>
      <c r="AP1362" s="2">
        <v>564</v>
      </c>
      <c r="AQ1362" s="2">
        <v>68</v>
      </c>
      <c r="AR1362" s="2">
        <v>1.5</v>
      </c>
      <c r="AS1362" s="2">
        <v>135</v>
      </c>
      <c r="AT1362" s="2">
        <v>0</v>
      </c>
      <c r="AU1362" s="2">
        <v>162</v>
      </c>
      <c r="AV1362" s="2">
        <v>9.1</v>
      </c>
      <c r="AW1362" s="2">
        <v>9.1999999999999993</v>
      </c>
      <c r="AX1362" s="2">
        <v>18.3</v>
      </c>
      <c r="AY1362" s="2">
        <v>0.34</v>
      </c>
      <c r="AZ1362" s="2">
        <v>7.3</v>
      </c>
      <c r="BA1362" s="2">
        <v>0.9</v>
      </c>
      <c r="BB1362" s="2">
        <v>7.5</v>
      </c>
      <c r="BC1362" s="2">
        <v>2.9</v>
      </c>
      <c r="BD1362" s="2">
        <f>+AN1362*EXP(-0.0495*Y1362)</f>
        <v>2.1108959067320825</v>
      </c>
      <c r="BE1362" s="2">
        <f>+AO1362*EXP(-0.024*Y1362)</f>
        <v>10.242333162237218</v>
      </c>
    </row>
    <row r="1363" spans="1:57" x14ac:dyDescent="0.2">
      <c r="A1363" s="2" t="s">
        <v>3202</v>
      </c>
      <c r="B1363" s="2" t="s">
        <v>19</v>
      </c>
      <c r="C1363" s="2" t="s">
        <v>1907</v>
      </c>
      <c r="D1363" s="2" t="s">
        <v>21</v>
      </c>
      <c r="E1363" s="2" t="s">
        <v>513</v>
      </c>
      <c r="F1363" s="2">
        <v>6</v>
      </c>
      <c r="G1363" s="2">
        <v>496</v>
      </c>
      <c r="H1363" s="2">
        <v>4</v>
      </c>
      <c r="I1363" s="2">
        <v>4</v>
      </c>
      <c r="J1363" s="2">
        <v>4</v>
      </c>
      <c r="K1363" s="2" t="s">
        <v>61</v>
      </c>
      <c r="L1363" s="6" t="s">
        <v>113</v>
      </c>
      <c r="M1363" s="5">
        <v>4000000000</v>
      </c>
      <c r="N1363" s="2">
        <v>0</v>
      </c>
      <c r="O1363" s="2">
        <v>4.690387726</v>
      </c>
      <c r="P1363" s="2">
        <v>-74.030044559999993</v>
      </c>
      <c r="Q1363" s="2" t="s">
        <v>3203</v>
      </c>
      <c r="R1363" s="2">
        <v>8064516.1289999997</v>
      </c>
      <c r="S1363" s="2">
        <v>0</v>
      </c>
      <c r="T1363" s="2" t="s">
        <v>55</v>
      </c>
      <c r="U1363" s="2" t="s">
        <v>56</v>
      </c>
      <c r="V1363" s="2" t="s">
        <v>28</v>
      </c>
      <c r="W1363" s="2" t="s">
        <v>55</v>
      </c>
      <c r="X1363" s="2" t="s">
        <v>57</v>
      </c>
      <c r="Y1363" s="2">
        <v>2.2225736212645102</v>
      </c>
      <c r="Z1363" s="2">
        <v>4.71035</v>
      </c>
      <c r="AA1363" s="2">
        <v>-74.030416666666696</v>
      </c>
      <c r="AB1363" s="2">
        <v>2570</v>
      </c>
      <c r="AC1363" s="2" t="s">
        <v>31</v>
      </c>
      <c r="AD1363" s="2" t="s">
        <v>58</v>
      </c>
      <c r="AE1363" s="2" t="s">
        <v>33</v>
      </c>
      <c r="AF1363" s="2" t="s">
        <v>34</v>
      </c>
      <c r="AG1363" s="2" t="s">
        <v>59</v>
      </c>
      <c r="AH1363" s="2">
        <v>2.9122832508346699</v>
      </c>
      <c r="AI1363" s="2">
        <v>0.38143562588220897</v>
      </c>
      <c r="AJ1363" s="2">
        <v>0.45121698255704801</v>
      </c>
      <c r="AK1363" s="2">
        <v>0.28057465504944401</v>
      </c>
      <c r="AL1363" s="2">
        <v>0.80671417061018502</v>
      </c>
      <c r="AM1363" s="2">
        <v>15.5</v>
      </c>
      <c r="AN1363" s="2">
        <v>2.4</v>
      </c>
      <c r="AO1363" s="2">
        <v>10.9</v>
      </c>
      <c r="AP1363" s="2">
        <v>564</v>
      </c>
      <c r="AQ1363" s="2">
        <v>68</v>
      </c>
      <c r="AR1363" s="2">
        <v>1.5</v>
      </c>
      <c r="AS1363" s="2">
        <v>135</v>
      </c>
      <c r="AT1363" s="2">
        <v>0</v>
      </c>
      <c r="AU1363" s="2">
        <v>162</v>
      </c>
      <c r="AV1363" s="2">
        <v>9.1</v>
      </c>
      <c r="AW1363" s="2">
        <v>9.1999999999999993</v>
      </c>
      <c r="AX1363" s="2">
        <v>18.3</v>
      </c>
      <c r="AY1363" s="2">
        <v>0.34</v>
      </c>
      <c r="AZ1363" s="2">
        <v>7.3</v>
      </c>
      <c r="BA1363" s="2">
        <v>0.9</v>
      </c>
      <c r="BB1363" s="2">
        <v>7.5</v>
      </c>
      <c r="BC1363" s="2">
        <v>2.9</v>
      </c>
      <c r="BD1363" s="2">
        <f>+AN1363*EXP(-0.0495*Y1363)</f>
        <v>2.1499645273603636</v>
      </c>
      <c r="BE1363" s="2">
        <f>+AO1363*EXP(-0.024*Y1363)</f>
        <v>10.33380977822989</v>
      </c>
    </row>
    <row r="1364" spans="1:57" x14ac:dyDescent="0.2">
      <c r="A1364" s="2" t="s">
        <v>2031</v>
      </c>
      <c r="B1364" s="2" t="s">
        <v>19</v>
      </c>
      <c r="C1364" s="2" t="s">
        <v>1907</v>
      </c>
      <c r="D1364" s="2" t="s">
        <v>21</v>
      </c>
      <c r="E1364" s="2" t="s">
        <v>513</v>
      </c>
      <c r="F1364" s="2">
        <v>6</v>
      </c>
      <c r="G1364" s="2">
        <v>492</v>
      </c>
      <c r="H1364" s="2">
        <v>4</v>
      </c>
      <c r="I1364" s="2">
        <v>5</v>
      </c>
      <c r="J1364" s="2">
        <v>4</v>
      </c>
      <c r="K1364" s="2" t="s">
        <v>61</v>
      </c>
      <c r="L1364" s="6" t="s">
        <v>113</v>
      </c>
      <c r="M1364" s="5">
        <v>4000000000</v>
      </c>
      <c r="N1364" s="2">
        <v>0</v>
      </c>
      <c r="O1364" s="2">
        <v>4.690387726</v>
      </c>
      <c r="P1364" s="2">
        <v>-74.030044559999993</v>
      </c>
      <c r="Q1364" s="2" t="s">
        <v>2032</v>
      </c>
      <c r="R1364" s="2">
        <v>8130081.301</v>
      </c>
      <c r="S1364" s="2">
        <v>0</v>
      </c>
      <c r="T1364" s="2" t="s">
        <v>55</v>
      </c>
      <c r="U1364" s="2" t="s">
        <v>56</v>
      </c>
      <c r="V1364" s="2" t="s">
        <v>28</v>
      </c>
      <c r="W1364" s="2" t="s">
        <v>55</v>
      </c>
      <c r="X1364" s="2" t="s">
        <v>57</v>
      </c>
      <c r="Y1364" s="2">
        <v>2.2225736212645102</v>
      </c>
      <c r="Z1364" s="2">
        <v>4.71035</v>
      </c>
      <c r="AA1364" s="2">
        <v>-74.030416666666696</v>
      </c>
      <c r="AB1364" s="2">
        <v>2570</v>
      </c>
      <c r="AC1364" s="2" t="s">
        <v>31</v>
      </c>
      <c r="AD1364" s="2" t="s">
        <v>58</v>
      </c>
      <c r="AE1364" s="2" t="s">
        <v>33</v>
      </c>
      <c r="AF1364" s="2" t="s">
        <v>34</v>
      </c>
      <c r="AG1364" s="2" t="s">
        <v>59</v>
      </c>
      <c r="AH1364" s="2">
        <v>2.9122832508346699</v>
      </c>
      <c r="AI1364" s="2">
        <v>0.38143562588220897</v>
      </c>
      <c r="AJ1364" s="2">
        <v>0.45121698255704801</v>
      </c>
      <c r="AK1364" s="2">
        <v>0.28057465504944401</v>
      </c>
      <c r="AL1364" s="2">
        <v>0.80671417061018502</v>
      </c>
      <c r="AM1364" s="2">
        <v>15.5</v>
      </c>
      <c r="AN1364" s="2">
        <v>2.4</v>
      </c>
      <c r="AO1364" s="2">
        <v>10.9</v>
      </c>
      <c r="AP1364" s="2">
        <v>564</v>
      </c>
      <c r="AQ1364" s="2">
        <v>68</v>
      </c>
      <c r="AR1364" s="2">
        <v>1.5</v>
      </c>
      <c r="AS1364" s="2">
        <v>135</v>
      </c>
      <c r="AT1364" s="2">
        <v>0</v>
      </c>
      <c r="AU1364" s="2">
        <v>162</v>
      </c>
      <c r="AV1364" s="2">
        <v>9.1</v>
      </c>
      <c r="AW1364" s="2">
        <v>9.1999999999999993</v>
      </c>
      <c r="AX1364" s="2">
        <v>18.3</v>
      </c>
      <c r="AY1364" s="2">
        <v>0.34</v>
      </c>
      <c r="AZ1364" s="2">
        <v>7.3</v>
      </c>
      <c r="BA1364" s="2">
        <v>0.9</v>
      </c>
      <c r="BB1364" s="2">
        <v>7.5</v>
      </c>
      <c r="BC1364" s="2">
        <v>2.9</v>
      </c>
      <c r="BD1364" s="2">
        <f>+AN1364*EXP(-0.0495*Y1364)</f>
        <v>2.1499645273603636</v>
      </c>
      <c r="BE1364" s="2">
        <f>+AO1364*EXP(-0.024*Y1364)</f>
        <v>10.33380977822989</v>
      </c>
    </row>
    <row r="1365" spans="1:57" x14ac:dyDescent="0.2">
      <c r="A1365" s="2" t="s">
        <v>2708</v>
      </c>
      <c r="B1365" s="2" t="s">
        <v>19</v>
      </c>
      <c r="C1365" s="2" t="s">
        <v>1907</v>
      </c>
      <c r="D1365" s="2" t="s">
        <v>21</v>
      </c>
      <c r="E1365" s="2" t="s">
        <v>513</v>
      </c>
      <c r="F1365" s="2">
        <v>6</v>
      </c>
      <c r="G1365" s="2">
        <v>492</v>
      </c>
      <c r="H1365" s="2">
        <v>4</v>
      </c>
      <c r="I1365" s="2">
        <v>5</v>
      </c>
      <c r="J1365" s="2">
        <v>4</v>
      </c>
      <c r="K1365" s="2" t="s">
        <v>61</v>
      </c>
      <c r="L1365" s="6" t="s">
        <v>66</v>
      </c>
      <c r="M1365" s="5">
        <v>4000000000</v>
      </c>
      <c r="N1365" s="2">
        <v>0</v>
      </c>
      <c r="O1365" s="2">
        <v>4.6913261410000002</v>
      </c>
      <c r="P1365" s="2">
        <v>-74.030227659999994</v>
      </c>
      <c r="Q1365" s="2" t="s">
        <v>2709</v>
      </c>
      <c r="R1365" s="2">
        <v>8130081.301</v>
      </c>
      <c r="S1365" s="2">
        <v>0</v>
      </c>
      <c r="T1365" s="2" t="s">
        <v>55</v>
      </c>
      <c r="U1365" s="2" t="s">
        <v>56</v>
      </c>
      <c r="V1365" s="2" t="s">
        <v>28</v>
      </c>
      <c r="W1365" s="2" t="s">
        <v>55</v>
      </c>
      <c r="X1365" s="2" t="s">
        <v>57</v>
      </c>
      <c r="Y1365" s="2">
        <v>2.1178301116573599</v>
      </c>
      <c r="Z1365" s="2">
        <v>4.71035</v>
      </c>
      <c r="AA1365" s="2">
        <v>-74.030416666666696</v>
      </c>
      <c r="AB1365" s="2">
        <v>2570</v>
      </c>
      <c r="AC1365" s="2" t="s">
        <v>31</v>
      </c>
      <c r="AD1365" s="2" t="s">
        <v>58</v>
      </c>
      <c r="AE1365" s="2" t="s">
        <v>33</v>
      </c>
      <c r="AF1365" s="2" t="s">
        <v>34</v>
      </c>
      <c r="AG1365" s="2" t="s">
        <v>59</v>
      </c>
      <c r="AH1365" s="2">
        <v>2.88071553534393</v>
      </c>
      <c r="AI1365" s="2">
        <v>0.388676804788607</v>
      </c>
      <c r="AJ1365" s="2">
        <v>0.35072361174194799</v>
      </c>
      <c r="AK1365" s="2">
        <v>0.192494371024831</v>
      </c>
      <c r="AL1365" s="2">
        <v>0.70679026224377794</v>
      </c>
      <c r="AM1365" s="2">
        <v>15.5</v>
      </c>
      <c r="AN1365" s="2">
        <v>2.4</v>
      </c>
      <c r="AO1365" s="2">
        <v>10.9</v>
      </c>
      <c r="AP1365" s="2">
        <v>564</v>
      </c>
      <c r="AQ1365" s="2">
        <v>68</v>
      </c>
      <c r="AR1365" s="2">
        <v>1.5</v>
      </c>
      <c r="AS1365" s="2">
        <v>135</v>
      </c>
      <c r="AT1365" s="2">
        <v>0</v>
      </c>
      <c r="AU1365" s="2">
        <v>162</v>
      </c>
      <c r="AV1365" s="2">
        <v>9.1</v>
      </c>
      <c r="AW1365" s="2">
        <v>9.1999999999999993</v>
      </c>
      <c r="AX1365" s="2">
        <v>18.3</v>
      </c>
      <c r="AY1365" s="2">
        <v>0.34</v>
      </c>
      <c r="AZ1365" s="2">
        <v>7.3</v>
      </c>
      <c r="BA1365" s="2">
        <v>0.9</v>
      </c>
      <c r="BB1365" s="2">
        <v>7.5</v>
      </c>
      <c r="BC1365" s="2">
        <v>2.9</v>
      </c>
      <c r="BD1365" s="2">
        <f>+AN1365*EXP(-0.0495*Y1365)</f>
        <v>2.1611406193368148</v>
      </c>
      <c r="BE1365" s="2">
        <f>+AO1365*EXP(-0.024*Y1365)</f>
        <v>10.359820045503414</v>
      </c>
    </row>
    <row r="1366" spans="1:57" x14ac:dyDescent="0.2">
      <c r="A1366" s="2" t="s">
        <v>196</v>
      </c>
      <c r="B1366" s="2" t="s">
        <v>19</v>
      </c>
      <c r="C1366" s="2" t="s">
        <v>20</v>
      </c>
      <c r="D1366" s="2" t="s">
        <v>21</v>
      </c>
      <c r="E1366" s="2" t="s">
        <v>197</v>
      </c>
      <c r="F1366" s="2">
        <v>6</v>
      </c>
      <c r="G1366" s="2">
        <v>480</v>
      </c>
      <c r="H1366" s="2">
        <v>4</v>
      </c>
      <c r="I1366" s="2">
        <v>5</v>
      </c>
      <c r="J1366" s="2">
        <v>4</v>
      </c>
      <c r="K1366" s="2" t="s">
        <v>61</v>
      </c>
      <c r="L1366" s="6" t="s">
        <v>113</v>
      </c>
      <c r="M1366" s="5">
        <v>3300000000</v>
      </c>
      <c r="N1366" s="2">
        <v>0</v>
      </c>
      <c r="O1366" s="2">
        <v>4.7161045069999998</v>
      </c>
      <c r="P1366" s="2">
        <v>-74.024803160000005</v>
      </c>
      <c r="Q1366" s="2" t="s">
        <v>198</v>
      </c>
      <c r="R1366" s="2">
        <v>6875000</v>
      </c>
      <c r="S1366" s="2">
        <v>0</v>
      </c>
      <c r="T1366" s="2" t="s">
        <v>55</v>
      </c>
      <c r="U1366" s="2" t="s">
        <v>56</v>
      </c>
      <c r="V1366" s="2" t="s">
        <v>28</v>
      </c>
      <c r="W1366" s="2" t="s">
        <v>55</v>
      </c>
      <c r="X1366" s="2" t="s">
        <v>57</v>
      </c>
      <c r="Y1366" s="2">
        <v>0.89342510542708198</v>
      </c>
      <c r="Z1366" s="2">
        <v>4.71035</v>
      </c>
      <c r="AA1366" s="2">
        <v>-74.030416666666696</v>
      </c>
      <c r="AB1366" s="2">
        <v>2570</v>
      </c>
      <c r="AC1366" s="2" t="s">
        <v>31</v>
      </c>
      <c r="AD1366" s="2" t="s">
        <v>58</v>
      </c>
      <c r="AE1366" s="2" t="s">
        <v>33</v>
      </c>
      <c r="AF1366" s="2" t="s">
        <v>34</v>
      </c>
      <c r="AG1366" s="2" t="s">
        <v>59</v>
      </c>
      <c r="AH1366" s="2">
        <v>3.0077675406813902</v>
      </c>
      <c r="AI1366" s="2">
        <v>0.15781739542821299</v>
      </c>
      <c r="AJ1366" s="2">
        <v>1.0644954566462299</v>
      </c>
      <c r="AK1366" s="2">
        <v>0.51751288040806298</v>
      </c>
      <c r="AL1366" s="2">
        <v>0.481269011828796</v>
      </c>
      <c r="AM1366" s="2">
        <v>15.5</v>
      </c>
      <c r="AN1366" s="2">
        <v>2.4</v>
      </c>
      <c r="AO1366" s="2">
        <v>10.9</v>
      </c>
      <c r="AP1366" s="2">
        <v>564</v>
      </c>
      <c r="AQ1366" s="2">
        <v>68</v>
      </c>
      <c r="AR1366" s="2">
        <v>1.5</v>
      </c>
      <c r="AS1366" s="2">
        <v>135</v>
      </c>
      <c r="AT1366" s="2">
        <v>0</v>
      </c>
      <c r="AU1366" s="2">
        <v>162</v>
      </c>
      <c r="AV1366" s="2">
        <v>9.1</v>
      </c>
      <c r="AW1366" s="2">
        <v>9.1999999999999993</v>
      </c>
      <c r="AX1366" s="2">
        <v>18.3</v>
      </c>
      <c r="AY1366" s="2">
        <v>0.34</v>
      </c>
      <c r="AZ1366" s="2">
        <v>7.3</v>
      </c>
      <c r="BA1366" s="2">
        <v>0.9</v>
      </c>
      <c r="BB1366" s="2">
        <v>7.5</v>
      </c>
      <c r="BC1366" s="2">
        <v>2.9</v>
      </c>
      <c r="BD1366" s="2">
        <f>+AN1366*EXP(-0.0495*Y1366)</f>
        <v>2.2961738509261296</v>
      </c>
      <c r="BE1366" s="2">
        <f>+AO1366*EXP(-0.024*Y1366)</f>
        <v>10.668767914385091</v>
      </c>
    </row>
    <row r="1367" spans="1:57" x14ac:dyDescent="0.2">
      <c r="A1367" s="2" t="s">
        <v>1858</v>
      </c>
      <c r="B1367" s="2" t="s">
        <v>19</v>
      </c>
      <c r="C1367" s="2" t="s">
        <v>20</v>
      </c>
      <c r="D1367" s="2" t="s">
        <v>21</v>
      </c>
      <c r="E1367" s="2" t="s">
        <v>1600</v>
      </c>
      <c r="F1367" s="2">
        <v>6</v>
      </c>
      <c r="G1367" s="2">
        <v>467</v>
      </c>
      <c r="H1367" s="2">
        <v>5</v>
      </c>
      <c r="I1367" s="2">
        <v>5</v>
      </c>
      <c r="J1367" s="2">
        <v>4</v>
      </c>
      <c r="K1367" s="2" t="s">
        <v>61</v>
      </c>
      <c r="L1367" s="6" t="s">
        <v>113</v>
      </c>
      <c r="M1367" s="5">
        <v>2750000000</v>
      </c>
      <c r="N1367" s="2">
        <v>0</v>
      </c>
      <c r="O1367" s="2">
        <v>4.6892196000000004</v>
      </c>
      <c r="P1367" s="2">
        <v>-74.055499800000007</v>
      </c>
      <c r="Q1367" s="2" t="s">
        <v>1859</v>
      </c>
      <c r="R1367" s="2">
        <v>5888650.9639999997</v>
      </c>
      <c r="S1367" s="2">
        <v>0</v>
      </c>
      <c r="T1367" s="2" t="s">
        <v>55</v>
      </c>
      <c r="U1367" s="2" t="s">
        <v>56</v>
      </c>
      <c r="V1367" s="2" t="s">
        <v>28</v>
      </c>
      <c r="W1367" s="2" t="s">
        <v>55</v>
      </c>
      <c r="X1367" s="2" t="s">
        <v>57</v>
      </c>
      <c r="Y1367" s="2">
        <v>3.64379422645706</v>
      </c>
      <c r="Z1367" s="2">
        <v>4.71035</v>
      </c>
      <c r="AA1367" s="2">
        <v>-74.030416666666696</v>
      </c>
      <c r="AB1367" s="2">
        <v>2570</v>
      </c>
      <c r="AC1367" s="2" t="s">
        <v>31</v>
      </c>
      <c r="AD1367" s="2" t="s">
        <v>58</v>
      </c>
      <c r="AE1367" s="2" t="s">
        <v>33</v>
      </c>
      <c r="AF1367" s="2" t="s">
        <v>34</v>
      </c>
      <c r="AG1367" s="2" t="s">
        <v>59</v>
      </c>
      <c r="AH1367" s="2">
        <v>0.422688703718679</v>
      </c>
      <c r="AI1367" s="2">
        <v>2.42567408684328</v>
      </c>
      <c r="AJ1367" s="2">
        <v>0.48508485296533199</v>
      </c>
      <c r="AK1367" s="2">
        <v>0.130681739157884</v>
      </c>
      <c r="AL1367" s="2">
        <v>0.47491804928029002</v>
      </c>
      <c r="AM1367" s="2">
        <v>15.5</v>
      </c>
      <c r="AN1367" s="2">
        <v>2.4</v>
      </c>
      <c r="AO1367" s="2">
        <v>10.9</v>
      </c>
      <c r="AP1367" s="2">
        <v>564</v>
      </c>
      <c r="AQ1367" s="2">
        <v>68</v>
      </c>
      <c r="AR1367" s="2">
        <v>1.5</v>
      </c>
      <c r="AS1367" s="2">
        <v>135</v>
      </c>
      <c r="AT1367" s="2">
        <v>0</v>
      </c>
      <c r="AU1367" s="2">
        <v>162</v>
      </c>
      <c r="AV1367" s="2">
        <v>9.1</v>
      </c>
      <c r="AW1367" s="2">
        <v>9.1999999999999993</v>
      </c>
      <c r="AX1367" s="2">
        <v>18.3</v>
      </c>
      <c r="AY1367" s="2">
        <v>0.34</v>
      </c>
      <c r="AZ1367" s="2">
        <v>7.3</v>
      </c>
      <c r="BA1367" s="2">
        <v>0.9</v>
      </c>
      <c r="BB1367" s="2">
        <v>7.5</v>
      </c>
      <c r="BC1367" s="2">
        <v>2.9</v>
      </c>
      <c r="BD1367" s="2">
        <f>+AN1367*EXP(-0.0495*Y1367)</f>
        <v>2.0039113047658441</v>
      </c>
      <c r="BE1367" s="2">
        <f>+AO1367*EXP(-0.024*Y1367)</f>
        <v>9.9872744519153276</v>
      </c>
    </row>
    <row r="1368" spans="1:57" x14ac:dyDescent="0.2">
      <c r="A1368" s="2" t="s">
        <v>1862</v>
      </c>
      <c r="B1368" s="2" t="s">
        <v>19</v>
      </c>
      <c r="C1368" s="2" t="s">
        <v>20</v>
      </c>
      <c r="D1368" s="2" t="s">
        <v>21</v>
      </c>
      <c r="E1368" s="2" t="s">
        <v>1600</v>
      </c>
      <c r="F1368" s="2">
        <v>6</v>
      </c>
      <c r="G1368" s="2">
        <v>467</v>
      </c>
      <c r="H1368" s="2">
        <v>5</v>
      </c>
      <c r="I1368" s="2">
        <v>5</v>
      </c>
      <c r="J1368" s="2">
        <v>4</v>
      </c>
      <c r="K1368" s="2" t="s">
        <v>61</v>
      </c>
      <c r="L1368" s="6" t="s">
        <v>113</v>
      </c>
      <c r="M1368" s="5">
        <v>2750000000</v>
      </c>
      <c r="N1368" s="2">
        <v>0</v>
      </c>
      <c r="O1368" s="2">
        <v>4.6892196000000004</v>
      </c>
      <c r="P1368" s="2">
        <v>-74.055499800000007</v>
      </c>
      <c r="Q1368" s="2" t="s">
        <v>1863</v>
      </c>
      <c r="R1368" s="2">
        <v>5888650.9639999997</v>
      </c>
      <c r="S1368" s="2">
        <v>0</v>
      </c>
      <c r="T1368" s="2" t="s">
        <v>55</v>
      </c>
      <c r="U1368" s="2" t="s">
        <v>56</v>
      </c>
      <c r="V1368" s="2" t="s">
        <v>28</v>
      </c>
      <c r="W1368" s="2" t="s">
        <v>55</v>
      </c>
      <c r="X1368" s="2" t="s">
        <v>57</v>
      </c>
      <c r="Y1368" s="2">
        <v>3.64379422645706</v>
      </c>
      <c r="Z1368" s="2">
        <v>4.71035</v>
      </c>
      <c r="AA1368" s="2">
        <v>-74.030416666666696</v>
      </c>
      <c r="AB1368" s="2">
        <v>2570</v>
      </c>
      <c r="AC1368" s="2" t="s">
        <v>31</v>
      </c>
      <c r="AD1368" s="2" t="s">
        <v>58</v>
      </c>
      <c r="AE1368" s="2" t="s">
        <v>33</v>
      </c>
      <c r="AF1368" s="2" t="s">
        <v>34</v>
      </c>
      <c r="AG1368" s="2" t="s">
        <v>59</v>
      </c>
      <c r="AH1368" s="2">
        <v>0.422688703718679</v>
      </c>
      <c r="AI1368" s="2">
        <v>2.42567408684328</v>
      </c>
      <c r="AJ1368" s="2">
        <v>0.48508485296533199</v>
      </c>
      <c r="AK1368" s="2">
        <v>0.130681739157884</v>
      </c>
      <c r="AL1368" s="2">
        <v>0.47491804928029002</v>
      </c>
      <c r="AM1368" s="2">
        <v>15.5</v>
      </c>
      <c r="AN1368" s="2">
        <v>2.4</v>
      </c>
      <c r="AO1368" s="2">
        <v>10.9</v>
      </c>
      <c r="AP1368" s="2">
        <v>564</v>
      </c>
      <c r="AQ1368" s="2">
        <v>68</v>
      </c>
      <c r="AR1368" s="2">
        <v>1.5</v>
      </c>
      <c r="AS1368" s="2">
        <v>135</v>
      </c>
      <c r="AT1368" s="2">
        <v>0</v>
      </c>
      <c r="AU1368" s="2">
        <v>162</v>
      </c>
      <c r="AV1368" s="2">
        <v>9.1</v>
      </c>
      <c r="AW1368" s="2">
        <v>9.1999999999999993</v>
      </c>
      <c r="AX1368" s="2">
        <v>18.3</v>
      </c>
      <c r="AY1368" s="2">
        <v>0.34</v>
      </c>
      <c r="AZ1368" s="2">
        <v>7.3</v>
      </c>
      <c r="BA1368" s="2">
        <v>0.9</v>
      </c>
      <c r="BB1368" s="2">
        <v>7.5</v>
      </c>
      <c r="BC1368" s="2">
        <v>2.9</v>
      </c>
      <c r="BD1368" s="2">
        <f>+AN1368*EXP(-0.0495*Y1368)</f>
        <v>2.0039113047658441</v>
      </c>
      <c r="BE1368" s="2">
        <f>+AO1368*EXP(-0.024*Y1368)</f>
        <v>9.9872744519153276</v>
      </c>
    </row>
    <row r="1369" spans="1:57" x14ac:dyDescent="0.2">
      <c r="A1369" s="2" t="s">
        <v>2307</v>
      </c>
      <c r="B1369" s="2" t="s">
        <v>19</v>
      </c>
      <c r="C1369" s="2" t="s">
        <v>1907</v>
      </c>
      <c r="D1369" s="2" t="s">
        <v>21</v>
      </c>
      <c r="E1369" s="2" t="s">
        <v>952</v>
      </c>
      <c r="F1369" s="2">
        <v>5</v>
      </c>
      <c r="G1369" s="2">
        <v>462.27</v>
      </c>
      <c r="H1369" s="2">
        <v>4</v>
      </c>
      <c r="I1369" s="2">
        <v>3</v>
      </c>
      <c r="J1369" s="2">
        <v>4</v>
      </c>
      <c r="K1369" s="2" t="s">
        <v>61</v>
      </c>
      <c r="L1369" s="6" t="s">
        <v>113</v>
      </c>
      <c r="M1369" s="5">
        <v>2400000000</v>
      </c>
      <c r="N1369" s="2">
        <v>0</v>
      </c>
      <c r="O1369" s="2">
        <v>4.6934399999999998</v>
      </c>
      <c r="P1369" s="2">
        <v>-74.064030000000002</v>
      </c>
      <c r="Q1369" s="2" t="s">
        <v>2308</v>
      </c>
      <c r="R1369" s="2">
        <v>5191771.0429999996</v>
      </c>
      <c r="S1369" s="2">
        <v>0</v>
      </c>
      <c r="T1369" s="2" t="s">
        <v>55</v>
      </c>
      <c r="U1369" s="2" t="s">
        <v>56</v>
      </c>
      <c r="V1369" s="2" t="s">
        <v>28</v>
      </c>
      <c r="W1369" s="2" t="s">
        <v>55</v>
      </c>
      <c r="X1369" s="2" t="s">
        <v>57</v>
      </c>
      <c r="Y1369" s="2">
        <v>4.1773926033196096</v>
      </c>
      <c r="Z1369" s="2">
        <v>4.71035</v>
      </c>
      <c r="AA1369" s="2">
        <v>-74.030416666666696</v>
      </c>
      <c r="AB1369" s="2">
        <v>2570</v>
      </c>
      <c r="AC1369" s="2" t="s">
        <v>31</v>
      </c>
      <c r="AD1369" s="2" t="s">
        <v>58</v>
      </c>
      <c r="AE1369" s="2" t="s">
        <v>33</v>
      </c>
      <c r="AF1369" s="2" t="s">
        <v>34</v>
      </c>
      <c r="AG1369" s="2" t="s">
        <v>72</v>
      </c>
      <c r="AH1369" s="2">
        <v>0.35248253820400299</v>
      </c>
      <c r="AI1369" s="2">
        <v>3.46404726006458</v>
      </c>
      <c r="AJ1369" s="2">
        <v>0.78593028555199196</v>
      </c>
      <c r="AK1369" s="2">
        <v>0.15243771773603301</v>
      </c>
      <c r="AL1369" s="2">
        <v>0.142758483451494</v>
      </c>
      <c r="AM1369" s="2">
        <v>15.5</v>
      </c>
      <c r="AN1369" s="2">
        <v>2.4</v>
      </c>
      <c r="AO1369" s="2">
        <v>10.9</v>
      </c>
      <c r="AP1369" s="2">
        <v>564</v>
      </c>
      <c r="AQ1369" s="2">
        <v>68</v>
      </c>
      <c r="AR1369" s="2">
        <v>1.5</v>
      </c>
      <c r="AS1369" s="2">
        <v>135</v>
      </c>
      <c r="AT1369" s="2">
        <v>0</v>
      </c>
      <c r="AU1369" s="2">
        <v>162</v>
      </c>
      <c r="AV1369" s="2">
        <v>9.1</v>
      </c>
      <c r="AW1369" s="2">
        <v>9.1999999999999993</v>
      </c>
      <c r="AX1369" s="2">
        <v>18.3</v>
      </c>
      <c r="AY1369" s="2">
        <v>0.34</v>
      </c>
      <c r="AZ1369" s="2">
        <v>7.3</v>
      </c>
      <c r="BA1369" s="2">
        <v>0.9</v>
      </c>
      <c r="BB1369" s="2">
        <v>7.5</v>
      </c>
      <c r="BC1369" s="2">
        <v>2.9</v>
      </c>
      <c r="BD1369" s="2">
        <f>+AN1369*EXP(-0.0495*Y1369)</f>
        <v>1.9516746589688274</v>
      </c>
      <c r="BE1369" s="2">
        <f>+AO1369*EXP(-0.024*Y1369)</f>
        <v>9.8601892954861654</v>
      </c>
    </row>
    <row r="1370" spans="1:57" x14ac:dyDescent="0.2">
      <c r="A1370" s="2" t="s">
        <v>2173</v>
      </c>
      <c r="B1370" s="2" t="s">
        <v>19</v>
      </c>
      <c r="C1370" s="2" t="s">
        <v>1907</v>
      </c>
      <c r="D1370" s="2" t="s">
        <v>21</v>
      </c>
      <c r="E1370" s="2" t="s">
        <v>961</v>
      </c>
      <c r="F1370" s="2">
        <v>5</v>
      </c>
      <c r="G1370" s="2">
        <v>455</v>
      </c>
      <c r="H1370" s="2">
        <v>5</v>
      </c>
      <c r="I1370" s="2">
        <v>5</v>
      </c>
      <c r="J1370" s="2">
        <v>4</v>
      </c>
      <c r="K1370" s="2" t="s">
        <v>61</v>
      </c>
      <c r="L1370" s="6" t="s">
        <v>75</v>
      </c>
      <c r="M1370" s="5">
        <v>3200000000</v>
      </c>
      <c r="N1370" s="2">
        <v>0</v>
      </c>
      <c r="O1370" s="2">
        <v>4.6932210000000003</v>
      </c>
      <c r="P1370" s="2">
        <v>-74.060399000000004</v>
      </c>
      <c r="Q1370" s="2" t="s">
        <v>2174</v>
      </c>
      <c r="R1370" s="2">
        <v>7032967.0329999998</v>
      </c>
      <c r="S1370" s="2">
        <v>0</v>
      </c>
      <c r="T1370" s="2" t="s">
        <v>55</v>
      </c>
      <c r="U1370" s="2" t="s">
        <v>56</v>
      </c>
      <c r="V1370" s="2" t="s">
        <v>28</v>
      </c>
      <c r="W1370" s="2" t="s">
        <v>55</v>
      </c>
      <c r="X1370" s="2" t="s">
        <v>57</v>
      </c>
      <c r="Y1370" s="2">
        <v>3.8341492780887099</v>
      </c>
      <c r="Z1370" s="2">
        <v>4.71035</v>
      </c>
      <c r="AA1370" s="2">
        <v>-74.030416666666696</v>
      </c>
      <c r="AB1370" s="2">
        <v>2570</v>
      </c>
      <c r="AC1370" s="2" t="s">
        <v>31</v>
      </c>
      <c r="AD1370" s="2" t="s">
        <v>58</v>
      </c>
      <c r="AE1370" s="2" t="s">
        <v>33</v>
      </c>
      <c r="AF1370" s="2" t="s">
        <v>34</v>
      </c>
      <c r="AG1370" s="2" t="s">
        <v>72</v>
      </c>
      <c r="AH1370" s="2">
        <v>0.468270051422009</v>
      </c>
      <c r="AI1370" s="2">
        <v>3.1195878559921399</v>
      </c>
      <c r="AJ1370" s="2">
        <v>1.14108009061391</v>
      </c>
      <c r="AK1370" s="2">
        <v>0.26747949217998501</v>
      </c>
      <c r="AL1370" s="2">
        <v>5.8671481378792599E-2</v>
      </c>
      <c r="AM1370" s="2">
        <v>15.5</v>
      </c>
      <c r="AN1370" s="2">
        <v>2.4</v>
      </c>
      <c r="AO1370" s="2">
        <v>10.9</v>
      </c>
      <c r="AP1370" s="2">
        <v>564</v>
      </c>
      <c r="AQ1370" s="2">
        <v>68</v>
      </c>
      <c r="AR1370" s="2">
        <v>1.5</v>
      </c>
      <c r="AS1370" s="2">
        <v>135</v>
      </c>
      <c r="AT1370" s="2">
        <v>0</v>
      </c>
      <c r="AU1370" s="2">
        <v>162</v>
      </c>
      <c r="AV1370" s="2">
        <v>9.1</v>
      </c>
      <c r="AW1370" s="2">
        <v>9.1999999999999993</v>
      </c>
      <c r="AX1370" s="2">
        <v>18.3</v>
      </c>
      <c r="AY1370" s="2">
        <v>0.34</v>
      </c>
      <c r="AZ1370" s="2">
        <v>7.3</v>
      </c>
      <c r="BA1370" s="2">
        <v>0.9</v>
      </c>
      <c r="BB1370" s="2">
        <v>7.5</v>
      </c>
      <c r="BC1370" s="2">
        <v>2.9</v>
      </c>
      <c r="BD1370" s="2">
        <f>+AN1370*EXP(-0.0495*Y1370)</f>
        <v>1.9851179798954404</v>
      </c>
      <c r="BE1370" s="2">
        <f>+AO1370*EXP(-0.024*Y1370)</f>
        <v>9.941751442056475</v>
      </c>
    </row>
    <row r="1371" spans="1:57" x14ac:dyDescent="0.2">
      <c r="A1371" s="2" t="s">
        <v>1711</v>
      </c>
      <c r="B1371" s="2" t="s">
        <v>19</v>
      </c>
      <c r="C1371" s="2" t="s">
        <v>20</v>
      </c>
      <c r="D1371" s="2" t="s">
        <v>21</v>
      </c>
      <c r="E1371" s="2" t="s">
        <v>53</v>
      </c>
      <c r="F1371" s="2">
        <v>6</v>
      </c>
      <c r="G1371" s="2">
        <v>454</v>
      </c>
      <c r="H1371" s="2">
        <v>4</v>
      </c>
      <c r="I1371" s="2">
        <v>5</v>
      </c>
      <c r="J1371" s="2">
        <v>4</v>
      </c>
      <c r="K1371" s="2" t="s">
        <v>61</v>
      </c>
      <c r="L1371" s="6" t="s">
        <v>113</v>
      </c>
      <c r="M1371" s="5">
        <v>2890000000</v>
      </c>
      <c r="N1371" s="2">
        <v>0</v>
      </c>
      <c r="O1371" s="2">
        <v>4.7012659000000001</v>
      </c>
      <c r="P1371" s="2">
        <v>-74.035718000000003</v>
      </c>
      <c r="Q1371" s="2" t="s">
        <v>1712</v>
      </c>
      <c r="R1371" s="2">
        <v>6365638.767</v>
      </c>
      <c r="S1371" s="2">
        <v>0</v>
      </c>
      <c r="T1371" s="2" t="s">
        <v>55</v>
      </c>
      <c r="U1371" s="2" t="s">
        <v>56</v>
      </c>
      <c r="V1371" s="2" t="s">
        <v>28</v>
      </c>
      <c r="W1371" s="2" t="s">
        <v>55</v>
      </c>
      <c r="X1371" s="2" t="s">
        <v>57</v>
      </c>
      <c r="Y1371" s="2">
        <v>1.1698394339564899</v>
      </c>
      <c r="Z1371" s="2">
        <v>4.71035</v>
      </c>
      <c r="AA1371" s="2">
        <v>-74.030416666666696</v>
      </c>
      <c r="AB1371" s="2">
        <v>2570</v>
      </c>
      <c r="AC1371" s="2" t="s">
        <v>31</v>
      </c>
      <c r="AD1371" s="2" t="s">
        <v>58</v>
      </c>
      <c r="AE1371" s="2" t="s">
        <v>33</v>
      </c>
      <c r="AF1371" s="2" t="s">
        <v>34</v>
      </c>
      <c r="AG1371" s="2" t="s">
        <v>59</v>
      </c>
      <c r="AH1371" s="2">
        <v>2.0856124414703801</v>
      </c>
      <c r="AI1371" s="2">
        <v>1.11332721263274</v>
      </c>
      <c r="AJ1371" s="2">
        <v>0.36084483886090701</v>
      </c>
      <c r="AK1371" s="2">
        <v>0.27310072545275998</v>
      </c>
      <c r="AL1371" s="2">
        <v>0.349415256263091</v>
      </c>
      <c r="AM1371" s="2">
        <v>15.5</v>
      </c>
      <c r="AN1371" s="2">
        <v>2.4</v>
      </c>
      <c r="AO1371" s="2">
        <v>10.9</v>
      </c>
      <c r="AP1371" s="2">
        <v>564</v>
      </c>
      <c r="AQ1371" s="2">
        <v>68</v>
      </c>
      <c r="AR1371" s="2">
        <v>1.5</v>
      </c>
      <c r="AS1371" s="2">
        <v>135</v>
      </c>
      <c r="AT1371" s="2">
        <v>0</v>
      </c>
      <c r="AU1371" s="2">
        <v>162</v>
      </c>
      <c r="AV1371" s="2">
        <v>9.1</v>
      </c>
      <c r="AW1371" s="2">
        <v>9.1999999999999993</v>
      </c>
      <c r="AX1371" s="2">
        <v>18.3</v>
      </c>
      <c r="AY1371" s="2">
        <v>0.34</v>
      </c>
      <c r="AZ1371" s="2">
        <v>7.3</v>
      </c>
      <c r="BA1371" s="2">
        <v>0.9</v>
      </c>
      <c r="BB1371" s="2">
        <v>7.5</v>
      </c>
      <c r="BC1371" s="2">
        <v>2.9</v>
      </c>
      <c r="BD1371" s="2">
        <f>+AN1371*EXP(-0.0495*Y1371)</f>
        <v>2.2649703885757613</v>
      </c>
      <c r="BE1371" s="2">
        <f>+AO1371*EXP(-0.024*Y1371)</f>
        <v>10.598226150480839</v>
      </c>
    </row>
    <row r="1372" spans="1:57" x14ac:dyDescent="0.2">
      <c r="A1372" s="2" t="s">
        <v>2761</v>
      </c>
      <c r="B1372" s="2" t="s">
        <v>19</v>
      </c>
      <c r="C1372" s="2" t="s">
        <v>1907</v>
      </c>
      <c r="D1372" s="2" t="s">
        <v>21</v>
      </c>
      <c r="E1372" s="2" t="s">
        <v>825</v>
      </c>
      <c r="F1372" s="2">
        <v>6</v>
      </c>
      <c r="G1372" s="2">
        <v>439</v>
      </c>
      <c r="H1372" s="2">
        <v>4</v>
      </c>
      <c r="I1372" s="2">
        <v>5</v>
      </c>
      <c r="J1372" s="2">
        <v>4</v>
      </c>
      <c r="K1372" s="2" t="s">
        <v>61</v>
      </c>
      <c r="L1372" s="6" t="s">
        <v>113</v>
      </c>
      <c r="M1372" s="5">
        <v>3500000000</v>
      </c>
      <c r="N1372" s="2">
        <v>0</v>
      </c>
      <c r="O1372" s="2">
        <v>4.7244999999999999</v>
      </c>
      <c r="P1372" s="2">
        <v>-74.020719999999997</v>
      </c>
      <c r="Q1372" s="2" t="s">
        <v>2762</v>
      </c>
      <c r="R1372" s="2">
        <v>7972665.148</v>
      </c>
      <c r="S1372" s="2">
        <v>0</v>
      </c>
      <c r="T1372" s="2" t="s">
        <v>55</v>
      </c>
      <c r="U1372" s="2" t="s">
        <v>56</v>
      </c>
      <c r="V1372" s="2" t="s">
        <v>28</v>
      </c>
      <c r="W1372" s="2" t="s">
        <v>55</v>
      </c>
      <c r="X1372" s="2" t="s">
        <v>57</v>
      </c>
      <c r="Y1372" s="2">
        <v>1.90747136823556</v>
      </c>
      <c r="Z1372" s="2">
        <v>4.71035</v>
      </c>
      <c r="AA1372" s="2">
        <v>-74.030416666666696</v>
      </c>
      <c r="AB1372" s="2">
        <v>2570</v>
      </c>
      <c r="AC1372" s="2" t="s">
        <v>31</v>
      </c>
      <c r="AD1372" s="2" t="s">
        <v>58</v>
      </c>
      <c r="AE1372" s="2" t="s">
        <v>33</v>
      </c>
      <c r="AF1372" s="2" t="s">
        <v>34</v>
      </c>
      <c r="AG1372" s="2" t="s">
        <v>59</v>
      </c>
      <c r="AH1372" s="2">
        <v>3.30184432263116</v>
      </c>
      <c r="AI1372" s="2">
        <v>3.5060062805115901E-2</v>
      </c>
      <c r="AJ1372" s="2">
        <v>2.02465960151005</v>
      </c>
      <c r="AK1372" s="2">
        <v>0.54443617269334299</v>
      </c>
      <c r="AL1372" s="2">
        <v>0.87128956840130001</v>
      </c>
      <c r="AM1372" s="2">
        <v>15.5</v>
      </c>
      <c r="AN1372" s="2">
        <v>2.4</v>
      </c>
      <c r="AO1372" s="2">
        <v>10.9</v>
      </c>
      <c r="AP1372" s="2">
        <v>564</v>
      </c>
      <c r="AQ1372" s="2">
        <v>68</v>
      </c>
      <c r="AR1372" s="2">
        <v>1.5</v>
      </c>
      <c r="AS1372" s="2">
        <v>135</v>
      </c>
      <c r="AT1372" s="2">
        <v>0</v>
      </c>
      <c r="AU1372" s="2">
        <v>162</v>
      </c>
      <c r="AV1372" s="2">
        <v>9.1</v>
      </c>
      <c r="AW1372" s="2">
        <v>9.1999999999999993</v>
      </c>
      <c r="AX1372" s="2">
        <v>18.3</v>
      </c>
      <c r="AY1372" s="2">
        <v>0.34</v>
      </c>
      <c r="AZ1372" s="2">
        <v>7.3</v>
      </c>
      <c r="BA1372" s="2">
        <v>0.9</v>
      </c>
      <c r="BB1372" s="2">
        <v>7.5</v>
      </c>
      <c r="BC1372" s="2">
        <v>2.9</v>
      </c>
      <c r="BD1372" s="2">
        <f>+AN1372*EXP(-0.0495*Y1372)</f>
        <v>2.1837616222980691</v>
      </c>
      <c r="BE1372" s="2">
        <f>+AO1372*EXP(-0.024*Y1372)</f>
        <v>10.412254985350677</v>
      </c>
    </row>
    <row r="1373" spans="1:57" x14ac:dyDescent="0.2">
      <c r="A1373" s="2" t="s">
        <v>185</v>
      </c>
      <c r="B1373" s="2" t="s">
        <v>19</v>
      </c>
      <c r="C1373" s="2" t="s">
        <v>20</v>
      </c>
      <c r="D1373" s="2" t="s">
        <v>21</v>
      </c>
      <c r="E1373" s="2" t="s">
        <v>186</v>
      </c>
      <c r="F1373" s="2">
        <v>6</v>
      </c>
      <c r="G1373" s="2">
        <v>430</v>
      </c>
      <c r="H1373" s="2">
        <v>5</v>
      </c>
      <c r="I1373" s="2">
        <v>4</v>
      </c>
      <c r="J1373" s="2">
        <v>2</v>
      </c>
      <c r="K1373" s="2" t="s">
        <v>61</v>
      </c>
      <c r="L1373" s="6" t="s">
        <v>113</v>
      </c>
      <c r="M1373" s="5">
        <v>3600000000</v>
      </c>
      <c r="N1373" s="2">
        <v>0</v>
      </c>
      <c r="O1373" s="2">
        <v>4.7056188580000002</v>
      </c>
      <c r="P1373" s="2">
        <v>-74.036598209999994</v>
      </c>
      <c r="Q1373" s="2" t="s">
        <v>187</v>
      </c>
      <c r="R1373" s="2">
        <v>8372093.023</v>
      </c>
      <c r="S1373" s="2">
        <v>0</v>
      </c>
      <c r="T1373" s="2" t="s">
        <v>55</v>
      </c>
      <c r="U1373" s="2" t="s">
        <v>56</v>
      </c>
      <c r="V1373" s="2" t="s">
        <v>28</v>
      </c>
      <c r="W1373" s="2" t="s">
        <v>55</v>
      </c>
      <c r="X1373" s="2" t="s">
        <v>57</v>
      </c>
      <c r="Y1373" s="2">
        <v>0.86470070855195202</v>
      </c>
      <c r="Z1373" s="2">
        <v>4.71035</v>
      </c>
      <c r="AA1373" s="2">
        <v>-74.030416666666696</v>
      </c>
      <c r="AB1373" s="2">
        <v>2570</v>
      </c>
      <c r="AC1373" s="2" t="s">
        <v>31</v>
      </c>
      <c r="AD1373" s="2" t="s">
        <v>58</v>
      </c>
      <c r="AE1373" s="2" t="s">
        <v>33</v>
      </c>
      <c r="AF1373" s="2" t="s">
        <v>34</v>
      </c>
      <c r="AG1373" s="2" t="s">
        <v>59</v>
      </c>
      <c r="AH1373" s="2">
        <v>1.9574093959291301</v>
      </c>
      <c r="AI1373" s="2">
        <v>1.2777913188869101</v>
      </c>
      <c r="AJ1373" s="2">
        <v>0.65906319848178796</v>
      </c>
      <c r="AK1373" s="2">
        <v>0.22131735313870499</v>
      </c>
      <c r="AL1373" s="2">
        <v>0.21823092854884399</v>
      </c>
      <c r="AM1373" s="2">
        <v>15.5</v>
      </c>
      <c r="AN1373" s="2">
        <v>2.4</v>
      </c>
      <c r="AO1373" s="2">
        <v>10.9</v>
      </c>
      <c r="AP1373" s="2">
        <v>564</v>
      </c>
      <c r="AQ1373" s="2">
        <v>68</v>
      </c>
      <c r="AR1373" s="2">
        <v>1.5</v>
      </c>
      <c r="AS1373" s="2">
        <v>135</v>
      </c>
      <c r="AT1373" s="2">
        <v>0</v>
      </c>
      <c r="AU1373" s="2">
        <v>162</v>
      </c>
      <c r="AV1373" s="2">
        <v>9.1</v>
      </c>
      <c r="AW1373" s="2">
        <v>9.1999999999999993</v>
      </c>
      <c r="AX1373" s="2">
        <v>18.3</v>
      </c>
      <c r="AY1373" s="2">
        <v>0.34</v>
      </c>
      <c r="AZ1373" s="2">
        <v>7.3</v>
      </c>
      <c r="BA1373" s="2">
        <v>0.9</v>
      </c>
      <c r="BB1373" s="2">
        <v>7.5</v>
      </c>
      <c r="BC1373" s="2">
        <v>2.9</v>
      </c>
      <c r="BD1373" s="2">
        <f>+AN1373*EXP(-0.0495*Y1373)</f>
        <v>2.2994410054349306</v>
      </c>
      <c r="BE1373" s="2">
        <f>+AO1373*EXP(-0.024*Y1373)</f>
        <v>10.676125344316347</v>
      </c>
    </row>
    <row r="1374" spans="1:57" x14ac:dyDescent="0.2">
      <c r="A1374" s="2" t="s">
        <v>1477</v>
      </c>
      <c r="B1374" s="2" t="s">
        <v>19</v>
      </c>
      <c r="C1374" s="2" t="s">
        <v>20</v>
      </c>
      <c r="D1374" s="2" t="s">
        <v>21</v>
      </c>
      <c r="E1374" s="2" t="s">
        <v>1478</v>
      </c>
      <c r="F1374" s="2">
        <v>6</v>
      </c>
      <c r="G1374" s="2">
        <v>420</v>
      </c>
      <c r="H1374" s="2">
        <v>4</v>
      </c>
      <c r="I1374" s="2">
        <v>4</v>
      </c>
      <c r="J1374" s="2">
        <v>2</v>
      </c>
      <c r="K1374" s="2" t="s">
        <v>61</v>
      </c>
      <c r="L1374" s="6" t="s">
        <v>113</v>
      </c>
      <c r="M1374" s="5">
        <v>2900000000</v>
      </c>
      <c r="N1374" s="2">
        <v>0</v>
      </c>
      <c r="O1374" s="2">
        <v>4.6713950000000004</v>
      </c>
      <c r="P1374" s="2">
        <v>-74.039820000000006</v>
      </c>
      <c r="Q1374" s="2" t="s">
        <v>1479</v>
      </c>
      <c r="R1374" s="2">
        <v>6904761.9050000003</v>
      </c>
      <c r="S1374" s="2">
        <v>0</v>
      </c>
      <c r="T1374" s="2" t="s">
        <v>55</v>
      </c>
      <c r="U1374" s="2" t="s">
        <v>56</v>
      </c>
      <c r="V1374" s="2" t="s">
        <v>28</v>
      </c>
      <c r="W1374" s="2" t="s">
        <v>55</v>
      </c>
      <c r="X1374" s="2" t="s">
        <v>57</v>
      </c>
      <c r="Y1374" s="2">
        <v>4.4601808675256001</v>
      </c>
      <c r="Z1374" s="2">
        <v>4.71035</v>
      </c>
      <c r="AA1374" s="2">
        <v>-74.030416666666696</v>
      </c>
      <c r="AB1374" s="2">
        <v>2570</v>
      </c>
      <c r="AC1374" s="2" t="s">
        <v>31</v>
      </c>
      <c r="AD1374" s="2" t="s">
        <v>58</v>
      </c>
      <c r="AE1374" s="2" t="s">
        <v>33</v>
      </c>
      <c r="AF1374" s="2" t="s">
        <v>34</v>
      </c>
      <c r="AG1374" s="2" t="s">
        <v>81</v>
      </c>
      <c r="AH1374" s="2">
        <v>2.18878844353699</v>
      </c>
      <c r="AI1374" s="2">
        <v>5.09398682531867E-2</v>
      </c>
      <c r="AJ1374" s="2">
        <v>1.1496952939312299</v>
      </c>
      <c r="AK1374" s="2">
        <v>0.47565937270626402</v>
      </c>
      <c r="AL1374" s="2">
        <v>1.16529564412383</v>
      </c>
      <c r="AM1374" s="2">
        <v>15.5</v>
      </c>
      <c r="AN1374" s="2">
        <v>2.4</v>
      </c>
      <c r="AO1374" s="2">
        <v>10.9</v>
      </c>
      <c r="AP1374" s="2">
        <v>564</v>
      </c>
      <c r="AQ1374" s="2">
        <v>68</v>
      </c>
      <c r="AR1374" s="2">
        <v>1.5</v>
      </c>
      <c r="AS1374" s="2">
        <v>135</v>
      </c>
      <c r="AT1374" s="2">
        <v>0</v>
      </c>
      <c r="AU1374" s="2">
        <v>162</v>
      </c>
      <c r="AV1374" s="2">
        <v>9.1</v>
      </c>
      <c r="AW1374" s="2">
        <v>9.1999999999999993</v>
      </c>
      <c r="AX1374" s="2">
        <v>18.3</v>
      </c>
      <c r="AY1374" s="2">
        <v>0.34</v>
      </c>
      <c r="AZ1374" s="2">
        <v>7.3</v>
      </c>
      <c r="BA1374" s="2">
        <v>0.9</v>
      </c>
      <c r="BB1374" s="2">
        <v>7.5</v>
      </c>
      <c r="BC1374" s="2">
        <v>2.9</v>
      </c>
      <c r="BD1374" s="2">
        <f>+AN1374*EXP(-0.0495*Y1374)</f>
        <v>1.9245454007793894</v>
      </c>
      <c r="BE1374" s="2">
        <f>+AO1374*EXP(-0.024*Y1374)</f>
        <v>9.7934955743362018</v>
      </c>
    </row>
    <row r="1375" spans="1:57" x14ac:dyDescent="0.2">
      <c r="A1375" s="2" t="s">
        <v>1139</v>
      </c>
      <c r="B1375" s="2" t="s">
        <v>19</v>
      </c>
      <c r="C1375" s="2" t="s">
        <v>20</v>
      </c>
      <c r="D1375" s="2" t="s">
        <v>21</v>
      </c>
      <c r="E1375" s="2" t="s">
        <v>419</v>
      </c>
      <c r="F1375" s="2">
        <v>6</v>
      </c>
      <c r="G1375" s="2">
        <v>416.36</v>
      </c>
      <c r="H1375" s="2">
        <v>5</v>
      </c>
      <c r="I1375" s="2">
        <v>5</v>
      </c>
      <c r="J1375" s="2">
        <v>4</v>
      </c>
      <c r="K1375" s="2" t="s">
        <v>61</v>
      </c>
      <c r="L1375" s="6" t="s">
        <v>113</v>
      </c>
      <c r="M1375" s="5">
        <v>2800000000</v>
      </c>
      <c r="N1375" s="2">
        <v>0</v>
      </c>
      <c r="O1375" s="2">
        <v>4.688771</v>
      </c>
      <c r="P1375" s="2">
        <v>-74.050594000000004</v>
      </c>
      <c r="Q1375" s="2" t="s">
        <v>1140</v>
      </c>
      <c r="R1375" s="2">
        <v>6724949.5630000001</v>
      </c>
      <c r="S1375" s="2">
        <v>0</v>
      </c>
      <c r="T1375" s="2" t="s">
        <v>55</v>
      </c>
      <c r="U1375" s="2" t="s">
        <v>56</v>
      </c>
      <c r="V1375" s="2" t="s">
        <v>28</v>
      </c>
      <c r="W1375" s="2" t="s">
        <v>55</v>
      </c>
      <c r="X1375" s="2" t="s">
        <v>57</v>
      </c>
      <c r="Y1375" s="2">
        <v>3.2835384009698898</v>
      </c>
      <c r="Z1375" s="2">
        <v>4.71035</v>
      </c>
      <c r="AA1375" s="2">
        <v>-74.030416666666696</v>
      </c>
      <c r="AB1375" s="2">
        <v>2570</v>
      </c>
      <c r="AC1375" s="2" t="s">
        <v>31</v>
      </c>
      <c r="AD1375" s="2" t="s">
        <v>58</v>
      </c>
      <c r="AE1375" s="2" t="s">
        <v>33</v>
      </c>
      <c r="AF1375" s="2" t="s">
        <v>34</v>
      </c>
      <c r="AG1375" s="2" t="s">
        <v>59</v>
      </c>
      <c r="AH1375" s="2">
        <v>0.77497166876244405</v>
      </c>
      <c r="AI1375" s="2">
        <v>1.94401701467002</v>
      </c>
      <c r="AJ1375" s="2">
        <v>7.4569548341072697E-2</v>
      </c>
      <c r="AK1375" s="2">
        <v>0.118917203605947</v>
      </c>
      <c r="AL1375" s="2">
        <v>0.386549919038919</v>
      </c>
      <c r="AM1375" s="2">
        <v>15.5</v>
      </c>
      <c r="AN1375" s="2">
        <v>2.4</v>
      </c>
      <c r="AO1375" s="2">
        <v>10.9</v>
      </c>
      <c r="AP1375" s="2">
        <v>564</v>
      </c>
      <c r="AQ1375" s="2">
        <v>68</v>
      </c>
      <c r="AR1375" s="2">
        <v>1.5</v>
      </c>
      <c r="AS1375" s="2">
        <v>135</v>
      </c>
      <c r="AT1375" s="2">
        <v>0</v>
      </c>
      <c r="AU1375" s="2">
        <v>162</v>
      </c>
      <c r="AV1375" s="2">
        <v>9.1</v>
      </c>
      <c r="AW1375" s="2">
        <v>9.1999999999999993</v>
      </c>
      <c r="AX1375" s="2">
        <v>18.3</v>
      </c>
      <c r="AY1375" s="2">
        <v>0.34</v>
      </c>
      <c r="AZ1375" s="2">
        <v>7.3</v>
      </c>
      <c r="BA1375" s="2">
        <v>0.9</v>
      </c>
      <c r="BB1375" s="2">
        <v>7.5</v>
      </c>
      <c r="BC1375" s="2">
        <v>2.9</v>
      </c>
      <c r="BD1375" s="2">
        <f>+AN1375*EXP(-0.0495*Y1375)</f>
        <v>2.0399669087139145</v>
      </c>
      <c r="BE1375" s="2">
        <f>+AO1375*EXP(-0.024*Y1375)</f>
        <v>10.07400020438496</v>
      </c>
    </row>
    <row r="1376" spans="1:57" x14ac:dyDescent="0.2">
      <c r="A1376" s="2" t="s">
        <v>2070</v>
      </c>
      <c r="B1376" s="2" t="s">
        <v>19</v>
      </c>
      <c r="C1376" s="2" t="s">
        <v>1907</v>
      </c>
      <c r="D1376" s="2" t="s">
        <v>21</v>
      </c>
      <c r="E1376" s="2" t="s">
        <v>177</v>
      </c>
      <c r="F1376" s="2">
        <v>6</v>
      </c>
      <c r="G1376" s="2">
        <v>413</v>
      </c>
      <c r="H1376" s="2">
        <v>5</v>
      </c>
      <c r="I1376" s="2">
        <v>5</v>
      </c>
      <c r="J1376" s="2">
        <v>4</v>
      </c>
      <c r="K1376" s="2" t="s">
        <v>61</v>
      </c>
      <c r="L1376" s="6" t="s">
        <v>113</v>
      </c>
      <c r="M1376" s="5">
        <v>1590000000</v>
      </c>
      <c r="N1376" s="2">
        <v>0</v>
      </c>
      <c r="O1376" s="2">
        <v>4.6954650879999997</v>
      </c>
      <c r="P1376" s="2">
        <v>-74.042587280000006</v>
      </c>
      <c r="Q1376" s="2" t="s">
        <v>2071</v>
      </c>
      <c r="R1376" s="2">
        <v>3849878.9350000001</v>
      </c>
      <c r="S1376" s="2">
        <v>0</v>
      </c>
      <c r="T1376" s="2" t="s">
        <v>55</v>
      </c>
      <c r="U1376" s="2" t="s">
        <v>56</v>
      </c>
      <c r="V1376" s="2" t="s">
        <v>28</v>
      </c>
      <c r="W1376" s="2" t="s">
        <v>55</v>
      </c>
      <c r="X1376" s="2" t="s">
        <v>57</v>
      </c>
      <c r="Y1376" s="2">
        <v>2.1374754373078</v>
      </c>
      <c r="Z1376" s="2">
        <v>4.71035</v>
      </c>
      <c r="AA1376" s="2">
        <v>-74.030416666666696</v>
      </c>
      <c r="AB1376" s="2">
        <v>2570</v>
      </c>
      <c r="AC1376" s="2" t="s">
        <v>31</v>
      </c>
      <c r="AD1376" s="2" t="s">
        <v>58</v>
      </c>
      <c r="AE1376" s="2" t="s">
        <v>33</v>
      </c>
      <c r="AF1376" s="2" t="s">
        <v>34</v>
      </c>
      <c r="AG1376" s="2" t="s">
        <v>59</v>
      </c>
      <c r="AH1376" s="2">
        <v>1.4408829332575399</v>
      </c>
      <c r="AI1376" s="2">
        <v>1.8158291635891199</v>
      </c>
      <c r="AJ1376" s="2">
        <v>0.84034559994782598</v>
      </c>
      <c r="AK1376" s="2">
        <v>6.3029592167782797E-2</v>
      </c>
      <c r="AL1376" s="2">
        <v>0.28454107249999</v>
      </c>
      <c r="AM1376" s="2">
        <v>15.5</v>
      </c>
      <c r="AN1376" s="2">
        <v>2.4</v>
      </c>
      <c r="AO1376" s="2">
        <v>10.9</v>
      </c>
      <c r="AP1376" s="2">
        <v>564</v>
      </c>
      <c r="AQ1376" s="2">
        <v>68</v>
      </c>
      <c r="AR1376" s="2">
        <v>1.5</v>
      </c>
      <c r="AS1376" s="2">
        <v>135</v>
      </c>
      <c r="AT1376" s="2">
        <v>0</v>
      </c>
      <c r="AU1376" s="2">
        <v>162</v>
      </c>
      <c r="AV1376" s="2">
        <v>9.1</v>
      </c>
      <c r="AW1376" s="2">
        <v>9.1999999999999993</v>
      </c>
      <c r="AX1376" s="2">
        <v>18.3</v>
      </c>
      <c r="AY1376" s="2">
        <v>0.34</v>
      </c>
      <c r="AZ1376" s="2">
        <v>7.3</v>
      </c>
      <c r="BA1376" s="2">
        <v>0.9</v>
      </c>
      <c r="BB1376" s="2">
        <v>7.5</v>
      </c>
      <c r="BC1376" s="2">
        <v>2.9</v>
      </c>
      <c r="BD1376" s="2">
        <f>+AN1376*EXP(-0.0495*Y1376)</f>
        <v>2.1590400534367595</v>
      </c>
      <c r="BE1376" s="2">
        <f>+AO1376*EXP(-0.024*Y1376)</f>
        <v>10.354936667897025</v>
      </c>
    </row>
    <row r="1377" spans="1:57" x14ac:dyDescent="0.2">
      <c r="A1377" s="2" t="s">
        <v>2290</v>
      </c>
      <c r="B1377" s="2" t="s">
        <v>19</v>
      </c>
      <c r="C1377" s="2" t="s">
        <v>1907</v>
      </c>
      <c r="D1377" s="2" t="s">
        <v>21</v>
      </c>
      <c r="E1377" s="2" t="s">
        <v>513</v>
      </c>
      <c r="F1377" s="2">
        <v>6</v>
      </c>
      <c r="G1377" s="2">
        <v>408</v>
      </c>
      <c r="H1377" s="2">
        <v>3</v>
      </c>
      <c r="I1377" s="2">
        <v>3</v>
      </c>
      <c r="J1377" s="2">
        <v>2</v>
      </c>
      <c r="K1377" s="2" t="s">
        <v>61</v>
      </c>
      <c r="L1377" s="6" t="s">
        <v>113</v>
      </c>
      <c r="M1377" s="5">
        <v>2100000000</v>
      </c>
      <c r="N1377" s="2">
        <v>0</v>
      </c>
      <c r="O1377" s="2">
        <v>4.6924949619999996</v>
      </c>
      <c r="P1377" s="2">
        <v>-74.030342099999999</v>
      </c>
      <c r="Q1377" s="2" t="s">
        <v>2291</v>
      </c>
      <c r="R1377" s="2">
        <v>5147058.824</v>
      </c>
      <c r="S1377" s="2">
        <v>0</v>
      </c>
      <c r="T1377" s="2" t="s">
        <v>55</v>
      </c>
      <c r="U1377" s="2" t="s">
        <v>56</v>
      </c>
      <c r="V1377" s="2" t="s">
        <v>28</v>
      </c>
      <c r="W1377" s="2" t="s">
        <v>55</v>
      </c>
      <c r="X1377" s="2" t="s">
        <v>57</v>
      </c>
      <c r="Y1377" s="2">
        <v>1.98763095458497</v>
      </c>
      <c r="Z1377" s="2">
        <v>4.71035</v>
      </c>
      <c r="AA1377" s="2">
        <v>-74.030416666666696</v>
      </c>
      <c r="AB1377" s="2">
        <v>2570</v>
      </c>
      <c r="AC1377" s="2" t="s">
        <v>31</v>
      </c>
      <c r="AD1377" s="2" t="s">
        <v>58</v>
      </c>
      <c r="AE1377" s="2" t="s">
        <v>33</v>
      </c>
      <c r="AF1377" s="2" t="s">
        <v>34</v>
      </c>
      <c r="AG1377" s="2" t="s">
        <v>59</v>
      </c>
      <c r="AH1377" s="2">
        <v>2.8373623317762302</v>
      </c>
      <c r="AI1377" s="2">
        <v>0.41941551998646298</v>
      </c>
      <c r="AJ1377" s="2">
        <v>0.22789257304708499</v>
      </c>
      <c r="AK1377" s="2">
        <v>0.14056199959108001</v>
      </c>
      <c r="AL1377" s="2">
        <v>0.59263819994200095</v>
      </c>
      <c r="AM1377" s="2">
        <v>15.5</v>
      </c>
      <c r="AN1377" s="2">
        <v>2.4</v>
      </c>
      <c r="AO1377" s="2">
        <v>10.9</v>
      </c>
      <c r="AP1377" s="2">
        <v>564</v>
      </c>
      <c r="AQ1377" s="2">
        <v>68</v>
      </c>
      <c r="AR1377" s="2">
        <v>1.5</v>
      </c>
      <c r="AS1377" s="2">
        <v>135</v>
      </c>
      <c r="AT1377" s="2">
        <v>0</v>
      </c>
      <c r="AU1377" s="2">
        <v>162</v>
      </c>
      <c r="AV1377" s="2">
        <v>9.1</v>
      </c>
      <c r="AW1377" s="2">
        <v>9.1999999999999993</v>
      </c>
      <c r="AX1377" s="2">
        <v>18.3</v>
      </c>
      <c r="AY1377" s="2">
        <v>0.34</v>
      </c>
      <c r="AZ1377" s="2">
        <v>7.3</v>
      </c>
      <c r="BA1377" s="2">
        <v>0.9</v>
      </c>
      <c r="BB1377" s="2">
        <v>7.5</v>
      </c>
      <c r="BC1377" s="2">
        <v>2.9</v>
      </c>
      <c r="BD1377" s="2">
        <f>+AN1377*EXP(-0.0495*Y1377)</f>
        <v>2.1751138437001152</v>
      </c>
      <c r="BE1377" s="2">
        <f>+AO1377*EXP(-0.024*Y1377)</f>
        <v>10.392242832251767</v>
      </c>
    </row>
    <row r="1378" spans="1:57" x14ac:dyDescent="0.2">
      <c r="A1378" s="2" t="s">
        <v>1131</v>
      </c>
      <c r="B1378" s="2" t="s">
        <v>19</v>
      </c>
      <c r="C1378" s="2" t="s">
        <v>20</v>
      </c>
      <c r="D1378" s="2" t="s">
        <v>21</v>
      </c>
      <c r="E1378" s="2" t="s">
        <v>1132</v>
      </c>
      <c r="F1378" s="2">
        <v>6</v>
      </c>
      <c r="G1378" s="2">
        <v>402</v>
      </c>
      <c r="H1378" s="2">
        <v>4</v>
      </c>
      <c r="I1378" s="2">
        <v>5</v>
      </c>
      <c r="J1378" s="2">
        <v>3</v>
      </c>
      <c r="K1378" s="2" t="s">
        <v>61</v>
      </c>
      <c r="L1378" s="6" t="s">
        <v>113</v>
      </c>
      <c r="M1378" s="5">
        <v>4000000000</v>
      </c>
      <c r="N1378" s="2">
        <v>0</v>
      </c>
      <c r="O1378" s="2">
        <v>4.6716329999999999</v>
      </c>
      <c r="P1378" s="2">
        <v>-74.044578000000001</v>
      </c>
      <c r="Q1378" s="2" t="s">
        <v>1133</v>
      </c>
      <c r="R1378" s="2">
        <v>9950248.7559999991</v>
      </c>
      <c r="S1378" s="2">
        <v>0</v>
      </c>
      <c r="T1378" s="2" t="s">
        <v>55</v>
      </c>
      <c r="U1378" s="2" t="s">
        <v>56</v>
      </c>
      <c r="V1378" s="2" t="s">
        <v>28</v>
      </c>
      <c r="W1378" s="2" t="s">
        <v>55</v>
      </c>
      <c r="X1378" s="2" t="s">
        <v>57</v>
      </c>
      <c r="Y1378" s="2">
        <v>4.5874006550149602</v>
      </c>
      <c r="Z1378" s="2">
        <v>4.71035</v>
      </c>
      <c r="AA1378" s="2">
        <v>-74.030416666666696</v>
      </c>
      <c r="AB1378" s="2">
        <v>2570</v>
      </c>
      <c r="AC1378" s="2" t="s">
        <v>31</v>
      </c>
      <c r="AD1378" s="2" t="s">
        <v>58</v>
      </c>
      <c r="AE1378" s="2" t="s">
        <v>33</v>
      </c>
      <c r="AF1378" s="2" t="s">
        <v>34</v>
      </c>
      <c r="AG1378" s="2" t="s">
        <v>81</v>
      </c>
      <c r="AH1378" s="2">
        <v>1.67219583864826</v>
      </c>
      <c r="AI1378" s="2">
        <v>0.38836419354459101</v>
      </c>
      <c r="AJ1378" s="2">
        <v>1.25824960476814</v>
      </c>
      <c r="AK1378" s="2">
        <v>0.51245431742255598</v>
      </c>
      <c r="AL1378" s="2">
        <v>0.75774982013083902</v>
      </c>
      <c r="AM1378" s="2">
        <v>15.5</v>
      </c>
      <c r="AN1378" s="2">
        <v>2.4</v>
      </c>
      <c r="AO1378" s="2">
        <v>10.9</v>
      </c>
      <c r="AP1378" s="2">
        <v>564</v>
      </c>
      <c r="AQ1378" s="2">
        <v>68</v>
      </c>
      <c r="AR1378" s="2">
        <v>1.5</v>
      </c>
      <c r="AS1378" s="2">
        <v>135</v>
      </c>
      <c r="AT1378" s="2">
        <v>0</v>
      </c>
      <c r="AU1378" s="2">
        <v>162</v>
      </c>
      <c r="AV1378" s="2">
        <v>9.1</v>
      </c>
      <c r="AW1378" s="2">
        <v>9.1999999999999993</v>
      </c>
      <c r="AX1378" s="2">
        <v>18.3</v>
      </c>
      <c r="AY1378" s="2">
        <v>0.34</v>
      </c>
      <c r="AZ1378" s="2">
        <v>7.3</v>
      </c>
      <c r="BA1378" s="2">
        <v>0.9</v>
      </c>
      <c r="BB1378" s="2">
        <v>7.5</v>
      </c>
      <c r="BC1378" s="2">
        <v>2.9</v>
      </c>
      <c r="BD1378" s="2">
        <f>+AN1378*EXP(-0.0495*Y1378)</f>
        <v>1.9124638889215737</v>
      </c>
      <c r="BE1378" s="2">
        <f>+AO1378*EXP(-0.024*Y1378)</f>
        <v>9.7636389435638211</v>
      </c>
    </row>
    <row r="1379" spans="1:57" x14ac:dyDescent="0.2">
      <c r="A1379" s="2" t="s">
        <v>1657</v>
      </c>
      <c r="B1379" s="2" t="s">
        <v>19</v>
      </c>
      <c r="C1379" s="2" t="s">
        <v>20</v>
      </c>
      <c r="D1379" s="2" t="s">
        <v>21</v>
      </c>
      <c r="E1379" s="2" t="s">
        <v>1658</v>
      </c>
      <c r="F1379" s="2">
        <v>6</v>
      </c>
      <c r="G1379" s="2">
        <v>402</v>
      </c>
      <c r="H1379" s="2">
        <v>4</v>
      </c>
      <c r="I1379" s="2">
        <v>5</v>
      </c>
      <c r="J1379" s="2">
        <v>4</v>
      </c>
      <c r="K1379" s="2" t="s">
        <v>61</v>
      </c>
      <c r="L1379" s="6" t="s">
        <v>113</v>
      </c>
      <c r="M1379" s="5">
        <v>2700000000</v>
      </c>
      <c r="N1379" s="2">
        <v>0</v>
      </c>
      <c r="O1379" s="2">
        <v>4.7168889050000002</v>
      </c>
      <c r="P1379" s="2">
        <v>-74.023139950000001</v>
      </c>
      <c r="Q1379" s="2" t="s">
        <v>1659</v>
      </c>
      <c r="R1379" s="2">
        <v>6716417.9100000001</v>
      </c>
      <c r="S1379" s="2">
        <v>0</v>
      </c>
      <c r="T1379" s="2" t="s">
        <v>55</v>
      </c>
      <c r="U1379" s="2" t="s">
        <v>56</v>
      </c>
      <c r="V1379" s="2" t="s">
        <v>28</v>
      </c>
      <c r="W1379" s="2" t="s">
        <v>55</v>
      </c>
      <c r="X1379" s="2" t="s">
        <v>57</v>
      </c>
      <c r="Y1379" s="2">
        <v>1.0870068647438</v>
      </c>
      <c r="Z1379" s="2">
        <v>4.71035</v>
      </c>
      <c r="AA1379" s="2">
        <v>-74.030416666666696</v>
      </c>
      <c r="AB1379" s="2">
        <v>2570</v>
      </c>
      <c r="AC1379" s="2" t="s">
        <v>31</v>
      </c>
      <c r="AD1379" s="2" t="s">
        <v>58</v>
      </c>
      <c r="AE1379" s="2" t="s">
        <v>33</v>
      </c>
      <c r="AF1379" s="2" t="s">
        <v>34</v>
      </c>
      <c r="AG1379" s="2" t="s">
        <v>59</v>
      </c>
      <c r="AH1379" s="2">
        <v>3.1751156759663899</v>
      </c>
      <c r="AI1379" s="2">
        <v>7.1089377615250998E-2</v>
      </c>
      <c r="AJ1379" s="2">
        <v>1.26631163095744</v>
      </c>
      <c r="AK1379" s="2">
        <v>0.70228327644065403</v>
      </c>
      <c r="AL1379" s="2">
        <v>0.60070654022855297</v>
      </c>
      <c r="AM1379" s="2">
        <v>15.5</v>
      </c>
      <c r="AN1379" s="2">
        <v>2.4</v>
      </c>
      <c r="AO1379" s="2">
        <v>10.9</v>
      </c>
      <c r="AP1379" s="2">
        <v>564</v>
      </c>
      <c r="AQ1379" s="2">
        <v>68</v>
      </c>
      <c r="AR1379" s="2">
        <v>1.5</v>
      </c>
      <c r="AS1379" s="2">
        <v>135</v>
      </c>
      <c r="AT1379" s="2">
        <v>0</v>
      </c>
      <c r="AU1379" s="2">
        <v>162</v>
      </c>
      <c r="AV1379" s="2">
        <v>9.1</v>
      </c>
      <c r="AW1379" s="2">
        <v>9.1999999999999993</v>
      </c>
      <c r="AX1379" s="2">
        <v>18.3</v>
      </c>
      <c r="AY1379" s="2">
        <v>0.34</v>
      </c>
      <c r="AZ1379" s="2">
        <v>7.3</v>
      </c>
      <c r="BA1379" s="2">
        <v>0.9</v>
      </c>
      <c r="BB1379" s="2">
        <v>7.5</v>
      </c>
      <c r="BC1379" s="2">
        <v>2.9</v>
      </c>
      <c r="BD1379" s="2">
        <f>+AN1379*EXP(-0.0495*Y1379)</f>
        <v>2.2742763128359287</v>
      </c>
      <c r="BE1379" s="2">
        <f>+AO1379*EXP(-0.024*Y1379)</f>
        <v>10.619316186064443</v>
      </c>
    </row>
    <row r="1380" spans="1:57" x14ac:dyDescent="0.2">
      <c r="A1380" s="2" t="s">
        <v>841</v>
      </c>
      <c r="B1380" s="2" t="s">
        <v>19</v>
      </c>
      <c r="C1380" s="2" t="s">
        <v>20</v>
      </c>
      <c r="D1380" s="2" t="s">
        <v>21</v>
      </c>
      <c r="E1380" s="2" t="s">
        <v>842</v>
      </c>
      <c r="F1380" s="2">
        <v>6</v>
      </c>
      <c r="G1380" s="2">
        <v>400</v>
      </c>
      <c r="H1380" s="2">
        <v>4</v>
      </c>
      <c r="I1380" s="2">
        <v>5</v>
      </c>
      <c r="J1380" s="2">
        <v>4</v>
      </c>
      <c r="K1380" s="2" t="s">
        <v>61</v>
      </c>
      <c r="L1380" s="6" t="s">
        <v>75</v>
      </c>
      <c r="M1380" s="5">
        <v>3500000000</v>
      </c>
      <c r="N1380" s="2">
        <v>0</v>
      </c>
      <c r="O1380" s="2">
        <v>4.6755659950000004</v>
      </c>
      <c r="P1380" s="2">
        <v>-74.045463810000001</v>
      </c>
      <c r="Q1380" s="2" t="s">
        <v>843</v>
      </c>
      <c r="R1380" s="2">
        <v>8750000</v>
      </c>
      <c r="S1380" s="2">
        <v>0</v>
      </c>
      <c r="T1380" s="2" t="s">
        <v>55</v>
      </c>
      <c r="U1380" s="2" t="s">
        <v>56</v>
      </c>
      <c r="V1380" s="2" t="s">
        <v>28</v>
      </c>
      <c r="W1380" s="2" t="s">
        <v>55</v>
      </c>
      <c r="X1380" s="2" t="s">
        <v>57</v>
      </c>
      <c r="Y1380" s="2">
        <v>4.2166846244701102</v>
      </c>
      <c r="Z1380" s="2">
        <v>4.71035</v>
      </c>
      <c r="AA1380" s="2">
        <v>-74.030416666666696</v>
      </c>
      <c r="AB1380" s="2">
        <v>2570</v>
      </c>
      <c r="AC1380" s="2" t="s">
        <v>31</v>
      </c>
      <c r="AD1380" s="2" t="s">
        <v>58</v>
      </c>
      <c r="AE1380" s="2" t="s">
        <v>33</v>
      </c>
      <c r="AF1380" s="2" t="s">
        <v>34</v>
      </c>
      <c r="AG1380" s="2" t="s">
        <v>81</v>
      </c>
      <c r="AH1380" s="2">
        <v>1.5038318193588101</v>
      </c>
      <c r="AI1380" s="2">
        <v>0.67790609230999199</v>
      </c>
      <c r="AJ1380" s="2">
        <v>1.02352164553092</v>
      </c>
      <c r="AK1380" s="2">
        <v>0.13712165647140601</v>
      </c>
      <c r="AL1380" s="2">
        <v>1.0785416572804101</v>
      </c>
      <c r="AM1380" s="2">
        <v>15.5</v>
      </c>
      <c r="AN1380" s="2">
        <v>2.4</v>
      </c>
      <c r="AO1380" s="2">
        <v>10.9</v>
      </c>
      <c r="AP1380" s="2">
        <v>564</v>
      </c>
      <c r="AQ1380" s="2">
        <v>68</v>
      </c>
      <c r="AR1380" s="2">
        <v>1.5</v>
      </c>
      <c r="AS1380" s="2">
        <v>135</v>
      </c>
      <c r="AT1380" s="2">
        <v>0</v>
      </c>
      <c r="AU1380" s="2">
        <v>162</v>
      </c>
      <c r="AV1380" s="2">
        <v>9.1</v>
      </c>
      <c r="AW1380" s="2">
        <v>9.1999999999999993</v>
      </c>
      <c r="AX1380" s="2">
        <v>18.3</v>
      </c>
      <c r="AY1380" s="2">
        <v>0.34</v>
      </c>
      <c r="AZ1380" s="2">
        <v>7.3</v>
      </c>
      <c r="BA1380" s="2">
        <v>0.9</v>
      </c>
      <c r="BB1380" s="2">
        <v>7.5</v>
      </c>
      <c r="BC1380" s="2">
        <v>2.9</v>
      </c>
      <c r="BD1380" s="2">
        <f>+AN1380*EXP(-0.0495*Y1380)</f>
        <v>1.9478824285451659</v>
      </c>
      <c r="BE1380" s="2">
        <f>+AO1380*EXP(-0.024*Y1380)</f>
        <v>9.8508954358769216</v>
      </c>
    </row>
    <row r="1381" spans="1:57" x14ac:dyDescent="0.2">
      <c r="A1381" s="2" t="s">
        <v>2632</v>
      </c>
      <c r="B1381" s="2" t="s">
        <v>19</v>
      </c>
      <c r="C1381" s="2" t="s">
        <v>1907</v>
      </c>
      <c r="D1381" s="2" t="s">
        <v>21</v>
      </c>
      <c r="E1381" s="2" t="s">
        <v>295</v>
      </c>
      <c r="F1381" s="2">
        <v>5</v>
      </c>
      <c r="G1381" s="2">
        <v>400</v>
      </c>
      <c r="H1381" s="2">
        <v>5</v>
      </c>
      <c r="I1381" s="2">
        <v>5</v>
      </c>
      <c r="J1381" s="2">
        <v>4</v>
      </c>
      <c r="K1381" s="2" t="s">
        <v>61</v>
      </c>
      <c r="L1381" s="6" t="s">
        <v>62</v>
      </c>
      <c r="M1381" s="5">
        <v>2090000000</v>
      </c>
      <c r="N1381" s="2">
        <v>0</v>
      </c>
      <c r="O1381" s="2">
        <v>4.6990603560000004</v>
      </c>
      <c r="P1381" s="2">
        <v>-74.061605929999999</v>
      </c>
      <c r="Q1381" s="2" t="s">
        <v>2633</v>
      </c>
      <c r="R1381" s="2">
        <v>5225000</v>
      </c>
      <c r="S1381" s="2">
        <v>0</v>
      </c>
      <c r="T1381" s="2" t="s">
        <v>55</v>
      </c>
      <c r="U1381" s="2" t="s">
        <v>56</v>
      </c>
      <c r="V1381" s="2" t="s">
        <v>28</v>
      </c>
      <c r="W1381" s="2" t="s">
        <v>55</v>
      </c>
      <c r="X1381" s="2" t="s">
        <v>57</v>
      </c>
      <c r="Y1381" s="2">
        <v>3.6814317506401499</v>
      </c>
      <c r="Z1381" s="2">
        <v>4.71035</v>
      </c>
      <c r="AA1381" s="2">
        <v>-74.030416666666696</v>
      </c>
      <c r="AB1381" s="2">
        <v>2570</v>
      </c>
      <c r="AC1381" s="2" t="s">
        <v>31</v>
      </c>
      <c r="AD1381" s="2" t="s">
        <v>58</v>
      </c>
      <c r="AE1381" s="2" t="s">
        <v>33</v>
      </c>
      <c r="AF1381" s="2" t="s">
        <v>34</v>
      </c>
      <c r="AG1381" s="2" t="s">
        <v>72</v>
      </c>
      <c r="AH1381" s="2">
        <v>0.70579309451306904</v>
      </c>
      <c r="AI1381" s="2">
        <v>3.6074106137531201</v>
      </c>
      <c r="AJ1381" s="2">
        <v>0.89801036556459402</v>
      </c>
      <c r="AK1381" s="2">
        <v>0.24523718339433201</v>
      </c>
      <c r="AL1381" s="2">
        <v>9.2323187370896106E-2</v>
      </c>
      <c r="AM1381" s="2">
        <v>15.5</v>
      </c>
      <c r="AN1381" s="2">
        <v>2.4</v>
      </c>
      <c r="AO1381" s="2">
        <v>10.9</v>
      </c>
      <c r="AP1381" s="2">
        <v>564</v>
      </c>
      <c r="AQ1381" s="2">
        <v>68</v>
      </c>
      <c r="AR1381" s="2">
        <v>1.5</v>
      </c>
      <c r="AS1381" s="2">
        <v>135</v>
      </c>
      <c r="AT1381" s="2">
        <v>0</v>
      </c>
      <c r="AU1381" s="2">
        <v>162</v>
      </c>
      <c r="AV1381" s="2">
        <v>9.1</v>
      </c>
      <c r="AW1381" s="2">
        <v>9.1999999999999993</v>
      </c>
      <c r="AX1381" s="2">
        <v>18.3</v>
      </c>
      <c r="AY1381" s="2">
        <v>0.34</v>
      </c>
      <c r="AZ1381" s="2">
        <v>7.3</v>
      </c>
      <c r="BA1381" s="2">
        <v>0.9</v>
      </c>
      <c r="BB1381" s="2">
        <v>7.5</v>
      </c>
      <c r="BC1381" s="2">
        <v>2.9</v>
      </c>
      <c r="BD1381" s="2">
        <f>+AN1381*EXP(-0.0495*Y1381)</f>
        <v>2.0001813784985769</v>
      </c>
      <c r="BE1381" s="2">
        <f>+AO1381*EXP(-0.024*Y1381)</f>
        <v>9.9782570144477543</v>
      </c>
    </row>
    <row r="1382" spans="1:57" x14ac:dyDescent="0.2">
      <c r="A1382" s="2" t="s">
        <v>2715</v>
      </c>
      <c r="B1382" s="2" t="s">
        <v>19</v>
      </c>
      <c r="C1382" s="2" t="s">
        <v>1907</v>
      </c>
      <c r="D1382" s="2" t="s">
        <v>21</v>
      </c>
      <c r="E1382" s="2" t="s">
        <v>2716</v>
      </c>
      <c r="F1382" s="2">
        <v>6</v>
      </c>
      <c r="G1382" s="2">
        <v>400</v>
      </c>
      <c r="H1382" s="2">
        <v>4</v>
      </c>
      <c r="I1382" s="2">
        <v>5</v>
      </c>
      <c r="J1382" s="2">
        <v>4</v>
      </c>
      <c r="K1382" s="2" t="s">
        <v>61</v>
      </c>
      <c r="L1382" s="6" t="s">
        <v>113</v>
      </c>
      <c r="M1382" s="5">
        <v>1800000000</v>
      </c>
      <c r="N1382" s="2">
        <v>0</v>
      </c>
      <c r="O1382" s="2">
        <v>4.7071687999999998</v>
      </c>
      <c r="P1382" s="2">
        <v>-74.048203000000001</v>
      </c>
      <c r="Q1382" s="2" t="s">
        <v>2717</v>
      </c>
      <c r="R1382" s="2">
        <v>4500000</v>
      </c>
      <c r="S1382" s="2">
        <v>0</v>
      </c>
      <c r="T1382" s="2" t="s">
        <v>55</v>
      </c>
      <c r="U1382" s="2" t="s">
        <v>56</v>
      </c>
      <c r="V1382" s="2" t="s">
        <v>28</v>
      </c>
      <c r="W1382" s="2" t="s">
        <v>55</v>
      </c>
      <c r="X1382" s="2" t="s">
        <v>57</v>
      </c>
      <c r="Y1382" s="2">
        <v>2.0048074955311299</v>
      </c>
      <c r="Z1382" s="2">
        <v>4.71035</v>
      </c>
      <c r="AA1382" s="2">
        <v>-74.030416666666696</v>
      </c>
      <c r="AB1382" s="2">
        <v>2570</v>
      </c>
      <c r="AC1382" s="2" t="s">
        <v>31</v>
      </c>
      <c r="AD1382" s="2" t="s">
        <v>58</v>
      </c>
      <c r="AE1382" s="2" t="s">
        <v>33</v>
      </c>
      <c r="AF1382" s="2" t="s">
        <v>34</v>
      </c>
      <c r="AG1382" s="2" t="s">
        <v>59</v>
      </c>
      <c r="AH1382" s="2">
        <v>0.72385635439185503</v>
      </c>
      <c r="AI1382" s="2">
        <v>2.5674103216287198</v>
      </c>
      <c r="AJ1382" s="2">
        <v>1.5442418300408001</v>
      </c>
      <c r="AK1382" s="2">
        <v>0.14544788952815499</v>
      </c>
      <c r="AL1382" s="2">
        <v>0.28342745562864602</v>
      </c>
      <c r="AM1382" s="2">
        <v>15.5</v>
      </c>
      <c r="AN1382" s="2">
        <v>2.4</v>
      </c>
      <c r="AO1382" s="2">
        <v>10.9</v>
      </c>
      <c r="AP1382" s="2">
        <v>564</v>
      </c>
      <c r="AQ1382" s="2">
        <v>68</v>
      </c>
      <c r="AR1382" s="2">
        <v>1.5</v>
      </c>
      <c r="AS1382" s="2">
        <v>135</v>
      </c>
      <c r="AT1382" s="2">
        <v>0</v>
      </c>
      <c r="AU1382" s="2">
        <v>162</v>
      </c>
      <c r="AV1382" s="2">
        <v>9.1</v>
      </c>
      <c r="AW1382" s="2">
        <v>9.1999999999999993</v>
      </c>
      <c r="AX1382" s="2">
        <v>18.3</v>
      </c>
      <c r="AY1382" s="2">
        <v>0.34</v>
      </c>
      <c r="AZ1382" s="2">
        <v>7.3</v>
      </c>
      <c r="BA1382" s="2">
        <v>0.9</v>
      </c>
      <c r="BB1382" s="2">
        <v>7.5</v>
      </c>
      <c r="BC1382" s="2">
        <v>2.9</v>
      </c>
      <c r="BD1382" s="2">
        <f>+AN1382*EXP(-0.0495*Y1382)</f>
        <v>2.1732652635447987</v>
      </c>
      <c r="BE1382" s="2">
        <f>+AO1382*EXP(-0.024*Y1382)</f>
        <v>10.387959648327099</v>
      </c>
    </row>
    <row r="1383" spans="1:57" x14ac:dyDescent="0.2">
      <c r="A1383" s="2" t="s">
        <v>1751</v>
      </c>
      <c r="B1383" s="2" t="s">
        <v>19</v>
      </c>
      <c r="C1383" s="2" t="s">
        <v>20</v>
      </c>
      <c r="D1383" s="2" t="s">
        <v>21</v>
      </c>
      <c r="E1383" s="2" t="s">
        <v>1658</v>
      </c>
      <c r="F1383" s="2">
        <v>6</v>
      </c>
      <c r="G1383" s="2">
        <v>400</v>
      </c>
      <c r="H1383" s="2">
        <v>4</v>
      </c>
      <c r="I1383" s="2">
        <v>5</v>
      </c>
      <c r="J1383" s="2">
        <v>4</v>
      </c>
      <c r="K1383" s="2" t="s">
        <v>61</v>
      </c>
      <c r="L1383" s="6" t="s">
        <v>113</v>
      </c>
      <c r="M1383" s="5">
        <v>3300000000</v>
      </c>
      <c r="N1383" s="2">
        <v>0</v>
      </c>
      <c r="O1383" s="2">
        <v>4.7168889050000002</v>
      </c>
      <c r="P1383" s="2">
        <v>-74.023139950000001</v>
      </c>
      <c r="Q1383" s="2" t="s">
        <v>1752</v>
      </c>
      <c r="R1383" s="2">
        <v>8250000</v>
      </c>
      <c r="S1383" s="2">
        <v>0</v>
      </c>
      <c r="T1383" s="2" t="s">
        <v>55</v>
      </c>
      <c r="U1383" s="2" t="s">
        <v>56</v>
      </c>
      <c r="V1383" s="2" t="s">
        <v>28</v>
      </c>
      <c r="W1383" s="2" t="s">
        <v>55</v>
      </c>
      <c r="X1383" s="2" t="s">
        <v>57</v>
      </c>
      <c r="Y1383" s="2">
        <v>1.0870068647438</v>
      </c>
      <c r="Z1383" s="2">
        <v>4.71035</v>
      </c>
      <c r="AA1383" s="2">
        <v>-74.030416666666696</v>
      </c>
      <c r="AB1383" s="2">
        <v>2570</v>
      </c>
      <c r="AC1383" s="2" t="s">
        <v>31</v>
      </c>
      <c r="AD1383" s="2" t="s">
        <v>58</v>
      </c>
      <c r="AE1383" s="2" t="s">
        <v>33</v>
      </c>
      <c r="AF1383" s="2" t="s">
        <v>34</v>
      </c>
      <c r="AG1383" s="2" t="s">
        <v>59</v>
      </c>
      <c r="AH1383" s="2">
        <v>3.1751156759663899</v>
      </c>
      <c r="AI1383" s="2">
        <v>7.1089377615250998E-2</v>
      </c>
      <c r="AJ1383" s="2">
        <v>1.26631163095744</v>
      </c>
      <c r="AK1383" s="2">
        <v>0.70228327644065403</v>
      </c>
      <c r="AL1383" s="2">
        <v>0.60070654022855297</v>
      </c>
      <c r="AM1383" s="2">
        <v>15.5</v>
      </c>
      <c r="AN1383" s="2">
        <v>2.4</v>
      </c>
      <c r="AO1383" s="2">
        <v>10.9</v>
      </c>
      <c r="AP1383" s="2">
        <v>564</v>
      </c>
      <c r="AQ1383" s="2">
        <v>68</v>
      </c>
      <c r="AR1383" s="2">
        <v>1.5</v>
      </c>
      <c r="AS1383" s="2">
        <v>135</v>
      </c>
      <c r="AT1383" s="2">
        <v>0</v>
      </c>
      <c r="AU1383" s="2">
        <v>162</v>
      </c>
      <c r="AV1383" s="2">
        <v>9.1</v>
      </c>
      <c r="AW1383" s="2">
        <v>9.1999999999999993</v>
      </c>
      <c r="AX1383" s="2">
        <v>18.3</v>
      </c>
      <c r="AY1383" s="2">
        <v>0.34</v>
      </c>
      <c r="AZ1383" s="2">
        <v>7.3</v>
      </c>
      <c r="BA1383" s="2">
        <v>0.9</v>
      </c>
      <c r="BB1383" s="2">
        <v>7.5</v>
      </c>
      <c r="BC1383" s="2">
        <v>2.9</v>
      </c>
      <c r="BD1383" s="2">
        <f>+AN1383*EXP(-0.0495*Y1383)</f>
        <v>2.2742763128359287</v>
      </c>
      <c r="BE1383" s="2">
        <f>+AO1383*EXP(-0.024*Y1383)</f>
        <v>10.619316186064443</v>
      </c>
    </row>
    <row r="1384" spans="1:57" x14ac:dyDescent="0.2">
      <c r="A1384" s="2" t="s">
        <v>2917</v>
      </c>
      <c r="B1384" s="2" t="s">
        <v>19</v>
      </c>
      <c r="C1384" s="2" t="s">
        <v>1907</v>
      </c>
      <c r="D1384" s="2" t="s">
        <v>21</v>
      </c>
      <c r="E1384" s="2" t="s">
        <v>383</v>
      </c>
      <c r="F1384" s="2">
        <v>5</v>
      </c>
      <c r="G1384" s="2">
        <v>399</v>
      </c>
      <c r="H1384" s="2">
        <v>5</v>
      </c>
      <c r="I1384" s="2">
        <v>4</v>
      </c>
      <c r="J1384" s="2">
        <v>1</v>
      </c>
      <c r="K1384" s="2" t="s">
        <v>61</v>
      </c>
      <c r="L1384" s="6" t="s">
        <v>113</v>
      </c>
      <c r="M1384" s="5">
        <v>1400000000</v>
      </c>
      <c r="N1384" s="2">
        <v>0</v>
      </c>
      <c r="O1384" s="2">
        <v>4.6899967189999998</v>
      </c>
      <c r="P1384" s="2">
        <v>-74.060043329999999</v>
      </c>
      <c r="Q1384" s="2" t="s">
        <v>2918</v>
      </c>
      <c r="R1384" s="2">
        <v>3508771.93</v>
      </c>
      <c r="S1384" s="2">
        <v>0</v>
      </c>
      <c r="T1384" s="2" t="s">
        <v>55</v>
      </c>
      <c r="U1384" s="2" t="s">
        <v>56</v>
      </c>
      <c r="V1384" s="2" t="s">
        <v>28</v>
      </c>
      <c r="W1384" s="2" t="s">
        <v>55</v>
      </c>
      <c r="X1384" s="2" t="s">
        <v>57</v>
      </c>
      <c r="Y1384" s="2">
        <v>3.9921685564190801</v>
      </c>
      <c r="Z1384" s="2">
        <v>4.71035</v>
      </c>
      <c r="AA1384" s="2">
        <v>-74.030416666666696</v>
      </c>
      <c r="AB1384" s="2">
        <v>2570</v>
      </c>
      <c r="AC1384" s="2" t="s">
        <v>31</v>
      </c>
      <c r="AD1384" s="2" t="s">
        <v>58</v>
      </c>
      <c r="AE1384" s="2" t="s">
        <v>33</v>
      </c>
      <c r="AF1384" s="2" t="s">
        <v>34</v>
      </c>
      <c r="AG1384" s="2" t="s">
        <v>72</v>
      </c>
      <c r="AH1384" s="2">
        <v>0.54050692915227705</v>
      </c>
      <c r="AI1384" s="2">
        <v>2.8816928736482699</v>
      </c>
      <c r="AJ1384" s="2">
        <v>0.92890731399241799</v>
      </c>
      <c r="AK1384" s="2">
        <v>0.108002561519125</v>
      </c>
      <c r="AL1384" s="2">
        <v>0.15614391902274299</v>
      </c>
      <c r="AM1384" s="2">
        <v>15.5</v>
      </c>
      <c r="AN1384" s="2">
        <v>2.4</v>
      </c>
      <c r="AO1384" s="2">
        <v>10.9</v>
      </c>
      <c r="AP1384" s="2">
        <v>564</v>
      </c>
      <c r="AQ1384" s="2">
        <v>68</v>
      </c>
      <c r="AR1384" s="2">
        <v>1.5</v>
      </c>
      <c r="AS1384" s="2">
        <v>135</v>
      </c>
      <c r="AT1384" s="2">
        <v>0</v>
      </c>
      <c r="AU1384" s="2">
        <v>162</v>
      </c>
      <c r="AV1384" s="2">
        <v>9.1</v>
      </c>
      <c r="AW1384" s="2">
        <v>9.1999999999999993</v>
      </c>
      <c r="AX1384" s="2">
        <v>18.3</v>
      </c>
      <c r="AY1384" s="2">
        <v>0.34</v>
      </c>
      <c r="AZ1384" s="2">
        <v>7.3</v>
      </c>
      <c r="BA1384" s="2">
        <v>0.9</v>
      </c>
      <c r="BB1384" s="2">
        <v>7.5</v>
      </c>
      <c r="BC1384" s="2">
        <v>2.9</v>
      </c>
      <c r="BD1384" s="2">
        <f>+AN1384*EXP(-0.0495*Y1384)</f>
        <v>1.9696510474998741</v>
      </c>
      <c r="BE1384" s="2">
        <f>+AO1384*EXP(-0.024*Y1384)</f>
        <v>9.9041191254222891</v>
      </c>
    </row>
    <row r="1385" spans="1:57" x14ac:dyDescent="0.2">
      <c r="A1385" s="2" t="s">
        <v>2896</v>
      </c>
      <c r="B1385" s="2" t="s">
        <v>19</v>
      </c>
      <c r="C1385" s="2" t="s">
        <v>1907</v>
      </c>
      <c r="D1385" s="2" t="s">
        <v>21</v>
      </c>
      <c r="E1385" s="2" t="s">
        <v>513</v>
      </c>
      <c r="F1385" s="2">
        <v>6</v>
      </c>
      <c r="G1385" s="2">
        <v>394</v>
      </c>
      <c r="H1385" s="2">
        <v>3</v>
      </c>
      <c r="I1385" s="2">
        <v>3</v>
      </c>
      <c r="J1385" s="2">
        <v>3</v>
      </c>
      <c r="K1385" s="2" t="s">
        <v>61</v>
      </c>
      <c r="L1385" s="6" t="s">
        <v>113</v>
      </c>
      <c r="M1385" s="5">
        <v>3000000000</v>
      </c>
      <c r="N1385" s="2">
        <v>0</v>
      </c>
      <c r="O1385" s="2">
        <v>4.6927099999999999</v>
      </c>
      <c r="P1385" s="2">
        <v>-74.031170000000003</v>
      </c>
      <c r="Q1385" s="2" t="s">
        <v>2897</v>
      </c>
      <c r="R1385" s="2">
        <v>7614213.1979999999</v>
      </c>
      <c r="S1385" s="2">
        <v>0</v>
      </c>
      <c r="T1385" s="2" t="s">
        <v>55</v>
      </c>
      <c r="U1385" s="2" t="s">
        <v>56</v>
      </c>
      <c r="V1385" s="2" t="s">
        <v>28</v>
      </c>
      <c r="W1385" s="2" t="s">
        <v>55</v>
      </c>
      <c r="X1385" s="2" t="s">
        <v>57</v>
      </c>
      <c r="Y1385" s="2">
        <v>1.9654536584790201</v>
      </c>
      <c r="Z1385" s="2">
        <v>4.71035</v>
      </c>
      <c r="AA1385" s="2">
        <v>-74.030416666666696</v>
      </c>
      <c r="AB1385" s="2">
        <v>2570</v>
      </c>
      <c r="AC1385" s="2" t="s">
        <v>31</v>
      </c>
      <c r="AD1385" s="2" t="s">
        <v>58</v>
      </c>
      <c r="AE1385" s="2" t="s">
        <v>33</v>
      </c>
      <c r="AF1385" s="2" t="s">
        <v>34</v>
      </c>
      <c r="AG1385" s="2" t="s">
        <v>59</v>
      </c>
      <c r="AH1385" s="2">
        <v>2.7425909676882698</v>
      </c>
      <c r="AI1385" s="2">
        <v>0.51419048018620805</v>
      </c>
      <c r="AJ1385" s="2">
        <v>0.25201749952332297</v>
      </c>
      <c r="AK1385" s="2">
        <v>6.0067891675904199E-2</v>
      </c>
      <c r="AL1385" s="2">
        <v>0.52190146648384195</v>
      </c>
      <c r="AM1385" s="2">
        <v>15.5</v>
      </c>
      <c r="AN1385" s="2">
        <v>2.4</v>
      </c>
      <c r="AO1385" s="2">
        <v>10.9</v>
      </c>
      <c r="AP1385" s="2">
        <v>564</v>
      </c>
      <c r="AQ1385" s="2">
        <v>68</v>
      </c>
      <c r="AR1385" s="2">
        <v>1.5</v>
      </c>
      <c r="AS1385" s="2">
        <v>135</v>
      </c>
      <c r="AT1385" s="2">
        <v>0</v>
      </c>
      <c r="AU1385" s="2">
        <v>162</v>
      </c>
      <c r="AV1385" s="2">
        <v>9.1</v>
      </c>
      <c r="AW1385" s="2">
        <v>9.1999999999999993</v>
      </c>
      <c r="AX1385" s="2">
        <v>18.3</v>
      </c>
      <c r="AY1385" s="2">
        <v>0.34</v>
      </c>
      <c r="AZ1385" s="2">
        <v>7.3</v>
      </c>
      <c r="BA1385" s="2">
        <v>0.9</v>
      </c>
      <c r="BB1385" s="2">
        <v>7.5</v>
      </c>
      <c r="BC1385" s="2">
        <v>2.9</v>
      </c>
      <c r="BD1385" s="2">
        <f>+AN1385*EXP(-0.0495*Y1385)</f>
        <v>2.1775029429251775</v>
      </c>
      <c r="BE1385" s="2">
        <f>+AO1385*EXP(-0.024*Y1385)</f>
        <v>10.397775628866674</v>
      </c>
    </row>
    <row r="1386" spans="1:57" x14ac:dyDescent="0.2">
      <c r="A1386" s="2" t="s">
        <v>2697</v>
      </c>
      <c r="B1386" s="2" t="s">
        <v>19</v>
      </c>
      <c r="C1386" s="2" t="s">
        <v>1907</v>
      </c>
      <c r="D1386" s="2" t="s">
        <v>21</v>
      </c>
      <c r="E1386" s="2" t="s">
        <v>1230</v>
      </c>
      <c r="F1386" s="2">
        <v>5</v>
      </c>
      <c r="G1386" s="2">
        <v>391</v>
      </c>
      <c r="H1386" s="2">
        <v>5</v>
      </c>
      <c r="I1386" s="2">
        <v>4</v>
      </c>
      <c r="J1386" s="2">
        <v>4</v>
      </c>
      <c r="K1386" s="2" t="s">
        <v>61</v>
      </c>
      <c r="L1386" s="6" t="s">
        <v>113</v>
      </c>
      <c r="M1386" s="5">
        <v>930000000</v>
      </c>
      <c r="N1386" s="2">
        <v>0</v>
      </c>
      <c r="O1386" s="2">
        <v>4.7027299999999999</v>
      </c>
      <c r="P1386" s="2">
        <v>-74.059709999999995</v>
      </c>
      <c r="Q1386" s="2" t="s">
        <v>2698</v>
      </c>
      <c r="R1386" s="2">
        <v>2378516.6239999998</v>
      </c>
      <c r="S1386" s="2">
        <v>0</v>
      </c>
      <c r="T1386" s="2" t="s">
        <v>55</v>
      </c>
      <c r="U1386" s="2" t="s">
        <v>56</v>
      </c>
      <c r="V1386" s="2" t="s">
        <v>28</v>
      </c>
      <c r="W1386" s="2" t="s">
        <v>55</v>
      </c>
      <c r="X1386" s="2" t="s">
        <v>57</v>
      </c>
      <c r="Y1386" s="2">
        <v>3.35879988344848</v>
      </c>
      <c r="Z1386" s="2">
        <v>4.71035</v>
      </c>
      <c r="AA1386" s="2">
        <v>-74.030416666666696</v>
      </c>
      <c r="AB1386" s="2">
        <v>2570</v>
      </c>
      <c r="AC1386" s="2" t="s">
        <v>31</v>
      </c>
      <c r="AD1386" s="2" t="s">
        <v>58</v>
      </c>
      <c r="AE1386" s="2" t="s">
        <v>33</v>
      </c>
      <c r="AF1386" s="2" t="s">
        <v>34</v>
      </c>
      <c r="AG1386" s="2" t="s">
        <v>72</v>
      </c>
      <c r="AH1386" s="2">
        <v>0.64371974327405002</v>
      </c>
      <c r="AI1386" s="2">
        <v>3.7261988008491702</v>
      </c>
      <c r="AJ1386" s="2">
        <v>1.22433873805603</v>
      </c>
      <c r="AK1386" s="2">
        <v>0.13979593211390201</v>
      </c>
      <c r="AL1386" s="2">
        <v>7.6909055449124006E-2</v>
      </c>
      <c r="AM1386" s="2">
        <v>15.5</v>
      </c>
      <c r="AN1386" s="2">
        <v>2.4</v>
      </c>
      <c r="AO1386" s="2">
        <v>10.9</v>
      </c>
      <c r="AP1386" s="2">
        <v>564</v>
      </c>
      <c r="AQ1386" s="2">
        <v>68</v>
      </c>
      <c r="AR1386" s="2">
        <v>1.5</v>
      </c>
      <c r="AS1386" s="2">
        <v>135</v>
      </c>
      <c r="AT1386" s="2">
        <v>0</v>
      </c>
      <c r="AU1386" s="2">
        <v>162</v>
      </c>
      <c r="AV1386" s="2">
        <v>9.1</v>
      </c>
      <c r="AW1386" s="2">
        <v>9.1999999999999993</v>
      </c>
      <c r="AX1386" s="2">
        <v>18.3</v>
      </c>
      <c r="AY1386" s="2">
        <v>0.34</v>
      </c>
      <c r="AZ1386" s="2">
        <v>7.3</v>
      </c>
      <c r="BA1386" s="2">
        <v>0.9</v>
      </c>
      <c r="BB1386" s="2">
        <v>7.5</v>
      </c>
      <c r="BC1386" s="2">
        <v>2.9</v>
      </c>
      <c r="BD1386" s="2">
        <f>+AN1386*EXP(-0.0495*Y1386)</f>
        <v>2.0323812662071599</v>
      </c>
      <c r="BE1386" s="2">
        <f>+AO1386*EXP(-0.024*Y1386)</f>
        <v>10.055820207812848</v>
      </c>
    </row>
    <row r="1387" spans="1:57" x14ac:dyDescent="0.2">
      <c r="A1387" s="2" t="s">
        <v>698</v>
      </c>
      <c r="B1387" s="2" t="s">
        <v>19</v>
      </c>
      <c r="C1387" s="2" t="s">
        <v>20</v>
      </c>
      <c r="D1387" s="2" t="s">
        <v>21</v>
      </c>
      <c r="E1387" s="2" t="s">
        <v>699</v>
      </c>
      <c r="F1387" s="2">
        <v>6</v>
      </c>
      <c r="G1387" s="2">
        <v>390</v>
      </c>
      <c r="H1387" s="2">
        <v>3</v>
      </c>
      <c r="I1387" s="2">
        <v>3</v>
      </c>
      <c r="J1387" s="2">
        <v>3</v>
      </c>
      <c r="K1387" s="2" t="s">
        <v>61</v>
      </c>
      <c r="L1387" s="6" t="s">
        <v>75</v>
      </c>
      <c r="M1387" s="5">
        <v>2500000000</v>
      </c>
      <c r="N1387" s="2">
        <v>0</v>
      </c>
      <c r="O1387" s="2">
        <v>4.6927950000000003</v>
      </c>
      <c r="P1387" s="2">
        <v>-74.041478100000006</v>
      </c>
      <c r="Q1387" s="2" t="s">
        <v>700</v>
      </c>
      <c r="R1387" s="2">
        <v>6410256.4100000001</v>
      </c>
      <c r="S1387" s="2">
        <v>0</v>
      </c>
      <c r="T1387" s="2" t="s">
        <v>55</v>
      </c>
      <c r="U1387" s="2" t="s">
        <v>56</v>
      </c>
      <c r="V1387" s="2" t="s">
        <v>28</v>
      </c>
      <c r="W1387" s="2" t="s">
        <v>55</v>
      </c>
      <c r="X1387" s="2" t="s">
        <v>57</v>
      </c>
      <c r="Y1387" s="2">
        <v>2.3075950456274801</v>
      </c>
      <c r="Z1387" s="2">
        <v>4.71035</v>
      </c>
      <c r="AA1387" s="2">
        <v>-74.030416666666696</v>
      </c>
      <c r="AB1387" s="2">
        <v>2570</v>
      </c>
      <c r="AC1387" s="2" t="s">
        <v>31</v>
      </c>
      <c r="AD1387" s="2" t="s">
        <v>58</v>
      </c>
      <c r="AE1387" s="2" t="s">
        <v>33</v>
      </c>
      <c r="AF1387" s="2" t="s">
        <v>34</v>
      </c>
      <c r="AG1387" s="2" t="s">
        <v>59</v>
      </c>
      <c r="AH1387" s="2">
        <v>1.63052768434225</v>
      </c>
      <c r="AI1387" s="2">
        <v>1.64393272308927</v>
      </c>
      <c r="AJ1387" s="2">
        <v>0.92996307121532296</v>
      </c>
      <c r="AK1387" s="2">
        <v>0.26725121734341201</v>
      </c>
      <c r="AL1387" s="2">
        <v>0.36375982159352699</v>
      </c>
      <c r="AM1387" s="2">
        <v>15.5</v>
      </c>
      <c r="AN1387" s="2">
        <v>2.4</v>
      </c>
      <c r="AO1387" s="2">
        <v>10.9</v>
      </c>
      <c r="AP1387" s="2">
        <v>564</v>
      </c>
      <c r="AQ1387" s="2">
        <v>68</v>
      </c>
      <c r="AR1387" s="2">
        <v>1.5</v>
      </c>
      <c r="AS1387" s="2">
        <v>135</v>
      </c>
      <c r="AT1387" s="2">
        <v>0</v>
      </c>
      <c r="AU1387" s="2">
        <v>162</v>
      </c>
      <c r="AV1387" s="2">
        <v>9.1</v>
      </c>
      <c r="AW1387" s="2">
        <v>9.1999999999999993</v>
      </c>
      <c r="AX1387" s="2">
        <v>18.3</v>
      </c>
      <c r="AY1387" s="2">
        <v>0.34</v>
      </c>
      <c r="AZ1387" s="2">
        <v>7.3</v>
      </c>
      <c r="BA1387" s="2">
        <v>0.9</v>
      </c>
      <c r="BB1387" s="2">
        <v>7.5</v>
      </c>
      <c r="BC1387" s="2">
        <v>2.9</v>
      </c>
      <c r="BD1387" s="2">
        <f>+AN1387*EXP(-0.0495*Y1387)</f>
        <v>2.140935284944943</v>
      </c>
      <c r="BE1387" s="2">
        <f>+AO1387*EXP(-0.024*Y1387)</f>
        <v>10.31274499160221</v>
      </c>
    </row>
    <row r="1388" spans="1:57" x14ac:dyDescent="0.2">
      <c r="A1388" s="2" t="s">
        <v>2983</v>
      </c>
      <c r="B1388" s="2" t="s">
        <v>19</v>
      </c>
      <c r="C1388" s="2" t="s">
        <v>1907</v>
      </c>
      <c r="D1388" s="2" t="s">
        <v>21</v>
      </c>
      <c r="E1388" s="2" t="s">
        <v>513</v>
      </c>
      <c r="F1388" s="2">
        <v>6</v>
      </c>
      <c r="G1388" s="2">
        <v>390</v>
      </c>
      <c r="H1388" s="2">
        <v>3</v>
      </c>
      <c r="I1388" s="2">
        <v>3</v>
      </c>
      <c r="J1388" s="2">
        <v>4</v>
      </c>
      <c r="K1388" s="2" t="s">
        <v>61</v>
      </c>
      <c r="L1388" s="6" t="s">
        <v>113</v>
      </c>
      <c r="M1388" s="5">
        <v>3300000000</v>
      </c>
      <c r="N1388" s="2">
        <v>0</v>
      </c>
      <c r="O1388" s="2">
        <v>4.69285</v>
      </c>
      <c r="P1388" s="2">
        <v>-74.031090000000006</v>
      </c>
      <c r="Q1388" s="2" t="s">
        <v>2984</v>
      </c>
      <c r="R1388" s="2">
        <v>8461538.4619999994</v>
      </c>
      <c r="S1388" s="2">
        <v>0</v>
      </c>
      <c r="T1388" s="2" t="s">
        <v>55</v>
      </c>
      <c r="U1388" s="2" t="s">
        <v>56</v>
      </c>
      <c r="V1388" s="2" t="s">
        <v>28</v>
      </c>
      <c r="W1388" s="2" t="s">
        <v>55</v>
      </c>
      <c r="X1388" s="2" t="s">
        <v>57</v>
      </c>
      <c r="Y1388" s="2">
        <v>1.94952286851906</v>
      </c>
      <c r="Z1388" s="2">
        <v>4.71035</v>
      </c>
      <c r="AA1388" s="2">
        <v>-74.030416666666696</v>
      </c>
      <c r="AB1388" s="2">
        <v>2570</v>
      </c>
      <c r="AC1388" s="2" t="s">
        <v>31</v>
      </c>
      <c r="AD1388" s="2" t="s">
        <v>58</v>
      </c>
      <c r="AE1388" s="2" t="s">
        <v>33</v>
      </c>
      <c r="AF1388" s="2" t="s">
        <v>34</v>
      </c>
      <c r="AG1388" s="2" t="s">
        <v>59</v>
      </c>
      <c r="AH1388" s="2">
        <v>2.7479228231239898</v>
      </c>
      <c r="AI1388" s="2">
        <v>0.51026647176749795</v>
      </c>
      <c r="AJ1388" s="2">
        <v>0.234485381402879</v>
      </c>
      <c r="AK1388" s="2">
        <v>7.6741301944738494E-2</v>
      </c>
      <c r="AL1388" s="2">
        <v>0.51327163188087699</v>
      </c>
      <c r="AM1388" s="2">
        <v>15.5</v>
      </c>
      <c r="AN1388" s="2">
        <v>2.4</v>
      </c>
      <c r="AO1388" s="2">
        <v>10.9</v>
      </c>
      <c r="AP1388" s="2">
        <v>564</v>
      </c>
      <c r="AQ1388" s="2">
        <v>68</v>
      </c>
      <c r="AR1388" s="2">
        <v>1.5</v>
      </c>
      <c r="AS1388" s="2">
        <v>135</v>
      </c>
      <c r="AT1388" s="2">
        <v>0</v>
      </c>
      <c r="AU1388" s="2">
        <v>162</v>
      </c>
      <c r="AV1388" s="2">
        <v>9.1</v>
      </c>
      <c r="AW1388" s="2">
        <v>9.1999999999999993</v>
      </c>
      <c r="AX1388" s="2">
        <v>18.3</v>
      </c>
      <c r="AY1388" s="2">
        <v>0.34</v>
      </c>
      <c r="AZ1388" s="2">
        <v>7.3</v>
      </c>
      <c r="BA1388" s="2">
        <v>0.9</v>
      </c>
      <c r="BB1388" s="2">
        <v>7.5</v>
      </c>
      <c r="BC1388" s="2">
        <v>2.9</v>
      </c>
      <c r="BD1388" s="2">
        <f>+AN1388*EXP(-0.0495*Y1388)</f>
        <v>2.1792207425723542</v>
      </c>
      <c r="BE1388" s="2">
        <f>+AO1388*EXP(-0.024*Y1388)</f>
        <v>10.401751863663236</v>
      </c>
    </row>
    <row r="1389" spans="1:57" x14ac:dyDescent="0.2">
      <c r="A1389" s="2" t="s">
        <v>2496</v>
      </c>
      <c r="B1389" s="2" t="s">
        <v>19</v>
      </c>
      <c r="C1389" s="2" t="s">
        <v>1907</v>
      </c>
      <c r="D1389" s="2" t="s">
        <v>21</v>
      </c>
      <c r="E1389" s="2" t="s">
        <v>1496</v>
      </c>
      <c r="F1389" s="2">
        <v>5</v>
      </c>
      <c r="G1389" s="2">
        <v>378.5</v>
      </c>
      <c r="H1389" s="2">
        <v>4</v>
      </c>
      <c r="I1389" s="2">
        <v>3</v>
      </c>
      <c r="J1389" s="2">
        <v>3</v>
      </c>
      <c r="K1389" s="2" t="s">
        <v>61</v>
      </c>
      <c r="L1389" s="6" t="s">
        <v>113</v>
      </c>
      <c r="M1389" s="5">
        <v>3100000000</v>
      </c>
      <c r="N1389" s="2">
        <v>0</v>
      </c>
      <c r="O1389" s="2">
        <v>4.70953</v>
      </c>
      <c r="P1389" s="2">
        <v>-74.026409999999998</v>
      </c>
      <c r="Q1389" s="2" t="s">
        <v>2497</v>
      </c>
      <c r="R1389" s="2">
        <v>8190224.5710000005</v>
      </c>
      <c r="S1389" s="2">
        <v>0</v>
      </c>
      <c r="T1389" s="2" t="s">
        <v>55</v>
      </c>
      <c r="U1389" s="2" t="s">
        <v>56</v>
      </c>
      <c r="V1389" s="2" t="s">
        <v>28</v>
      </c>
      <c r="W1389" s="2" t="s">
        <v>55</v>
      </c>
      <c r="X1389" s="2" t="s">
        <v>57</v>
      </c>
      <c r="Y1389" s="2">
        <v>0.453789659251146</v>
      </c>
      <c r="Z1389" s="2">
        <v>4.71035</v>
      </c>
      <c r="AA1389" s="2">
        <v>-74.030416666666696</v>
      </c>
      <c r="AB1389" s="2">
        <v>2570</v>
      </c>
      <c r="AC1389" s="2" t="s">
        <v>31</v>
      </c>
      <c r="AD1389" s="2" t="s">
        <v>58</v>
      </c>
      <c r="AE1389" s="2" t="s">
        <v>33</v>
      </c>
      <c r="AF1389" s="2" t="s">
        <v>34</v>
      </c>
      <c r="AG1389" s="2" t="s">
        <v>59</v>
      </c>
      <c r="AH1389" s="2">
        <v>2.9519741749371802</v>
      </c>
      <c r="AI1389" s="2">
        <v>0.15202734664571799</v>
      </c>
      <c r="AJ1389" s="2">
        <v>0.71868777391808403</v>
      </c>
      <c r="AK1389" s="2">
        <v>0.420718937119337</v>
      </c>
      <c r="AL1389" s="2">
        <v>0.45981818850020501</v>
      </c>
      <c r="AM1389" s="2">
        <v>15.5</v>
      </c>
      <c r="AN1389" s="2">
        <v>2.4</v>
      </c>
      <c r="AO1389" s="2">
        <v>10.9</v>
      </c>
      <c r="AP1389" s="2">
        <v>564</v>
      </c>
      <c r="AQ1389" s="2">
        <v>68</v>
      </c>
      <c r="AR1389" s="2">
        <v>1.5</v>
      </c>
      <c r="AS1389" s="2">
        <v>135</v>
      </c>
      <c r="AT1389" s="2">
        <v>0</v>
      </c>
      <c r="AU1389" s="2">
        <v>162</v>
      </c>
      <c r="AV1389" s="2">
        <v>9.1</v>
      </c>
      <c r="AW1389" s="2">
        <v>9.1999999999999993</v>
      </c>
      <c r="AX1389" s="2">
        <v>18.3</v>
      </c>
      <c r="AY1389" s="2">
        <v>0.34</v>
      </c>
      <c r="AZ1389" s="2">
        <v>7.3</v>
      </c>
      <c r="BA1389" s="2">
        <v>0.9</v>
      </c>
      <c r="BB1389" s="2">
        <v>7.5</v>
      </c>
      <c r="BC1389" s="2">
        <v>2.9</v>
      </c>
      <c r="BD1389" s="2">
        <f>+AN1389*EXP(-0.0495*Y1389)</f>
        <v>2.3466907617045849</v>
      </c>
      <c r="BE1389" s="2">
        <f>+AO1389*EXP(-0.024*Y1389)</f>
        <v>10.781932724665792</v>
      </c>
    </row>
    <row r="1390" spans="1:57" x14ac:dyDescent="0.2">
      <c r="A1390" s="2" t="s">
        <v>1614</v>
      </c>
      <c r="B1390" s="2" t="s">
        <v>19</v>
      </c>
      <c r="C1390" s="2" t="s">
        <v>20</v>
      </c>
      <c r="D1390" s="2" t="s">
        <v>21</v>
      </c>
      <c r="E1390" s="2" t="s">
        <v>186</v>
      </c>
      <c r="F1390" s="2">
        <v>6</v>
      </c>
      <c r="G1390" s="2">
        <v>375</v>
      </c>
      <c r="H1390" s="2">
        <v>3</v>
      </c>
      <c r="I1390" s="2">
        <v>4</v>
      </c>
      <c r="J1390" s="2">
        <v>4</v>
      </c>
      <c r="K1390" s="2" t="s">
        <v>61</v>
      </c>
      <c r="L1390" s="6" t="s">
        <v>113</v>
      </c>
      <c r="M1390" s="5">
        <v>3300000000</v>
      </c>
      <c r="N1390" s="2">
        <v>0</v>
      </c>
      <c r="O1390" s="2">
        <v>4.7081081640000004</v>
      </c>
      <c r="P1390" s="2">
        <v>-74.042424589999996</v>
      </c>
      <c r="Q1390" s="2" t="s">
        <v>1615</v>
      </c>
      <c r="R1390" s="2">
        <v>8800000</v>
      </c>
      <c r="S1390" s="2">
        <v>0</v>
      </c>
      <c r="T1390" s="2" t="s">
        <v>55</v>
      </c>
      <c r="U1390" s="2" t="s">
        <v>56</v>
      </c>
      <c r="V1390" s="2" t="s">
        <v>28</v>
      </c>
      <c r="W1390" s="2" t="s">
        <v>55</v>
      </c>
      <c r="X1390" s="2" t="s">
        <v>57</v>
      </c>
      <c r="Y1390" s="2">
        <v>1.35537673481406</v>
      </c>
      <c r="Z1390" s="2">
        <v>4.71035</v>
      </c>
      <c r="AA1390" s="2">
        <v>-74.030416666666696</v>
      </c>
      <c r="AB1390" s="2">
        <v>2570</v>
      </c>
      <c r="AC1390" s="2" t="s">
        <v>31</v>
      </c>
      <c r="AD1390" s="2" t="s">
        <v>58</v>
      </c>
      <c r="AE1390" s="2" t="s">
        <v>33</v>
      </c>
      <c r="AF1390" s="2" t="s">
        <v>34</v>
      </c>
      <c r="AG1390" s="2" t="s">
        <v>59</v>
      </c>
      <c r="AH1390" s="2">
        <v>1.3306238892107001</v>
      </c>
      <c r="AI1390" s="2">
        <v>1.9277606398419</v>
      </c>
      <c r="AJ1390" s="2">
        <v>1.10841090979541</v>
      </c>
      <c r="AK1390" s="2">
        <v>0.12443888441414799</v>
      </c>
      <c r="AL1390" s="2">
        <v>7.18328413785672E-2</v>
      </c>
      <c r="AM1390" s="2">
        <v>15.5</v>
      </c>
      <c r="AN1390" s="2">
        <v>2.4</v>
      </c>
      <c r="AO1390" s="2">
        <v>10.9</v>
      </c>
      <c r="AP1390" s="2">
        <v>564</v>
      </c>
      <c r="AQ1390" s="2">
        <v>68</v>
      </c>
      <c r="AR1390" s="2">
        <v>1.5</v>
      </c>
      <c r="AS1390" s="2">
        <v>135</v>
      </c>
      <c r="AT1390" s="2">
        <v>0</v>
      </c>
      <c r="AU1390" s="2">
        <v>162</v>
      </c>
      <c r="AV1390" s="2">
        <v>9.1</v>
      </c>
      <c r="AW1390" s="2">
        <v>9.1999999999999993</v>
      </c>
      <c r="AX1390" s="2">
        <v>18.3</v>
      </c>
      <c r="AY1390" s="2">
        <v>0.34</v>
      </c>
      <c r="AZ1390" s="2">
        <v>7.3</v>
      </c>
      <c r="BA1390" s="2">
        <v>0.9</v>
      </c>
      <c r="BB1390" s="2">
        <v>7.5</v>
      </c>
      <c r="BC1390" s="2">
        <v>2.9</v>
      </c>
      <c r="BD1390" s="2">
        <f>+AN1390*EXP(-0.0495*Y1390)</f>
        <v>2.2442639128803732</v>
      </c>
      <c r="BE1390" s="2">
        <f>+AO1390*EXP(-0.024*Y1390)</f>
        <v>10.551138276399362</v>
      </c>
    </row>
    <row r="1391" spans="1:57" x14ac:dyDescent="0.2">
      <c r="A1391" s="2" t="s">
        <v>2867</v>
      </c>
      <c r="B1391" s="2" t="s">
        <v>19</v>
      </c>
      <c r="C1391" s="2" t="s">
        <v>1907</v>
      </c>
      <c r="D1391" s="2" t="s">
        <v>21</v>
      </c>
      <c r="E1391" s="2" t="s">
        <v>2171</v>
      </c>
      <c r="F1391" s="2">
        <v>5</v>
      </c>
      <c r="G1391" s="2">
        <v>372.49</v>
      </c>
      <c r="H1391" s="2">
        <v>4</v>
      </c>
      <c r="I1391" s="2">
        <v>4</v>
      </c>
      <c r="J1391" s="2">
        <v>3</v>
      </c>
      <c r="K1391" s="2" t="s">
        <v>61</v>
      </c>
      <c r="L1391" s="6" t="s">
        <v>113</v>
      </c>
      <c r="M1391" s="5">
        <v>1400000000</v>
      </c>
      <c r="N1391" s="2">
        <v>0</v>
      </c>
      <c r="O1391" s="2">
        <v>4.6978299999999997</v>
      </c>
      <c r="P1391" s="2">
        <v>-74.061179999999993</v>
      </c>
      <c r="Q1391" s="2" t="s">
        <v>2868</v>
      </c>
      <c r="R1391" s="2">
        <v>3758490.1609999998</v>
      </c>
      <c r="S1391" s="2">
        <v>0</v>
      </c>
      <c r="T1391" s="2" t="s">
        <v>55</v>
      </c>
      <c r="U1391" s="2" t="s">
        <v>56</v>
      </c>
      <c r="V1391" s="2" t="s">
        <v>28</v>
      </c>
      <c r="W1391" s="2" t="s">
        <v>55</v>
      </c>
      <c r="X1391" s="2" t="s">
        <v>57</v>
      </c>
      <c r="Y1391" s="2">
        <v>3.6866220468240001</v>
      </c>
      <c r="Z1391" s="2">
        <v>4.71035</v>
      </c>
      <c r="AA1391" s="2">
        <v>-74.030416666666696</v>
      </c>
      <c r="AB1391" s="2">
        <v>2570</v>
      </c>
      <c r="AC1391" s="2" t="s">
        <v>31</v>
      </c>
      <c r="AD1391" s="2" t="s">
        <v>58</v>
      </c>
      <c r="AE1391" s="2" t="s">
        <v>33</v>
      </c>
      <c r="AF1391" s="2" t="s">
        <v>34</v>
      </c>
      <c r="AG1391" s="2" t="s">
        <v>72</v>
      </c>
      <c r="AH1391" s="2">
        <v>0.65181399695584596</v>
      </c>
      <c r="AI1391" s="2">
        <v>3.4850418988901901</v>
      </c>
      <c r="AJ1391" s="2">
        <v>0.934791707460354</v>
      </c>
      <c r="AK1391" s="2">
        <v>0.179450834914478</v>
      </c>
      <c r="AL1391" s="2">
        <v>8.6887825938218893E-2</v>
      </c>
      <c r="AM1391" s="2">
        <v>15.5</v>
      </c>
      <c r="AN1391" s="2">
        <v>2.4</v>
      </c>
      <c r="AO1391" s="2">
        <v>10.9</v>
      </c>
      <c r="AP1391" s="2">
        <v>564</v>
      </c>
      <c r="AQ1391" s="2">
        <v>68</v>
      </c>
      <c r="AR1391" s="2">
        <v>1.5</v>
      </c>
      <c r="AS1391" s="2">
        <v>135</v>
      </c>
      <c r="AT1391" s="2">
        <v>0</v>
      </c>
      <c r="AU1391" s="2">
        <v>162</v>
      </c>
      <c r="AV1391" s="2">
        <v>9.1</v>
      </c>
      <c r="AW1391" s="2">
        <v>9.1999999999999993</v>
      </c>
      <c r="AX1391" s="2">
        <v>18.3</v>
      </c>
      <c r="AY1391" s="2">
        <v>0.34</v>
      </c>
      <c r="AZ1391" s="2">
        <v>7.3</v>
      </c>
      <c r="BA1391" s="2">
        <v>0.9</v>
      </c>
      <c r="BB1391" s="2">
        <v>7.5</v>
      </c>
      <c r="BC1391" s="2">
        <v>2.9</v>
      </c>
      <c r="BD1391" s="2">
        <f>+AN1391*EXP(-0.0495*Y1391)</f>
        <v>1.9996675585847188</v>
      </c>
      <c r="BE1391" s="2">
        <f>+AO1391*EXP(-0.024*Y1391)</f>
        <v>9.9770141292373857</v>
      </c>
    </row>
    <row r="1392" spans="1:57" x14ac:dyDescent="0.2">
      <c r="A1392" s="2" t="s">
        <v>859</v>
      </c>
      <c r="B1392" s="2" t="s">
        <v>19</v>
      </c>
      <c r="C1392" s="2" t="s">
        <v>20</v>
      </c>
      <c r="D1392" s="2" t="s">
        <v>21</v>
      </c>
      <c r="E1392" s="2" t="s">
        <v>321</v>
      </c>
      <c r="F1392" s="2">
        <v>6</v>
      </c>
      <c r="G1392" s="2">
        <v>370</v>
      </c>
      <c r="H1392" s="2">
        <v>3</v>
      </c>
      <c r="I1392" s="2">
        <v>4</v>
      </c>
      <c r="J1392" s="2">
        <v>3</v>
      </c>
      <c r="K1392" s="2" t="s">
        <v>61</v>
      </c>
      <c r="L1392" s="6" t="s">
        <v>75</v>
      </c>
      <c r="M1392" s="5">
        <v>2190000000</v>
      </c>
      <c r="N1392" s="2">
        <v>0</v>
      </c>
      <c r="O1392" s="2">
        <v>4.7247762680000003</v>
      </c>
      <c r="P1392" s="2">
        <v>-74.02218628</v>
      </c>
      <c r="Q1392" s="2" t="s">
        <v>860</v>
      </c>
      <c r="R1392" s="2">
        <v>5918918.9189999998</v>
      </c>
      <c r="S1392" s="2">
        <v>0</v>
      </c>
      <c r="T1392" s="2" t="s">
        <v>55</v>
      </c>
      <c r="U1392" s="2" t="s">
        <v>56</v>
      </c>
      <c r="V1392" s="2" t="s">
        <v>28</v>
      </c>
      <c r="W1392" s="2" t="s">
        <v>55</v>
      </c>
      <c r="X1392" s="2" t="s">
        <v>57</v>
      </c>
      <c r="Y1392" s="2">
        <v>1.84736121803794</v>
      </c>
      <c r="Z1392" s="2">
        <v>4.71035</v>
      </c>
      <c r="AA1392" s="2">
        <v>-74.030416666666696</v>
      </c>
      <c r="AB1392" s="2">
        <v>2570</v>
      </c>
      <c r="AC1392" s="2" t="s">
        <v>31</v>
      </c>
      <c r="AD1392" s="2" t="s">
        <v>58</v>
      </c>
      <c r="AE1392" s="2" t="s">
        <v>33</v>
      </c>
      <c r="AF1392" s="2" t="s">
        <v>34</v>
      </c>
      <c r="AG1392" s="2" t="s">
        <v>59</v>
      </c>
      <c r="AH1392" s="2">
        <v>3.1365101705787399</v>
      </c>
      <c r="AI1392" s="2">
        <v>0.13870276792929001</v>
      </c>
      <c r="AJ1392" s="2">
        <v>1.94544147221575</v>
      </c>
      <c r="AK1392" s="2">
        <v>0.40696922580357098</v>
      </c>
      <c r="AL1392" s="2">
        <v>0.758519023597099</v>
      </c>
      <c r="AM1392" s="2">
        <v>15.5</v>
      </c>
      <c r="AN1392" s="2">
        <v>2.4</v>
      </c>
      <c r="AO1392" s="2">
        <v>10.9</v>
      </c>
      <c r="AP1392" s="2">
        <v>564</v>
      </c>
      <c r="AQ1392" s="2">
        <v>68</v>
      </c>
      <c r="AR1392" s="2">
        <v>1.5</v>
      </c>
      <c r="AS1392" s="2">
        <v>135</v>
      </c>
      <c r="AT1392" s="2">
        <v>0</v>
      </c>
      <c r="AU1392" s="2">
        <v>162</v>
      </c>
      <c r="AV1392" s="2">
        <v>9.1</v>
      </c>
      <c r="AW1392" s="2">
        <v>9.1999999999999993</v>
      </c>
      <c r="AX1392" s="2">
        <v>18.3</v>
      </c>
      <c r="AY1392" s="2">
        <v>0.34</v>
      </c>
      <c r="AZ1392" s="2">
        <v>7.3</v>
      </c>
      <c r="BA1392" s="2">
        <v>0.9</v>
      </c>
      <c r="BB1392" s="2">
        <v>7.5</v>
      </c>
      <c r="BC1392" s="2">
        <v>2.9</v>
      </c>
      <c r="BD1392" s="2">
        <f>+AN1392*EXP(-0.0495*Y1392)</f>
        <v>2.1902689774960811</v>
      </c>
      <c r="BE1392" s="2">
        <f>+AO1392*EXP(-0.024*Y1392)</f>
        <v>10.427286998728151</v>
      </c>
    </row>
    <row r="1393" spans="1:57" x14ac:dyDescent="0.2">
      <c r="A1393" s="2" t="s">
        <v>510</v>
      </c>
      <c r="B1393" s="2" t="s">
        <v>19</v>
      </c>
      <c r="C1393" s="2" t="s">
        <v>20</v>
      </c>
      <c r="D1393" s="2" t="s">
        <v>21</v>
      </c>
      <c r="E1393" s="2" t="s">
        <v>511</v>
      </c>
      <c r="F1393" s="2">
        <v>5</v>
      </c>
      <c r="G1393" s="2">
        <v>367.13</v>
      </c>
      <c r="H1393" s="2">
        <v>3</v>
      </c>
      <c r="I1393" s="2">
        <v>5</v>
      </c>
      <c r="J1393" s="2">
        <v>4</v>
      </c>
      <c r="K1393" s="2" t="s">
        <v>61</v>
      </c>
      <c r="L1393" s="6" t="s">
        <v>75</v>
      </c>
      <c r="M1393" s="5">
        <v>2300000000</v>
      </c>
      <c r="N1393" s="2">
        <v>0</v>
      </c>
      <c r="O1393" s="2">
        <v>4.7136849999999999</v>
      </c>
      <c r="P1393" s="2">
        <v>-74.031560999999996</v>
      </c>
      <c r="Q1393" s="2" t="s">
        <v>512</v>
      </c>
      <c r="R1393" s="2">
        <v>6264810.8300000001</v>
      </c>
      <c r="S1393" s="2">
        <v>0</v>
      </c>
      <c r="T1393" s="2" t="s">
        <v>55</v>
      </c>
      <c r="U1393" s="2" t="s">
        <v>56</v>
      </c>
      <c r="V1393" s="2" t="s">
        <v>28</v>
      </c>
      <c r="W1393" s="2" t="s">
        <v>55</v>
      </c>
      <c r="X1393" s="2" t="s">
        <v>57</v>
      </c>
      <c r="Y1393" s="2">
        <v>0.39235796952728103</v>
      </c>
      <c r="Z1393" s="2">
        <v>4.71035</v>
      </c>
      <c r="AA1393" s="2">
        <v>-74.030416666666696</v>
      </c>
      <c r="AB1393" s="2">
        <v>2570</v>
      </c>
      <c r="AC1393" s="2" t="s">
        <v>31</v>
      </c>
      <c r="AD1393" s="2" t="s">
        <v>58</v>
      </c>
      <c r="AE1393" s="2" t="s">
        <v>33</v>
      </c>
      <c r="AF1393" s="2" t="s">
        <v>34</v>
      </c>
      <c r="AG1393" s="2" t="s">
        <v>59</v>
      </c>
      <c r="AH1393" s="2">
        <v>2.3300749421995302</v>
      </c>
      <c r="AI1393" s="2">
        <v>0.77173511149160601</v>
      </c>
      <c r="AJ1393" s="2">
        <v>0.35216852575492802</v>
      </c>
      <c r="AK1393" s="2">
        <v>0.11413378332904001</v>
      </c>
      <c r="AL1393" s="2">
        <v>0.36998193743465102</v>
      </c>
      <c r="AM1393" s="2">
        <v>15.5</v>
      </c>
      <c r="AN1393" s="2">
        <v>2.4</v>
      </c>
      <c r="AO1393" s="2">
        <v>10.9</v>
      </c>
      <c r="AP1393" s="2">
        <v>564</v>
      </c>
      <c r="AQ1393" s="2">
        <v>68</v>
      </c>
      <c r="AR1393" s="2">
        <v>1.5</v>
      </c>
      <c r="AS1393" s="2">
        <v>135</v>
      </c>
      <c r="AT1393" s="2">
        <v>0</v>
      </c>
      <c r="AU1393" s="2">
        <v>162</v>
      </c>
      <c r="AV1393" s="2">
        <v>9.1</v>
      </c>
      <c r="AW1393" s="2">
        <v>9.1999999999999993</v>
      </c>
      <c r="AX1393" s="2">
        <v>18.3</v>
      </c>
      <c r="AY1393" s="2">
        <v>0.34</v>
      </c>
      <c r="AZ1393" s="2">
        <v>7.3</v>
      </c>
      <c r="BA1393" s="2">
        <v>0.9</v>
      </c>
      <c r="BB1393" s="2">
        <v>7.5</v>
      </c>
      <c r="BC1393" s="2">
        <v>2.9</v>
      </c>
      <c r="BD1393" s="2">
        <f>+AN1393*EXP(-0.0495*Y1393)</f>
        <v>2.3538376008451034</v>
      </c>
      <c r="BE1393" s="2">
        <f>+AO1393*EXP(-0.024*Y1393)</f>
        <v>10.797840905279459</v>
      </c>
    </row>
    <row r="1394" spans="1:57" x14ac:dyDescent="0.2">
      <c r="A1394" s="2" t="s">
        <v>2106</v>
      </c>
      <c r="B1394" s="2" t="s">
        <v>19</v>
      </c>
      <c r="C1394" s="2" t="s">
        <v>1907</v>
      </c>
      <c r="D1394" s="2" t="s">
        <v>21</v>
      </c>
      <c r="E1394" s="2" t="s">
        <v>1628</v>
      </c>
      <c r="F1394" s="2">
        <v>6</v>
      </c>
      <c r="G1394" s="2">
        <v>365</v>
      </c>
      <c r="H1394" s="2">
        <v>3</v>
      </c>
      <c r="I1394" s="2">
        <v>5</v>
      </c>
      <c r="J1394" s="2">
        <v>4</v>
      </c>
      <c r="K1394" s="2" t="s">
        <v>61</v>
      </c>
      <c r="L1394" s="6" t="s">
        <v>113</v>
      </c>
      <c r="M1394" s="5">
        <v>3000000000</v>
      </c>
      <c r="N1394" s="2">
        <v>0</v>
      </c>
      <c r="O1394" s="2">
        <v>4.7099690000000001</v>
      </c>
      <c r="P1394" s="2">
        <v>-74.026144000000002</v>
      </c>
      <c r="Q1394" s="2" t="s">
        <v>2107</v>
      </c>
      <c r="R1394" s="2">
        <v>8219178.0820000004</v>
      </c>
      <c r="S1394" s="2">
        <v>0</v>
      </c>
      <c r="T1394" s="2" t="s">
        <v>55</v>
      </c>
      <c r="U1394" s="2" t="s">
        <v>56</v>
      </c>
      <c r="V1394" s="2" t="s">
        <v>28</v>
      </c>
      <c r="W1394" s="2" t="s">
        <v>55</v>
      </c>
      <c r="X1394" s="2" t="s">
        <v>57</v>
      </c>
      <c r="Y1394" s="2">
        <v>0.475918424657856</v>
      </c>
      <c r="Z1394" s="2">
        <v>4.71035</v>
      </c>
      <c r="AA1394" s="2">
        <v>-74.030416666666696</v>
      </c>
      <c r="AB1394" s="2">
        <v>2570</v>
      </c>
      <c r="AC1394" s="2" t="s">
        <v>31</v>
      </c>
      <c r="AD1394" s="2" t="s">
        <v>58</v>
      </c>
      <c r="AE1394" s="2" t="s">
        <v>33</v>
      </c>
      <c r="AF1394" s="2" t="s">
        <v>34</v>
      </c>
      <c r="AG1394" s="2" t="s">
        <v>59</v>
      </c>
      <c r="AH1394" s="2">
        <v>2.9722821155758101</v>
      </c>
      <c r="AI1394" s="2">
        <v>0.139002227816199</v>
      </c>
      <c r="AJ1394" s="2">
        <v>0.74053545996980696</v>
      </c>
      <c r="AK1394" s="2">
        <v>0.43113931334412597</v>
      </c>
      <c r="AL1394" s="2">
        <v>0.51042977128700096</v>
      </c>
      <c r="AM1394" s="2">
        <v>15.5</v>
      </c>
      <c r="AN1394" s="2">
        <v>2.4</v>
      </c>
      <c r="AO1394" s="2">
        <v>10.9</v>
      </c>
      <c r="AP1394" s="2">
        <v>564</v>
      </c>
      <c r="AQ1394" s="2">
        <v>68</v>
      </c>
      <c r="AR1394" s="2">
        <v>1.5</v>
      </c>
      <c r="AS1394" s="2">
        <v>135</v>
      </c>
      <c r="AT1394" s="2">
        <v>0</v>
      </c>
      <c r="AU1394" s="2">
        <v>162</v>
      </c>
      <c r="AV1394" s="2">
        <v>9.1</v>
      </c>
      <c r="AW1394" s="2">
        <v>9.1999999999999993</v>
      </c>
      <c r="AX1394" s="2">
        <v>18.3</v>
      </c>
      <c r="AY1394" s="2">
        <v>0.34</v>
      </c>
      <c r="AZ1394" s="2">
        <v>7.3</v>
      </c>
      <c r="BA1394" s="2">
        <v>0.9</v>
      </c>
      <c r="BB1394" s="2">
        <v>7.5</v>
      </c>
      <c r="BC1394" s="2">
        <v>2.9</v>
      </c>
      <c r="BD1394" s="2">
        <f>+AN1394*EXP(-0.0495*Y1394)</f>
        <v>2.3441216652393337</v>
      </c>
      <c r="BE1394" s="2">
        <f>+AO1394*EXP(-0.024*Y1394)</f>
        <v>10.776208064318856</v>
      </c>
    </row>
    <row r="1395" spans="1:57" x14ac:dyDescent="0.2">
      <c r="A1395" s="2" t="s">
        <v>2688</v>
      </c>
      <c r="B1395" s="2" t="s">
        <v>19</v>
      </c>
      <c r="C1395" s="2" t="s">
        <v>1907</v>
      </c>
      <c r="D1395" s="2" t="s">
        <v>21</v>
      </c>
      <c r="E1395" s="2" t="s">
        <v>2171</v>
      </c>
      <c r="F1395" s="2">
        <v>5</v>
      </c>
      <c r="G1395" s="2">
        <v>363.5</v>
      </c>
      <c r="H1395" s="2">
        <v>4</v>
      </c>
      <c r="I1395" s="2">
        <v>4</v>
      </c>
      <c r="J1395" s="2">
        <v>3</v>
      </c>
      <c r="K1395" s="2" t="s">
        <v>61</v>
      </c>
      <c r="L1395" s="6" t="s">
        <v>113</v>
      </c>
      <c r="M1395" s="5">
        <v>1588942000</v>
      </c>
      <c r="N1395" s="2">
        <v>0</v>
      </c>
      <c r="O1395" s="2">
        <v>4.7021899999999999</v>
      </c>
      <c r="P1395" s="2">
        <v>-74.062830000000005</v>
      </c>
      <c r="Q1395" s="2" t="s">
        <v>2689</v>
      </c>
      <c r="R1395" s="2">
        <v>4371229.7110000001</v>
      </c>
      <c r="S1395" s="2">
        <v>0</v>
      </c>
      <c r="T1395" s="2" t="s">
        <v>55</v>
      </c>
      <c r="U1395" s="2" t="s">
        <v>56</v>
      </c>
      <c r="V1395" s="2" t="s">
        <v>28</v>
      </c>
      <c r="W1395" s="2" t="s">
        <v>55</v>
      </c>
      <c r="X1395" s="2" t="s">
        <v>57</v>
      </c>
      <c r="Y1395" s="2">
        <v>3.70902307321925</v>
      </c>
      <c r="Z1395" s="2">
        <v>4.71035</v>
      </c>
      <c r="AA1395" s="2">
        <v>-74.030416666666696</v>
      </c>
      <c r="AB1395" s="2">
        <v>2570</v>
      </c>
      <c r="AC1395" s="2" t="s">
        <v>31</v>
      </c>
      <c r="AD1395" s="2" t="s">
        <v>58</v>
      </c>
      <c r="AE1395" s="2" t="s">
        <v>33</v>
      </c>
      <c r="AF1395" s="2" t="s">
        <v>34</v>
      </c>
      <c r="AG1395" s="2" t="s">
        <v>72</v>
      </c>
      <c r="AH1395" s="2">
        <v>0.84321301255413506</v>
      </c>
      <c r="AI1395" s="2">
        <v>3.9365036561198798</v>
      </c>
      <c r="AJ1395" s="2">
        <v>0.89331357687416602</v>
      </c>
      <c r="AK1395" s="2">
        <v>0.43929340028331398</v>
      </c>
      <c r="AL1395" s="2">
        <v>0.18560547652840101</v>
      </c>
      <c r="AM1395" s="2">
        <v>15.5</v>
      </c>
      <c r="AN1395" s="2">
        <v>2.4</v>
      </c>
      <c r="AO1395" s="2">
        <v>10.9</v>
      </c>
      <c r="AP1395" s="2">
        <v>564</v>
      </c>
      <c r="AQ1395" s="2">
        <v>68</v>
      </c>
      <c r="AR1395" s="2">
        <v>1.5</v>
      </c>
      <c r="AS1395" s="2">
        <v>135</v>
      </c>
      <c r="AT1395" s="2">
        <v>0</v>
      </c>
      <c r="AU1395" s="2">
        <v>162</v>
      </c>
      <c r="AV1395" s="2">
        <v>9.1</v>
      </c>
      <c r="AW1395" s="2">
        <v>9.1999999999999993</v>
      </c>
      <c r="AX1395" s="2">
        <v>18.3</v>
      </c>
      <c r="AY1395" s="2">
        <v>0.34</v>
      </c>
      <c r="AZ1395" s="2">
        <v>7.3</v>
      </c>
      <c r="BA1395" s="2">
        <v>0.9</v>
      </c>
      <c r="BB1395" s="2">
        <v>7.5</v>
      </c>
      <c r="BC1395" s="2">
        <v>2.9</v>
      </c>
      <c r="BD1395" s="2">
        <f>+AN1395*EXP(-0.0495*Y1395)</f>
        <v>1.997451454490994</v>
      </c>
      <c r="BE1395" s="2">
        <f>+AO1395*EXP(-0.024*Y1395)</f>
        <v>9.9716516822938193</v>
      </c>
    </row>
    <row r="1396" spans="1:57" x14ac:dyDescent="0.2">
      <c r="A1396" s="2" t="s">
        <v>2730</v>
      </c>
      <c r="B1396" s="2" t="s">
        <v>19</v>
      </c>
      <c r="C1396" s="2" t="s">
        <v>1907</v>
      </c>
      <c r="D1396" s="2" t="s">
        <v>21</v>
      </c>
      <c r="E1396" s="2" t="s">
        <v>1135</v>
      </c>
      <c r="F1396" s="2">
        <v>6</v>
      </c>
      <c r="G1396" s="2">
        <v>360</v>
      </c>
      <c r="H1396" s="2">
        <v>4</v>
      </c>
      <c r="I1396" s="2">
        <v>5</v>
      </c>
      <c r="J1396" s="2">
        <v>4</v>
      </c>
      <c r="K1396" s="2" t="s">
        <v>61</v>
      </c>
      <c r="L1396" s="6" t="s">
        <v>75</v>
      </c>
      <c r="M1396" s="5">
        <v>1800000000</v>
      </c>
      <c r="N1396" s="2">
        <v>0</v>
      </c>
      <c r="O1396" s="2">
        <v>4.7240000000000002</v>
      </c>
      <c r="P1396" s="2">
        <v>-74.022999999999996</v>
      </c>
      <c r="Q1396" s="2" t="s">
        <v>2731</v>
      </c>
      <c r="R1396" s="2">
        <v>5000000</v>
      </c>
      <c r="S1396" s="2">
        <v>0</v>
      </c>
      <c r="T1396" s="2" t="s">
        <v>55</v>
      </c>
      <c r="U1396" s="2" t="s">
        <v>56</v>
      </c>
      <c r="V1396" s="2" t="s">
        <v>28</v>
      </c>
      <c r="W1396" s="2" t="s">
        <v>55</v>
      </c>
      <c r="X1396" s="2" t="s">
        <v>57</v>
      </c>
      <c r="Y1396" s="2">
        <v>1.7279906012375199</v>
      </c>
      <c r="Z1396" s="2">
        <v>4.71035</v>
      </c>
      <c r="AA1396" s="2">
        <v>-74.030416666666696</v>
      </c>
      <c r="AB1396" s="2">
        <v>2570</v>
      </c>
      <c r="AC1396" s="2" t="s">
        <v>31</v>
      </c>
      <c r="AD1396" s="2" t="s">
        <v>58</v>
      </c>
      <c r="AE1396" s="2" t="s">
        <v>33</v>
      </c>
      <c r="AF1396" s="2" t="s">
        <v>34</v>
      </c>
      <c r="AG1396" s="2" t="s">
        <v>59</v>
      </c>
      <c r="AH1396" s="2">
        <v>3.0656007304394302</v>
      </c>
      <c r="AI1396" s="2">
        <v>0.204706350117006</v>
      </c>
      <c r="AJ1396" s="2">
        <v>1.8226984255713199</v>
      </c>
      <c r="AK1396" s="2">
        <v>0.41458475451016302</v>
      </c>
      <c r="AL1396" s="2">
        <v>0.634197398489455</v>
      </c>
      <c r="AM1396" s="2">
        <v>15.5</v>
      </c>
      <c r="AN1396" s="2">
        <v>2.4</v>
      </c>
      <c r="AO1396" s="2">
        <v>10.9</v>
      </c>
      <c r="AP1396" s="2">
        <v>564</v>
      </c>
      <c r="AQ1396" s="2">
        <v>68</v>
      </c>
      <c r="AR1396" s="2">
        <v>1.5</v>
      </c>
      <c r="AS1396" s="2">
        <v>135</v>
      </c>
      <c r="AT1396" s="2">
        <v>0</v>
      </c>
      <c r="AU1396" s="2">
        <v>162</v>
      </c>
      <c r="AV1396" s="2">
        <v>9.1</v>
      </c>
      <c r="AW1396" s="2">
        <v>9.1999999999999993</v>
      </c>
      <c r="AX1396" s="2">
        <v>18.3</v>
      </c>
      <c r="AY1396" s="2">
        <v>0.34</v>
      </c>
      <c r="AZ1396" s="2">
        <v>7.3</v>
      </c>
      <c r="BA1396" s="2">
        <v>0.9</v>
      </c>
      <c r="BB1396" s="2">
        <v>7.5</v>
      </c>
      <c r="BC1396" s="2">
        <v>2.9</v>
      </c>
      <c r="BD1396" s="2">
        <f>+AN1396*EXP(-0.0495*Y1396)</f>
        <v>2.2032492500028331</v>
      </c>
      <c r="BE1396" s="2">
        <f>+AO1396*EXP(-0.024*Y1396)</f>
        <v>10.457202911572468</v>
      </c>
    </row>
    <row r="1397" spans="1:57" x14ac:dyDescent="0.2">
      <c r="A1397" s="2" t="s">
        <v>2863</v>
      </c>
      <c r="B1397" s="2" t="s">
        <v>19</v>
      </c>
      <c r="C1397" s="2" t="s">
        <v>1907</v>
      </c>
      <c r="D1397" s="2" t="s">
        <v>21</v>
      </c>
      <c r="E1397" s="2" t="s">
        <v>1628</v>
      </c>
      <c r="F1397" s="2">
        <v>6</v>
      </c>
      <c r="G1397" s="2">
        <v>360</v>
      </c>
      <c r="H1397" s="2">
        <v>4</v>
      </c>
      <c r="I1397" s="2">
        <v>5</v>
      </c>
      <c r="J1397" s="2">
        <v>3</v>
      </c>
      <c r="K1397" s="2" t="s">
        <v>61</v>
      </c>
      <c r="L1397" s="6" t="s">
        <v>113</v>
      </c>
      <c r="M1397" s="5">
        <v>2150000000</v>
      </c>
      <c r="N1397" s="2">
        <v>0</v>
      </c>
      <c r="O1397" s="2">
        <v>4.7114399999999996</v>
      </c>
      <c r="P1397" s="2">
        <v>-74.026679999999999</v>
      </c>
      <c r="Q1397" s="2" t="s">
        <v>2864</v>
      </c>
      <c r="R1397" s="2">
        <v>5972222.2220000001</v>
      </c>
      <c r="S1397" s="2">
        <v>0</v>
      </c>
      <c r="T1397" s="2" t="s">
        <v>55</v>
      </c>
      <c r="U1397" s="2" t="s">
        <v>56</v>
      </c>
      <c r="V1397" s="2" t="s">
        <v>28</v>
      </c>
      <c r="W1397" s="2" t="s">
        <v>55</v>
      </c>
      <c r="X1397" s="2" t="s">
        <v>57</v>
      </c>
      <c r="Y1397" s="2">
        <v>0.431951173445834</v>
      </c>
      <c r="Z1397" s="2">
        <v>4.71035</v>
      </c>
      <c r="AA1397" s="2">
        <v>-74.030416666666696</v>
      </c>
      <c r="AB1397" s="2">
        <v>2570</v>
      </c>
      <c r="AC1397" s="2" t="s">
        <v>31</v>
      </c>
      <c r="AD1397" s="2" t="s">
        <v>58</v>
      </c>
      <c r="AE1397" s="2" t="s">
        <v>33</v>
      </c>
      <c r="AF1397" s="2" t="s">
        <v>34</v>
      </c>
      <c r="AG1397" s="2" t="s">
        <v>59</v>
      </c>
      <c r="AH1397" s="2">
        <v>2.8898799935576802</v>
      </c>
      <c r="AI1397" s="2">
        <v>0.24739248206677</v>
      </c>
      <c r="AJ1397" s="2">
        <v>0.68055624204423304</v>
      </c>
      <c r="AK1397" s="2">
        <v>0.35479457679882698</v>
      </c>
      <c r="AL1397" s="2">
        <v>0.60297364134613796</v>
      </c>
      <c r="AM1397" s="2">
        <v>15.5</v>
      </c>
      <c r="AN1397" s="2">
        <v>2.4</v>
      </c>
      <c r="AO1397" s="2">
        <v>10.9</v>
      </c>
      <c r="AP1397" s="2">
        <v>564</v>
      </c>
      <c r="AQ1397" s="2">
        <v>68</v>
      </c>
      <c r="AR1397" s="2">
        <v>1.5</v>
      </c>
      <c r="AS1397" s="2">
        <v>135</v>
      </c>
      <c r="AT1397" s="2">
        <v>0</v>
      </c>
      <c r="AU1397" s="2">
        <v>162</v>
      </c>
      <c r="AV1397" s="2">
        <v>9.1</v>
      </c>
      <c r="AW1397" s="2">
        <v>9.1999999999999993</v>
      </c>
      <c r="AX1397" s="2">
        <v>18.3</v>
      </c>
      <c r="AY1397" s="2">
        <v>0.34</v>
      </c>
      <c r="AZ1397" s="2">
        <v>7.3</v>
      </c>
      <c r="BA1397" s="2">
        <v>0.9</v>
      </c>
      <c r="BB1397" s="2">
        <v>7.5</v>
      </c>
      <c r="BC1397" s="2">
        <v>2.9</v>
      </c>
      <c r="BD1397" s="2">
        <f>+AN1397*EXP(-0.0495*Y1397)</f>
        <v>2.3492289178952457</v>
      </c>
      <c r="BE1397" s="2">
        <f>+AO1397*EXP(-0.024*Y1397)</f>
        <v>10.787585271887535</v>
      </c>
    </row>
    <row r="1398" spans="1:57" x14ac:dyDescent="0.2">
      <c r="A1398" s="2" t="s">
        <v>2539</v>
      </c>
      <c r="B1398" s="2" t="s">
        <v>19</v>
      </c>
      <c r="C1398" s="2" t="s">
        <v>1907</v>
      </c>
      <c r="D1398" s="2" t="s">
        <v>21</v>
      </c>
      <c r="E1398" s="2" t="s">
        <v>1093</v>
      </c>
      <c r="F1398" s="2">
        <v>5</v>
      </c>
      <c r="G1398" s="2">
        <v>358</v>
      </c>
      <c r="H1398" s="2">
        <v>5</v>
      </c>
      <c r="I1398" s="2">
        <v>3</v>
      </c>
      <c r="J1398" s="2">
        <v>3</v>
      </c>
      <c r="K1398" s="2" t="s">
        <v>61</v>
      </c>
      <c r="L1398" s="6" t="s">
        <v>113</v>
      </c>
      <c r="M1398" s="5">
        <v>1950000000</v>
      </c>
      <c r="N1398" s="2">
        <v>0</v>
      </c>
      <c r="O1398" s="2">
        <v>4.7050299640000004</v>
      </c>
      <c r="P1398" s="2">
        <v>-74.055130000000005</v>
      </c>
      <c r="Q1398" s="2" t="s">
        <v>2540</v>
      </c>
      <c r="R1398" s="2">
        <v>5446927.3739999998</v>
      </c>
      <c r="S1398" s="2">
        <v>0</v>
      </c>
      <c r="T1398" s="2" t="s">
        <v>55</v>
      </c>
      <c r="U1398" s="2" t="s">
        <v>56</v>
      </c>
      <c r="V1398" s="2" t="s">
        <v>28</v>
      </c>
      <c r="W1398" s="2" t="s">
        <v>55</v>
      </c>
      <c r="X1398" s="2" t="s">
        <v>57</v>
      </c>
      <c r="Y1398" s="2">
        <v>2.80502522799561</v>
      </c>
      <c r="Z1398" s="2">
        <v>4.71035</v>
      </c>
      <c r="AA1398" s="2">
        <v>-74.030416666666696</v>
      </c>
      <c r="AB1398" s="2">
        <v>2570</v>
      </c>
      <c r="AC1398" s="2" t="s">
        <v>31</v>
      </c>
      <c r="AD1398" s="2" t="s">
        <v>58</v>
      </c>
      <c r="AE1398" s="2" t="s">
        <v>33</v>
      </c>
      <c r="AF1398" s="2" t="s">
        <v>34</v>
      </c>
      <c r="AG1398" s="2" t="s">
        <v>72</v>
      </c>
      <c r="AH1398" s="2">
        <v>0.109205749089758</v>
      </c>
      <c r="AI1398" s="2">
        <v>3.29184028412203</v>
      </c>
      <c r="AJ1398" s="2">
        <v>1.4230071149390899</v>
      </c>
      <c r="AK1398" s="2">
        <v>4.5443514017731799E-2</v>
      </c>
      <c r="AL1398" s="2">
        <v>0.22155961695382001</v>
      </c>
      <c r="AM1398" s="2">
        <v>15.5</v>
      </c>
      <c r="AN1398" s="2">
        <v>2.4</v>
      </c>
      <c r="AO1398" s="2">
        <v>10.9</v>
      </c>
      <c r="AP1398" s="2">
        <v>564</v>
      </c>
      <c r="AQ1398" s="2">
        <v>68</v>
      </c>
      <c r="AR1398" s="2">
        <v>1.5</v>
      </c>
      <c r="AS1398" s="2">
        <v>135</v>
      </c>
      <c r="AT1398" s="2">
        <v>0</v>
      </c>
      <c r="AU1398" s="2">
        <v>162</v>
      </c>
      <c r="AV1398" s="2">
        <v>9.1</v>
      </c>
      <c r="AW1398" s="2">
        <v>9.1999999999999993</v>
      </c>
      <c r="AX1398" s="2">
        <v>18.3</v>
      </c>
      <c r="AY1398" s="2">
        <v>0.34</v>
      </c>
      <c r="AZ1398" s="2">
        <v>7.3</v>
      </c>
      <c r="BA1398" s="2">
        <v>0.9</v>
      </c>
      <c r="BB1398" s="2">
        <v>7.5</v>
      </c>
      <c r="BC1398" s="2">
        <v>2.9</v>
      </c>
      <c r="BD1398" s="2">
        <f>+AN1398*EXP(-0.0495*Y1398)</f>
        <v>2.0888631875010635</v>
      </c>
      <c r="BE1398" s="2">
        <f>+AO1398*EXP(-0.024*Y1398)</f>
        <v>10.190360085588178</v>
      </c>
    </row>
    <row r="1399" spans="1:57" x14ac:dyDescent="0.2">
      <c r="A1399" s="2" t="s">
        <v>220</v>
      </c>
      <c r="B1399" s="2" t="s">
        <v>19</v>
      </c>
      <c r="C1399" s="2" t="s">
        <v>20</v>
      </c>
      <c r="D1399" s="2" t="s">
        <v>21</v>
      </c>
      <c r="E1399" s="2" t="s">
        <v>221</v>
      </c>
      <c r="F1399" s="2">
        <v>6</v>
      </c>
      <c r="G1399" s="2">
        <v>354</v>
      </c>
      <c r="H1399" s="2">
        <v>3</v>
      </c>
      <c r="I1399" s="2">
        <v>5</v>
      </c>
      <c r="J1399" s="2">
        <v>4</v>
      </c>
      <c r="K1399" s="2" t="s">
        <v>61</v>
      </c>
      <c r="L1399" s="6" t="s">
        <v>113</v>
      </c>
      <c r="M1399" s="5">
        <v>3690000000</v>
      </c>
      <c r="N1399" s="2">
        <v>0</v>
      </c>
      <c r="O1399" s="2">
        <v>4.6916637420000002</v>
      </c>
      <c r="P1399" s="2">
        <v>-74.028251650000001</v>
      </c>
      <c r="Q1399" s="2" t="s">
        <v>222</v>
      </c>
      <c r="R1399" s="2">
        <v>10423728.810000001</v>
      </c>
      <c r="S1399" s="2">
        <v>0</v>
      </c>
      <c r="T1399" s="2" t="s">
        <v>55</v>
      </c>
      <c r="U1399" s="2" t="s">
        <v>56</v>
      </c>
      <c r="V1399" s="2" t="s">
        <v>28</v>
      </c>
      <c r="W1399" s="2" t="s">
        <v>55</v>
      </c>
      <c r="X1399" s="2" t="s">
        <v>57</v>
      </c>
      <c r="Y1399" s="2">
        <v>2.09396682281962</v>
      </c>
      <c r="Z1399" s="2">
        <v>4.71035</v>
      </c>
      <c r="AA1399" s="2">
        <v>-74.030416666666696</v>
      </c>
      <c r="AB1399" s="2">
        <v>2570</v>
      </c>
      <c r="AC1399" s="2" t="s">
        <v>31</v>
      </c>
      <c r="AD1399" s="2" t="s">
        <v>58</v>
      </c>
      <c r="AE1399" s="2" t="s">
        <v>33</v>
      </c>
      <c r="AF1399" s="2" t="s">
        <v>34</v>
      </c>
      <c r="AG1399" s="2" t="s">
        <v>59</v>
      </c>
      <c r="AH1399" s="2">
        <v>3.08389656397505</v>
      </c>
      <c r="AI1399" s="2">
        <v>0.17251351816677099</v>
      </c>
      <c r="AJ1399" s="2">
        <v>0.34839425484366998</v>
      </c>
      <c r="AK1399" s="2">
        <v>0.38030952448176703</v>
      </c>
      <c r="AL1399" s="2">
        <v>0.815692329272798</v>
      </c>
      <c r="AM1399" s="2">
        <v>15.5</v>
      </c>
      <c r="AN1399" s="2">
        <v>2.4</v>
      </c>
      <c r="AO1399" s="2">
        <v>10.9</v>
      </c>
      <c r="AP1399" s="2">
        <v>564</v>
      </c>
      <c r="AQ1399" s="2">
        <v>68</v>
      </c>
      <c r="AR1399" s="2">
        <v>1.5</v>
      </c>
      <c r="AS1399" s="2">
        <v>135</v>
      </c>
      <c r="AT1399" s="2">
        <v>0</v>
      </c>
      <c r="AU1399" s="2">
        <v>162</v>
      </c>
      <c r="AV1399" s="2">
        <v>9.1</v>
      </c>
      <c r="AW1399" s="2">
        <v>9.1999999999999993</v>
      </c>
      <c r="AX1399" s="2">
        <v>18.3</v>
      </c>
      <c r="AY1399" s="2">
        <v>0.34</v>
      </c>
      <c r="AZ1399" s="2">
        <v>7.3</v>
      </c>
      <c r="BA1399" s="2">
        <v>0.9</v>
      </c>
      <c r="BB1399" s="2">
        <v>7.5</v>
      </c>
      <c r="BC1399" s="2">
        <v>2.9</v>
      </c>
      <c r="BD1399" s="2">
        <f>+AN1399*EXP(-0.0495*Y1399)</f>
        <v>2.163694937841707</v>
      </c>
      <c r="BE1399" s="2">
        <f>+AO1399*EXP(-0.024*Y1399)</f>
        <v>10.365755009947705</v>
      </c>
    </row>
    <row r="1400" spans="1:57" x14ac:dyDescent="0.2">
      <c r="A1400" s="2" t="s">
        <v>2170</v>
      </c>
      <c r="B1400" s="2" t="s">
        <v>19</v>
      </c>
      <c r="C1400" s="2" t="s">
        <v>1907</v>
      </c>
      <c r="D1400" s="2" t="s">
        <v>21</v>
      </c>
      <c r="E1400" s="2" t="s">
        <v>2171</v>
      </c>
      <c r="F1400" s="2">
        <v>5</v>
      </c>
      <c r="G1400" s="2">
        <v>350</v>
      </c>
      <c r="H1400" s="2">
        <v>3</v>
      </c>
      <c r="I1400" s="2">
        <v>5</v>
      </c>
      <c r="J1400" s="2">
        <v>4</v>
      </c>
      <c r="K1400" s="2" t="s">
        <v>61</v>
      </c>
      <c r="L1400" s="6" t="s">
        <v>113</v>
      </c>
      <c r="M1400" s="5">
        <v>1580000000</v>
      </c>
      <c r="N1400" s="2">
        <v>0</v>
      </c>
      <c r="O1400" s="2">
        <v>4.7032679999999996</v>
      </c>
      <c r="P1400" s="2">
        <v>-74.062642999999994</v>
      </c>
      <c r="Q1400" s="2" t="s">
        <v>2172</v>
      </c>
      <c r="R1400" s="2">
        <v>4514285.7139999997</v>
      </c>
      <c r="S1400" s="2">
        <v>0</v>
      </c>
      <c r="T1400" s="2" t="s">
        <v>55</v>
      </c>
      <c r="U1400" s="2" t="s">
        <v>56</v>
      </c>
      <c r="V1400" s="2" t="s">
        <v>28</v>
      </c>
      <c r="W1400" s="2" t="s">
        <v>55</v>
      </c>
      <c r="X1400" s="2" t="s">
        <v>57</v>
      </c>
      <c r="Y1400" s="2">
        <v>3.66120727613235</v>
      </c>
      <c r="Z1400" s="2">
        <v>4.71035</v>
      </c>
      <c r="AA1400" s="2">
        <v>-74.030416666666696</v>
      </c>
      <c r="AB1400" s="2">
        <v>2570</v>
      </c>
      <c r="AC1400" s="2" t="s">
        <v>31</v>
      </c>
      <c r="AD1400" s="2" t="s">
        <v>58</v>
      </c>
      <c r="AE1400" s="2" t="s">
        <v>33</v>
      </c>
      <c r="AF1400" s="2" t="s">
        <v>34</v>
      </c>
      <c r="AG1400" s="2" t="s">
        <v>72</v>
      </c>
      <c r="AH1400" s="2">
        <v>0.91407170454232101</v>
      </c>
      <c r="AI1400" s="2">
        <v>4.0016751889873499</v>
      </c>
      <c r="AJ1400" s="2">
        <v>0.97916087326158796</v>
      </c>
      <c r="AK1400" s="2">
        <v>0.45694486408866197</v>
      </c>
      <c r="AL1400" s="2">
        <v>0.118472689652751</v>
      </c>
      <c r="AM1400" s="2">
        <v>15.5</v>
      </c>
      <c r="AN1400" s="2">
        <v>2.4</v>
      </c>
      <c r="AO1400" s="2">
        <v>10.9</v>
      </c>
      <c r="AP1400" s="2">
        <v>564</v>
      </c>
      <c r="AQ1400" s="2">
        <v>68</v>
      </c>
      <c r="AR1400" s="2">
        <v>1.5</v>
      </c>
      <c r="AS1400" s="2">
        <v>135</v>
      </c>
      <c r="AT1400" s="2">
        <v>0</v>
      </c>
      <c r="AU1400" s="2">
        <v>162</v>
      </c>
      <c r="AV1400" s="2">
        <v>9.1</v>
      </c>
      <c r="AW1400" s="2">
        <v>9.1999999999999993</v>
      </c>
      <c r="AX1400" s="2">
        <v>18.3</v>
      </c>
      <c r="AY1400" s="2">
        <v>0.34</v>
      </c>
      <c r="AZ1400" s="2">
        <v>7.3</v>
      </c>
      <c r="BA1400" s="2">
        <v>0.9</v>
      </c>
      <c r="BB1400" s="2">
        <v>7.5</v>
      </c>
      <c r="BC1400" s="2">
        <v>2.9</v>
      </c>
      <c r="BD1400" s="2">
        <f>+AN1400*EXP(-0.0495*Y1400)</f>
        <v>2.0021847857046104</v>
      </c>
      <c r="BE1400" s="2">
        <f>+AO1400*EXP(-0.024*Y1400)</f>
        <v>9.9831015101921121</v>
      </c>
    </row>
    <row r="1401" spans="1:57" x14ac:dyDescent="0.2">
      <c r="A1401" s="2" t="s">
        <v>2396</v>
      </c>
      <c r="B1401" s="2" t="s">
        <v>19</v>
      </c>
      <c r="C1401" s="2" t="s">
        <v>1907</v>
      </c>
      <c r="D1401" s="2" t="s">
        <v>21</v>
      </c>
      <c r="E1401" s="2" t="s">
        <v>295</v>
      </c>
      <c r="F1401" s="2">
        <v>5</v>
      </c>
      <c r="G1401" s="2">
        <v>350</v>
      </c>
      <c r="H1401" s="2">
        <v>3</v>
      </c>
      <c r="I1401" s="2">
        <v>5</v>
      </c>
      <c r="J1401" s="2">
        <v>4</v>
      </c>
      <c r="K1401" s="2" t="s">
        <v>61</v>
      </c>
      <c r="L1401" s="6" t="s">
        <v>113</v>
      </c>
      <c r="M1401" s="5">
        <v>1900000000</v>
      </c>
      <c r="N1401" s="2">
        <v>0</v>
      </c>
      <c r="O1401" s="2">
        <v>4.6987692890000003</v>
      </c>
      <c r="P1401" s="2">
        <v>-74.058200549999995</v>
      </c>
      <c r="Q1401" s="2" t="s">
        <v>2397</v>
      </c>
      <c r="R1401" s="2">
        <v>5428571.4289999995</v>
      </c>
      <c r="S1401" s="2">
        <v>0</v>
      </c>
      <c r="T1401" s="2" t="s">
        <v>55</v>
      </c>
      <c r="U1401" s="2" t="s">
        <v>56</v>
      </c>
      <c r="V1401" s="2" t="s">
        <v>28</v>
      </c>
      <c r="W1401" s="2" t="s">
        <v>55</v>
      </c>
      <c r="X1401" s="2" t="s">
        <v>57</v>
      </c>
      <c r="Y1401" s="2">
        <v>3.3411877637136702</v>
      </c>
      <c r="Z1401" s="2">
        <v>4.71035</v>
      </c>
      <c r="AA1401" s="2">
        <v>-74.030416666666696</v>
      </c>
      <c r="AB1401" s="2">
        <v>2570</v>
      </c>
      <c r="AC1401" s="2" t="s">
        <v>31</v>
      </c>
      <c r="AD1401" s="2" t="s">
        <v>58</v>
      </c>
      <c r="AE1401" s="2" t="s">
        <v>33</v>
      </c>
      <c r="AF1401" s="2" t="s">
        <v>34</v>
      </c>
      <c r="AG1401" s="2" t="s">
        <v>72</v>
      </c>
      <c r="AH1401" s="2">
        <v>0.32839692276740001</v>
      </c>
      <c r="AI1401" s="2">
        <v>3.3023639027527398</v>
      </c>
      <c r="AJ1401" s="2">
        <v>1.1060595891073499</v>
      </c>
      <c r="AK1401" s="2">
        <v>3.4958729130208401E-2</v>
      </c>
      <c r="AL1401" s="2">
        <v>0.16017537931545001</v>
      </c>
      <c r="AM1401" s="2">
        <v>15.5</v>
      </c>
      <c r="AN1401" s="2">
        <v>2.4</v>
      </c>
      <c r="AO1401" s="2">
        <v>10.9</v>
      </c>
      <c r="AP1401" s="2">
        <v>564</v>
      </c>
      <c r="AQ1401" s="2">
        <v>68</v>
      </c>
      <c r="AR1401" s="2">
        <v>1.5</v>
      </c>
      <c r="AS1401" s="2">
        <v>135</v>
      </c>
      <c r="AT1401" s="2">
        <v>0</v>
      </c>
      <c r="AU1401" s="2">
        <v>162</v>
      </c>
      <c r="AV1401" s="2">
        <v>9.1</v>
      </c>
      <c r="AW1401" s="2">
        <v>9.1999999999999993</v>
      </c>
      <c r="AX1401" s="2">
        <v>18.3</v>
      </c>
      <c r="AY1401" s="2">
        <v>0.34</v>
      </c>
      <c r="AZ1401" s="2">
        <v>7.3</v>
      </c>
      <c r="BA1401" s="2">
        <v>0.9</v>
      </c>
      <c r="BB1401" s="2">
        <v>7.5</v>
      </c>
      <c r="BC1401" s="2">
        <v>2.9</v>
      </c>
      <c r="BD1401" s="2">
        <f>+AN1401*EXP(-0.0495*Y1401)</f>
        <v>2.0341538686114706</v>
      </c>
      <c r="BE1401" s="2">
        <f>+AO1401*EXP(-0.024*Y1401)</f>
        <v>10.060071609692697</v>
      </c>
    </row>
    <row r="1402" spans="1:57" x14ac:dyDescent="0.2">
      <c r="A1402" s="2" t="s">
        <v>2524</v>
      </c>
      <c r="B1402" s="2" t="s">
        <v>19</v>
      </c>
      <c r="C1402" s="2" t="s">
        <v>1907</v>
      </c>
      <c r="D1402" s="2" t="s">
        <v>21</v>
      </c>
      <c r="E1402" s="2" t="s">
        <v>295</v>
      </c>
      <c r="F1402" s="2">
        <v>5</v>
      </c>
      <c r="G1402" s="2">
        <v>350</v>
      </c>
      <c r="H1402" s="2">
        <v>5</v>
      </c>
      <c r="I1402" s="2">
        <v>3</v>
      </c>
      <c r="J1402" s="2">
        <v>4</v>
      </c>
      <c r="K1402" s="2" t="s">
        <v>61</v>
      </c>
      <c r="L1402" s="6" t="s">
        <v>113</v>
      </c>
      <c r="M1402" s="5">
        <v>1700000000</v>
      </c>
      <c r="N1402" s="2">
        <v>0</v>
      </c>
      <c r="O1402" s="2">
        <v>4.7012759659999999</v>
      </c>
      <c r="P1402" s="2">
        <v>-74.056278849999998</v>
      </c>
      <c r="Q1402" s="2" t="s">
        <v>2525</v>
      </c>
      <c r="R1402" s="2">
        <v>4857142.8569999998</v>
      </c>
      <c r="S1402" s="2">
        <v>0</v>
      </c>
      <c r="T1402" s="2" t="s">
        <v>55</v>
      </c>
      <c r="U1402" s="2" t="s">
        <v>56</v>
      </c>
      <c r="V1402" s="2" t="s">
        <v>28</v>
      </c>
      <c r="W1402" s="2" t="s">
        <v>55</v>
      </c>
      <c r="X1402" s="2" t="s">
        <v>57</v>
      </c>
      <c r="Y1402" s="2">
        <v>3.0418728781829998</v>
      </c>
      <c r="Z1402" s="2">
        <v>4.71035</v>
      </c>
      <c r="AA1402" s="2">
        <v>-74.030416666666696</v>
      </c>
      <c r="AB1402" s="2">
        <v>2570</v>
      </c>
      <c r="AC1402" s="2" t="s">
        <v>31</v>
      </c>
      <c r="AD1402" s="2" t="s">
        <v>58</v>
      </c>
      <c r="AE1402" s="2" t="s">
        <v>33</v>
      </c>
      <c r="AF1402" s="2" t="s">
        <v>34</v>
      </c>
      <c r="AG1402" s="2" t="s">
        <v>72</v>
      </c>
      <c r="AH1402" s="2">
        <v>0.36425268931050903</v>
      </c>
      <c r="AI1402" s="2">
        <v>3.3479862206564799</v>
      </c>
      <c r="AJ1402" s="2">
        <v>1.1341255955439</v>
      </c>
      <c r="AK1402" s="2">
        <v>4.91548054642389E-2</v>
      </c>
      <c r="AL1402" s="2">
        <v>0.20876188663443901</v>
      </c>
      <c r="AM1402" s="2">
        <v>15.5</v>
      </c>
      <c r="AN1402" s="2">
        <v>2.4</v>
      </c>
      <c r="AO1402" s="2">
        <v>10.9</v>
      </c>
      <c r="AP1402" s="2">
        <v>564</v>
      </c>
      <c r="AQ1402" s="2">
        <v>68</v>
      </c>
      <c r="AR1402" s="2">
        <v>1.5</v>
      </c>
      <c r="AS1402" s="2">
        <v>135</v>
      </c>
      <c r="AT1402" s="2">
        <v>0</v>
      </c>
      <c r="AU1402" s="2">
        <v>162</v>
      </c>
      <c r="AV1402" s="2">
        <v>9.1</v>
      </c>
      <c r="AW1402" s="2">
        <v>9.1999999999999993</v>
      </c>
      <c r="AX1402" s="2">
        <v>18.3</v>
      </c>
      <c r="AY1402" s="2">
        <v>0.34</v>
      </c>
      <c r="AZ1402" s="2">
        <v>7.3</v>
      </c>
      <c r="BA1402" s="2">
        <v>0.9</v>
      </c>
      <c r="BB1402" s="2">
        <v>7.5</v>
      </c>
      <c r="BC1402" s="2">
        <v>2.9</v>
      </c>
      <c r="BD1402" s="2">
        <f>+AN1402*EXP(-0.0495*Y1402)</f>
        <v>2.06451644079345</v>
      </c>
      <c r="BE1402" s="2">
        <f>+AO1402*EXP(-0.024*Y1402)</f>
        <v>10.132598900151043</v>
      </c>
    </row>
    <row r="1403" spans="1:57" x14ac:dyDescent="0.2">
      <c r="A1403" s="2" t="s">
        <v>3012</v>
      </c>
      <c r="B1403" s="2" t="s">
        <v>19</v>
      </c>
      <c r="C1403" s="2" t="s">
        <v>1907</v>
      </c>
      <c r="D1403" s="2" t="s">
        <v>21</v>
      </c>
      <c r="E1403" s="2" t="s">
        <v>393</v>
      </c>
      <c r="F1403" s="2">
        <v>4</v>
      </c>
      <c r="G1403" s="2">
        <v>348</v>
      </c>
      <c r="H1403" s="2">
        <v>5</v>
      </c>
      <c r="I1403" s="2">
        <v>5</v>
      </c>
      <c r="J1403" s="2">
        <v>4</v>
      </c>
      <c r="K1403" s="2" t="s">
        <v>61</v>
      </c>
      <c r="L1403" s="6" t="s">
        <v>113</v>
      </c>
      <c r="M1403" s="5">
        <v>3400000000</v>
      </c>
      <c r="N1403" s="2">
        <v>0</v>
      </c>
      <c r="O1403" s="2">
        <v>4.7180163049999999</v>
      </c>
      <c r="P1403" s="2">
        <v>-74.042104839999993</v>
      </c>
      <c r="Q1403" s="2" t="s">
        <v>3013</v>
      </c>
      <c r="R1403" s="2">
        <v>9770114.943</v>
      </c>
      <c r="S1403" s="2">
        <v>0</v>
      </c>
      <c r="T1403" s="2" t="s">
        <v>55</v>
      </c>
      <c r="U1403" s="2" t="s">
        <v>56</v>
      </c>
      <c r="V1403" s="2" t="s">
        <v>28</v>
      </c>
      <c r="W1403" s="2" t="s">
        <v>55</v>
      </c>
      <c r="X1403" s="2" t="s">
        <v>57</v>
      </c>
      <c r="Y1403" s="2">
        <v>1.55234974093114</v>
      </c>
      <c r="Z1403" s="2">
        <v>4.71035</v>
      </c>
      <c r="AA1403" s="2">
        <v>-74.030416666666696</v>
      </c>
      <c r="AB1403" s="2">
        <v>2570</v>
      </c>
      <c r="AC1403" s="2" t="s">
        <v>31</v>
      </c>
      <c r="AD1403" s="2" t="s">
        <v>58</v>
      </c>
      <c r="AE1403" s="2" t="s">
        <v>33</v>
      </c>
      <c r="AF1403" s="2" t="s">
        <v>34</v>
      </c>
      <c r="AG1403" s="2" t="s">
        <v>59</v>
      </c>
      <c r="AH1403" s="2">
        <v>1.09373100984356</v>
      </c>
      <c r="AI1403" s="2">
        <v>2.0209597508958401</v>
      </c>
      <c r="AJ1403" s="2">
        <v>1.3098043757989299</v>
      </c>
      <c r="AK1403" s="2">
        <v>0.13486216297137901</v>
      </c>
      <c r="AL1403" s="2">
        <v>0.37676475188237202</v>
      </c>
      <c r="AM1403" s="2">
        <v>15.5</v>
      </c>
      <c r="AN1403" s="2">
        <v>2.4</v>
      </c>
      <c r="AO1403" s="2">
        <v>10.9</v>
      </c>
      <c r="AP1403" s="2">
        <v>564</v>
      </c>
      <c r="AQ1403" s="2">
        <v>68</v>
      </c>
      <c r="AR1403" s="2">
        <v>1.5</v>
      </c>
      <c r="AS1403" s="2">
        <v>135</v>
      </c>
      <c r="AT1403" s="2">
        <v>0</v>
      </c>
      <c r="AU1403" s="2">
        <v>162</v>
      </c>
      <c r="AV1403" s="2">
        <v>9.1</v>
      </c>
      <c r="AW1403" s="2">
        <v>9.1999999999999993</v>
      </c>
      <c r="AX1403" s="2">
        <v>18.3</v>
      </c>
      <c r="AY1403" s="2">
        <v>0.34</v>
      </c>
      <c r="AZ1403" s="2">
        <v>7.3</v>
      </c>
      <c r="BA1403" s="2">
        <v>0.9</v>
      </c>
      <c r="BB1403" s="2">
        <v>7.5</v>
      </c>
      <c r="BC1403" s="2">
        <v>2.9</v>
      </c>
      <c r="BD1403" s="2">
        <f>+AN1403*EXP(-0.0495*Y1403)</f>
        <v>2.2224883025062998</v>
      </c>
      <c r="BE1403" s="2">
        <f>+AO1403*EXP(-0.024*Y1403)</f>
        <v>10.50137704232688</v>
      </c>
    </row>
    <row r="1404" spans="1:57" x14ac:dyDescent="0.2">
      <c r="A1404" s="2" t="s">
        <v>639</v>
      </c>
      <c r="B1404" s="2" t="s">
        <v>19</v>
      </c>
      <c r="C1404" s="2" t="s">
        <v>20</v>
      </c>
      <c r="D1404" s="2" t="s">
        <v>21</v>
      </c>
      <c r="E1404" s="2" t="s">
        <v>640</v>
      </c>
      <c r="F1404" s="2">
        <v>6</v>
      </c>
      <c r="G1404" s="2">
        <v>346.57</v>
      </c>
      <c r="H1404" s="2">
        <v>4</v>
      </c>
      <c r="I1404" s="2">
        <v>5</v>
      </c>
      <c r="J1404" s="2">
        <v>4</v>
      </c>
      <c r="K1404" s="2" t="s">
        <v>61</v>
      </c>
      <c r="L1404" s="6" t="s">
        <v>113</v>
      </c>
      <c r="M1404" s="5">
        <v>2950000000</v>
      </c>
      <c r="N1404" s="2">
        <v>0</v>
      </c>
      <c r="O1404" s="2">
        <v>4.7062200000000001</v>
      </c>
      <c r="P1404" s="2">
        <v>-74.036437000000006</v>
      </c>
      <c r="Q1404" s="2" t="s">
        <v>641</v>
      </c>
      <c r="R1404" s="2">
        <v>8511988.9199999999</v>
      </c>
      <c r="S1404" s="2">
        <v>0</v>
      </c>
      <c r="T1404" s="2" t="s">
        <v>55</v>
      </c>
      <c r="U1404" s="2" t="s">
        <v>56</v>
      </c>
      <c r="V1404" s="2" t="s">
        <v>28</v>
      </c>
      <c r="W1404" s="2" t="s">
        <v>55</v>
      </c>
      <c r="X1404" s="2" t="s">
        <v>57</v>
      </c>
      <c r="Y1404" s="2">
        <v>0.81085467551145596</v>
      </c>
      <c r="Z1404" s="2">
        <v>4.71035</v>
      </c>
      <c r="AA1404" s="2">
        <v>-74.030416666666696</v>
      </c>
      <c r="AB1404" s="2">
        <v>2570</v>
      </c>
      <c r="AC1404" s="2" t="s">
        <v>31</v>
      </c>
      <c r="AD1404" s="2" t="s">
        <v>58</v>
      </c>
      <c r="AE1404" s="2" t="s">
        <v>33</v>
      </c>
      <c r="AF1404" s="2" t="s">
        <v>34</v>
      </c>
      <c r="AG1404" s="2" t="s">
        <v>59</v>
      </c>
      <c r="AH1404" s="2">
        <v>1.9800068469568499</v>
      </c>
      <c r="AI1404" s="2">
        <v>1.2817933679612501</v>
      </c>
      <c r="AJ1404" s="2">
        <v>0.64361621506735101</v>
      </c>
      <c r="AK1404" s="2">
        <v>0.28727719626563802</v>
      </c>
      <c r="AL1404" s="2">
        <v>0.14996050752508699</v>
      </c>
      <c r="AM1404" s="2">
        <v>15.5</v>
      </c>
      <c r="AN1404" s="2">
        <v>2.4</v>
      </c>
      <c r="AO1404" s="2">
        <v>10.9</v>
      </c>
      <c r="AP1404" s="2">
        <v>564</v>
      </c>
      <c r="AQ1404" s="2">
        <v>68</v>
      </c>
      <c r="AR1404" s="2">
        <v>1.5</v>
      </c>
      <c r="AS1404" s="2">
        <v>135</v>
      </c>
      <c r="AT1404" s="2">
        <v>0</v>
      </c>
      <c r="AU1404" s="2">
        <v>162</v>
      </c>
      <c r="AV1404" s="2">
        <v>9.1</v>
      </c>
      <c r="AW1404" s="2">
        <v>9.1999999999999993</v>
      </c>
      <c r="AX1404" s="2">
        <v>18.3</v>
      </c>
      <c r="AY1404" s="2">
        <v>0.34</v>
      </c>
      <c r="AZ1404" s="2">
        <v>7.3</v>
      </c>
      <c r="BA1404" s="2">
        <v>0.9</v>
      </c>
      <c r="BB1404" s="2">
        <v>7.5</v>
      </c>
      <c r="BC1404" s="2">
        <v>2.9</v>
      </c>
      <c r="BD1404" s="2">
        <f>+AN1404*EXP(-0.0495*Y1404)</f>
        <v>2.3055780615202459</v>
      </c>
      <c r="BE1404" s="2">
        <f>+AO1404*EXP(-0.024*Y1404)</f>
        <v>10.68993107095117</v>
      </c>
    </row>
    <row r="1405" spans="1:57" x14ac:dyDescent="0.2">
      <c r="A1405" s="2" t="s">
        <v>1663</v>
      </c>
      <c r="B1405" s="2" t="s">
        <v>19</v>
      </c>
      <c r="C1405" s="2" t="s">
        <v>20</v>
      </c>
      <c r="D1405" s="2" t="s">
        <v>21</v>
      </c>
      <c r="E1405" s="2" t="s">
        <v>221</v>
      </c>
      <c r="F1405" s="2">
        <v>6</v>
      </c>
      <c r="G1405" s="2">
        <v>343</v>
      </c>
      <c r="H1405" s="2">
        <v>3</v>
      </c>
      <c r="I1405" s="2">
        <v>5</v>
      </c>
      <c r="J1405" s="2">
        <v>3</v>
      </c>
      <c r="K1405" s="2" t="s">
        <v>61</v>
      </c>
      <c r="L1405" s="6" t="s">
        <v>113</v>
      </c>
      <c r="M1405" s="5">
        <v>2850000000</v>
      </c>
      <c r="N1405" s="2">
        <v>0</v>
      </c>
      <c r="O1405" s="2">
        <v>4.6974010469999996</v>
      </c>
      <c r="P1405" s="2">
        <v>-74.028007509999995</v>
      </c>
      <c r="Q1405" s="2" t="s">
        <v>1664</v>
      </c>
      <c r="R1405" s="2">
        <v>8309037.9009999996</v>
      </c>
      <c r="S1405" s="2">
        <v>0</v>
      </c>
      <c r="T1405" s="2" t="s">
        <v>55</v>
      </c>
      <c r="U1405" s="2" t="s">
        <v>56</v>
      </c>
      <c r="V1405" s="2" t="s">
        <v>28</v>
      </c>
      <c r="W1405" s="2" t="s">
        <v>55</v>
      </c>
      <c r="X1405" s="2" t="s">
        <v>57</v>
      </c>
      <c r="Y1405" s="2">
        <v>1.4660417179316001</v>
      </c>
      <c r="Z1405" s="2">
        <v>4.71035</v>
      </c>
      <c r="AA1405" s="2">
        <v>-74.030416666666696</v>
      </c>
      <c r="AB1405" s="2">
        <v>2570</v>
      </c>
      <c r="AC1405" s="2" t="s">
        <v>31</v>
      </c>
      <c r="AD1405" s="2" t="s">
        <v>58</v>
      </c>
      <c r="AE1405" s="2" t="s">
        <v>33</v>
      </c>
      <c r="AF1405" s="2" t="s">
        <v>34</v>
      </c>
      <c r="AG1405" s="2" t="s">
        <v>59</v>
      </c>
      <c r="AH1405" s="2">
        <v>3.01499465463238</v>
      </c>
      <c r="AI1405" s="2">
        <v>0.23765733561307201</v>
      </c>
      <c r="AJ1405" s="2">
        <v>0.37609905813070699</v>
      </c>
      <c r="AK1405" s="2">
        <v>0.257587999793363</v>
      </c>
      <c r="AL1405" s="2">
        <v>0.61829919085756002</v>
      </c>
      <c r="AM1405" s="2">
        <v>15.5</v>
      </c>
      <c r="AN1405" s="2">
        <v>2.4</v>
      </c>
      <c r="AO1405" s="2">
        <v>10.9</v>
      </c>
      <c r="AP1405" s="2">
        <v>564</v>
      </c>
      <c r="AQ1405" s="2">
        <v>68</v>
      </c>
      <c r="AR1405" s="2">
        <v>1.5</v>
      </c>
      <c r="AS1405" s="2">
        <v>135</v>
      </c>
      <c r="AT1405" s="2">
        <v>0</v>
      </c>
      <c r="AU1405" s="2">
        <v>162</v>
      </c>
      <c r="AV1405" s="2">
        <v>9.1</v>
      </c>
      <c r="AW1405" s="2">
        <v>9.1999999999999993</v>
      </c>
      <c r="AX1405" s="2">
        <v>18.3</v>
      </c>
      <c r="AY1405" s="2">
        <v>0.34</v>
      </c>
      <c r="AZ1405" s="2">
        <v>7.3</v>
      </c>
      <c r="BA1405" s="2">
        <v>0.9</v>
      </c>
      <c r="BB1405" s="2">
        <v>7.5</v>
      </c>
      <c r="BC1405" s="2">
        <v>2.9</v>
      </c>
      <c r="BD1405" s="2">
        <f>+AN1405*EXP(-0.0495*Y1405)</f>
        <v>2.2320036332463546</v>
      </c>
      <c r="BE1405" s="2">
        <f>+AO1405*EXP(-0.024*Y1405)</f>
        <v>10.523152061037994</v>
      </c>
    </row>
    <row r="1406" spans="1:57" x14ac:dyDescent="0.2">
      <c r="A1406" s="2" t="s">
        <v>2885</v>
      </c>
      <c r="B1406" s="2" t="s">
        <v>19</v>
      </c>
      <c r="C1406" s="2" t="s">
        <v>1907</v>
      </c>
      <c r="D1406" s="2" t="s">
        <v>21</v>
      </c>
      <c r="E1406" s="2" t="s">
        <v>393</v>
      </c>
      <c r="F1406" s="2">
        <v>5</v>
      </c>
      <c r="G1406" s="2">
        <v>340</v>
      </c>
      <c r="H1406" s="2">
        <v>5</v>
      </c>
      <c r="I1406" s="2">
        <v>5</v>
      </c>
      <c r="J1406" s="2">
        <v>4</v>
      </c>
      <c r="K1406" s="2" t="s">
        <v>61</v>
      </c>
      <c r="L1406" s="6" t="s">
        <v>113</v>
      </c>
      <c r="M1406" s="5">
        <v>1800000000</v>
      </c>
      <c r="N1406" s="2">
        <v>0</v>
      </c>
      <c r="O1406" s="2">
        <v>4.7172231240000002</v>
      </c>
      <c r="P1406" s="2">
        <v>-74.041968679999997</v>
      </c>
      <c r="Q1406" s="2" t="s">
        <v>2886</v>
      </c>
      <c r="R1406" s="2">
        <v>5294117.6469999999</v>
      </c>
      <c r="S1406" s="2">
        <v>0</v>
      </c>
      <c r="T1406" s="2" t="s">
        <v>55</v>
      </c>
      <c r="U1406" s="2" t="s">
        <v>56</v>
      </c>
      <c r="V1406" s="2" t="s">
        <v>28</v>
      </c>
      <c r="W1406" s="2" t="s">
        <v>55</v>
      </c>
      <c r="X1406" s="2" t="s">
        <v>57</v>
      </c>
      <c r="Y1406" s="2">
        <v>1.49262637592303</v>
      </c>
      <c r="Z1406" s="2">
        <v>4.71035</v>
      </c>
      <c r="AA1406" s="2">
        <v>-74.030416666666696</v>
      </c>
      <c r="AB1406" s="2">
        <v>2570</v>
      </c>
      <c r="AC1406" s="2" t="s">
        <v>31</v>
      </c>
      <c r="AD1406" s="2" t="s">
        <v>58</v>
      </c>
      <c r="AE1406" s="2" t="s">
        <v>33</v>
      </c>
      <c r="AF1406" s="2" t="s">
        <v>34</v>
      </c>
      <c r="AG1406" s="2" t="s">
        <v>59</v>
      </c>
      <c r="AH1406" s="2">
        <v>1.13857204606551</v>
      </c>
      <c r="AI1406" s="2">
        <v>1.9827859249936599</v>
      </c>
      <c r="AJ1406" s="2">
        <v>1.24552804991129</v>
      </c>
      <c r="AK1406" s="2">
        <v>9.0371791310661601E-2</v>
      </c>
      <c r="AL1406" s="2">
        <v>0.451743133963454</v>
      </c>
      <c r="AM1406" s="2">
        <v>15.5</v>
      </c>
      <c r="AN1406" s="2">
        <v>2.4</v>
      </c>
      <c r="AO1406" s="2">
        <v>10.9</v>
      </c>
      <c r="AP1406" s="2">
        <v>564</v>
      </c>
      <c r="AQ1406" s="2">
        <v>68</v>
      </c>
      <c r="AR1406" s="2">
        <v>1.5</v>
      </c>
      <c r="AS1406" s="2">
        <v>135</v>
      </c>
      <c r="AT1406" s="2">
        <v>0</v>
      </c>
      <c r="AU1406" s="2">
        <v>162</v>
      </c>
      <c r="AV1406" s="2">
        <v>9.1</v>
      </c>
      <c r="AW1406" s="2">
        <v>9.1999999999999993</v>
      </c>
      <c r="AX1406" s="2">
        <v>18.3</v>
      </c>
      <c r="AY1406" s="2">
        <v>0.34</v>
      </c>
      <c r="AZ1406" s="2">
        <v>7.3</v>
      </c>
      <c r="BA1406" s="2">
        <v>0.9</v>
      </c>
      <c r="BB1406" s="2">
        <v>7.5</v>
      </c>
      <c r="BC1406" s="2">
        <v>2.9</v>
      </c>
      <c r="BD1406" s="2">
        <f>+AN1406*EXP(-0.0495*Y1406)</f>
        <v>2.2290683808441352</v>
      </c>
      <c r="BE1406" s="2">
        <f>+AO1406*EXP(-0.024*Y1406)</f>
        <v>10.516440096924105</v>
      </c>
    </row>
    <row r="1407" spans="1:57" x14ac:dyDescent="0.2">
      <c r="A1407" s="2" t="s">
        <v>956</v>
      </c>
      <c r="B1407" s="2" t="s">
        <v>19</v>
      </c>
      <c r="C1407" s="2" t="s">
        <v>20</v>
      </c>
      <c r="D1407" s="2" t="s">
        <v>21</v>
      </c>
      <c r="E1407" s="2" t="s">
        <v>816</v>
      </c>
      <c r="F1407" s="2">
        <v>6</v>
      </c>
      <c r="G1407" s="2">
        <v>340</v>
      </c>
      <c r="H1407" s="2">
        <v>4</v>
      </c>
      <c r="I1407" s="2">
        <v>3</v>
      </c>
      <c r="J1407" s="2">
        <v>3</v>
      </c>
      <c r="K1407" s="2" t="s">
        <v>61</v>
      </c>
      <c r="L1407" s="6" t="s">
        <v>113</v>
      </c>
      <c r="M1407" s="5">
        <v>2900000000</v>
      </c>
      <c r="N1407" s="2">
        <v>0</v>
      </c>
      <c r="O1407" s="2">
        <v>4.7167405279999999</v>
      </c>
      <c r="P1407" s="2">
        <v>-74.026573249999998</v>
      </c>
      <c r="Q1407" s="2" t="s">
        <v>957</v>
      </c>
      <c r="R1407" s="2">
        <v>8529411.7650000006</v>
      </c>
      <c r="S1407" s="2">
        <v>0</v>
      </c>
      <c r="T1407" s="2" t="s">
        <v>55</v>
      </c>
      <c r="U1407" s="2" t="s">
        <v>56</v>
      </c>
      <c r="V1407" s="2" t="s">
        <v>28</v>
      </c>
      <c r="W1407" s="2" t="s">
        <v>55</v>
      </c>
      <c r="X1407" s="2" t="s">
        <v>57</v>
      </c>
      <c r="Y1407" s="2">
        <v>0.82939334663362896</v>
      </c>
      <c r="Z1407" s="2">
        <v>4.71035</v>
      </c>
      <c r="AA1407" s="2">
        <v>-74.030416666666696</v>
      </c>
      <c r="AB1407" s="2">
        <v>2570</v>
      </c>
      <c r="AC1407" s="2" t="s">
        <v>31</v>
      </c>
      <c r="AD1407" s="2" t="s">
        <v>58</v>
      </c>
      <c r="AE1407" s="2" t="s">
        <v>33</v>
      </c>
      <c r="AF1407" s="2" t="s">
        <v>34</v>
      </c>
      <c r="AG1407" s="2" t="s">
        <v>59</v>
      </c>
      <c r="AH1407" s="2">
        <v>2.8020615472302501</v>
      </c>
      <c r="AI1407" s="2">
        <v>0.36383360245106999</v>
      </c>
      <c r="AJ1407" s="2">
        <v>0.95542390423553902</v>
      </c>
      <c r="AK1407" s="2">
        <v>0.32157102954462802</v>
      </c>
      <c r="AL1407" s="2">
        <v>0.288508215773641</v>
      </c>
      <c r="AM1407" s="2">
        <v>15.5</v>
      </c>
      <c r="AN1407" s="2">
        <v>2.4</v>
      </c>
      <c r="AO1407" s="2">
        <v>10.9</v>
      </c>
      <c r="AP1407" s="2">
        <v>564</v>
      </c>
      <c r="AQ1407" s="2">
        <v>68</v>
      </c>
      <c r="AR1407" s="2">
        <v>1.5</v>
      </c>
      <c r="AS1407" s="2">
        <v>135</v>
      </c>
      <c r="AT1407" s="2">
        <v>0</v>
      </c>
      <c r="AU1407" s="2">
        <v>162</v>
      </c>
      <c r="AV1407" s="2">
        <v>9.1</v>
      </c>
      <c r="AW1407" s="2">
        <v>9.1999999999999993</v>
      </c>
      <c r="AX1407" s="2">
        <v>18.3</v>
      </c>
      <c r="AY1407" s="2">
        <v>0.34</v>
      </c>
      <c r="AZ1407" s="2">
        <v>7.3</v>
      </c>
      <c r="BA1407" s="2">
        <v>0.9</v>
      </c>
      <c r="BB1407" s="2">
        <v>7.5</v>
      </c>
      <c r="BC1407" s="2">
        <v>2.9</v>
      </c>
      <c r="BD1407" s="2">
        <f>+AN1407*EXP(-0.0495*Y1407)</f>
        <v>2.3034632855010591</v>
      </c>
      <c r="BE1407" s="2">
        <f>+AO1407*EXP(-0.024*Y1407)</f>
        <v>10.68517587809446</v>
      </c>
    </row>
    <row r="1408" spans="1:57" x14ac:dyDescent="0.2">
      <c r="A1408" s="2" t="s">
        <v>4180</v>
      </c>
      <c r="B1408" s="2" t="s">
        <v>19</v>
      </c>
      <c r="C1408" s="2" t="s">
        <v>3245</v>
      </c>
      <c r="D1408" s="2" t="s">
        <v>21</v>
      </c>
      <c r="E1408" s="2" t="s">
        <v>419</v>
      </c>
      <c r="F1408" s="2">
        <v>6</v>
      </c>
      <c r="G1408" s="2">
        <v>337.73</v>
      </c>
      <c r="H1408" s="2">
        <v>4</v>
      </c>
      <c r="I1408" s="2">
        <v>4</v>
      </c>
      <c r="J1408" s="2">
        <v>4</v>
      </c>
      <c r="K1408" s="2" t="s">
        <v>61</v>
      </c>
      <c r="L1408" s="6" t="s">
        <v>113</v>
      </c>
      <c r="M1408" s="5">
        <v>2750000000</v>
      </c>
      <c r="N1408" s="2">
        <v>0</v>
      </c>
      <c r="O1408" s="2">
        <v>4.6893137820000002</v>
      </c>
      <c r="P1408" s="2">
        <v>-74.055364870000005</v>
      </c>
      <c r="Q1408" s="2" t="s">
        <v>4181</v>
      </c>
      <c r="R1408" s="2">
        <v>8142599.1179999998</v>
      </c>
      <c r="S1408" s="2">
        <v>0</v>
      </c>
      <c r="T1408" s="2" t="s">
        <v>55</v>
      </c>
      <c r="U1408" s="2" t="s">
        <v>56</v>
      </c>
      <c r="V1408" s="2" t="s">
        <v>28</v>
      </c>
      <c r="W1408" s="2" t="s">
        <v>55</v>
      </c>
      <c r="X1408" s="2" t="s">
        <v>57</v>
      </c>
      <c r="Y1408" s="2">
        <v>3.62559357865607</v>
      </c>
      <c r="Z1408" s="2">
        <v>4.71035</v>
      </c>
      <c r="AA1408" s="2">
        <v>-74.030416666666696</v>
      </c>
      <c r="AB1408" s="2">
        <v>2570</v>
      </c>
      <c r="AC1408" s="2" t="s">
        <v>31</v>
      </c>
      <c r="AD1408" s="2" t="s">
        <v>58</v>
      </c>
      <c r="AE1408" s="2" t="s">
        <v>33</v>
      </c>
      <c r="AF1408" s="2" t="s">
        <v>34</v>
      </c>
      <c r="AG1408" s="2" t="s">
        <v>59</v>
      </c>
      <c r="AH1408" s="2">
        <v>0.41545877781885299</v>
      </c>
      <c r="AI1408" s="2">
        <v>2.4180692747577299</v>
      </c>
      <c r="AJ1408" s="2">
        <v>0.484427413676283</v>
      </c>
      <c r="AK1408" s="2">
        <v>0.14730079808574101</v>
      </c>
      <c r="AL1408" s="2">
        <v>0.46219709652090102</v>
      </c>
      <c r="AM1408" s="2">
        <v>15.5</v>
      </c>
      <c r="AN1408" s="2">
        <v>2.4</v>
      </c>
      <c r="AO1408" s="2">
        <v>10.9</v>
      </c>
      <c r="AP1408" s="2">
        <v>564</v>
      </c>
      <c r="AQ1408" s="2">
        <v>68</v>
      </c>
      <c r="AR1408" s="2">
        <v>1.5</v>
      </c>
      <c r="AS1408" s="2">
        <v>135</v>
      </c>
      <c r="AT1408" s="2">
        <v>0</v>
      </c>
      <c r="AU1408" s="2">
        <v>162</v>
      </c>
      <c r="AV1408" s="2">
        <v>9.1</v>
      </c>
      <c r="AW1408" s="2">
        <v>9.1999999999999993</v>
      </c>
      <c r="AX1408" s="2">
        <v>18.3</v>
      </c>
      <c r="AY1408" s="2">
        <v>0.34</v>
      </c>
      <c r="AZ1408" s="2">
        <v>7.3</v>
      </c>
      <c r="BA1408" s="2">
        <v>0.9</v>
      </c>
      <c r="BB1408" s="2">
        <v>7.5</v>
      </c>
      <c r="BC1408" s="2">
        <v>2.9</v>
      </c>
      <c r="BD1408" s="2">
        <f>+AN1408*EXP(-0.0495*Y1408)</f>
        <v>2.0057175062282626</v>
      </c>
      <c r="BE1408" s="2">
        <f>+AO1408*EXP(-0.024*Y1408)</f>
        <v>9.9916380016341115</v>
      </c>
    </row>
    <row r="1409" spans="1:57" x14ac:dyDescent="0.2">
      <c r="A1409" s="2" t="s">
        <v>4320</v>
      </c>
      <c r="B1409" s="2" t="s">
        <v>19</v>
      </c>
      <c r="C1409" s="2" t="s">
        <v>3245</v>
      </c>
      <c r="D1409" s="2" t="s">
        <v>21</v>
      </c>
      <c r="E1409" s="2" t="s">
        <v>1600</v>
      </c>
      <c r="F1409" s="2">
        <v>6</v>
      </c>
      <c r="G1409" s="2">
        <v>337</v>
      </c>
      <c r="H1409" s="2">
        <v>4</v>
      </c>
      <c r="I1409" s="2">
        <v>5</v>
      </c>
      <c r="J1409" s="2">
        <v>4</v>
      </c>
      <c r="K1409" s="2" t="s">
        <v>61</v>
      </c>
      <c r="L1409" s="6" t="s">
        <v>113</v>
      </c>
      <c r="M1409" s="5">
        <v>2650000000</v>
      </c>
      <c r="N1409" s="2">
        <v>0</v>
      </c>
      <c r="O1409" s="2">
        <v>4.6954299559999999</v>
      </c>
      <c r="P1409" s="2">
        <v>-74.053917549999994</v>
      </c>
      <c r="Q1409" s="2" t="s">
        <v>4321</v>
      </c>
      <c r="R1409" s="2">
        <v>7863501.4840000002</v>
      </c>
      <c r="S1409" s="2">
        <v>0</v>
      </c>
      <c r="T1409" s="2" t="s">
        <v>55</v>
      </c>
      <c r="U1409" s="2" t="s">
        <v>56</v>
      </c>
      <c r="V1409" s="2" t="s">
        <v>28</v>
      </c>
      <c r="W1409" s="2" t="s">
        <v>55</v>
      </c>
      <c r="X1409" s="2" t="s">
        <v>57</v>
      </c>
      <c r="Y1409" s="2">
        <v>3.0913697891401299</v>
      </c>
      <c r="Z1409" s="2">
        <v>4.71035</v>
      </c>
      <c r="AA1409" s="2">
        <v>-74.030416666666696</v>
      </c>
      <c r="AB1409" s="2">
        <v>2570</v>
      </c>
      <c r="AC1409" s="2" t="s">
        <v>31</v>
      </c>
      <c r="AD1409" s="2" t="s">
        <v>58</v>
      </c>
      <c r="AE1409" s="2" t="s">
        <v>33</v>
      </c>
      <c r="AF1409" s="2" t="s">
        <v>34</v>
      </c>
      <c r="AG1409" s="2" t="s">
        <v>59</v>
      </c>
      <c r="AH1409" s="2">
        <v>0.33559772476378202</v>
      </c>
      <c r="AI1409" s="2">
        <v>2.7033717565407298</v>
      </c>
      <c r="AJ1409" s="2">
        <v>0.50901398853771995</v>
      </c>
      <c r="AK1409" s="2">
        <v>0.14520252025715999</v>
      </c>
      <c r="AL1409" s="2">
        <v>0.23088253813044499</v>
      </c>
      <c r="AM1409" s="2">
        <v>15.5</v>
      </c>
      <c r="AN1409" s="2">
        <v>2.4</v>
      </c>
      <c r="AO1409" s="2">
        <v>10.9</v>
      </c>
      <c r="AP1409" s="2">
        <v>564</v>
      </c>
      <c r="AQ1409" s="2">
        <v>68</v>
      </c>
      <c r="AR1409" s="2">
        <v>1.5</v>
      </c>
      <c r="AS1409" s="2">
        <v>135</v>
      </c>
      <c r="AT1409" s="2">
        <v>0</v>
      </c>
      <c r="AU1409" s="2">
        <v>162</v>
      </c>
      <c r="AV1409" s="2">
        <v>9.1</v>
      </c>
      <c r="AW1409" s="2">
        <v>9.1999999999999993</v>
      </c>
      <c r="AX1409" s="2">
        <v>18.3</v>
      </c>
      <c r="AY1409" s="2">
        <v>0.34</v>
      </c>
      <c r="AZ1409" s="2">
        <v>7.3</v>
      </c>
      <c r="BA1409" s="2">
        <v>0.9</v>
      </c>
      <c r="BB1409" s="2">
        <v>7.5</v>
      </c>
      <c r="BC1409" s="2">
        <v>2.9</v>
      </c>
      <c r="BD1409" s="2">
        <f>+AN1409*EXP(-0.0495*Y1409)</f>
        <v>2.0594643666280965</v>
      </c>
      <c r="BE1409" s="2">
        <f>+AO1409*EXP(-0.024*Y1409)</f>
        <v>10.120569270427229</v>
      </c>
    </row>
    <row r="1410" spans="1:57" x14ac:dyDescent="0.2">
      <c r="A1410" s="2" t="s">
        <v>1884</v>
      </c>
      <c r="B1410" s="2" t="s">
        <v>19</v>
      </c>
      <c r="C1410" s="2" t="s">
        <v>20</v>
      </c>
      <c r="D1410" s="2" t="s">
        <v>21</v>
      </c>
      <c r="E1410" s="2" t="s">
        <v>221</v>
      </c>
      <c r="F1410" s="2">
        <v>6</v>
      </c>
      <c r="G1410" s="2">
        <v>327.39</v>
      </c>
      <c r="H1410" s="2">
        <v>4</v>
      </c>
      <c r="I1410" s="2">
        <v>5</v>
      </c>
      <c r="J1410" s="2">
        <v>3</v>
      </c>
      <c r="K1410" s="2" t="s">
        <v>61</v>
      </c>
      <c r="L1410" s="6" t="s">
        <v>75</v>
      </c>
      <c r="M1410" s="5">
        <v>3972000000</v>
      </c>
      <c r="N1410" s="2">
        <v>0</v>
      </c>
      <c r="O1410" s="2">
        <v>4.6929999999999996</v>
      </c>
      <c r="P1410" s="2">
        <v>-74.025999999999996</v>
      </c>
      <c r="Q1410" s="2" t="s">
        <v>1885</v>
      </c>
      <c r="R1410" s="2">
        <v>12132319.25</v>
      </c>
      <c r="S1410" s="2">
        <v>0</v>
      </c>
      <c r="T1410" s="2" t="s">
        <v>55</v>
      </c>
      <c r="U1410" s="2" t="s">
        <v>56</v>
      </c>
      <c r="V1410" s="2" t="s">
        <v>28</v>
      </c>
      <c r="W1410" s="2" t="s">
        <v>55</v>
      </c>
      <c r="X1410" s="2" t="s">
        <v>57</v>
      </c>
      <c r="Y1410" s="2">
        <v>1.9925827622822001</v>
      </c>
      <c r="Z1410" s="2">
        <v>4.71035</v>
      </c>
      <c r="AA1410" s="2">
        <v>-74.030416666666696</v>
      </c>
      <c r="AB1410" s="2">
        <v>2570</v>
      </c>
      <c r="AC1410" s="2" t="s">
        <v>31</v>
      </c>
      <c r="AD1410" s="2" t="s">
        <v>58</v>
      </c>
      <c r="AE1410" s="2" t="s">
        <v>33</v>
      </c>
      <c r="AF1410" s="2" t="s">
        <v>34</v>
      </c>
      <c r="AG1410" s="2" t="s">
        <v>59</v>
      </c>
      <c r="AH1410" s="2">
        <v>3.2987193796940599</v>
      </c>
      <c r="AI1410" s="2">
        <v>0.153758755332293</v>
      </c>
      <c r="AJ1410" s="2">
        <v>0.441617853266627</v>
      </c>
      <c r="AK1410" s="2">
        <v>0.56050356660281997</v>
      </c>
      <c r="AL1410" s="2">
        <v>0.93578080541461295</v>
      </c>
      <c r="AM1410" s="2">
        <v>15.5</v>
      </c>
      <c r="AN1410" s="2">
        <v>2.4</v>
      </c>
      <c r="AO1410" s="2">
        <v>10.9</v>
      </c>
      <c r="AP1410" s="2">
        <v>564</v>
      </c>
      <c r="AQ1410" s="2">
        <v>68</v>
      </c>
      <c r="AR1410" s="2">
        <v>1.5</v>
      </c>
      <c r="AS1410" s="2">
        <v>135</v>
      </c>
      <c r="AT1410" s="2">
        <v>0</v>
      </c>
      <c r="AU1410" s="2">
        <v>162</v>
      </c>
      <c r="AV1410" s="2">
        <v>9.1</v>
      </c>
      <c r="AW1410" s="2">
        <v>9.1999999999999993</v>
      </c>
      <c r="AX1410" s="2">
        <v>18.3</v>
      </c>
      <c r="AY1410" s="2">
        <v>0.34</v>
      </c>
      <c r="AZ1410" s="2">
        <v>7.3</v>
      </c>
      <c r="BA1410" s="2">
        <v>0.9</v>
      </c>
      <c r="BB1410" s="2">
        <v>7.5</v>
      </c>
      <c r="BC1410" s="2">
        <v>2.9</v>
      </c>
      <c r="BD1410" s="2">
        <f>+AN1410*EXP(-0.0495*Y1410)</f>
        <v>2.1745807571354603</v>
      </c>
      <c r="BE1410" s="2">
        <f>+AO1410*EXP(-0.024*Y1410)</f>
        <v>10.391007856324425</v>
      </c>
    </row>
    <row r="1411" spans="1:57" x14ac:dyDescent="0.2">
      <c r="A1411" s="2" t="s">
        <v>1709</v>
      </c>
      <c r="B1411" s="2" t="s">
        <v>19</v>
      </c>
      <c r="C1411" s="2" t="s">
        <v>20</v>
      </c>
      <c r="D1411" s="2" t="s">
        <v>21</v>
      </c>
      <c r="E1411" s="2" t="s">
        <v>221</v>
      </c>
      <c r="F1411" s="2">
        <v>6</v>
      </c>
      <c r="G1411" s="2">
        <v>327</v>
      </c>
      <c r="H1411" s="2">
        <v>4</v>
      </c>
      <c r="I1411" s="2">
        <v>4</v>
      </c>
      <c r="J1411" s="2">
        <v>4</v>
      </c>
      <c r="K1411" s="2" t="s">
        <v>61</v>
      </c>
      <c r="L1411" s="6" t="s">
        <v>75</v>
      </c>
      <c r="M1411" s="5">
        <v>3550000000</v>
      </c>
      <c r="N1411" s="2">
        <v>0</v>
      </c>
      <c r="O1411" s="2">
        <v>4.6937456129999999</v>
      </c>
      <c r="P1411" s="2">
        <v>-74.02638245</v>
      </c>
      <c r="Q1411" s="2" t="s">
        <v>1710</v>
      </c>
      <c r="R1411" s="2">
        <v>10856269.109999999</v>
      </c>
      <c r="S1411" s="2">
        <v>0</v>
      </c>
      <c r="T1411" s="2" t="s">
        <v>55</v>
      </c>
      <c r="U1411" s="2" t="s">
        <v>56</v>
      </c>
      <c r="V1411" s="2" t="s">
        <v>28</v>
      </c>
      <c r="W1411" s="2" t="s">
        <v>55</v>
      </c>
      <c r="X1411" s="2" t="s">
        <v>57</v>
      </c>
      <c r="Y1411" s="2">
        <v>1.90180874052294</v>
      </c>
      <c r="Z1411" s="2">
        <v>4.71035</v>
      </c>
      <c r="AA1411" s="2">
        <v>-74.030416666666696</v>
      </c>
      <c r="AB1411" s="2">
        <v>2570</v>
      </c>
      <c r="AC1411" s="2" t="s">
        <v>31</v>
      </c>
      <c r="AD1411" s="2" t="s">
        <v>58</v>
      </c>
      <c r="AE1411" s="2" t="s">
        <v>33</v>
      </c>
      <c r="AF1411" s="2" t="s">
        <v>34</v>
      </c>
      <c r="AG1411" s="2" t="s">
        <v>59</v>
      </c>
      <c r="AH1411" s="2">
        <v>3.2436319328369501</v>
      </c>
      <c r="AI1411" s="2">
        <v>0.204079722848208</v>
      </c>
      <c r="AJ1411" s="2">
        <v>0.37710261382055499</v>
      </c>
      <c r="AK1411" s="2">
        <v>0.48697550439486198</v>
      </c>
      <c r="AL1411" s="2">
        <v>0.862759610236709</v>
      </c>
      <c r="AM1411" s="2">
        <v>15.5</v>
      </c>
      <c r="AN1411" s="2">
        <v>2.4</v>
      </c>
      <c r="AO1411" s="2">
        <v>10.9</v>
      </c>
      <c r="AP1411" s="2">
        <v>564</v>
      </c>
      <c r="AQ1411" s="2">
        <v>68</v>
      </c>
      <c r="AR1411" s="2">
        <v>1.5</v>
      </c>
      <c r="AS1411" s="2">
        <v>135</v>
      </c>
      <c r="AT1411" s="2">
        <v>0</v>
      </c>
      <c r="AU1411" s="2">
        <v>162</v>
      </c>
      <c r="AV1411" s="2">
        <v>9.1</v>
      </c>
      <c r="AW1411" s="2">
        <v>9.1999999999999993</v>
      </c>
      <c r="AX1411" s="2">
        <v>18.3</v>
      </c>
      <c r="AY1411" s="2">
        <v>0.34</v>
      </c>
      <c r="AZ1411" s="2">
        <v>7.3</v>
      </c>
      <c r="BA1411" s="2">
        <v>0.9</v>
      </c>
      <c r="BB1411" s="2">
        <v>7.5</v>
      </c>
      <c r="BC1411" s="2">
        <v>2.9</v>
      </c>
      <c r="BD1411" s="2">
        <f>+AN1411*EXP(-0.0495*Y1411)</f>
        <v>2.1843738166325877</v>
      </c>
      <c r="BE1411" s="2">
        <f>+AO1411*EXP(-0.024*Y1411)</f>
        <v>10.413670138877492</v>
      </c>
    </row>
    <row r="1412" spans="1:57" x14ac:dyDescent="0.2">
      <c r="A1412" s="2" t="s">
        <v>3156</v>
      </c>
      <c r="B1412" s="2" t="s">
        <v>19</v>
      </c>
      <c r="C1412" s="2" t="s">
        <v>1907</v>
      </c>
      <c r="D1412" s="2" t="s">
        <v>21</v>
      </c>
      <c r="E1412" s="2" t="s">
        <v>186</v>
      </c>
      <c r="F1412" s="2">
        <v>6</v>
      </c>
      <c r="G1412" s="2">
        <v>325</v>
      </c>
      <c r="H1412" s="2">
        <v>4</v>
      </c>
      <c r="I1412" s="2">
        <v>5</v>
      </c>
      <c r="J1412" s="2">
        <v>2</v>
      </c>
      <c r="K1412" s="2" t="s">
        <v>61</v>
      </c>
      <c r="L1412" s="6" t="s">
        <v>113</v>
      </c>
      <c r="M1412" s="5">
        <v>1800000000</v>
      </c>
      <c r="N1412" s="2">
        <v>0</v>
      </c>
      <c r="O1412" s="2">
        <v>4.7049136159999998</v>
      </c>
      <c r="P1412" s="2">
        <v>-74.036468510000006</v>
      </c>
      <c r="Q1412" s="2" t="s">
        <v>3157</v>
      </c>
      <c r="R1412" s="2">
        <v>5538461.5379999997</v>
      </c>
      <c r="S1412" s="2">
        <v>0</v>
      </c>
      <c r="T1412" s="2" t="s">
        <v>55</v>
      </c>
      <c r="U1412" s="2" t="s">
        <v>56</v>
      </c>
      <c r="V1412" s="2" t="s">
        <v>28</v>
      </c>
      <c r="W1412" s="2" t="s">
        <v>55</v>
      </c>
      <c r="X1412" s="2" t="s">
        <v>57</v>
      </c>
      <c r="Y1412" s="2">
        <v>0.90390045496274496</v>
      </c>
      <c r="Z1412" s="2">
        <v>4.71035</v>
      </c>
      <c r="AA1412" s="2">
        <v>-74.030416666666696</v>
      </c>
      <c r="AB1412" s="2">
        <v>2570</v>
      </c>
      <c r="AC1412" s="2" t="s">
        <v>31</v>
      </c>
      <c r="AD1412" s="2" t="s">
        <v>58</v>
      </c>
      <c r="AE1412" s="2" t="s">
        <v>33</v>
      </c>
      <c r="AF1412" s="2" t="s">
        <v>34</v>
      </c>
      <c r="AG1412" s="2" t="s">
        <v>59</v>
      </c>
      <c r="AH1412" s="2">
        <v>1.9690302064526599</v>
      </c>
      <c r="AI1412" s="2">
        <v>1.2434255545661399</v>
      </c>
      <c r="AJ1412" s="2">
        <v>0.594680407897485</v>
      </c>
      <c r="AK1412" s="2">
        <v>0.142890079659173</v>
      </c>
      <c r="AL1412" s="2">
        <v>0.293410267622844</v>
      </c>
      <c r="AM1412" s="2">
        <v>15.5</v>
      </c>
      <c r="AN1412" s="2">
        <v>2.4</v>
      </c>
      <c r="AO1412" s="2">
        <v>10.9</v>
      </c>
      <c r="AP1412" s="2">
        <v>564</v>
      </c>
      <c r="AQ1412" s="2">
        <v>68</v>
      </c>
      <c r="AR1412" s="2">
        <v>1.5</v>
      </c>
      <c r="AS1412" s="2">
        <v>135</v>
      </c>
      <c r="AT1412" s="2">
        <v>0</v>
      </c>
      <c r="AU1412" s="2">
        <v>162</v>
      </c>
      <c r="AV1412" s="2">
        <v>9.1</v>
      </c>
      <c r="AW1412" s="2">
        <v>9.1999999999999993</v>
      </c>
      <c r="AX1412" s="2">
        <v>18.3</v>
      </c>
      <c r="AY1412" s="2">
        <v>0.34</v>
      </c>
      <c r="AZ1412" s="2">
        <v>7.3</v>
      </c>
      <c r="BA1412" s="2">
        <v>0.9</v>
      </c>
      <c r="BB1412" s="2">
        <v>7.5</v>
      </c>
      <c r="BC1412" s="2">
        <v>2.9</v>
      </c>
      <c r="BD1412" s="2">
        <f>+AN1412*EXP(-0.0495*Y1412)</f>
        <v>2.2949835249902226</v>
      </c>
      <c r="BE1412" s="2">
        <f>+AO1412*EXP(-0.024*Y1412)</f>
        <v>10.666086033770426</v>
      </c>
    </row>
    <row r="1413" spans="1:57" x14ac:dyDescent="0.2">
      <c r="A1413" s="2" t="s">
        <v>707</v>
      </c>
      <c r="B1413" s="2" t="s">
        <v>19</v>
      </c>
      <c r="C1413" s="2" t="s">
        <v>20</v>
      </c>
      <c r="D1413" s="2" t="s">
        <v>21</v>
      </c>
      <c r="E1413" s="2" t="s">
        <v>221</v>
      </c>
      <c r="F1413" s="2">
        <v>6</v>
      </c>
      <c r="G1413" s="2">
        <v>322</v>
      </c>
      <c r="H1413" s="2">
        <v>3</v>
      </c>
      <c r="I1413" s="2">
        <v>5</v>
      </c>
      <c r="J1413" s="2">
        <v>3</v>
      </c>
      <c r="K1413" s="2" t="s">
        <v>61</v>
      </c>
      <c r="L1413" s="6" t="s">
        <v>113</v>
      </c>
      <c r="M1413" s="5">
        <v>3300000000</v>
      </c>
      <c r="N1413" s="2">
        <v>0</v>
      </c>
      <c r="O1413" s="2">
        <v>4.6930570600000001</v>
      </c>
      <c r="P1413" s="2">
        <v>-74.029975890000003</v>
      </c>
      <c r="Q1413" s="2" t="s">
        <v>708</v>
      </c>
      <c r="R1413" s="2">
        <v>10248447.199999999</v>
      </c>
      <c r="S1413" s="2">
        <v>0</v>
      </c>
      <c r="T1413" s="2" t="s">
        <v>55</v>
      </c>
      <c r="U1413" s="2" t="s">
        <v>56</v>
      </c>
      <c r="V1413" s="2" t="s">
        <v>28</v>
      </c>
      <c r="W1413" s="2" t="s">
        <v>55</v>
      </c>
      <c r="X1413" s="2" t="s">
        <v>57</v>
      </c>
      <c r="Y1413" s="2">
        <v>1.92566230392978</v>
      </c>
      <c r="Z1413" s="2">
        <v>4.71035</v>
      </c>
      <c r="AA1413" s="2">
        <v>-74.030416666666696</v>
      </c>
      <c r="AB1413" s="2">
        <v>2570</v>
      </c>
      <c r="AC1413" s="2" t="s">
        <v>31</v>
      </c>
      <c r="AD1413" s="2" t="s">
        <v>58</v>
      </c>
      <c r="AE1413" s="2" t="s">
        <v>33</v>
      </c>
      <c r="AF1413" s="2" t="s">
        <v>34</v>
      </c>
      <c r="AG1413" s="2" t="s">
        <v>59</v>
      </c>
      <c r="AH1413" s="2">
        <v>2.8641943604332001</v>
      </c>
      <c r="AI1413" s="2">
        <v>0.40444045858183603</v>
      </c>
      <c r="AJ1413" s="2">
        <v>0.15749645726363701</v>
      </c>
      <c r="AK1413" s="2">
        <v>0.195270350723908</v>
      </c>
      <c r="AL1413" s="2">
        <v>0.57159362864920404</v>
      </c>
      <c r="AM1413" s="2">
        <v>15.5</v>
      </c>
      <c r="AN1413" s="2">
        <v>2.4</v>
      </c>
      <c r="AO1413" s="2">
        <v>10.9</v>
      </c>
      <c r="AP1413" s="2">
        <v>564</v>
      </c>
      <c r="AQ1413" s="2">
        <v>68</v>
      </c>
      <c r="AR1413" s="2">
        <v>1.5</v>
      </c>
      <c r="AS1413" s="2">
        <v>135</v>
      </c>
      <c r="AT1413" s="2">
        <v>0</v>
      </c>
      <c r="AU1413" s="2">
        <v>162</v>
      </c>
      <c r="AV1413" s="2">
        <v>9.1</v>
      </c>
      <c r="AW1413" s="2">
        <v>9.1999999999999993</v>
      </c>
      <c r="AX1413" s="2">
        <v>18.3</v>
      </c>
      <c r="AY1413" s="2">
        <v>0.34</v>
      </c>
      <c r="AZ1413" s="2">
        <v>7.3</v>
      </c>
      <c r="BA1413" s="2">
        <v>0.9</v>
      </c>
      <c r="BB1413" s="2">
        <v>7.5</v>
      </c>
      <c r="BC1413" s="2">
        <v>2.9</v>
      </c>
      <c r="BD1413" s="2">
        <f>+AN1413*EXP(-0.0495*Y1413)</f>
        <v>2.1817961363145781</v>
      </c>
      <c r="BE1413" s="2">
        <f>+AO1413*EXP(-0.024*Y1413)</f>
        <v>10.407710169655379</v>
      </c>
    </row>
    <row r="1414" spans="1:57" x14ac:dyDescent="0.2">
      <c r="A1414" s="2" t="s">
        <v>2967</v>
      </c>
      <c r="B1414" s="2" t="s">
        <v>19</v>
      </c>
      <c r="C1414" s="2" t="s">
        <v>1907</v>
      </c>
      <c r="D1414" s="2" t="s">
        <v>21</v>
      </c>
      <c r="E1414" s="2" t="s">
        <v>2968</v>
      </c>
      <c r="F1414" s="2">
        <v>4</v>
      </c>
      <c r="G1414" s="2">
        <v>320.60000000000002</v>
      </c>
      <c r="H1414" s="2">
        <v>3</v>
      </c>
      <c r="I1414" s="2">
        <v>3</v>
      </c>
      <c r="J1414" s="2">
        <v>4</v>
      </c>
      <c r="K1414" s="2" t="s">
        <v>61</v>
      </c>
      <c r="L1414" s="6" t="s">
        <v>84</v>
      </c>
      <c r="M1414" s="5">
        <v>1900000000</v>
      </c>
      <c r="N1414" s="2">
        <v>0</v>
      </c>
      <c r="O1414" s="2">
        <v>4.7063800000000002</v>
      </c>
      <c r="P1414" s="2">
        <v>-74.056849999999997</v>
      </c>
      <c r="Q1414" s="2" t="s">
        <v>2969</v>
      </c>
      <c r="R1414" s="2">
        <v>5926388.0219999999</v>
      </c>
      <c r="S1414" s="2">
        <v>0</v>
      </c>
      <c r="T1414" s="2" t="s">
        <v>55</v>
      </c>
      <c r="U1414" s="2" t="s">
        <v>56</v>
      </c>
      <c r="V1414" s="2" t="s">
        <v>28</v>
      </c>
      <c r="W1414" s="2" t="s">
        <v>55</v>
      </c>
      <c r="X1414" s="2" t="s">
        <v>57</v>
      </c>
      <c r="Y1414" s="2">
        <v>2.9657279406338999</v>
      </c>
      <c r="Z1414" s="2">
        <v>4.71035</v>
      </c>
      <c r="AA1414" s="2">
        <v>-74.030416666666696</v>
      </c>
      <c r="AB1414" s="2">
        <v>2570</v>
      </c>
      <c r="AC1414" s="2" t="s">
        <v>31</v>
      </c>
      <c r="AD1414" s="2" t="s">
        <v>58</v>
      </c>
      <c r="AE1414" s="2" t="s">
        <v>33</v>
      </c>
      <c r="AF1414" s="2" t="s">
        <v>34</v>
      </c>
      <c r="AG1414" s="2" t="s">
        <v>72</v>
      </c>
      <c r="AH1414" s="2">
        <v>0.34884348100027202</v>
      </c>
      <c r="AI1414" s="2">
        <v>3.49801461455856</v>
      </c>
      <c r="AJ1414" s="2">
        <v>1.64130168501438</v>
      </c>
      <c r="AK1414" s="2">
        <v>0.121102269591296</v>
      </c>
      <c r="AL1414" s="2">
        <v>0.167559090006136</v>
      </c>
      <c r="AM1414" s="2">
        <v>15.5</v>
      </c>
      <c r="AN1414" s="2">
        <v>2.4</v>
      </c>
      <c r="AO1414" s="2">
        <v>10.9</v>
      </c>
      <c r="AP1414" s="2">
        <v>564</v>
      </c>
      <c r="AQ1414" s="2">
        <v>68</v>
      </c>
      <c r="AR1414" s="2">
        <v>1.5</v>
      </c>
      <c r="AS1414" s="2">
        <v>135</v>
      </c>
      <c r="AT1414" s="2">
        <v>0</v>
      </c>
      <c r="AU1414" s="2">
        <v>162</v>
      </c>
      <c r="AV1414" s="2">
        <v>9.1</v>
      </c>
      <c r="AW1414" s="2">
        <v>9.1999999999999993</v>
      </c>
      <c r="AX1414" s="2">
        <v>18.3</v>
      </c>
      <c r="AY1414" s="2">
        <v>0.34</v>
      </c>
      <c r="AZ1414" s="2">
        <v>7.3</v>
      </c>
      <c r="BA1414" s="2">
        <v>0.9</v>
      </c>
      <c r="BB1414" s="2">
        <v>7.5</v>
      </c>
      <c r="BC1414" s="2">
        <v>2.9</v>
      </c>
      <c r="BD1414" s="2">
        <f>+AN1414*EXP(-0.0495*Y1414)</f>
        <v>2.0723126467284909</v>
      </c>
      <c r="BE1414" s="2">
        <f>+AO1414*EXP(-0.024*Y1414)</f>
        <v>10.15113293692086</v>
      </c>
    </row>
    <row r="1415" spans="1:57" x14ac:dyDescent="0.2">
      <c r="A1415" s="2" t="s">
        <v>2807</v>
      </c>
      <c r="B1415" s="2" t="s">
        <v>19</v>
      </c>
      <c r="C1415" s="2" t="s">
        <v>1907</v>
      </c>
      <c r="D1415" s="2" t="s">
        <v>21</v>
      </c>
      <c r="E1415" s="2" t="s">
        <v>1093</v>
      </c>
      <c r="F1415" s="2">
        <v>5</v>
      </c>
      <c r="G1415" s="2">
        <v>320</v>
      </c>
      <c r="H1415" s="2">
        <v>5</v>
      </c>
      <c r="I1415" s="2">
        <v>5</v>
      </c>
      <c r="J1415" s="2">
        <v>3</v>
      </c>
      <c r="K1415" s="2" t="s">
        <v>61</v>
      </c>
      <c r="L1415" s="6" t="s">
        <v>113</v>
      </c>
      <c r="M1415" s="5">
        <v>1100000000</v>
      </c>
      <c r="N1415" s="2">
        <v>0</v>
      </c>
      <c r="O1415" s="2">
        <v>4.7061796190000003</v>
      </c>
      <c r="P1415" s="2">
        <v>-74.061988830000004</v>
      </c>
      <c r="Q1415" s="2" t="s">
        <v>2808</v>
      </c>
      <c r="R1415" s="2">
        <v>3437500</v>
      </c>
      <c r="S1415" s="2">
        <v>0</v>
      </c>
      <c r="T1415" s="2" t="s">
        <v>55</v>
      </c>
      <c r="U1415" s="2" t="s">
        <v>56</v>
      </c>
      <c r="V1415" s="2" t="s">
        <v>28</v>
      </c>
      <c r="W1415" s="2" t="s">
        <v>55</v>
      </c>
      <c r="X1415" s="2" t="s">
        <v>57</v>
      </c>
      <c r="Y1415" s="2">
        <v>3.5333683618747198</v>
      </c>
      <c r="Z1415" s="2">
        <v>4.71035</v>
      </c>
      <c r="AA1415" s="2">
        <v>-74.030416666666696</v>
      </c>
      <c r="AB1415" s="2">
        <v>2570</v>
      </c>
      <c r="AC1415" s="2" t="s">
        <v>31</v>
      </c>
      <c r="AD1415" s="2" t="s">
        <v>58</v>
      </c>
      <c r="AE1415" s="2" t="s">
        <v>33</v>
      </c>
      <c r="AF1415" s="2" t="s">
        <v>34</v>
      </c>
      <c r="AG1415" s="2" t="s">
        <v>72</v>
      </c>
      <c r="AH1415" s="2">
        <v>0.87747374327718197</v>
      </c>
      <c r="AI1415" s="2">
        <v>4.0612182940154504</v>
      </c>
      <c r="AJ1415" s="2">
        <v>1.2517021082525399</v>
      </c>
      <c r="AK1415" s="2">
        <v>0.39882176711721301</v>
      </c>
      <c r="AL1415" s="2">
        <v>0.11967069476953</v>
      </c>
      <c r="AM1415" s="2">
        <v>15.5</v>
      </c>
      <c r="AN1415" s="2">
        <v>2.4</v>
      </c>
      <c r="AO1415" s="2">
        <v>10.9</v>
      </c>
      <c r="AP1415" s="2">
        <v>564</v>
      </c>
      <c r="AQ1415" s="2">
        <v>68</v>
      </c>
      <c r="AR1415" s="2">
        <v>1.5</v>
      </c>
      <c r="AS1415" s="2">
        <v>135</v>
      </c>
      <c r="AT1415" s="2">
        <v>0</v>
      </c>
      <c r="AU1415" s="2">
        <v>162</v>
      </c>
      <c r="AV1415" s="2">
        <v>9.1</v>
      </c>
      <c r="AW1415" s="2">
        <v>9.1999999999999993</v>
      </c>
      <c r="AX1415" s="2">
        <v>18.3</v>
      </c>
      <c r="AY1415" s="2">
        <v>0.34</v>
      </c>
      <c r="AZ1415" s="2">
        <v>7.3</v>
      </c>
      <c r="BA1415" s="2">
        <v>0.9</v>
      </c>
      <c r="BB1415" s="2">
        <v>7.5</v>
      </c>
      <c r="BC1415" s="2">
        <v>2.9</v>
      </c>
      <c r="BD1415" s="2">
        <f>+AN1415*EXP(-0.0495*Y1415)</f>
        <v>2.0148948359499292</v>
      </c>
      <c r="BE1415" s="2">
        <f>+AO1415*EXP(-0.024*Y1415)</f>
        <v>10.013778038568447</v>
      </c>
    </row>
    <row r="1416" spans="1:57" x14ac:dyDescent="0.2">
      <c r="A1416" s="2" t="s">
        <v>3039</v>
      </c>
      <c r="B1416" s="2" t="s">
        <v>19</v>
      </c>
      <c r="C1416" s="2" t="s">
        <v>1907</v>
      </c>
      <c r="D1416" s="2" t="s">
        <v>21</v>
      </c>
      <c r="E1416" s="2" t="s">
        <v>295</v>
      </c>
      <c r="F1416" s="2">
        <v>5</v>
      </c>
      <c r="G1416" s="2">
        <v>320</v>
      </c>
      <c r="H1416" s="2">
        <v>5</v>
      </c>
      <c r="I1416" s="2">
        <v>5</v>
      </c>
      <c r="J1416" s="2">
        <v>4</v>
      </c>
      <c r="K1416" s="2" t="s">
        <v>61</v>
      </c>
      <c r="L1416" s="6" t="s">
        <v>113</v>
      </c>
      <c r="M1416" s="5">
        <v>1200000000</v>
      </c>
      <c r="N1416" s="2">
        <v>0</v>
      </c>
      <c r="O1416" s="2">
        <v>4.7000112999999999</v>
      </c>
      <c r="P1416" s="2">
        <v>-74.060326000000003</v>
      </c>
      <c r="Q1416" s="2" t="s">
        <v>3040</v>
      </c>
      <c r="R1416" s="2">
        <v>3750000</v>
      </c>
      <c r="S1416" s="2">
        <v>0</v>
      </c>
      <c r="T1416" s="2" t="s">
        <v>55</v>
      </c>
      <c r="U1416" s="2" t="s">
        <v>56</v>
      </c>
      <c r="V1416" s="2" t="s">
        <v>28</v>
      </c>
      <c r="W1416" s="2" t="s">
        <v>55</v>
      </c>
      <c r="X1416" s="2" t="s">
        <v>57</v>
      </c>
      <c r="Y1416" s="2">
        <v>3.5121919601756799</v>
      </c>
      <c r="Z1416" s="2">
        <v>4.71035</v>
      </c>
      <c r="AA1416" s="2">
        <v>-74.030416666666696</v>
      </c>
      <c r="AB1416" s="2">
        <v>2570</v>
      </c>
      <c r="AC1416" s="2" t="s">
        <v>31</v>
      </c>
      <c r="AD1416" s="2" t="s">
        <v>58</v>
      </c>
      <c r="AE1416" s="2" t="s">
        <v>33</v>
      </c>
      <c r="AF1416" s="2" t="s">
        <v>34</v>
      </c>
      <c r="AG1416" s="2" t="s">
        <v>72</v>
      </c>
      <c r="AH1416" s="2">
        <v>0.5939985615283</v>
      </c>
      <c r="AI1416" s="2">
        <v>3.5690470778255099</v>
      </c>
      <c r="AJ1416" s="2">
        <v>1.05746411256969</v>
      </c>
      <c r="AK1416" s="2">
        <v>0.190065445913149</v>
      </c>
      <c r="AL1416" s="2">
        <v>9.5386973237823094E-2</v>
      </c>
      <c r="AM1416" s="2">
        <v>15.5</v>
      </c>
      <c r="AN1416" s="2">
        <v>2.4</v>
      </c>
      <c r="AO1416" s="2">
        <v>10.9</v>
      </c>
      <c r="AP1416" s="2">
        <v>564</v>
      </c>
      <c r="AQ1416" s="2">
        <v>68</v>
      </c>
      <c r="AR1416" s="2">
        <v>1.5</v>
      </c>
      <c r="AS1416" s="2">
        <v>135</v>
      </c>
      <c r="AT1416" s="2">
        <v>0</v>
      </c>
      <c r="AU1416" s="2">
        <v>162</v>
      </c>
      <c r="AV1416" s="2">
        <v>9.1</v>
      </c>
      <c r="AW1416" s="2">
        <v>9.1999999999999993</v>
      </c>
      <c r="AX1416" s="2">
        <v>18.3</v>
      </c>
      <c r="AY1416" s="2">
        <v>0.34</v>
      </c>
      <c r="AZ1416" s="2">
        <v>7.3</v>
      </c>
      <c r="BA1416" s="2">
        <v>0.9</v>
      </c>
      <c r="BB1416" s="2">
        <v>7.5</v>
      </c>
      <c r="BC1416" s="2">
        <v>2.9</v>
      </c>
      <c r="BD1416" s="2">
        <f>+AN1416*EXP(-0.0495*Y1416)</f>
        <v>2.017008020320207</v>
      </c>
      <c r="BE1416" s="2">
        <f>+AO1416*EXP(-0.024*Y1416)</f>
        <v>10.018868670944657</v>
      </c>
    </row>
    <row r="1417" spans="1:57" x14ac:dyDescent="0.2">
      <c r="A1417" s="2" t="s">
        <v>2486</v>
      </c>
      <c r="B1417" s="2" t="s">
        <v>19</v>
      </c>
      <c r="C1417" s="2" t="s">
        <v>1907</v>
      </c>
      <c r="D1417" s="2" t="s">
        <v>21</v>
      </c>
      <c r="E1417" s="2" t="s">
        <v>295</v>
      </c>
      <c r="F1417" s="2">
        <v>5</v>
      </c>
      <c r="G1417" s="2">
        <v>320</v>
      </c>
      <c r="H1417" s="2">
        <v>4</v>
      </c>
      <c r="I1417" s="2">
        <v>3</v>
      </c>
      <c r="J1417" s="2">
        <v>2</v>
      </c>
      <c r="K1417" s="2" t="s">
        <v>61</v>
      </c>
      <c r="L1417" s="6" t="s">
        <v>75</v>
      </c>
      <c r="M1417" s="5">
        <v>1750000000</v>
      </c>
      <c r="N1417" s="2">
        <v>0</v>
      </c>
      <c r="O1417" s="2">
        <v>4.6983886999999998</v>
      </c>
      <c r="P1417" s="2">
        <v>-74.058655970000004</v>
      </c>
      <c r="Q1417" s="2" t="s">
        <v>2487</v>
      </c>
      <c r="R1417" s="2">
        <v>5468750</v>
      </c>
      <c r="S1417" s="2">
        <v>0</v>
      </c>
      <c r="T1417" s="2" t="s">
        <v>55</v>
      </c>
      <c r="U1417" s="2" t="s">
        <v>56</v>
      </c>
      <c r="V1417" s="2" t="s">
        <v>28</v>
      </c>
      <c r="W1417" s="2" t="s">
        <v>55</v>
      </c>
      <c r="X1417" s="2" t="s">
        <v>57</v>
      </c>
      <c r="Y1417" s="2">
        <v>3.4042056150889799</v>
      </c>
      <c r="Z1417" s="2">
        <v>4.71035</v>
      </c>
      <c r="AA1417" s="2">
        <v>-74.030416666666696</v>
      </c>
      <c r="AB1417" s="2">
        <v>2570</v>
      </c>
      <c r="AC1417" s="2" t="s">
        <v>31</v>
      </c>
      <c r="AD1417" s="2" t="s">
        <v>58</v>
      </c>
      <c r="AE1417" s="2" t="s">
        <v>33</v>
      </c>
      <c r="AF1417" s="2" t="s">
        <v>34</v>
      </c>
      <c r="AG1417" s="2" t="s">
        <v>72</v>
      </c>
      <c r="AH1417" s="2">
        <v>0.37225378914475898</v>
      </c>
      <c r="AI1417" s="2">
        <v>3.3114969013267999</v>
      </c>
      <c r="AJ1417" s="2">
        <v>1.1270686691727601</v>
      </c>
      <c r="AK1417" s="2">
        <v>6.3807929625097903E-2</v>
      </c>
      <c r="AL1417" s="2">
        <v>0.11722802509496499</v>
      </c>
      <c r="AM1417" s="2">
        <v>15.5</v>
      </c>
      <c r="AN1417" s="2">
        <v>2.4</v>
      </c>
      <c r="AO1417" s="2">
        <v>10.9</v>
      </c>
      <c r="AP1417" s="2">
        <v>564</v>
      </c>
      <c r="AQ1417" s="2">
        <v>68</v>
      </c>
      <c r="AR1417" s="2">
        <v>1.5</v>
      </c>
      <c r="AS1417" s="2">
        <v>135</v>
      </c>
      <c r="AT1417" s="2">
        <v>0</v>
      </c>
      <c r="AU1417" s="2">
        <v>162</v>
      </c>
      <c r="AV1417" s="2">
        <v>9.1</v>
      </c>
      <c r="AW1417" s="2">
        <v>9.1999999999999993</v>
      </c>
      <c r="AX1417" s="2">
        <v>18.3</v>
      </c>
      <c r="AY1417" s="2">
        <v>0.34</v>
      </c>
      <c r="AZ1417" s="2">
        <v>7.3</v>
      </c>
      <c r="BA1417" s="2">
        <v>0.9</v>
      </c>
      <c r="BB1417" s="2">
        <v>7.5</v>
      </c>
      <c r="BC1417" s="2">
        <v>2.9</v>
      </c>
      <c r="BD1417" s="2">
        <f>+AN1417*EXP(-0.0495*Y1417)</f>
        <v>2.0278184487460322</v>
      </c>
      <c r="BE1417" s="2">
        <f>+AO1417*EXP(-0.024*Y1417)</f>
        <v>10.044867971457601</v>
      </c>
    </row>
    <row r="1418" spans="1:57" x14ac:dyDescent="0.2">
      <c r="A1418" s="2" t="s">
        <v>2752</v>
      </c>
      <c r="B1418" s="2" t="s">
        <v>19</v>
      </c>
      <c r="C1418" s="2" t="s">
        <v>1907</v>
      </c>
      <c r="D1418" s="2" t="s">
        <v>21</v>
      </c>
      <c r="E1418" s="2" t="s">
        <v>2753</v>
      </c>
      <c r="F1418" s="2">
        <v>4</v>
      </c>
      <c r="G1418" s="2">
        <v>320</v>
      </c>
      <c r="H1418" s="2">
        <v>5</v>
      </c>
      <c r="I1418" s="2">
        <v>5</v>
      </c>
      <c r="J1418" s="2">
        <v>2</v>
      </c>
      <c r="K1418" s="2" t="s">
        <v>61</v>
      </c>
      <c r="L1418" s="6" t="s">
        <v>113</v>
      </c>
      <c r="M1418" s="5">
        <v>1450000000</v>
      </c>
      <c r="N1418" s="2">
        <v>0</v>
      </c>
      <c r="O1418" s="2">
        <v>4.7303575999999996</v>
      </c>
      <c r="P1418" s="2">
        <v>-74.041420000000002</v>
      </c>
      <c r="Q1418" s="2" t="s">
        <v>2754</v>
      </c>
      <c r="R1418" s="2">
        <v>4531250</v>
      </c>
      <c r="S1418" s="2">
        <v>0</v>
      </c>
      <c r="T1418" s="2" t="s">
        <v>55</v>
      </c>
      <c r="U1418" s="2" t="s">
        <v>56</v>
      </c>
      <c r="V1418" s="2" t="s">
        <v>28</v>
      </c>
      <c r="W1418" s="2" t="s">
        <v>55</v>
      </c>
      <c r="X1418" s="2" t="s">
        <v>57</v>
      </c>
      <c r="Y1418" s="2">
        <v>2.5398353215435301</v>
      </c>
      <c r="Z1418" s="2">
        <v>4.71035</v>
      </c>
      <c r="AA1418" s="2">
        <v>-74.030416666666696</v>
      </c>
      <c r="AB1418" s="2">
        <v>2570</v>
      </c>
      <c r="AC1418" s="2" t="s">
        <v>31</v>
      </c>
      <c r="AD1418" s="2" t="s">
        <v>58</v>
      </c>
      <c r="AE1418" s="2" t="s">
        <v>33</v>
      </c>
      <c r="AF1418" s="2" t="s">
        <v>34</v>
      </c>
      <c r="AG1418" s="2" t="s">
        <v>59</v>
      </c>
      <c r="AH1418" s="2">
        <v>0.93222254379554303</v>
      </c>
      <c r="AI1418" s="2">
        <v>2.1687788777875601</v>
      </c>
      <c r="AJ1418" s="2">
        <v>0.32204580890620299</v>
      </c>
      <c r="AK1418" s="2">
        <v>0.18125915353201399</v>
      </c>
      <c r="AL1418" s="2">
        <v>0.203643082394006</v>
      </c>
      <c r="AM1418" s="2">
        <v>15.5</v>
      </c>
      <c r="AN1418" s="2">
        <v>2.4</v>
      </c>
      <c r="AO1418" s="2">
        <v>10.9</v>
      </c>
      <c r="AP1418" s="2">
        <v>564</v>
      </c>
      <c r="AQ1418" s="2">
        <v>68</v>
      </c>
      <c r="AR1418" s="2">
        <v>1.5</v>
      </c>
      <c r="AS1418" s="2">
        <v>135</v>
      </c>
      <c r="AT1418" s="2">
        <v>0</v>
      </c>
      <c r="AU1418" s="2">
        <v>162</v>
      </c>
      <c r="AV1418" s="2">
        <v>9.1</v>
      </c>
      <c r="AW1418" s="2">
        <v>9.1999999999999993</v>
      </c>
      <c r="AX1418" s="2">
        <v>18.3</v>
      </c>
      <c r="AY1418" s="2">
        <v>0.34</v>
      </c>
      <c r="AZ1418" s="2">
        <v>7.3</v>
      </c>
      <c r="BA1418" s="2">
        <v>0.9</v>
      </c>
      <c r="BB1418" s="2">
        <v>7.5</v>
      </c>
      <c r="BC1418" s="2">
        <v>2.9</v>
      </c>
      <c r="BD1418" s="2">
        <f>+AN1418*EXP(-0.0495*Y1418)</f>
        <v>2.1164642482964511</v>
      </c>
      <c r="BE1418" s="2">
        <f>+AO1418*EXP(-0.024*Y1418)</f>
        <v>10.255424052952723</v>
      </c>
    </row>
    <row r="1419" spans="1:57" x14ac:dyDescent="0.2">
      <c r="A1419" s="2" t="s">
        <v>1558</v>
      </c>
      <c r="B1419" s="2" t="s">
        <v>19</v>
      </c>
      <c r="C1419" s="2" t="s">
        <v>20</v>
      </c>
      <c r="D1419" s="2" t="s">
        <v>21</v>
      </c>
      <c r="E1419" s="2" t="s">
        <v>221</v>
      </c>
      <c r="F1419" s="2">
        <v>6</v>
      </c>
      <c r="G1419" s="2">
        <v>315</v>
      </c>
      <c r="H1419" s="2">
        <v>3</v>
      </c>
      <c r="I1419" s="2">
        <v>5</v>
      </c>
      <c r="J1419" s="2">
        <v>4</v>
      </c>
      <c r="K1419" s="2" t="s">
        <v>61</v>
      </c>
      <c r="L1419" s="6" t="s">
        <v>113</v>
      </c>
      <c r="M1419" s="5">
        <v>2930000000</v>
      </c>
      <c r="N1419" s="2">
        <v>0</v>
      </c>
      <c r="O1419" s="2">
        <v>4.6974010469999996</v>
      </c>
      <c r="P1419" s="2">
        <v>-74.028007509999995</v>
      </c>
      <c r="Q1419" s="2" t="s">
        <v>1559</v>
      </c>
      <c r="R1419" s="2">
        <v>9301587.3019999992</v>
      </c>
      <c r="S1419" s="2">
        <v>0</v>
      </c>
      <c r="T1419" s="2" t="s">
        <v>55</v>
      </c>
      <c r="U1419" s="2" t="s">
        <v>56</v>
      </c>
      <c r="V1419" s="2" t="s">
        <v>28</v>
      </c>
      <c r="W1419" s="2" t="s">
        <v>55</v>
      </c>
      <c r="X1419" s="2" t="s">
        <v>57</v>
      </c>
      <c r="Y1419" s="2">
        <v>1.4660417179316001</v>
      </c>
      <c r="Z1419" s="2">
        <v>4.71035</v>
      </c>
      <c r="AA1419" s="2">
        <v>-74.030416666666696</v>
      </c>
      <c r="AB1419" s="2">
        <v>2570</v>
      </c>
      <c r="AC1419" s="2" t="s">
        <v>31</v>
      </c>
      <c r="AD1419" s="2" t="s">
        <v>58</v>
      </c>
      <c r="AE1419" s="2" t="s">
        <v>33</v>
      </c>
      <c r="AF1419" s="2" t="s">
        <v>34</v>
      </c>
      <c r="AG1419" s="2" t="s">
        <v>59</v>
      </c>
      <c r="AH1419" s="2">
        <v>3.01499465463238</v>
      </c>
      <c r="AI1419" s="2">
        <v>0.23765733561307201</v>
      </c>
      <c r="AJ1419" s="2">
        <v>0.37609905813070699</v>
      </c>
      <c r="AK1419" s="2">
        <v>0.257587999793363</v>
      </c>
      <c r="AL1419" s="2">
        <v>0.61829919085756002</v>
      </c>
      <c r="AM1419" s="2">
        <v>15.5</v>
      </c>
      <c r="AN1419" s="2">
        <v>2.4</v>
      </c>
      <c r="AO1419" s="2">
        <v>10.9</v>
      </c>
      <c r="AP1419" s="2">
        <v>564</v>
      </c>
      <c r="AQ1419" s="2">
        <v>68</v>
      </c>
      <c r="AR1419" s="2">
        <v>1.5</v>
      </c>
      <c r="AS1419" s="2">
        <v>135</v>
      </c>
      <c r="AT1419" s="2">
        <v>0</v>
      </c>
      <c r="AU1419" s="2">
        <v>162</v>
      </c>
      <c r="AV1419" s="2">
        <v>9.1</v>
      </c>
      <c r="AW1419" s="2">
        <v>9.1999999999999993</v>
      </c>
      <c r="AX1419" s="2">
        <v>18.3</v>
      </c>
      <c r="AY1419" s="2">
        <v>0.34</v>
      </c>
      <c r="AZ1419" s="2">
        <v>7.3</v>
      </c>
      <c r="BA1419" s="2">
        <v>0.9</v>
      </c>
      <c r="BB1419" s="2">
        <v>7.5</v>
      </c>
      <c r="BC1419" s="2">
        <v>2.9</v>
      </c>
      <c r="BD1419" s="2">
        <f>+AN1419*EXP(-0.0495*Y1419)</f>
        <v>2.2320036332463546</v>
      </c>
      <c r="BE1419" s="2">
        <f>+AO1419*EXP(-0.024*Y1419)</f>
        <v>10.523152061037994</v>
      </c>
    </row>
    <row r="1420" spans="1:57" x14ac:dyDescent="0.2">
      <c r="A1420" s="2" t="s">
        <v>2520</v>
      </c>
      <c r="B1420" s="2" t="s">
        <v>19</v>
      </c>
      <c r="C1420" s="2" t="s">
        <v>1907</v>
      </c>
      <c r="D1420" s="2" t="s">
        <v>21</v>
      </c>
      <c r="E1420" s="2" t="s">
        <v>156</v>
      </c>
      <c r="F1420" s="2">
        <v>4</v>
      </c>
      <c r="G1420" s="2">
        <v>314.31</v>
      </c>
      <c r="H1420" s="2">
        <v>5</v>
      </c>
      <c r="I1420" s="2">
        <v>3</v>
      </c>
      <c r="J1420" s="2">
        <v>4</v>
      </c>
      <c r="K1420" s="2" t="s">
        <v>61</v>
      </c>
      <c r="L1420" s="6" t="s">
        <v>113</v>
      </c>
      <c r="M1420" s="5">
        <v>1100000000</v>
      </c>
      <c r="N1420" s="2">
        <v>0</v>
      </c>
      <c r="O1420" s="2">
        <v>4.717312336</v>
      </c>
      <c r="P1420" s="2">
        <v>-74.034828189999999</v>
      </c>
      <c r="Q1420" s="2" t="s">
        <v>2521</v>
      </c>
      <c r="R1420" s="2">
        <v>3499729.5660000001</v>
      </c>
      <c r="S1420" s="2">
        <v>0</v>
      </c>
      <c r="T1420" s="2" t="s">
        <v>55</v>
      </c>
      <c r="U1420" s="2" t="s">
        <v>56</v>
      </c>
      <c r="V1420" s="2" t="s">
        <v>28</v>
      </c>
      <c r="W1420" s="2" t="s">
        <v>55</v>
      </c>
      <c r="X1420" s="2" t="s">
        <v>57</v>
      </c>
      <c r="Y1420" s="2">
        <v>0.91664168289662395</v>
      </c>
      <c r="Z1420" s="2">
        <v>4.71035</v>
      </c>
      <c r="AA1420" s="2">
        <v>-74.030416666666696</v>
      </c>
      <c r="AB1420" s="2">
        <v>2570</v>
      </c>
      <c r="AC1420" s="2" t="s">
        <v>31</v>
      </c>
      <c r="AD1420" s="2" t="s">
        <v>58</v>
      </c>
      <c r="AE1420" s="2" t="s">
        <v>33</v>
      </c>
      <c r="AF1420" s="2" t="s">
        <v>34</v>
      </c>
      <c r="AG1420" s="2" t="s">
        <v>59</v>
      </c>
      <c r="AH1420" s="2">
        <v>1.8922932197414899</v>
      </c>
      <c r="AI1420" s="2">
        <v>1.2356285261993301</v>
      </c>
      <c r="AJ1420" s="2">
        <v>0.76086709703698496</v>
      </c>
      <c r="AK1420" s="2">
        <v>0.154008442327671</v>
      </c>
      <c r="AL1420" s="2">
        <v>0.13875468440956801</v>
      </c>
      <c r="AM1420" s="2">
        <v>15.5</v>
      </c>
      <c r="AN1420" s="2">
        <v>2.4</v>
      </c>
      <c r="AO1420" s="2">
        <v>10.9</v>
      </c>
      <c r="AP1420" s="2">
        <v>564</v>
      </c>
      <c r="AQ1420" s="2">
        <v>68</v>
      </c>
      <c r="AR1420" s="2">
        <v>1.5</v>
      </c>
      <c r="AS1420" s="2">
        <v>135</v>
      </c>
      <c r="AT1420" s="2">
        <v>0</v>
      </c>
      <c r="AU1420" s="2">
        <v>162</v>
      </c>
      <c r="AV1420" s="2">
        <v>9.1</v>
      </c>
      <c r="AW1420" s="2">
        <v>9.1999999999999993</v>
      </c>
      <c r="AX1420" s="2">
        <v>18.3</v>
      </c>
      <c r="AY1420" s="2">
        <v>0.34</v>
      </c>
      <c r="AZ1420" s="2">
        <v>7.3</v>
      </c>
      <c r="BA1420" s="2">
        <v>0.9</v>
      </c>
      <c r="BB1420" s="2">
        <v>7.5</v>
      </c>
      <c r="BC1420" s="2">
        <v>2.9</v>
      </c>
      <c r="BD1420" s="2">
        <f>+AN1420*EXP(-0.0495*Y1420)</f>
        <v>2.2935365563773478</v>
      </c>
      <c r="BE1420" s="2">
        <f>+AO1420*EXP(-0.024*Y1420)</f>
        <v>10.662824955597873</v>
      </c>
    </row>
    <row r="1421" spans="1:57" x14ac:dyDescent="0.2">
      <c r="A1421" s="2" t="s">
        <v>1293</v>
      </c>
      <c r="B1421" s="2" t="s">
        <v>19</v>
      </c>
      <c r="C1421" s="2" t="s">
        <v>20</v>
      </c>
      <c r="D1421" s="2" t="s">
        <v>21</v>
      </c>
      <c r="E1421" s="2" t="s">
        <v>153</v>
      </c>
      <c r="F1421" s="2">
        <v>6</v>
      </c>
      <c r="G1421" s="2">
        <v>312</v>
      </c>
      <c r="H1421" s="2">
        <v>3</v>
      </c>
      <c r="I1421" s="2">
        <v>5</v>
      </c>
      <c r="J1421" s="2">
        <v>4</v>
      </c>
      <c r="K1421" s="2" t="s">
        <v>61</v>
      </c>
      <c r="L1421" s="6" t="s">
        <v>84</v>
      </c>
      <c r="M1421" s="5">
        <v>3850000000</v>
      </c>
      <c r="N1421" s="2">
        <v>0</v>
      </c>
      <c r="O1421" s="2">
        <v>4.6998691560000001</v>
      </c>
      <c r="P1421" s="2">
        <v>-74.027954100000002</v>
      </c>
      <c r="Q1421" s="2" t="s">
        <v>1294</v>
      </c>
      <c r="R1421" s="2">
        <v>12339743.59</v>
      </c>
      <c r="S1421" s="2">
        <v>0</v>
      </c>
      <c r="T1421" s="2" t="s">
        <v>55</v>
      </c>
      <c r="U1421" s="2" t="s">
        <v>56</v>
      </c>
      <c r="V1421" s="2" t="s">
        <v>28</v>
      </c>
      <c r="W1421" s="2" t="s">
        <v>55</v>
      </c>
      <c r="X1421" s="2" t="s">
        <v>57</v>
      </c>
      <c r="Y1421" s="2">
        <v>1.1982834677076699</v>
      </c>
      <c r="Z1421" s="2">
        <v>4.71035</v>
      </c>
      <c r="AA1421" s="2">
        <v>-74.030416666666696</v>
      </c>
      <c r="AB1421" s="2">
        <v>2570</v>
      </c>
      <c r="AC1421" s="2" t="s">
        <v>31</v>
      </c>
      <c r="AD1421" s="2" t="s">
        <v>58</v>
      </c>
      <c r="AE1421" s="2" t="s">
        <v>33</v>
      </c>
      <c r="AF1421" s="2" t="s">
        <v>34</v>
      </c>
      <c r="AG1421" s="2" t="s">
        <v>59</v>
      </c>
      <c r="AH1421" s="2">
        <v>2.9601763089172599</v>
      </c>
      <c r="AI1421" s="2">
        <v>0.23884285088726001</v>
      </c>
      <c r="AJ1421" s="2">
        <v>0.52560379124396905</v>
      </c>
      <c r="AK1421" s="2">
        <v>0.16080832835405601</v>
      </c>
      <c r="AL1421" s="2">
        <v>0.37196602403544499</v>
      </c>
      <c r="AM1421" s="2">
        <v>15.5</v>
      </c>
      <c r="AN1421" s="2">
        <v>2.4</v>
      </c>
      <c r="AO1421" s="2">
        <v>10.9</v>
      </c>
      <c r="AP1421" s="2">
        <v>564</v>
      </c>
      <c r="AQ1421" s="2">
        <v>68</v>
      </c>
      <c r="AR1421" s="2">
        <v>1.5</v>
      </c>
      <c r="AS1421" s="2">
        <v>135</v>
      </c>
      <c r="AT1421" s="2">
        <v>0</v>
      </c>
      <c r="AU1421" s="2">
        <v>162</v>
      </c>
      <c r="AV1421" s="2">
        <v>9.1</v>
      </c>
      <c r="AW1421" s="2">
        <v>9.1999999999999993</v>
      </c>
      <c r="AX1421" s="2">
        <v>18.3</v>
      </c>
      <c r="AY1421" s="2">
        <v>0.34</v>
      </c>
      <c r="AZ1421" s="2">
        <v>7.3</v>
      </c>
      <c r="BA1421" s="2">
        <v>0.9</v>
      </c>
      <c r="BB1421" s="2">
        <v>7.5</v>
      </c>
      <c r="BC1421" s="2">
        <v>2.9</v>
      </c>
      <c r="BD1421" s="2">
        <f>+AN1421*EXP(-0.0495*Y1421)</f>
        <v>2.2617836003069547</v>
      </c>
      <c r="BE1421" s="2">
        <f>+AO1421*EXP(-0.024*Y1421)</f>
        <v>10.590993668157523</v>
      </c>
    </row>
    <row r="1422" spans="1:57" x14ac:dyDescent="0.2">
      <c r="A1422" s="2" t="s">
        <v>1834</v>
      </c>
      <c r="B1422" s="2" t="s">
        <v>19</v>
      </c>
      <c r="C1422" s="2" t="s">
        <v>20</v>
      </c>
      <c r="D1422" s="2" t="s">
        <v>21</v>
      </c>
      <c r="E1422" s="2" t="s">
        <v>221</v>
      </c>
      <c r="F1422" s="2">
        <v>6</v>
      </c>
      <c r="G1422" s="2">
        <v>311.01</v>
      </c>
      <c r="H1422" s="2">
        <v>3</v>
      </c>
      <c r="I1422" s="2">
        <v>5</v>
      </c>
      <c r="J1422" s="2">
        <v>2</v>
      </c>
      <c r="K1422" s="2" t="s">
        <v>61</v>
      </c>
      <c r="L1422" s="6" t="s">
        <v>75</v>
      </c>
      <c r="M1422" s="5">
        <v>3500000000</v>
      </c>
      <c r="N1422" s="2">
        <v>0</v>
      </c>
      <c r="O1422" s="2">
        <v>4.6964944080000004</v>
      </c>
      <c r="P1422" s="2">
        <v>-74.027485799999994</v>
      </c>
      <c r="Q1422" s="2" t="s">
        <v>1835</v>
      </c>
      <c r="R1422" s="2">
        <v>11253657.439999999</v>
      </c>
      <c r="S1422" s="2">
        <v>0</v>
      </c>
      <c r="T1422" s="2" t="s">
        <v>55</v>
      </c>
      <c r="U1422" s="2" t="s">
        <v>56</v>
      </c>
      <c r="V1422" s="2" t="s">
        <v>28</v>
      </c>
      <c r="W1422" s="2" t="s">
        <v>55</v>
      </c>
      <c r="X1422" s="2" t="s">
        <v>57</v>
      </c>
      <c r="Y1422" s="2">
        <v>1.5762999201514001</v>
      </c>
      <c r="Z1422" s="2">
        <v>4.71035</v>
      </c>
      <c r="AA1422" s="2">
        <v>-74.030416666666696</v>
      </c>
      <c r="AB1422" s="2">
        <v>2570</v>
      </c>
      <c r="AC1422" s="2" t="s">
        <v>31</v>
      </c>
      <c r="AD1422" s="2" t="s">
        <v>58</v>
      </c>
      <c r="AE1422" s="2" t="s">
        <v>33</v>
      </c>
      <c r="AF1422" s="2" t="s">
        <v>34</v>
      </c>
      <c r="AG1422" s="2" t="s">
        <v>59</v>
      </c>
      <c r="AH1422" s="2">
        <v>3.0902192118019101</v>
      </c>
      <c r="AI1422" s="2">
        <v>0.21397818509573299</v>
      </c>
      <c r="AJ1422" s="2">
        <v>0.33385497782282297</v>
      </c>
      <c r="AK1422" s="2">
        <v>0.33448799823807601</v>
      </c>
      <c r="AL1422" s="2">
        <v>0.67314272688798205</v>
      </c>
      <c r="AM1422" s="2">
        <v>15.5</v>
      </c>
      <c r="AN1422" s="2">
        <v>2.4</v>
      </c>
      <c r="AO1422" s="2">
        <v>10.9</v>
      </c>
      <c r="AP1422" s="2">
        <v>564</v>
      </c>
      <c r="AQ1422" s="2">
        <v>68</v>
      </c>
      <c r="AR1422" s="2">
        <v>1.5</v>
      </c>
      <c r="AS1422" s="2">
        <v>135</v>
      </c>
      <c r="AT1422" s="2">
        <v>0</v>
      </c>
      <c r="AU1422" s="2">
        <v>162</v>
      </c>
      <c r="AV1422" s="2">
        <v>9.1</v>
      </c>
      <c r="AW1422" s="2">
        <v>9.1999999999999993</v>
      </c>
      <c r="AX1422" s="2">
        <v>18.3</v>
      </c>
      <c r="AY1422" s="2">
        <v>0.34</v>
      </c>
      <c r="AZ1422" s="2">
        <v>7.3</v>
      </c>
      <c r="BA1422" s="2">
        <v>0.9</v>
      </c>
      <c r="BB1422" s="2">
        <v>7.5</v>
      </c>
      <c r="BC1422" s="2">
        <v>2.9</v>
      </c>
      <c r="BD1422" s="2">
        <f>+AN1422*EXP(-0.0495*Y1422)</f>
        <v>2.2198550285710232</v>
      </c>
      <c r="BE1422" s="2">
        <f>+AO1422*EXP(-0.024*Y1422)</f>
        <v>10.495342540128583</v>
      </c>
    </row>
    <row r="1423" spans="1:57" x14ac:dyDescent="0.2">
      <c r="A1423" s="2" t="s">
        <v>2773</v>
      </c>
      <c r="B1423" s="2" t="s">
        <v>19</v>
      </c>
      <c r="C1423" s="2" t="s">
        <v>1907</v>
      </c>
      <c r="D1423" s="2" t="s">
        <v>21</v>
      </c>
      <c r="E1423" s="2" t="s">
        <v>699</v>
      </c>
      <c r="F1423" s="2">
        <v>6</v>
      </c>
      <c r="G1423" s="2">
        <v>310.19</v>
      </c>
      <c r="H1423" s="2">
        <v>5</v>
      </c>
      <c r="I1423" s="2">
        <v>3</v>
      </c>
      <c r="J1423" s="2">
        <v>4</v>
      </c>
      <c r="K1423" s="2" t="s">
        <v>61</v>
      </c>
      <c r="L1423" s="6" t="s">
        <v>113</v>
      </c>
      <c r="M1423" s="5">
        <v>2400000000</v>
      </c>
      <c r="N1423" s="2">
        <v>0</v>
      </c>
      <c r="O1423" s="2">
        <v>4.6922540000000001</v>
      </c>
      <c r="P1423" s="2">
        <v>-74.041736</v>
      </c>
      <c r="Q1423" s="2" t="s">
        <v>2774</v>
      </c>
      <c r="R1423" s="2">
        <v>7737193.3329999996</v>
      </c>
      <c r="S1423" s="2">
        <v>0</v>
      </c>
      <c r="T1423" s="2" t="s">
        <v>55</v>
      </c>
      <c r="U1423" s="2" t="s">
        <v>56</v>
      </c>
      <c r="V1423" s="2" t="s">
        <v>28</v>
      </c>
      <c r="W1423" s="2" t="s">
        <v>55</v>
      </c>
      <c r="X1423" s="2" t="s">
        <v>57</v>
      </c>
      <c r="Y1423" s="2">
        <v>2.3738259816342202</v>
      </c>
      <c r="Z1423" s="2">
        <v>4.71035</v>
      </c>
      <c r="AA1423" s="2">
        <v>-74.030416666666696</v>
      </c>
      <c r="AB1423" s="2">
        <v>2570</v>
      </c>
      <c r="AC1423" s="2" t="s">
        <v>31</v>
      </c>
      <c r="AD1423" s="2" t="s">
        <v>58</v>
      </c>
      <c r="AE1423" s="2" t="s">
        <v>33</v>
      </c>
      <c r="AF1423" s="2" t="s">
        <v>34</v>
      </c>
      <c r="AG1423" s="2" t="s">
        <v>59</v>
      </c>
      <c r="AH1423" s="2">
        <v>1.60382344250105</v>
      </c>
      <c r="AI1423" s="2">
        <v>1.6169857523883999</v>
      </c>
      <c r="AJ1423" s="2">
        <v>0.90703778981067995</v>
      </c>
      <c r="AK1423" s="2">
        <v>0.21074084357272399</v>
      </c>
      <c r="AL1423" s="2">
        <v>0.35052106262240401</v>
      </c>
      <c r="AM1423" s="2">
        <v>15.5</v>
      </c>
      <c r="AN1423" s="2">
        <v>2.4</v>
      </c>
      <c r="AO1423" s="2">
        <v>10.9</v>
      </c>
      <c r="AP1423" s="2">
        <v>564</v>
      </c>
      <c r="AQ1423" s="2">
        <v>68</v>
      </c>
      <c r="AR1423" s="2">
        <v>1.5</v>
      </c>
      <c r="AS1423" s="2">
        <v>135</v>
      </c>
      <c r="AT1423" s="2">
        <v>0</v>
      </c>
      <c r="AU1423" s="2">
        <v>162</v>
      </c>
      <c r="AV1423" s="2">
        <v>9.1</v>
      </c>
      <c r="AW1423" s="2">
        <v>9.1999999999999993</v>
      </c>
      <c r="AX1423" s="2">
        <v>18.3</v>
      </c>
      <c r="AY1423" s="2">
        <v>0.34</v>
      </c>
      <c r="AZ1423" s="2">
        <v>7.3</v>
      </c>
      <c r="BA1423" s="2">
        <v>0.9</v>
      </c>
      <c r="BB1423" s="2">
        <v>7.5</v>
      </c>
      <c r="BC1423" s="2">
        <v>2.9</v>
      </c>
      <c r="BD1423" s="2">
        <f>+AN1423*EXP(-0.0495*Y1423)</f>
        <v>2.1339278685693563</v>
      </c>
      <c r="BE1423" s="2">
        <f>+AO1423*EXP(-0.024*Y1423)</f>
        <v>10.296365466939754</v>
      </c>
    </row>
    <row r="1424" spans="1:57" x14ac:dyDescent="0.2">
      <c r="A1424" s="2" t="s">
        <v>1599</v>
      </c>
      <c r="B1424" s="2" t="s">
        <v>19</v>
      </c>
      <c r="C1424" s="2" t="s">
        <v>20</v>
      </c>
      <c r="D1424" s="2" t="s">
        <v>21</v>
      </c>
      <c r="E1424" s="2" t="s">
        <v>1600</v>
      </c>
      <c r="F1424" s="2">
        <v>6</v>
      </c>
      <c r="G1424" s="2">
        <v>306</v>
      </c>
      <c r="H1424" s="2">
        <v>5</v>
      </c>
      <c r="I1424" s="2">
        <v>5</v>
      </c>
      <c r="J1424" s="2">
        <v>2</v>
      </c>
      <c r="K1424" s="2" t="s">
        <v>61</v>
      </c>
      <c r="L1424" s="6" t="s">
        <v>113</v>
      </c>
      <c r="M1424" s="5">
        <v>1380000000</v>
      </c>
      <c r="N1424" s="2">
        <v>0</v>
      </c>
      <c r="O1424" s="2">
        <v>4.6909149000000001</v>
      </c>
      <c r="P1424" s="2">
        <v>-74.052761200000006</v>
      </c>
      <c r="Q1424" s="2" t="s">
        <v>1601</v>
      </c>
      <c r="R1424" s="2">
        <v>4509803.9220000003</v>
      </c>
      <c r="S1424" s="2">
        <v>0</v>
      </c>
      <c r="T1424" s="2" t="s">
        <v>55</v>
      </c>
      <c r="U1424" s="2" t="s">
        <v>56</v>
      </c>
      <c r="V1424" s="2" t="s">
        <v>28</v>
      </c>
      <c r="W1424" s="2" t="s">
        <v>55</v>
      </c>
      <c r="X1424" s="2" t="s">
        <v>57</v>
      </c>
      <c r="Y1424" s="2">
        <v>3.2903304764238501</v>
      </c>
      <c r="Z1424" s="2">
        <v>4.71035</v>
      </c>
      <c r="AA1424" s="2">
        <v>-74.030416666666696</v>
      </c>
      <c r="AB1424" s="2">
        <v>2570</v>
      </c>
      <c r="AC1424" s="2" t="s">
        <v>31</v>
      </c>
      <c r="AD1424" s="2" t="s">
        <v>58</v>
      </c>
      <c r="AE1424" s="2" t="s">
        <v>33</v>
      </c>
      <c r="AF1424" s="2" t="s">
        <v>34</v>
      </c>
      <c r="AG1424" s="2" t="s">
        <v>59</v>
      </c>
      <c r="AH1424" s="2">
        <v>0.44284954812757399</v>
      </c>
      <c r="AI1424" s="2">
        <v>2.27886061971541</v>
      </c>
      <c r="AJ1424" s="2">
        <v>0.37921209261935002</v>
      </c>
      <c r="AK1424" s="2">
        <v>0.131000612911091</v>
      </c>
      <c r="AL1424" s="2">
        <v>0.23888139515842899</v>
      </c>
      <c r="AM1424" s="2">
        <v>15.5</v>
      </c>
      <c r="AN1424" s="2">
        <v>2.4</v>
      </c>
      <c r="AO1424" s="2">
        <v>10.9</v>
      </c>
      <c r="AP1424" s="2">
        <v>564</v>
      </c>
      <c r="AQ1424" s="2">
        <v>68</v>
      </c>
      <c r="AR1424" s="2">
        <v>1.5</v>
      </c>
      <c r="AS1424" s="2">
        <v>135</v>
      </c>
      <c r="AT1424" s="2">
        <v>0</v>
      </c>
      <c r="AU1424" s="2">
        <v>162</v>
      </c>
      <c r="AV1424" s="2">
        <v>9.1</v>
      </c>
      <c r="AW1424" s="2">
        <v>9.1999999999999993</v>
      </c>
      <c r="AX1424" s="2">
        <v>18.3</v>
      </c>
      <c r="AY1424" s="2">
        <v>0.34</v>
      </c>
      <c r="AZ1424" s="2">
        <v>7.3</v>
      </c>
      <c r="BA1424" s="2">
        <v>0.9</v>
      </c>
      <c r="BB1424" s="2">
        <v>7.5</v>
      </c>
      <c r="BC1424" s="2">
        <v>2.9</v>
      </c>
      <c r="BD1424" s="2">
        <f>+AN1424*EXP(-0.0495*Y1424)</f>
        <v>2.0392811713416839</v>
      </c>
      <c r="BE1424" s="2">
        <f>+AO1424*EXP(-0.024*Y1424)</f>
        <v>10.07235817735358</v>
      </c>
    </row>
    <row r="1425" spans="1:57" x14ac:dyDescent="0.2">
      <c r="A1425" s="2" t="s">
        <v>1451</v>
      </c>
      <c r="B1425" s="2" t="s">
        <v>19</v>
      </c>
      <c r="C1425" s="2" t="s">
        <v>20</v>
      </c>
      <c r="D1425" s="2" t="s">
        <v>21</v>
      </c>
      <c r="E1425" s="2" t="s">
        <v>511</v>
      </c>
      <c r="F1425" s="2">
        <v>5</v>
      </c>
      <c r="G1425" s="2">
        <v>302.72000000000003</v>
      </c>
      <c r="H1425" s="2">
        <v>3</v>
      </c>
      <c r="I1425" s="2">
        <v>5</v>
      </c>
      <c r="J1425" s="2">
        <v>3</v>
      </c>
      <c r="K1425" s="2" t="s">
        <v>61</v>
      </c>
      <c r="L1425" s="6" t="s">
        <v>75</v>
      </c>
      <c r="M1425" s="5">
        <v>1900000000</v>
      </c>
      <c r="N1425" s="2">
        <v>0</v>
      </c>
      <c r="O1425" s="2">
        <v>4.7140000000000004</v>
      </c>
      <c r="P1425" s="2">
        <v>-74.031000000000006</v>
      </c>
      <c r="Q1425" s="2" t="s">
        <v>1452</v>
      </c>
      <c r="R1425" s="2">
        <v>6276427.0609999998</v>
      </c>
      <c r="S1425" s="2">
        <v>0</v>
      </c>
      <c r="T1425" s="2" t="s">
        <v>55</v>
      </c>
      <c r="U1425" s="2" t="s">
        <v>56</v>
      </c>
      <c r="V1425" s="2" t="s">
        <v>28</v>
      </c>
      <c r="W1425" s="2" t="s">
        <v>55</v>
      </c>
      <c r="X1425" s="2" t="s">
        <v>57</v>
      </c>
      <c r="Y1425" s="2">
        <v>0.41143782218763503</v>
      </c>
      <c r="Z1425" s="2">
        <v>4.71035</v>
      </c>
      <c r="AA1425" s="2">
        <v>-74.030416666666696</v>
      </c>
      <c r="AB1425" s="2">
        <v>2570</v>
      </c>
      <c r="AC1425" s="2" t="s">
        <v>31</v>
      </c>
      <c r="AD1425" s="2" t="s">
        <v>58</v>
      </c>
      <c r="AE1425" s="2" t="s">
        <v>33</v>
      </c>
      <c r="AF1425" s="2" t="s">
        <v>34</v>
      </c>
      <c r="AG1425" s="2" t="s">
        <v>59</v>
      </c>
      <c r="AH1425" s="2">
        <v>2.3910714756903801</v>
      </c>
      <c r="AI1425" s="2">
        <v>0.71698286846805803</v>
      </c>
      <c r="AJ1425" s="2">
        <v>0.41053849154833</v>
      </c>
      <c r="AK1425" s="2">
        <v>4.3336721973876301E-2</v>
      </c>
      <c r="AL1425" s="2">
        <v>0.314382224594704</v>
      </c>
      <c r="AM1425" s="2">
        <v>15.5</v>
      </c>
      <c r="AN1425" s="2">
        <v>2.4</v>
      </c>
      <c r="AO1425" s="2">
        <v>10.9</v>
      </c>
      <c r="AP1425" s="2">
        <v>564</v>
      </c>
      <c r="AQ1425" s="2">
        <v>68</v>
      </c>
      <c r="AR1425" s="2">
        <v>1.5</v>
      </c>
      <c r="AS1425" s="2">
        <v>135</v>
      </c>
      <c r="AT1425" s="2">
        <v>0</v>
      </c>
      <c r="AU1425" s="2">
        <v>162</v>
      </c>
      <c r="AV1425" s="2">
        <v>9.1</v>
      </c>
      <c r="AW1425" s="2">
        <v>9.1999999999999993</v>
      </c>
      <c r="AX1425" s="2">
        <v>18.3</v>
      </c>
      <c r="AY1425" s="2">
        <v>0.34</v>
      </c>
      <c r="AZ1425" s="2">
        <v>7.3</v>
      </c>
      <c r="BA1425" s="2">
        <v>0.9</v>
      </c>
      <c r="BB1425" s="2">
        <v>7.5</v>
      </c>
      <c r="BC1425" s="2">
        <v>2.9</v>
      </c>
      <c r="BD1425" s="2">
        <f>+AN1425*EXP(-0.0495*Y1425)</f>
        <v>2.3516155620223427</v>
      </c>
      <c r="BE1425" s="2">
        <f>+AO1425*EXP(-0.024*Y1425)</f>
        <v>10.792897528068201</v>
      </c>
    </row>
    <row r="1426" spans="1:57" x14ac:dyDescent="0.2">
      <c r="A1426" s="2" t="s">
        <v>194</v>
      </c>
      <c r="B1426" s="2" t="s">
        <v>19</v>
      </c>
      <c r="C1426" s="2" t="s">
        <v>20</v>
      </c>
      <c r="D1426" s="2" t="s">
        <v>21</v>
      </c>
      <c r="E1426" s="2" t="s">
        <v>130</v>
      </c>
      <c r="F1426" s="2">
        <v>6</v>
      </c>
      <c r="G1426" s="2">
        <v>300</v>
      </c>
      <c r="H1426" s="2">
        <v>3</v>
      </c>
      <c r="I1426" s="2">
        <v>5</v>
      </c>
      <c r="J1426" s="2">
        <v>4</v>
      </c>
      <c r="K1426" s="2" t="s">
        <v>61</v>
      </c>
      <c r="L1426" s="6" t="s">
        <v>84</v>
      </c>
      <c r="M1426" s="5">
        <v>3950000000</v>
      </c>
      <c r="N1426" s="2">
        <v>0</v>
      </c>
      <c r="O1426" s="2">
        <v>4.6775307660000003</v>
      </c>
      <c r="P1426" s="2">
        <v>-74.043189999999996</v>
      </c>
      <c r="Q1426" s="2" t="s">
        <v>195</v>
      </c>
      <c r="R1426" s="2">
        <v>13166666.67</v>
      </c>
      <c r="S1426" s="2">
        <v>0</v>
      </c>
      <c r="T1426" s="2" t="s">
        <v>55</v>
      </c>
      <c r="U1426" s="2" t="s">
        <v>56</v>
      </c>
      <c r="V1426" s="2" t="s">
        <v>28</v>
      </c>
      <c r="W1426" s="2" t="s">
        <v>55</v>
      </c>
      <c r="X1426" s="2" t="s">
        <v>57</v>
      </c>
      <c r="Y1426" s="2">
        <v>3.9186477532391</v>
      </c>
      <c r="Z1426" s="2">
        <v>4.71035</v>
      </c>
      <c r="AA1426" s="2">
        <v>-74.030416666666696</v>
      </c>
      <c r="AB1426" s="2">
        <v>2570</v>
      </c>
      <c r="AC1426" s="2" t="s">
        <v>31</v>
      </c>
      <c r="AD1426" s="2" t="s">
        <v>58</v>
      </c>
      <c r="AE1426" s="2" t="s">
        <v>33</v>
      </c>
      <c r="AF1426" s="2" t="s">
        <v>34</v>
      </c>
      <c r="AG1426" s="2" t="s">
        <v>81</v>
      </c>
      <c r="AH1426" s="2">
        <v>1.7595558088899499</v>
      </c>
      <c r="AI1426" s="2">
        <v>0.56128304864846601</v>
      </c>
      <c r="AJ1426" s="2">
        <v>0.69434067426996804</v>
      </c>
      <c r="AK1426" s="2">
        <v>0.215022141695452</v>
      </c>
      <c r="AL1426" s="2">
        <v>1.12350928573715</v>
      </c>
      <c r="AM1426" s="2">
        <v>15.5</v>
      </c>
      <c r="AN1426" s="2">
        <v>2.4</v>
      </c>
      <c r="AO1426" s="2">
        <v>10.9</v>
      </c>
      <c r="AP1426" s="2">
        <v>564</v>
      </c>
      <c r="AQ1426" s="2">
        <v>68</v>
      </c>
      <c r="AR1426" s="2">
        <v>1.5</v>
      </c>
      <c r="AS1426" s="2">
        <v>135</v>
      </c>
      <c r="AT1426" s="2">
        <v>0</v>
      </c>
      <c r="AU1426" s="2">
        <v>162</v>
      </c>
      <c r="AV1426" s="2">
        <v>9.1</v>
      </c>
      <c r="AW1426" s="2">
        <v>9.1999999999999993</v>
      </c>
      <c r="AX1426" s="2">
        <v>18.3</v>
      </c>
      <c r="AY1426" s="2">
        <v>0.34</v>
      </c>
      <c r="AZ1426" s="2">
        <v>7.3</v>
      </c>
      <c r="BA1426" s="2">
        <v>0.9</v>
      </c>
      <c r="BB1426" s="2">
        <v>7.5</v>
      </c>
      <c r="BC1426" s="2">
        <v>2.9</v>
      </c>
      <c r="BD1426" s="2">
        <f>+AN1426*EXP(-0.0495*Y1426)</f>
        <v>1.9768322179044131</v>
      </c>
      <c r="BE1426" s="2">
        <f>+AO1426*EXP(-0.024*Y1426)</f>
        <v>9.9216103635520039</v>
      </c>
    </row>
    <row r="1427" spans="1:57" x14ac:dyDescent="0.2">
      <c r="A1427" s="2" t="s">
        <v>3001</v>
      </c>
      <c r="B1427" s="2" t="s">
        <v>19</v>
      </c>
      <c r="C1427" s="2" t="s">
        <v>1907</v>
      </c>
      <c r="D1427" s="2" t="s">
        <v>21</v>
      </c>
      <c r="E1427" s="2" t="s">
        <v>3002</v>
      </c>
      <c r="F1427" s="2">
        <v>4</v>
      </c>
      <c r="G1427" s="2">
        <v>300</v>
      </c>
      <c r="H1427" s="2">
        <v>5</v>
      </c>
      <c r="I1427" s="2">
        <v>5</v>
      </c>
      <c r="J1427" s="2">
        <v>2</v>
      </c>
      <c r="K1427" s="2" t="s">
        <v>61</v>
      </c>
      <c r="L1427" s="6" t="s">
        <v>113</v>
      </c>
      <c r="M1427" s="5">
        <v>1800000000</v>
      </c>
      <c r="N1427" s="2">
        <v>0</v>
      </c>
      <c r="O1427" s="2">
        <v>4.7321782109999999</v>
      </c>
      <c r="P1427" s="2">
        <v>-74.041603089999995</v>
      </c>
      <c r="Q1427" s="2" t="s">
        <v>3003</v>
      </c>
      <c r="R1427" s="2">
        <v>6000000</v>
      </c>
      <c r="S1427" s="2">
        <v>0</v>
      </c>
      <c r="T1427" s="2" t="s">
        <v>55</v>
      </c>
      <c r="U1427" s="2" t="s">
        <v>56</v>
      </c>
      <c r="V1427" s="2" t="s">
        <v>28</v>
      </c>
      <c r="W1427" s="2" t="s">
        <v>55</v>
      </c>
      <c r="X1427" s="2" t="s">
        <v>57</v>
      </c>
      <c r="Y1427" s="2">
        <v>2.7284838782504801</v>
      </c>
      <c r="Z1427" s="2">
        <v>4.71035</v>
      </c>
      <c r="AA1427" s="2">
        <v>-74.030416666666696</v>
      </c>
      <c r="AB1427" s="2">
        <v>2570</v>
      </c>
      <c r="AC1427" s="2" t="s">
        <v>31</v>
      </c>
      <c r="AD1427" s="2" t="s">
        <v>58</v>
      </c>
      <c r="AE1427" s="2" t="s">
        <v>33</v>
      </c>
      <c r="AF1427" s="2" t="s">
        <v>34</v>
      </c>
      <c r="AG1427" s="2" t="s">
        <v>59</v>
      </c>
      <c r="AH1427" s="2">
        <v>0.886175185344386</v>
      </c>
      <c r="AI1427" s="2">
        <v>2.1745671260158201</v>
      </c>
      <c r="AJ1427" s="2">
        <v>0.196906688775558</v>
      </c>
      <c r="AK1427" s="2">
        <v>6.1401258951798203E-2</v>
      </c>
      <c r="AL1427" s="2">
        <v>1.05141315079896E-2</v>
      </c>
      <c r="AM1427" s="2">
        <v>15.5</v>
      </c>
      <c r="AN1427" s="2">
        <v>2.4</v>
      </c>
      <c r="AO1427" s="2">
        <v>10.9</v>
      </c>
      <c r="AP1427" s="2">
        <v>564</v>
      </c>
      <c r="AQ1427" s="2">
        <v>68</v>
      </c>
      <c r="AR1427" s="2">
        <v>1.5</v>
      </c>
      <c r="AS1427" s="2">
        <v>135</v>
      </c>
      <c r="AT1427" s="2">
        <v>0</v>
      </c>
      <c r="AU1427" s="2">
        <v>162</v>
      </c>
      <c r="AV1427" s="2">
        <v>9.1</v>
      </c>
      <c r="AW1427" s="2">
        <v>9.1999999999999993</v>
      </c>
      <c r="AX1427" s="2">
        <v>18.3</v>
      </c>
      <c r="AY1427" s="2">
        <v>0.34</v>
      </c>
      <c r="AZ1427" s="2">
        <v>7.3</v>
      </c>
      <c r="BA1427" s="2">
        <v>0.9</v>
      </c>
      <c r="BB1427" s="2">
        <v>7.5</v>
      </c>
      <c r="BC1427" s="2">
        <v>2.9</v>
      </c>
      <c r="BD1427" s="2">
        <f>+AN1427*EXP(-0.0495*Y1427)</f>
        <v>2.0967924774361903</v>
      </c>
      <c r="BE1427" s="2">
        <f>+AO1427*EXP(-0.024*Y1427)</f>
        <v>10.209096903983758</v>
      </c>
    </row>
    <row r="1428" spans="1:57" x14ac:dyDescent="0.2">
      <c r="A1428" s="2" t="s">
        <v>2669</v>
      </c>
      <c r="B1428" s="2" t="s">
        <v>19</v>
      </c>
      <c r="C1428" s="2" t="s">
        <v>1907</v>
      </c>
      <c r="D1428" s="2" t="s">
        <v>21</v>
      </c>
      <c r="E1428" s="2" t="s">
        <v>2670</v>
      </c>
      <c r="F1428" s="2">
        <v>5</v>
      </c>
      <c r="G1428" s="2">
        <v>300</v>
      </c>
      <c r="H1428" s="2">
        <v>4</v>
      </c>
      <c r="I1428" s="2">
        <v>5</v>
      </c>
      <c r="J1428" s="2">
        <v>4</v>
      </c>
      <c r="K1428" s="2" t="s">
        <v>61</v>
      </c>
      <c r="L1428" s="6" t="s">
        <v>75</v>
      </c>
      <c r="M1428" s="5">
        <v>2200000000</v>
      </c>
      <c r="N1428" s="2">
        <v>0</v>
      </c>
      <c r="O1428" s="2">
        <v>4.7266599999999999</v>
      </c>
      <c r="P1428" s="2">
        <v>-74.024810000000002</v>
      </c>
      <c r="Q1428" s="2" t="s">
        <v>2671</v>
      </c>
      <c r="R1428" s="2">
        <v>7333333.3329999996</v>
      </c>
      <c r="S1428" s="2">
        <v>0</v>
      </c>
      <c r="T1428" s="2" t="s">
        <v>55</v>
      </c>
      <c r="U1428" s="2" t="s">
        <v>56</v>
      </c>
      <c r="V1428" s="2" t="s">
        <v>28</v>
      </c>
      <c r="W1428" s="2" t="s">
        <v>55</v>
      </c>
      <c r="X1428" s="2" t="s">
        <v>57</v>
      </c>
      <c r="Y1428" s="2">
        <v>1.9192142028413</v>
      </c>
      <c r="Z1428" s="2">
        <v>4.71035</v>
      </c>
      <c r="AA1428" s="2">
        <v>-74.030416666666696</v>
      </c>
      <c r="AB1428" s="2">
        <v>2570</v>
      </c>
      <c r="AC1428" s="2" t="s">
        <v>31</v>
      </c>
      <c r="AD1428" s="2" t="s">
        <v>58</v>
      </c>
      <c r="AE1428" s="2" t="s">
        <v>33</v>
      </c>
      <c r="AF1428" s="2" t="s">
        <v>34</v>
      </c>
      <c r="AG1428" s="2" t="s">
        <v>59</v>
      </c>
      <c r="AH1428" s="2">
        <v>2.8111088526166701</v>
      </c>
      <c r="AI1428" s="2">
        <v>0.39139352083179002</v>
      </c>
      <c r="AJ1428" s="2">
        <v>1.8163610144881599</v>
      </c>
      <c r="AK1428" s="2">
        <v>0.110266907547847</v>
      </c>
      <c r="AL1428" s="2">
        <v>0.54344488555744397</v>
      </c>
      <c r="AM1428" s="2">
        <v>15.5</v>
      </c>
      <c r="AN1428" s="2">
        <v>2.4</v>
      </c>
      <c r="AO1428" s="2">
        <v>10.9</v>
      </c>
      <c r="AP1428" s="2">
        <v>564</v>
      </c>
      <c r="AQ1428" s="2">
        <v>68</v>
      </c>
      <c r="AR1428" s="2">
        <v>1.5</v>
      </c>
      <c r="AS1428" s="2">
        <v>135</v>
      </c>
      <c r="AT1428" s="2">
        <v>0</v>
      </c>
      <c r="AU1428" s="2">
        <v>162</v>
      </c>
      <c r="AV1428" s="2">
        <v>9.1</v>
      </c>
      <c r="AW1428" s="2">
        <v>9.1999999999999993</v>
      </c>
      <c r="AX1428" s="2">
        <v>18.3</v>
      </c>
      <c r="AY1428" s="2">
        <v>0.34</v>
      </c>
      <c r="AZ1428" s="2">
        <v>7.3</v>
      </c>
      <c r="BA1428" s="2">
        <v>0.9</v>
      </c>
      <c r="BB1428" s="2">
        <v>7.5</v>
      </c>
      <c r="BC1428" s="2">
        <v>2.9</v>
      </c>
      <c r="BD1428" s="2">
        <f>+AN1428*EXP(-0.0495*Y1428)</f>
        <v>2.182492635344345</v>
      </c>
      <c r="BE1428" s="2">
        <f>+AO1428*EXP(-0.024*Y1428)</f>
        <v>10.409320933503146</v>
      </c>
    </row>
    <row r="1429" spans="1:57" x14ac:dyDescent="0.2">
      <c r="A1429" s="2" t="s">
        <v>1819</v>
      </c>
      <c r="B1429" s="2" t="s">
        <v>19</v>
      </c>
      <c r="C1429" s="2" t="s">
        <v>20</v>
      </c>
      <c r="D1429" s="2" t="s">
        <v>21</v>
      </c>
      <c r="E1429" s="2" t="s">
        <v>842</v>
      </c>
      <c r="F1429" s="2">
        <v>6</v>
      </c>
      <c r="G1429" s="2">
        <v>291</v>
      </c>
      <c r="H1429" s="2">
        <v>3</v>
      </c>
      <c r="I1429" s="2">
        <v>5</v>
      </c>
      <c r="J1429" s="2">
        <v>3</v>
      </c>
      <c r="K1429" s="2" t="s">
        <v>61</v>
      </c>
      <c r="L1429" s="6" t="s">
        <v>113</v>
      </c>
      <c r="M1429" s="5">
        <v>2800000000</v>
      </c>
      <c r="N1429" s="2">
        <v>0</v>
      </c>
      <c r="O1429" s="2">
        <v>4.6769666000000001</v>
      </c>
      <c r="P1429" s="2">
        <v>-74.040443199999999</v>
      </c>
      <c r="Q1429" s="2" t="s">
        <v>1820</v>
      </c>
      <c r="R1429" s="2">
        <v>9621993.1270000003</v>
      </c>
      <c r="S1429" s="2">
        <v>0</v>
      </c>
      <c r="T1429" s="2" t="s">
        <v>55</v>
      </c>
      <c r="U1429" s="2" t="s">
        <v>56</v>
      </c>
      <c r="V1429" s="2" t="s">
        <v>28</v>
      </c>
      <c r="W1429" s="2" t="s">
        <v>55</v>
      </c>
      <c r="X1429" s="2" t="s">
        <v>57</v>
      </c>
      <c r="Y1429" s="2">
        <v>3.8791442436499901</v>
      </c>
      <c r="Z1429" s="2">
        <v>4.71035</v>
      </c>
      <c r="AA1429" s="2">
        <v>-74.030416666666696</v>
      </c>
      <c r="AB1429" s="2">
        <v>2570</v>
      </c>
      <c r="AC1429" s="2" t="s">
        <v>31</v>
      </c>
      <c r="AD1429" s="2" t="s">
        <v>58</v>
      </c>
      <c r="AE1429" s="2" t="s">
        <v>33</v>
      </c>
      <c r="AF1429" s="2" t="s">
        <v>34</v>
      </c>
      <c r="AG1429" s="2" t="s">
        <v>81</v>
      </c>
      <c r="AH1429" s="2">
        <v>2.0625477706884801</v>
      </c>
      <c r="AI1429" s="2">
        <v>0.31156215501588502</v>
      </c>
      <c r="AJ1429" s="2">
        <v>0.59781188602765201</v>
      </c>
      <c r="AK1429" s="2">
        <v>0.20945683771609999</v>
      </c>
      <c r="AL1429" s="2">
        <v>1.0415985780825601</v>
      </c>
      <c r="AM1429" s="2">
        <v>15.5</v>
      </c>
      <c r="AN1429" s="2">
        <v>2.4</v>
      </c>
      <c r="AO1429" s="2">
        <v>10.9</v>
      </c>
      <c r="AP1429" s="2">
        <v>564</v>
      </c>
      <c r="AQ1429" s="2">
        <v>68</v>
      </c>
      <c r="AR1429" s="2">
        <v>1.5</v>
      </c>
      <c r="AS1429" s="2">
        <v>135</v>
      </c>
      <c r="AT1429" s="2">
        <v>0</v>
      </c>
      <c r="AU1429" s="2">
        <v>162</v>
      </c>
      <c r="AV1429" s="2">
        <v>9.1</v>
      </c>
      <c r="AW1429" s="2">
        <v>9.1999999999999993</v>
      </c>
      <c r="AX1429" s="2">
        <v>18.3</v>
      </c>
      <c r="AY1429" s="2">
        <v>0.34</v>
      </c>
      <c r="AZ1429" s="2">
        <v>7.3</v>
      </c>
      <c r="BA1429" s="2">
        <v>0.9</v>
      </c>
      <c r="BB1429" s="2">
        <v>7.5</v>
      </c>
      <c r="BC1429" s="2">
        <v>2.9</v>
      </c>
      <c r="BD1429" s="2">
        <f>+AN1429*EXP(-0.0495*Y1429)</f>
        <v>1.9807015443764457</v>
      </c>
      <c r="BE1429" s="2">
        <f>+AO1429*EXP(-0.024*Y1429)</f>
        <v>9.9310213463725372</v>
      </c>
    </row>
    <row r="1430" spans="1:57" x14ac:dyDescent="0.2">
      <c r="A1430" s="2" t="s">
        <v>1401</v>
      </c>
      <c r="B1430" s="2" t="s">
        <v>19</v>
      </c>
      <c r="C1430" s="2" t="s">
        <v>20</v>
      </c>
      <c r="D1430" s="2" t="s">
        <v>21</v>
      </c>
      <c r="E1430" s="2" t="s">
        <v>1402</v>
      </c>
      <c r="F1430" s="2">
        <v>6</v>
      </c>
      <c r="G1430" s="2">
        <v>291</v>
      </c>
      <c r="H1430" s="2">
        <v>3</v>
      </c>
      <c r="I1430" s="2">
        <v>4</v>
      </c>
      <c r="J1430" s="2">
        <v>3</v>
      </c>
      <c r="K1430" s="2" t="s">
        <v>61</v>
      </c>
      <c r="L1430" s="6" t="s">
        <v>84</v>
      </c>
      <c r="M1430" s="5">
        <v>2826000000</v>
      </c>
      <c r="N1430" s="2">
        <v>0</v>
      </c>
      <c r="O1430" s="2">
        <v>4.70214</v>
      </c>
      <c r="P1430" s="2">
        <v>-74.033990000000003</v>
      </c>
      <c r="Q1430" s="2" t="s">
        <v>1403</v>
      </c>
      <c r="R1430" s="2">
        <v>9711340.2060000002</v>
      </c>
      <c r="S1430" s="2">
        <v>0</v>
      </c>
      <c r="T1430" s="2" t="s">
        <v>55</v>
      </c>
      <c r="U1430" s="2" t="s">
        <v>56</v>
      </c>
      <c r="V1430" s="2" t="s">
        <v>28</v>
      </c>
      <c r="W1430" s="2" t="s">
        <v>55</v>
      </c>
      <c r="X1430" s="2" t="s">
        <v>57</v>
      </c>
      <c r="Y1430" s="2">
        <v>0.99621214547221804</v>
      </c>
      <c r="Z1430" s="2">
        <v>4.71035</v>
      </c>
      <c r="AA1430" s="2">
        <v>-74.030416666666696</v>
      </c>
      <c r="AB1430" s="2">
        <v>2570</v>
      </c>
      <c r="AC1430" s="2" t="s">
        <v>31</v>
      </c>
      <c r="AD1430" s="2" t="s">
        <v>58</v>
      </c>
      <c r="AE1430" s="2" t="s">
        <v>33</v>
      </c>
      <c r="AF1430" s="2" t="s">
        <v>34</v>
      </c>
      <c r="AG1430" s="2" t="s">
        <v>59</v>
      </c>
      <c r="AH1430" s="2">
        <v>2.26055136656433</v>
      </c>
      <c r="AI1430" s="2">
        <v>0.93381085723280399</v>
      </c>
      <c r="AJ1430" s="2">
        <v>0.19120994653124401</v>
      </c>
      <c r="AK1430" s="2">
        <v>0.233661714741318</v>
      </c>
      <c r="AL1430" s="2">
        <v>0.51270392948964505</v>
      </c>
      <c r="AM1430" s="2">
        <v>15.5</v>
      </c>
      <c r="AN1430" s="2">
        <v>2.4</v>
      </c>
      <c r="AO1430" s="2">
        <v>10.9</v>
      </c>
      <c r="AP1430" s="2">
        <v>564</v>
      </c>
      <c r="AQ1430" s="2">
        <v>68</v>
      </c>
      <c r="AR1430" s="2">
        <v>1.5</v>
      </c>
      <c r="AS1430" s="2">
        <v>135</v>
      </c>
      <c r="AT1430" s="2">
        <v>0</v>
      </c>
      <c r="AU1430" s="2">
        <v>162</v>
      </c>
      <c r="AV1430" s="2">
        <v>9.1</v>
      </c>
      <c r="AW1430" s="2">
        <v>9.1999999999999993</v>
      </c>
      <c r="AX1430" s="2">
        <v>18.3</v>
      </c>
      <c r="AY1430" s="2">
        <v>0.34</v>
      </c>
      <c r="AZ1430" s="2">
        <v>7.3</v>
      </c>
      <c r="BA1430" s="2">
        <v>0.9</v>
      </c>
      <c r="BB1430" s="2">
        <v>7.5</v>
      </c>
      <c r="BC1430" s="2">
        <v>2.9</v>
      </c>
      <c r="BD1430" s="2">
        <f>+AN1430*EXP(-0.0495*Y1430)</f>
        <v>2.2845206842578181</v>
      </c>
      <c r="BE1430" s="2">
        <f>+AO1430*EXP(-0.024*Y1430)</f>
        <v>10.642481684524364</v>
      </c>
    </row>
    <row r="1431" spans="1:57" x14ac:dyDescent="0.2">
      <c r="A1431" s="2" t="s">
        <v>1852</v>
      </c>
      <c r="B1431" s="2" t="s">
        <v>19</v>
      </c>
      <c r="C1431" s="2" t="s">
        <v>20</v>
      </c>
      <c r="D1431" s="2" t="s">
        <v>21</v>
      </c>
      <c r="E1431" s="2" t="s">
        <v>144</v>
      </c>
      <c r="F1431" s="2">
        <v>6</v>
      </c>
      <c r="G1431" s="2">
        <v>290.88</v>
      </c>
      <c r="H1431" s="2">
        <v>3</v>
      </c>
      <c r="I1431" s="2">
        <v>4</v>
      </c>
      <c r="J1431" s="2">
        <v>4</v>
      </c>
      <c r="K1431" s="2" t="s">
        <v>61</v>
      </c>
      <c r="L1431" s="6" t="s">
        <v>75</v>
      </c>
      <c r="M1431" s="5">
        <v>2850000000</v>
      </c>
      <c r="N1431" s="2">
        <v>0</v>
      </c>
      <c r="O1431" s="2">
        <v>4.6934199999999997</v>
      </c>
      <c r="P1431" s="2">
        <v>-74.035210000000006</v>
      </c>
      <c r="Q1431" s="2" t="s">
        <v>1853</v>
      </c>
      <c r="R1431" s="2">
        <v>9797854.7850000001</v>
      </c>
      <c r="S1431" s="2">
        <v>0</v>
      </c>
      <c r="T1431" s="2" t="s">
        <v>55</v>
      </c>
      <c r="U1431" s="2" t="s">
        <v>56</v>
      </c>
      <c r="V1431" s="2" t="s">
        <v>28</v>
      </c>
      <c r="W1431" s="2" t="s">
        <v>55</v>
      </c>
      <c r="X1431" s="2" t="s">
        <v>57</v>
      </c>
      <c r="Y1431" s="2">
        <v>1.9582315423161301</v>
      </c>
      <c r="Z1431" s="2">
        <v>4.71035</v>
      </c>
      <c r="AA1431" s="2">
        <v>-74.030416666666696</v>
      </c>
      <c r="AB1431" s="2">
        <v>2570</v>
      </c>
      <c r="AC1431" s="2" t="s">
        <v>31</v>
      </c>
      <c r="AD1431" s="2" t="s">
        <v>58</v>
      </c>
      <c r="AE1431" s="2" t="s">
        <v>33</v>
      </c>
      <c r="AF1431" s="2" t="s">
        <v>34</v>
      </c>
      <c r="AG1431" s="2" t="s">
        <v>59</v>
      </c>
      <c r="AH1431" s="2">
        <v>2.2884170026593802</v>
      </c>
      <c r="AI1431" s="2">
        <v>0.96754075195971201</v>
      </c>
      <c r="AJ1431" s="2">
        <v>0.62062627538663095</v>
      </c>
      <c r="AK1431" s="2">
        <v>5.6225881997624398E-2</v>
      </c>
      <c r="AL1431" s="2">
        <v>0.41419421422747399</v>
      </c>
      <c r="AM1431" s="2">
        <v>15.5</v>
      </c>
      <c r="AN1431" s="2">
        <v>2.4</v>
      </c>
      <c r="AO1431" s="2">
        <v>10.9</v>
      </c>
      <c r="AP1431" s="2">
        <v>564</v>
      </c>
      <c r="AQ1431" s="2">
        <v>68</v>
      </c>
      <c r="AR1431" s="2">
        <v>1.5</v>
      </c>
      <c r="AS1431" s="2">
        <v>135</v>
      </c>
      <c r="AT1431" s="2">
        <v>0</v>
      </c>
      <c r="AU1431" s="2">
        <v>162</v>
      </c>
      <c r="AV1431" s="2">
        <v>9.1</v>
      </c>
      <c r="AW1431" s="2">
        <v>9.1999999999999993</v>
      </c>
      <c r="AX1431" s="2">
        <v>18.3</v>
      </c>
      <c r="AY1431" s="2">
        <v>0.34</v>
      </c>
      <c r="AZ1431" s="2">
        <v>7.3</v>
      </c>
      <c r="BA1431" s="2">
        <v>0.9</v>
      </c>
      <c r="BB1431" s="2">
        <v>7.5</v>
      </c>
      <c r="BC1431" s="2">
        <v>2.9</v>
      </c>
      <c r="BD1431" s="2">
        <f>+AN1431*EXP(-0.0495*Y1431)</f>
        <v>2.1782815279572585</v>
      </c>
      <c r="BE1431" s="2">
        <f>+AO1431*EXP(-0.024*Y1431)</f>
        <v>10.399578039711065</v>
      </c>
    </row>
    <row r="1432" spans="1:57" x14ac:dyDescent="0.2">
      <c r="A1432" s="2" t="s">
        <v>2809</v>
      </c>
      <c r="B1432" s="2" t="s">
        <v>19</v>
      </c>
      <c r="C1432" s="2" t="s">
        <v>1907</v>
      </c>
      <c r="D1432" s="2" t="s">
        <v>21</v>
      </c>
      <c r="E1432" s="2" t="s">
        <v>2292</v>
      </c>
      <c r="F1432" s="2">
        <v>4</v>
      </c>
      <c r="G1432" s="2">
        <v>290</v>
      </c>
      <c r="H1432" s="2">
        <v>3</v>
      </c>
      <c r="I1432" s="2">
        <v>3</v>
      </c>
      <c r="J1432" s="2">
        <v>3</v>
      </c>
      <c r="K1432" s="2" t="s">
        <v>61</v>
      </c>
      <c r="L1432" s="6" t="s">
        <v>113</v>
      </c>
      <c r="M1432" s="5">
        <v>2100000000</v>
      </c>
      <c r="N1432" s="2">
        <v>0</v>
      </c>
      <c r="O1432" s="2">
        <v>4.7108359340000003</v>
      </c>
      <c r="P1432" s="2">
        <v>-74.05435181</v>
      </c>
      <c r="Q1432" s="2" t="s">
        <v>2810</v>
      </c>
      <c r="R1432" s="2">
        <v>7241379.3099999996</v>
      </c>
      <c r="S1432" s="2">
        <v>0</v>
      </c>
      <c r="T1432" s="2" t="s">
        <v>55</v>
      </c>
      <c r="U1432" s="2" t="s">
        <v>56</v>
      </c>
      <c r="V1432" s="2" t="s">
        <v>28</v>
      </c>
      <c r="W1432" s="2" t="s">
        <v>55</v>
      </c>
      <c r="X1432" s="2" t="s">
        <v>57</v>
      </c>
      <c r="Y1432" s="2">
        <v>2.6559989653359102</v>
      </c>
      <c r="Z1432" s="2">
        <v>4.71035</v>
      </c>
      <c r="AA1432" s="2">
        <v>-74.030416666666696</v>
      </c>
      <c r="AB1432" s="2">
        <v>2570</v>
      </c>
      <c r="AC1432" s="2" t="s">
        <v>31</v>
      </c>
      <c r="AD1432" s="2" t="s">
        <v>58</v>
      </c>
      <c r="AE1432" s="2" t="s">
        <v>33</v>
      </c>
      <c r="AF1432" s="2" t="s">
        <v>34</v>
      </c>
      <c r="AG1432" s="2" t="s">
        <v>72</v>
      </c>
      <c r="AH1432" s="2">
        <v>0.45692203833495298</v>
      </c>
      <c r="AI1432" s="2">
        <v>3.2511473543473501</v>
      </c>
      <c r="AJ1432" s="2">
        <v>2.00187190973528</v>
      </c>
      <c r="AK1432" s="2">
        <v>0.13576803096368101</v>
      </c>
      <c r="AL1432" s="2">
        <v>2.25006985460842E-3</v>
      </c>
      <c r="AM1432" s="2">
        <v>15.5</v>
      </c>
      <c r="AN1432" s="2">
        <v>2.4</v>
      </c>
      <c r="AO1432" s="2">
        <v>10.9</v>
      </c>
      <c r="AP1432" s="2">
        <v>564</v>
      </c>
      <c r="AQ1432" s="2">
        <v>68</v>
      </c>
      <c r="AR1432" s="2">
        <v>1.5</v>
      </c>
      <c r="AS1432" s="2">
        <v>135</v>
      </c>
      <c r="AT1432" s="2">
        <v>0</v>
      </c>
      <c r="AU1432" s="2">
        <v>162</v>
      </c>
      <c r="AV1432" s="2">
        <v>9.1</v>
      </c>
      <c r="AW1432" s="2">
        <v>9.1999999999999993</v>
      </c>
      <c r="AX1432" s="2">
        <v>18.3</v>
      </c>
      <c r="AY1432" s="2">
        <v>0.34</v>
      </c>
      <c r="AZ1432" s="2">
        <v>7.3</v>
      </c>
      <c r="BA1432" s="2">
        <v>0.9</v>
      </c>
      <c r="BB1432" s="2">
        <v>7.5</v>
      </c>
      <c r="BC1432" s="2">
        <v>2.9</v>
      </c>
      <c r="BD1432" s="2">
        <f>+AN1432*EXP(-0.0495*Y1432)</f>
        <v>2.1043292884979405</v>
      </c>
      <c r="BE1432" s="2">
        <f>+AO1432*EXP(-0.024*Y1432)</f>
        <v>10.226872493045667</v>
      </c>
    </row>
    <row r="1433" spans="1:57" x14ac:dyDescent="0.2">
      <c r="A1433" s="2" t="s">
        <v>1250</v>
      </c>
      <c r="B1433" s="2" t="s">
        <v>19</v>
      </c>
      <c r="C1433" s="2" t="s">
        <v>20</v>
      </c>
      <c r="D1433" s="2" t="s">
        <v>21</v>
      </c>
      <c r="E1433" s="2" t="s">
        <v>321</v>
      </c>
      <c r="F1433" s="2">
        <v>6</v>
      </c>
      <c r="G1433" s="2">
        <v>290</v>
      </c>
      <c r="H1433" s="2">
        <v>3</v>
      </c>
      <c r="I1433" s="2">
        <v>4</v>
      </c>
      <c r="J1433" s="2">
        <v>3</v>
      </c>
      <c r="K1433" s="2" t="s">
        <v>61</v>
      </c>
      <c r="L1433" s="6" t="s">
        <v>113</v>
      </c>
      <c r="M1433" s="5">
        <v>2850000000</v>
      </c>
      <c r="N1433" s="2">
        <v>0</v>
      </c>
      <c r="O1433" s="2">
        <v>4.6966403000000003</v>
      </c>
      <c r="P1433" s="2">
        <v>-74.027643879999999</v>
      </c>
      <c r="Q1433" s="2" t="s">
        <v>1251</v>
      </c>
      <c r="R1433" s="2">
        <v>9827586.2070000004</v>
      </c>
      <c r="S1433" s="2">
        <v>0</v>
      </c>
      <c r="T1433" s="2" t="s">
        <v>55</v>
      </c>
      <c r="U1433" s="2" t="s">
        <v>56</v>
      </c>
      <c r="V1433" s="2" t="s">
        <v>28</v>
      </c>
      <c r="W1433" s="2" t="s">
        <v>55</v>
      </c>
      <c r="X1433" s="2" t="s">
        <v>57</v>
      </c>
      <c r="Y1433" s="2">
        <v>1.5568520290582899</v>
      </c>
      <c r="Z1433" s="2">
        <v>4.71035</v>
      </c>
      <c r="AA1433" s="2">
        <v>-74.030416666666696</v>
      </c>
      <c r="AB1433" s="2">
        <v>2570</v>
      </c>
      <c r="AC1433" s="2" t="s">
        <v>31</v>
      </c>
      <c r="AD1433" s="2" t="s">
        <v>58</v>
      </c>
      <c r="AE1433" s="2" t="s">
        <v>33</v>
      </c>
      <c r="AF1433" s="2" t="s">
        <v>34</v>
      </c>
      <c r="AG1433" s="2" t="s">
        <v>59</v>
      </c>
      <c r="AH1433" s="2">
        <v>3.0718170519969199</v>
      </c>
      <c r="AI1433" s="2">
        <v>0.22105887929955301</v>
      </c>
      <c r="AJ1433" s="2">
        <v>0.332636003056063</v>
      </c>
      <c r="AK1433" s="2">
        <v>0.318208752327311</v>
      </c>
      <c r="AL1433" s="2">
        <v>0.655045345055142</v>
      </c>
      <c r="AM1433" s="2">
        <v>15.5</v>
      </c>
      <c r="AN1433" s="2">
        <v>2.4</v>
      </c>
      <c r="AO1433" s="2">
        <v>10.9</v>
      </c>
      <c r="AP1433" s="2">
        <v>564</v>
      </c>
      <c r="AQ1433" s="2">
        <v>68</v>
      </c>
      <c r="AR1433" s="2">
        <v>1.5</v>
      </c>
      <c r="AS1433" s="2">
        <v>135</v>
      </c>
      <c r="AT1433" s="2">
        <v>0</v>
      </c>
      <c r="AU1433" s="2">
        <v>162</v>
      </c>
      <c r="AV1433" s="2">
        <v>9.1</v>
      </c>
      <c r="AW1433" s="2">
        <v>9.1999999999999993</v>
      </c>
      <c r="AX1433" s="2">
        <v>18.3</v>
      </c>
      <c r="AY1433" s="2">
        <v>0.34</v>
      </c>
      <c r="AZ1433" s="2">
        <v>7.3</v>
      </c>
      <c r="BA1433" s="2">
        <v>0.9</v>
      </c>
      <c r="BB1433" s="2">
        <v>7.5</v>
      </c>
      <c r="BC1433" s="2">
        <v>2.9</v>
      </c>
      <c r="BD1433" s="2">
        <f>+AN1433*EXP(-0.0495*Y1433)</f>
        <v>2.2219930467020053</v>
      </c>
      <c r="BE1433" s="2">
        <f>+AO1433*EXP(-0.024*Y1433)</f>
        <v>10.500242378226767</v>
      </c>
    </row>
    <row r="1434" spans="1:57" x14ac:dyDescent="0.2">
      <c r="A1434" s="2" t="s">
        <v>2838</v>
      </c>
      <c r="B1434" s="2" t="s">
        <v>19</v>
      </c>
      <c r="C1434" s="2" t="s">
        <v>1907</v>
      </c>
      <c r="D1434" s="2" t="s">
        <v>21</v>
      </c>
      <c r="E1434" s="2" t="s">
        <v>1600</v>
      </c>
      <c r="F1434" s="2">
        <v>6</v>
      </c>
      <c r="G1434" s="2">
        <v>289.14999999999998</v>
      </c>
      <c r="H1434" s="2">
        <v>3</v>
      </c>
      <c r="I1434" s="2">
        <v>3</v>
      </c>
      <c r="J1434" s="2">
        <v>3</v>
      </c>
      <c r="K1434" s="2" t="s">
        <v>61</v>
      </c>
      <c r="L1434" s="6" t="s">
        <v>113</v>
      </c>
      <c r="M1434" s="5">
        <v>1460000000</v>
      </c>
      <c r="N1434" s="2">
        <v>0</v>
      </c>
      <c r="O1434" s="2">
        <v>4.6892199999999997</v>
      </c>
      <c r="P1434" s="2">
        <v>-74.053380000000004</v>
      </c>
      <c r="Q1434" s="2" t="s">
        <v>2839</v>
      </c>
      <c r="R1434" s="2">
        <v>5049282.3789999997</v>
      </c>
      <c r="S1434" s="2">
        <v>0</v>
      </c>
      <c r="T1434" s="2" t="s">
        <v>55</v>
      </c>
      <c r="U1434" s="2" t="s">
        <v>56</v>
      </c>
      <c r="V1434" s="2" t="s">
        <v>28</v>
      </c>
      <c r="W1434" s="2" t="s">
        <v>55</v>
      </c>
      <c r="X1434" s="2" t="s">
        <v>57</v>
      </c>
      <c r="Y1434" s="2">
        <v>3.4674753544399701</v>
      </c>
      <c r="Z1434" s="2">
        <v>4.71035</v>
      </c>
      <c r="AA1434" s="2">
        <v>-74.030416666666696</v>
      </c>
      <c r="AB1434" s="2">
        <v>2570</v>
      </c>
      <c r="AC1434" s="2" t="s">
        <v>31</v>
      </c>
      <c r="AD1434" s="2" t="s">
        <v>58</v>
      </c>
      <c r="AE1434" s="2" t="s">
        <v>33</v>
      </c>
      <c r="AF1434" s="2" t="s">
        <v>34</v>
      </c>
      <c r="AG1434" s="2" t="s">
        <v>59</v>
      </c>
      <c r="AH1434" s="2">
        <v>0.51908941623982097</v>
      </c>
      <c r="AI1434" s="2">
        <v>2.22569295727852</v>
      </c>
      <c r="AJ1434" s="2">
        <v>0.31329400785525202</v>
      </c>
      <c r="AK1434" s="2">
        <v>0.16787383095387701</v>
      </c>
      <c r="AL1434" s="2">
        <v>0.435160520397878</v>
      </c>
      <c r="AM1434" s="2">
        <v>15.5</v>
      </c>
      <c r="AN1434" s="2">
        <v>2.4</v>
      </c>
      <c r="AO1434" s="2">
        <v>10.9</v>
      </c>
      <c r="AP1434" s="2">
        <v>564</v>
      </c>
      <c r="AQ1434" s="2">
        <v>68</v>
      </c>
      <c r="AR1434" s="2">
        <v>1.5</v>
      </c>
      <c r="AS1434" s="2">
        <v>135</v>
      </c>
      <c r="AT1434" s="2">
        <v>0</v>
      </c>
      <c r="AU1434" s="2">
        <v>162</v>
      </c>
      <c r="AV1434" s="2">
        <v>9.1</v>
      </c>
      <c r="AW1434" s="2">
        <v>9.1999999999999993</v>
      </c>
      <c r="AX1434" s="2">
        <v>18.3</v>
      </c>
      <c r="AY1434" s="2">
        <v>0.34</v>
      </c>
      <c r="AZ1434" s="2">
        <v>7.3</v>
      </c>
      <c r="BA1434" s="2">
        <v>0.9</v>
      </c>
      <c r="BB1434" s="2">
        <v>7.5</v>
      </c>
      <c r="BC1434" s="2">
        <v>2.9</v>
      </c>
      <c r="BD1434" s="2">
        <f>+AN1434*EXP(-0.0495*Y1434)</f>
        <v>2.0214775558354865</v>
      </c>
      <c r="BE1434" s="2">
        <f>+AO1434*EXP(-0.024*Y1434)</f>
        <v>10.029626677857387</v>
      </c>
    </row>
    <row r="1435" spans="1:57" x14ac:dyDescent="0.2">
      <c r="A1435" s="2" t="s">
        <v>176</v>
      </c>
      <c r="B1435" s="2" t="s">
        <v>19</v>
      </c>
      <c r="C1435" s="2" t="s">
        <v>20</v>
      </c>
      <c r="D1435" s="2" t="s">
        <v>21</v>
      </c>
      <c r="E1435" s="2" t="s">
        <v>177</v>
      </c>
      <c r="F1435" s="2">
        <v>6</v>
      </c>
      <c r="G1435" s="2">
        <v>285</v>
      </c>
      <c r="H1435" s="2">
        <v>3</v>
      </c>
      <c r="I1435" s="2">
        <v>3</v>
      </c>
      <c r="J1435" s="2">
        <v>3</v>
      </c>
      <c r="K1435" s="2" t="s">
        <v>61</v>
      </c>
      <c r="L1435" s="6" t="s">
        <v>75</v>
      </c>
      <c r="M1435" s="5">
        <v>2650000000</v>
      </c>
      <c r="N1435" s="2">
        <v>0</v>
      </c>
      <c r="O1435" s="2">
        <v>4.6932935709999999</v>
      </c>
      <c r="P1435" s="2">
        <v>-74.041610719999994</v>
      </c>
      <c r="Q1435" s="2" t="s">
        <v>178</v>
      </c>
      <c r="R1435" s="2">
        <v>9298245.6140000001</v>
      </c>
      <c r="S1435" s="2">
        <v>0</v>
      </c>
      <c r="T1435" s="2" t="s">
        <v>55</v>
      </c>
      <c r="U1435" s="2" t="s">
        <v>56</v>
      </c>
      <c r="V1435" s="2" t="s">
        <v>28</v>
      </c>
      <c r="W1435" s="2" t="s">
        <v>55</v>
      </c>
      <c r="X1435" s="2" t="s">
        <v>57</v>
      </c>
      <c r="Y1435" s="2">
        <v>2.2688066042389199</v>
      </c>
      <c r="Z1435" s="2">
        <v>4.71035</v>
      </c>
      <c r="AA1435" s="2">
        <v>-74.030416666666696</v>
      </c>
      <c r="AB1435" s="2">
        <v>2570</v>
      </c>
      <c r="AC1435" s="2" t="s">
        <v>31</v>
      </c>
      <c r="AD1435" s="2" t="s">
        <v>58</v>
      </c>
      <c r="AE1435" s="2" t="s">
        <v>33</v>
      </c>
      <c r="AF1435" s="2" t="s">
        <v>34</v>
      </c>
      <c r="AG1435" s="2" t="s">
        <v>59</v>
      </c>
      <c r="AH1435" s="2">
        <v>1.6100034121154201</v>
      </c>
      <c r="AI1435" s="2">
        <v>1.6645403923386899</v>
      </c>
      <c r="AJ1435" s="2">
        <v>0.91362572005976195</v>
      </c>
      <c r="AK1435" s="2">
        <v>0.25230590588367102</v>
      </c>
      <c r="AL1435" s="2">
        <v>0.32289600065995799</v>
      </c>
      <c r="AM1435" s="2">
        <v>15.5</v>
      </c>
      <c r="AN1435" s="2">
        <v>2.4</v>
      </c>
      <c r="AO1435" s="2">
        <v>10.9</v>
      </c>
      <c r="AP1435" s="2">
        <v>564</v>
      </c>
      <c r="AQ1435" s="2">
        <v>68</v>
      </c>
      <c r="AR1435" s="2">
        <v>1.5</v>
      </c>
      <c r="AS1435" s="2">
        <v>135</v>
      </c>
      <c r="AT1435" s="2">
        <v>0</v>
      </c>
      <c r="AU1435" s="2">
        <v>162</v>
      </c>
      <c r="AV1435" s="2">
        <v>9.1</v>
      </c>
      <c r="AW1435" s="2">
        <v>9.1999999999999993</v>
      </c>
      <c r="AX1435" s="2">
        <v>18.3</v>
      </c>
      <c r="AY1435" s="2">
        <v>0.34</v>
      </c>
      <c r="AZ1435" s="2">
        <v>7.3</v>
      </c>
      <c r="BA1435" s="2">
        <v>0.9</v>
      </c>
      <c r="BB1435" s="2">
        <v>7.5</v>
      </c>
      <c r="BC1435" s="2">
        <v>2.9</v>
      </c>
      <c r="BD1435" s="2">
        <f>+AN1435*EXP(-0.0495*Y1435)</f>
        <v>2.1450498891276397</v>
      </c>
      <c r="BE1435" s="2">
        <f>+AO1435*EXP(-0.024*Y1435)</f>
        <v>10.322349828900478</v>
      </c>
    </row>
    <row r="1436" spans="1:57" x14ac:dyDescent="0.2">
      <c r="A1436" s="2" t="s">
        <v>1560</v>
      </c>
      <c r="B1436" s="2" t="s">
        <v>19</v>
      </c>
      <c r="C1436" s="2" t="s">
        <v>20</v>
      </c>
      <c r="D1436" s="2" t="s">
        <v>21</v>
      </c>
      <c r="E1436" s="2" t="s">
        <v>1561</v>
      </c>
      <c r="F1436" s="2">
        <v>5</v>
      </c>
      <c r="G1436" s="2">
        <v>279.79000000000002</v>
      </c>
      <c r="H1436" s="2">
        <v>3</v>
      </c>
      <c r="I1436" s="2">
        <v>4</v>
      </c>
      <c r="J1436" s="2">
        <v>3</v>
      </c>
      <c r="K1436" s="2" t="s">
        <v>61</v>
      </c>
      <c r="L1436" s="6" t="s">
        <v>75</v>
      </c>
      <c r="M1436" s="5">
        <v>1500000000</v>
      </c>
      <c r="N1436" s="2">
        <v>0</v>
      </c>
      <c r="O1436" s="2">
        <v>4.7136846999999999</v>
      </c>
      <c r="P1436" s="2">
        <v>-74.031561400000001</v>
      </c>
      <c r="Q1436" s="2" t="s">
        <v>1562</v>
      </c>
      <c r="R1436" s="2">
        <v>5361163.7300000004</v>
      </c>
      <c r="S1436" s="2">
        <v>0</v>
      </c>
      <c r="T1436" s="2" t="s">
        <v>55</v>
      </c>
      <c r="U1436" s="2" t="s">
        <v>56</v>
      </c>
      <c r="V1436" s="2" t="s">
        <v>28</v>
      </c>
      <c r="W1436" s="2" t="s">
        <v>55</v>
      </c>
      <c r="X1436" s="2" t="s">
        <v>57</v>
      </c>
      <c r="Y1436" s="2">
        <v>0.392340733072155</v>
      </c>
      <c r="Z1436" s="2">
        <v>4.71035</v>
      </c>
      <c r="AA1436" s="2">
        <v>-74.030416666666696</v>
      </c>
      <c r="AB1436" s="2">
        <v>2570</v>
      </c>
      <c r="AC1436" s="2" t="s">
        <v>31</v>
      </c>
      <c r="AD1436" s="2" t="s">
        <v>58</v>
      </c>
      <c r="AE1436" s="2" t="s">
        <v>33</v>
      </c>
      <c r="AF1436" s="2" t="s">
        <v>34</v>
      </c>
      <c r="AG1436" s="2" t="s">
        <v>59</v>
      </c>
      <c r="AH1436" s="2">
        <v>2.3300320045635998</v>
      </c>
      <c r="AI1436" s="2">
        <v>0.77177383129134802</v>
      </c>
      <c r="AJ1436" s="2">
        <v>0.35212090641744997</v>
      </c>
      <c r="AK1436" s="2">
        <v>0.114188016756245</v>
      </c>
      <c r="AL1436" s="2">
        <v>0.37002968082008703</v>
      </c>
      <c r="AM1436" s="2">
        <v>15.5</v>
      </c>
      <c r="AN1436" s="2">
        <v>2.4</v>
      </c>
      <c r="AO1436" s="2">
        <v>10.9</v>
      </c>
      <c r="AP1436" s="2">
        <v>564</v>
      </c>
      <c r="AQ1436" s="2">
        <v>68</v>
      </c>
      <c r="AR1436" s="2">
        <v>1.5</v>
      </c>
      <c r="AS1436" s="2">
        <v>135</v>
      </c>
      <c r="AT1436" s="2">
        <v>0</v>
      </c>
      <c r="AU1436" s="2">
        <v>162</v>
      </c>
      <c r="AV1436" s="2">
        <v>9.1</v>
      </c>
      <c r="AW1436" s="2">
        <v>9.1999999999999993</v>
      </c>
      <c r="AX1436" s="2">
        <v>18.3</v>
      </c>
      <c r="AY1436" s="2">
        <v>0.34</v>
      </c>
      <c r="AZ1436" s="2">
        <v>7.3</v>
      </c>
      <c r="BA1436" s="2">
        <v>0.9</v>
      </c>
      <c r="BB1436" s="2">
        <v>7.5</v>
      </c>
      <c r="BC1436" s="2">
        <v>2.9</v>
      </c>
      <c r="BD1436" s="2">
        <f>+AN1436*EXP(-0.0495*Y1436)</f>
        <v>2.3538396091508611</v>
      </c>
      <c r="BE1436" s="2">
        <f>+AO1436*EXP(-0.024*Y1436)</f>
        <v>10.797845372076388</v>
      </c>
    </row>
    <row r="1437" spans="1:57" x14ac:dyDescent="0.2">
      <c r="A1437" s="2" t="s">
        <v>557</v>
      </c>
      <c r="B1437" s="2" t="s">
        <v>19</v>
      </c>
      <c r="C1437" s="2" t="s">
        <v>20</v>
      </c>
      <c r="D1437" s="2" t="s">
        <v>21</v>
      </c>
      <c r="E1437" s="2" t="s">
        <v>164</v>
      </c>
      <c r="F1437" s="2">
        <v>6</v>
      </c>
      <c r="G1437" s="2">
        <v>278</v>
      </c>
      <c r="H1437" s="2">
        <v>3</v>
      </c>
      <c r="I1437" s="2">
        <v>5</v>
      </c>
      <c r="J1437" s="2">
        <v>3</v>
      </c>
      <c r="K1437" s="2" t="s">
        <v>61</v>
      </c>
      <c r="L1437" s="6" t="s">
        <v>113</v>
      </c>
      <c r="M1437" s="5">
        <v>1480000000</v>
      </c>
      <c r="N1437" s="2">
        <v>0</v>
      </c>
      <c r="O1437" s="2">
        <v>4.6988544460000004</v>
      </c>
      <c r="P1437" s="2">
        <v>-74.03814697</v>
      </c>
      <c r="Q1437" s="2" t="s">
        <v>558</v>
      </c>
      <c r="R1437" s="2">
        <v>5323741.0070000002</v>
      </c>
      <c r="S1437" s="2">
        <v>0</v>
      </c>
      <c r="T1437" s="2" t="s">
        <v>55</v>
      </c>
      <c r="U1437" s="2" t="s">
        <v>56</v>
      </c>
      <c r="V1437" s="2" t="s">
        <v>28</v>
      </c>
      <c r="W1437" s="2" t="s">
        <v>55</v>
      </c>
      <c r="X1437" s="2" t="s">
        <v>57</v>
      </c>
      <c r="Y1437" s="2">
        <v>1.5404918652497801</v>
      </c>
      <c r="Z1437" s="2">
        <v>4.71035</v>
      </c>
      <c r="AA1437" s="2">
        <v>-74.030416666666696</v>
      </c>
      <c r="AB1437" s="2">
        <v>2570</v>
      </c>
      <c r="AC1437" s="2" t="s">
        <v>31</v>
      </c>
      <c r="AD1437" s="2" t="s">
        <v>58</v>
      </c>
      <c r="AE1437" s="2" t="s">
        <v>33</v>
      </c>
      <c r="AF1437" s="2" t="s">
        <v>34</v>
      </c>
      <c r="AG1437" s="2" t="s">
        <v>59</v>
      </c>
      <c r="AH1437" s="2">
        <v>1.8938787322424</v>
      </c>
      <c r="AI1437" s="2">
        <v>1.3609605334806001</v>
      </c>
      <c r="AJ1437" s="2">
        <v>0.68707210559529697</v>
      </c>
      <c r="AK1437" s="2">
        <v>5.1987788735921699E-2</v>
      </c>
      <c r="AL1437" s="2">
        <v>3.06764224649805E-2</v>
      </c>
      <c r="AM1437" s="2">
        <v>15.5</v>
      </c>
      <c r="AN1437" s="2">
        <v>2.4</v>
      </c>
      <c r="AO1437" s="2">
        <v>10.9</v>
      </c>
      <c r="AP1437" s="2">
        <v>564</v>
      </c>
      <c r="AQ1437" s="2">
        <v>68</v>
      </c>
      <c r="AR1437" s="2">
        <v>1.5</v>
      </c>
      <c r="AS1437" s="2">
        <v>135</v>
      </c>
      <c r="AT1437" s="2">
        <v>0</v>
      </c>
      <c r="AU1437" s="2">
        <v>162</v>
      </c>
      <c r="AV1437" s="2">
        <v>9.1</v>
      </c>
      <c r="AW1437" s="2">
        <v>9.1999999999999993</v>
      </c>
      <c r="AX1437" s="2">
        <v>18.3</v>
      </c>
      <c r="AY1437" s="2">
        <v>0.34</v>
      </c>
      <c r="AZ1437" s="2">
        <v>7.3</v>
      </c>
      <c r="BA1437" s="2">
        <v>0.9</v>
      </c>
      <c r="BB1437" s="2">
        <v>7.5</v>
      </c>
      <c r="BC1437" s="2">
        <v>2.9</v>
      </c>
      <c r="BD1437" s="2">
        <f>+AN1437*EXP(-0.0495*Y1437)</f>
        <v>2.2237932079403664</v>
      </c>
      <c r="BE1437" s="2">
        <f>+AO1437*EXP(-0.024*Y1437)</f>
        <v>10.504366044188082</v>
      </c>
    </row>
    <row r="1438" spans="1:57" x14ac:dyDescent="0.2">
      <c r="A1438" s="2" t="s">
        <v>152</v>
      </c>
      <c r="B1438" s="2" t="s">
        <v>19</v>
      </c>
      <c r="C1438" s="2" t="s">
        <v>20</v>
      </c>
      <c r="D1438" s="2" t="s">
        <v>21</v>
      </c>
      <c r="E1438" s="2" t="s">
        <v>153</v>
      </c>
      <c r="F1438" s="2">
        <v>6</v>
      </c>
      <c r="G1438" s="2">
        <v>277</v>
      </c>
      <c r="H1438" s="2">
        <v>3</v>
      </c>
      <c r="I1438" s="2">
        <v>5</v>
      </c>
      <c r="J1438" s="2">
        <v>3</v>
      </c>
      <c r="K1438" s="2" t="s">
        <v>61</v>
      </c>
      <c r="L1438" s="6" t="s">
        <v>75</v>
      </c>
      <c r="M1438" s="5">
        <v>2400000000</v>
      </c>
      <c r="N1438" s="2">
        <v>0</v>
      </c>
      <c r="O1438" s="2">
        <v>4.7002739910000004</v>
      </c>
      <c r="P1438" s="2">
        <v>-74.028182979999997</v>
      </c>
      <c r="Q1438" s="2" t="s">
        <v>154</v>
      </c>
      <c r="R1438" s="2">
        <v>8664259.9279999994</v>
      </c>
      <c r="S1438" s="2">
        <v>0</v>
      </c>
      <c r="T1438" s="2" t="s">
        <v>55</v>
      </c>
      <c r="U1438" s="2" t="s">
        <v>56</v>
      </c>
      <c r="V1438" s="2" t="s">
        <v>28</v>
      </c>
      <c r="W1438" s="2" t="s">
        <v>55</v>
      </c>
      <c r="X1438" s="2" t="s">
        <v>57</v>
      </c>
      <c r="Y1438" s="2">
        <v>1.1487057108949501</v>
      </c>
      <c r="Z1438" s="2">
        <v>4.71035</v>
      </c>
      <c r="AA1438" s="2">
        <v>-74.030416666666696</v>
      </c>
      <c r="AB1438" s="2">
        <v>2570</v>
      </c>
      <c r="AC1438" s="2" t="s">
        <v>31</v>
      </c>
      <c r="AD1438" s="2" t="s">
        <v>58</v>
      </c>
      <c r="AE1438" s="2" t="s">
        <v>33</v>
      </c>
      <c r="AF1438" s="2" t="s">
        <v>34</v>
      </c>
      <c r="AG1438" s="2" t="s">
        <v>59</v>
      </c>
      <c r="AH1438" s="2">
        <v>2.9275025656151401</v>
      </c>
      <c r="AI1438" s="2">
        <v>0.27355623149470298</v>
      </c>
      <c r="AJ1438" s="2">
        <v>0.48892045644680299</v>
      </c>
      <c r="AK1438" s="2">
        <v>0.14227468650817501</v>
      </c>
      <c r="AL1438" s="2">
        <v>0.33720762656573899</v>
      </c>
      <c r="AM1438" s="2">
        <v>15.5</v>
      </c>
      <c r="AN1438" s="2">
        <v>2.4</v>
      </c>
      <c r="AO1438" s="2">
        <v>10.9</v>
      </c>
      <c r="AP1438" s="2">
        <v>564</v>
      </c>
      <c r="AQ1438" s="2">
        <v>68</v>
      </c>
      <c r="AR1438" s="2">
        <v>1.5</v>
      </c>
      <c r="AS1438" s="2">
        <v>135</v>
      </c>
      <c r="AT1438" s="2">
        <v>0</v>
      </c>
      <c r="AU1438" s="2">
        <v>162</v>
      </c>
      <c r="AV1438" s="2">
        <v>9.1</v>
      </c>
      <c r="AW1438" s="2">
        <v>9.1999999999999993</v>
      </c>
      <c r="AX1438" s="2">
        <v>18.3</v>
      </c>
      <c r="AY1438" s="2">
        <v>0.34</v>
      </c>
      <c r="AZ1438" s="2">
        <v>7.3</v>
      </c>
      <c r="BA1438" s="2">
        <v>0.9</v>
      </c>
      <c r="BB1438" s="2">
        <v>7.5</v>
      </c>
      <c r="BC1438" s="2">
        <v>2.9</v>
      </c>
      <c r="BD1438" s="2">
        <f>+AN1438*EXP(-0.0495*Y1438)</f>
        <v>2.2673410575791224</v>
      </c>
      <c r="BE1438" s="2">
        <f>+AO1438*EXP(-0.024*Y1438)</f>
        <v>10.603603033402011</v>
      </c>
    </row>
    <row r="1439" spans="1:57" x14ac:dyDescent="0.2">
      <c r="A1439" s="2" t="s">
        <v>1844</v>
      </c>
      <c r="B1439" s="2" t="s">
        <v>19</v>
      </c>
      <c r="C1439" s="2" t="s">
        <v>20</v>
      </c>
      <c r="D1439" s="2" t="s">
        <v>21</v>
      </c>
      <c r="E1439" s="2" t="s">
        <v>321</v>
      </c>
      <c r="F1439" s="2">
        <v>6</v>
      </c>
      <c r="G1439" s="2">
        <v>276.85000000000002</v>
      </c>
      <c r="H1439" s="2">
        <v>3</v>
      </c>
      <c r="I1439" s="2">
        <v>5</v>
      </c>
      <c r="J1439" s="2">
        <v>3</v>
      </c>
      <c r="K1439" s="2" t="s">
        <v>61</v>
      </c>
      <c r="L1439" s="6" t="s">
        <v>75</v>
      </c>
      <c r="M1439" s="5">
        <v>2400000000</v>
      </c>
      <c r="N1439" s="2">
        <v>0</v>
      </c>
      <c r="O1439" s="2">
        <v>4.6994726</v>
      </c>
      <c r="P1439" s="2">
        <v>-74.028203180000006</v>
      </c>
      <c r="Q1439" s="2" t="s">
        <v>1845</v>
      </c>
      <c r="R1439" s="2">
        <v>8668954.307</v>
      </c>
      <c r="S1439" s="2">
        <v>0</v>
      </c>
      <c r="T1439" s="2" t="s">
        <v>55</v>
      </c>
      <c r="U1439" s="2" t="s">
        <v>56</v>
      </c>
      <c r="V1439" s="2" t="s">
        <v>28</v>
      </c>
      <c r="W1439" s="2" t="s">
        <v>55</v>
      </c>
      <c r="X1439" s="2" t="s">
        <v>57</v>
      </c>
      <c r="Y1439" s="2">
        <v>1.2355179242536101</v>
      </c>
      <c r="Z1439" s="2">
        <v>4.71035</v>
      </c>
      <c r="AA1439" s="2">
        <v>-74.030416666666696</v>
      </c>
      <c r="AB1439" s="2">
        <v>2570</v>
      </c>
      <c r="AC1439" s="2" t="s">
        <v>31</v>
      </c>
      <c r="AD1439" s="2" t="s">
        <v>58</v>
      </c>
      <c r="AE1439" s="2" t="s">
        <v>33</v>
      </c>
      <c r="AF1439" s="2" t="s">
        <v>34</v>
      </c>
      <c r="AG1439" s="2" t="s">
        <v>59</v>
      </c>
      <c r="AH1439" s="2">
        <v>2.9411987574666201</v>
      </c>
      <c r="AI1439" s="2">
        <v>0.26333306739637702</v>
      </c>
      <c r="AJ1439" s="2">
        <v>0.51527301297843997</v>
      </c>
      <c r="AK1439" s="2">
        <v>0.140569363885897</v>
      </c>
      <c r="AL1439" s="2">
        <v>0.42170659393142301</v>
      </c>
      <c r="AM1439" s="2">
        <v>15.5</v>
      </c>
      <c r="AN1439" s="2">
        <v>2.4</v>
      </c>
      <c r="AO1439" s="2">
        <v>10.9</v>
      </c>
      <c r="AP1439" s="2">
        <v>564</v>
      </c>
      <c r="AQ1439" s="2">
        <v>68</v>
      </c>
      <c r="AR1439" s="2">
        <v>1.5</v>
      </c>
      <c r="AS1439" s="2">
        <v>135</v>
      </c>
      <c r="AT1439" s="2">
        <v>0</v>
      </c>
      <c r="AU1439" s="2">
        <v>162</v>
      </c>
      <c r="AV1439" s="2">
        <v>9.1</v>
      </c>
      <c r="AW1439" s="2">
        <v>9.1999999999999993</v>
      </c>
      <c r="AX1439" s="2">
        <v>18.3</v>
      </c>
      <c r="AY1439" s="2">
        <v>0.34</v>
      </c>
      <c r="AZ1439" s="2">
        <v>7.3</v>
      </c>
      <c r="BA1439" s="2">
        <v>0.9</v>
      </c>
      <c r="BB1439" s="2">
        <v>7.5</v>
      </c>
      <c r="BC1439" s="2">
        <v>2.9</v>
      </c>
      <c r="BD1439" s="2">
        <f>+AN1439*EXP(-0.0495*Y1439)</f>
        <v>2.2576187336130271</v>
      </c>
      <c r="BE1439" s="2">
        <f>+AO1439*EXP(-0.024*Y1439)</f>
        <v>10.581533498274117</v>
      </c>
    </row>
    <row r="1440" spans="1:57" x14ac:dyDescent="0.2">
      <c r="A1440" s="2" t="s">
        <v>1189</v>
      </c>
      <c r="B1440" s="2" t="s">
        <v>19</v>
      </c>
      <c r="C1440" s="2" t="s">
        <v>20</v>
      </c>
      <c r="D1440" s="2" t="s">
        <v>21</v>
      </c>
      <c r="E1440" s="2" t="s">
        <v>138</v>
      </c>
      <c r="F1440" s="2">
        <v>6</v>
      </c>
      <c r="G1440" s="2">
        <v>275</v>
      </c>
      <c r="H1440" s="2">
        <v>3</v>
      </c>
      <c r="I1440" s="2">
        <v>5</v>
      </c>
      <c r="J1440" s="2">
        <v>2</v>
      </c>
      <c r="K1440" s="2" t="s">
        <v>61</v>
      </c>
      <c r="L1440" s="6" t="s">
        <v>84</v>
      </c>
      <c r="M1440" s="5">
        <v>1950000000</v>
      </c>
      <c r="N1440" s="2">
        <v>0</v>
      </c>
      <c r="O1440" s="2">
        <v>4.6690740000000002</v>
      </c>
      <c r="P1440" s="2">
        <v>-74.040665000000004</v>
      </c>
      <c r="Q1440" s="2" t="s">
        <v>1190</v>
      </c>
      <c r="R1440" s="2">
        <v>7090909.091</v>
      </c>
      <c r="S1440" s="2">
        <v>0</v>
      </c>
      <c r="T1440" s="2" t="s">
        <v>55</v>
      </c>
      <c r="U1440" s="2" t="s">
        <v>56</v>
      </c>
      <c r="V1440" s="2" t="s">
        <v>28</v>
      </c>
      <c r="W1440" s="2" t="s">
        <v>55</v>
      </c>
      <c r="X1440" s="2" t="s">
        <v>57</v>
      </c>
      <c r="Y1440" s="2">
        <v>4.7334147479528701</v>
      </c>
      <c r="Z1440" s="2">
        <v>4.71035</v>
      </c>
      <c r="AA1440" s="2">
        <v>-74.030416666666696</v>
      </c>
      <c r="AB1440" s="2">
        <v>2570</v>
      </c>
      <c r="AC1440" s="2" t="s">
        <v>31</v>
      </c>
      <c r="AD1440" s="2" t="s">
        <v>58</v>
      </c>
      <c r="AE1440" s="2" t="s">
        <v>33</v>
      </c>
      <c r="AF1440" s="2" t="s">
        <v>34</v>
      </c>
      <c r="AG1440" s="2" t="s">
        <v>81</v>
      </c>
      <c r="AH1440" s="2">
        <v>2.1346129053396599</v>
      </c>
      <c r="AI1440" s="2">
        <v>2.9185346217044501E-2</v>
      </c>
      <c r="AJ1440" s="2">
        <v>1.42081688572292</v>
      </c>
      <c r="AK1440" s="2">
        <v>0.70149577545337405</v>
      </c>
      <c r="AL1440" s="2">
        <v>0.98135536998494599</v>
      </c>
      <c r="AM1440" s="2">
        <v>15.5</v>
      </c>
      <c r="AN1440" s="2">
        <v>2.4</v>
      </c>
      <c r="AO1440" s="2">
        <v>10.9</v>
      </c>
      <c r="AP1440" s="2">
        <v>564</v>
      </c>
      <c r="AQ1440" s="2">
        <v>68</v>
      </c>
      <c r="AR1440" s="2">
        <v>1.5</v>
      </c>
      <c r="AS1440" s="2">
        <v>135</v>
      </c>
      <c r="AT1440" s="2">
        <v>0</v>
      </c>
      <c r="AU1440" s="2">
        <v>162</v>
      </c>
      <c r="AV1440" s="2">
        <v>9.1</v>
      </c>
      <c r="AW1440" s="2">
        <v>9.1999999999999993</v>
      </c>
      <c r="AX1440" s="2">
        <v>18.3</v>
      </c>
      <c r="AY1440" s="2">
        <v>0.34</v>
      </c>
      <c r="AZ1440" s="2">
        <v>7.3</v>
      </c>
      <c r="BA1440" s="2">
        <v>0.9</v>
      </c>
      <c r="BB1440" s="2">
        <v>7.5</v>
      </c>
      <c r="BC1440" s="2">
        <v>2.9</v>
      </c>
      <c r="BD1440" s="2">
        <f>+AN1440*EXP(-0.0495*Y1440)</f>
        <v>1.8986910113153557</v>
      </c>
      <c r="BE1440" s="2">
        <f>+AO1440*EXP(-0.024*Y1440)</f>
        <v>9.7294837310068232</v>
      </c>
    </row>
    <row r="1441" spans="1:57" x14ac:dyDescent="0.2">
      <c r="A1441" s="2" t="s">
        <v>201</v>
      </c>
      <c r="B1441" s="2" t="s">
        <v>19</v>
      </c>
      <c r="C1441" s="2" t="s">
        <v>20</v>
      </c>
      <c r="D1441" s="2" t="s">
        <v>21</v>
      </c>
      <c r="E1441" s="2" t="s">
        <v>202</v>
      </c>
      <c r="F1441" s="2">
        <v>6</v>
      </c>
      <c r="G1441" s="2">
        <v>275</v>
      </c>
      <c r="H1441" s="2">
        <v>3</v>
      </c>
      <c r="I1441" s="2">
        <v>3</v>
      </c>
      <c r="J1441" s="2">
        <v>4</v>
      </c>
      <c r="K1441" s="2" t="s">
        <v>61</v>
      </c>
      <c r="L1441" s="6" t="s">
        <v>75</v>
      </c>
      <c r="M1441" s="5">
        <v>3950000000</v>
      </c>
      <c r="N1441" s="2">
        <v>0</v>
      </c>
      <c r="O1441" s="2">
        <v>4.6938920020000001</v>
      </c>
      <c r="P1441" s="2">
        <v>-74.02575684</v>
      </c>
      <c r="Q1441" s="2" t="s">
        <v>203</v>
      </c>
      <c r="R1441" s="2">
        <v>14363636.359999999</v>
      </c>
      <c r="S1441" s="2">
        <v>0</v>
      </c>
      <c r="T1441" s="2" t="s">
        <v>55</v>
      </c>
      <c r="U1441" s="2" t="s">
        <v>56</v>
      </c>
      <c r="V1441" s="2" t="s">
        <v>28</v>
      </c>
      <c r="W1441" s="2" t="s">
        <v>55</v>
      </c>
      <c r="X1441" s="2" t="s">
        <v>57</v>
      </c>
      <c r="Y1441" s="2">
        <v>1.90364064608882</v>
      </c>
      <c r="Z1441" s="2">
        <v>4.71035</v>
      </c>
      <c r="AA1441" s="2">
        <v>-74.030416666666696</v>
      </c>
      <c r="AB1441" s="2">
        <v>2570</v>
      </c>
      <c r="AC1441" s="2" t="s">
        <v>31</v>
      </c>
      <c r="AD1441" s="2" t="s">
        <v>58</v>
      </c>
      <c r="AE1441" s="2" t="s">
        <v>33</v>
      </c>
      <c r="AF1441" s="2" t="s">
        <v>34</v>
      </c>
      <c r="AG1441" s="2" t="s">
        <v>59</v>
      </c>
      <c r="AH1441" s="2">
        <v>3.3099104222407698</v>
      </c>
      <c r="AI1441" s="2">
        <v>0.136074671852528</v>
      </c>
      <c r="AJ1441" s="2">
        <v>0.442610652527265</v>
      </c>
      <c r="AK1441" s="2">
        <v>0.54672200665375303</v>
      </c>
      <c r="AL1441" s="2">
        <v>0.92131121515134795</v>
      </c>
      <c r="AM1441" s="2">
        <v>15.5</v>
      </c>
      <c r="AN1441" s="2">
        <v>2.4</v>
      </c>
      <c r="AO1441" s="2">
        <v>10.9</v>
      </c>
      <c r="AP1441" s="2">
        <v>564</v>
      </c>
      <c r="AQ1441" s="2">
        <v>68</v>
      </c>
      <c r="AR1441" s="2">
        <v>1.5</v>
      </c>
      <c r="AS1441" s="2">
        <v>135</v>
      </c>
      <c r="AT1441" s="2">
        <v>0</v>
      </c>
      <c r="AU1441" s="2">
        <v>162</v>
      </c>
      <c r="AV1441" s="2">
        <v>9.1</v>
      </c>
      <c r="AW1441" s="2">
        <v>9.1999999999999993</v>
      </c>
      <c r="AX1441" s="2">
        <v>18.3</v>
      </c>
      <c r="AY1441" s="2">
        <v>0.34</v>
      </c>
      <c r="AZ1441" s="2">
        <v>7.3</v>
      </c>
      <c r="BA1441" s="2">
        <v>0.9</v>
      </c>
      <c r="BB1441" s="2">
        <v>7.5</v>
      </c>
      <c r="BC1441" s="2">
        <v>2.9</v>
      </c>
      <c r="BD1441" s="2">
        <f>+AN1441*EXP(-0.0495*Y1441)</f>
        <v>2.1841757480687289</v>
      </c>
      <c r="BE1441" s="2">
        <f>+AO1441*EXP(-0.024*Y1441)</f>
        <v>10.413212304295156</v>
      </c>
    </row>
    <row r="1442" spans="1:57" x14ac:dyDescent="0.2">
      <c r="A1442" s="2" t="s">
        <v>320</v>
      </c>
      <c r="B1442" s="2" t="s">
        <v>19</v>
      </c>
      <c r="C1442" s="2" t="s">
        <v>20</v>
      </c>
      <c r="D1442" s="2" t="s">
        <v>21</v>
      </c>
      <c r="E1442" s="2" t="s">
        <v>321</v>
      </c>
      <c r="F1442" s="2">
        <v>6</v>
      </c>
      <c r="G1442" s="2">
        <v>275</v>
      </c>
      <c r="H1442" s="2">
        <v>3</v>
      </c>
      <c r="I1442" s="2">
        <v>5</v>
      </c>
      <c r="J1442" s="2">
        <v>2</v>
      </c>
      <c r="K1442" s="2" t="s">
        <v>61</v>
      </c>
      <c r="L1442" s="6" t="s">
        <v>75</v>
      </c>
      <c r="M1442" s="5">
        <v>2120000000</v>
      </c>
      <c r="N1442" s="2">
        <v>0</v>
      </c>
      <c r="O1442" s="2">
        <v>4.7112528390000001</v>
      </c>
      <c r="P1442" s="2">
        <v>-74.025033640000004</v>
      </c>
      <c r="Q1442" s="2" t="s">
        <v>322</v>
      </c>
      <c r="R1442" s="2">
        <v>7709090.909</v>
      </c>
      <c r="S1442" s="2">
        <v>0</v>
      </c>
      <c r="T1442" s="2" t="s">
        <v>55</v>
      </c>
      <c r="U1442" s="2" t="s">
        <v>56</v>
      </c>
      <c r="V1442" s="2" t="s">
        <v>28</v>
      </c>
      <c r="W1442" s="2" t="s">
        <v>55</v>
      </c>
      <c r="X1442" s="2" t="s">
        <v>57</v>
      </c>
      <c r="Y1442" s="2">
        <v>0.60560925640005103</v>
      </c>
      <c r="Z1442" s="2">
        <v>4.71035</v>
      </c>
      <c r="AA1442" s="2">
        <v>-74.030416666666696</v>
      </c>
      <c r="AB1442" s="2">
        <v>2570</v>
      </c>
      <c r="AC1442" s="2" t="s">
        <v>31</v>
      </c>
      <c r="AD1442" s="2" t="s">
        <v>58</v>
      </c>
      <c r="AE1442" s="2" t="s">
        <v>33</v>
      </c>
      <c r="AF1442" s="2" t="s">
        <v>34</v>
      </c>
      <c r="AG1442" s="2" t="s">
        <v>59</v>
      </c>
      <c r="AH1442" s="2">
        <v>3.0735841084319002</v>
      </c>
      <c r="AI1442" s="2">
        <v>6.7221756050779805E-2</v>
      </c>
      <c r="AJ1442" s="2">
        <v>0.86056265669686904</v>
      </c>
      <c r="AK1442" s="2">
        <v>0.53567781429343597</v>
      </c>
      <c r="AL1442" s="2">
        <v>0.66078024660277301</v>
      </c>
      <c r="AM1442" s="2">
        <v>15.5</v>
      </c>
      <c r="AN1442" s="2">
        <v>2.4</v>
      </c>
      <c r="AO1442" s="2">
        <v>10.9</v>
      </c>
      <c r="AP1442" s="2">
        <v>564</v>
      </c>
      <c r="AQ1442" s="2">
        <v>68</v>
      </c>
      <c r="AR1442" s="2">
        <v>1.5</v>
      </c>
      <c r="AS1442" s="2">
        <v>135</v>
      </c>
      <c r="AT1442" s="2">
        <v>0</v>
      </c>
      <c r="AU1442" s="2">
        <v>162</v>
      </c>
      <c r="AV1442" s="2">
        <v>9.1</v>
      </c>
      <c r="AW1442" s="2">
        <v>9.1999999999999993</v>
      </c>
      <c r="AX1442" s="2">
        <v>18.3</v>
      </c>
      <c r="AY1442" s="2">
        <v>0.34</v>
      </c>
      <c r="AZ1442" s="2">
        <v>7.3</v>
      </c>
      <c r="BA1442" s="2">
        <v>0.9</v>
      </c>
      <c r="BB1442" s="2">
        <v>7.5</v>
      </c>
      <c r="BC1442" s="2">
        <v>2.9</v>
      </c>
      <c r="BD1442" s="2">
        <f>+AN1442*EXP(-0.0495*Y1442)</f>
        <v>2.3291213167168525</v>
      </c>
      <c r="BE1442" s="2">
        <f>+AO1442*EXP(-0.024*Y1442)</f>
        <v>10.742718401697681</v>
      </c>
    </row>
    <row r="1443" spans="1:57" x14ac:dyDescent="0.2">
      <c r="A1443" s="2" t="s">
        <v>2242</v>
      </c>
      <c r="B1443" s="2" t="s">
        <v>19</v>
      </c>
      <c r="C1443" s="2" t="s">
        <v>1907</v>
      </c>
      <c r="D1443" s="2" t="s">
        <v>21</v>
      </c>
      <c r="E1443" s="2" t="s">
        <v>2243</v>
      </c>
      <c r="F1443" s="2">
        <v>4</v>
      </c>
      <c r="G1443" s="2">
        <v>274</v>
      </c>
      <c r="H1443" s="2">
        <v>4</v>
      </c>
      <c r="I1443" s="2">
        <v>5</v>
      </c>
      <c r="J1443" s="2">
        <v>0</v>
      </c>
      <c r="K1443" s="2" t="s">
        <v>61</v>
      </c>
      <c r="L1443" s="6" t="s">
        <v>113</v>
      </c>
      <c r="M1443" s="5">
        <v>800000000</v>
      </c>
      <c r="N1443" s="2">
        <v>0</v>
      </c>
      <c r="O1443" s="2">
        <v>4.7332444000000002</v>
      </c>
      <c r="P1443" s="2">
        <v>-74.025972800000005</v>
      </c>
      <c r="Q1443" s="2" t="s">
        <v>2244</v>
      </c>
      <c r="R1443" s="2">
        <v>2919708.0290000001</v>
      </c>
      <c r="S1443" s="2">
        <v>0</v>
      </c>
      <c r="T1443" s="2" t="s">
        <v>55</v>
      </c>
      <c r="U1443" s="2" t="s">
        <v>56</v>
      </c>
      <c r="V1443" s="2" t="s">
        <v>28</v>
      </c>
      <c r="W1443" s="2" t="s">
        <v>55</v>
      </c>
      <c r="X1443" s="2" t="s">
        <v>57</v>
      </c>
      <c r="Y1443" s="2">
        <v>2.5958399317630998</v>
      </c>
      <c r="Z1443" s="2">
        <v>4.71035</v>
      </c>
      <c r="AA1443" s="2">
        <v>-74.030416666666696</v>
      </c>
      <c r="AB1443" s="2">
        <v>2570</v>
      </c>
      <c r="AC1443" s="2" t="s">
        <v>31</v>
      </c>
      <c r="AD1443" s="2" t="s">
        <v>58</v>
      </c>
      <c r="AE1443" s="2" t="s">
        <v>33</v>
      </c>
      <c r="AF1443" s="2" t="s">
        <v>34</v>
      </c>
      <c r="AG1443" s="2" t="s">
        <v>59</v>
      </c>
      <c r="AH1443" s="2">
        <v>2.5824238191206401</v>
      </c>
      <c r="AI1443" s="2">
        <v>0.44533319310169001</v>
      </c>
      <c r="AJ1443" s="2">
        <v>1.5526704341835</v>
      </c>
      <c r="AK1443" s="2">
        <v>2.0416626875193501E-2</v>
      </c>
      <c r="AL1443" s="2">
        <v>0.110179178711539</v>
      </c>
      <c r="AM1443" s="2">
        <v>15.5</v>
      </c>
      <c r="AN1443" s="2">
        <v>2.4</v>
      </c>
      <c r="AO1443" s="2">
        <v>10.9</v>
      </c>
      <c r="AP1443" s="2">
        <v>564</v>
      </c>
      <c r="AQ1443" s="2">
        <v>68</v>
      </c>
      <c r="AR1443" s="2">
        <v>1.5</v>
      </c>
      <c r="AS1443" s="2">
        <v>135</v>
      </c>
      <c r="AT1443" s="2">
        <v>0</v>
      </c>
      <c r="AU1443" s="2">
        <v>162</v>
      </c>
      <c r="AV1443" s="2">
        <v>9.1</v>
      </c>
      <c r="AW1443" s="2">
        <v>9.1999999999999993</v>
      </c>
      <c r="AX1443" s="2">
        <v>18.3</v>
      </c>
      <c r="AY1443" s="2">
        <v>0.34</v>
      </c>
      <c r="AZ1443" s="2">
        <v>7.3</v>
      </c>
      <c r="BA1443" s="2">
        <v>0.9</v>
      </c>
      <c r="BB1443" s="2">
        <v>7.5</v>
      </c>
      <c r="BC1443" s="2">
        <v>2.9</v>
      </c>
      <c r="BD1443" s="2">
        <f>+AN1443*EXP(-0.0495*Y1443)</f>
        <v>2.1106050516781241</v>
      </c>
      <c r="BE1443" s="2">
        <f>+AO1443*EXP(-0.024*Y1443)</f>
        <v>10.241648888058172</v>
      </c>
    </row>
    <row r="1444" spans="1:57" x14ac:dyDescent="0.2">
      <c r="A1444" s="2" t="s">
        <v>1503</v>
      </c>
      <c r="B1444" s="2" t="s">
        <v>19</v>
      </c>
      <c r="C1444" s="2" t="s">
        <v>20</v>
      </c>
      <c r="D1444" s="2" t="s">
        <v>21</v>
      </c>
      <c r="E1444" s="2" t="s">
        <v>180</v>
      </c>
      <c r="F1444" s="2">
        <v>6</v>
      </c>
      <c r="G1444" s="2">
        <v>273</v>
      </c>
      <c r="H1444" s="2">
        <v>4</v>
      </c>
      <c r="I1444" s="2">
        <v>4</v>
      </c>
      <c r="J1444" s="2">
        <v>3</v>
      </c>
      <c r="K1444" s="2" t="s">
        <v>61</v>
      </c>
      <c r="L1444" s="6" t="s">
        <v>113</v>
      </c>
      <c r="M1444" s="5">
        <v>2500000000</v>
      </c>
      <c r="N1444" s="2">
        <v>0</v>
      </c>
      <c r="O1444" s="2">
        <v>4.6926988999999999</v>
      </c>
      <c r="P1444" s="2">
        <v>-74.033353500000004</v>
      </c>
      <c r="Q1444" s="2" t="s">
        <v>1504</v>
      </c>
      <c r="R1444" s="2">
        <v>9157509.1579999998</v>
      </c>
      <c r="S1444" s="2">
        <v>0</v>
      </c>
      <c r="T1444" s="2" t="s">
        <v>55</v>
      </c>
      <c r="U1444" s="2" t="s">
        <v>56</v>
      </c>
      <c r="V1444" s="2" t="s">
        <v>28</v>
      </c>
      <c r="W1444" s="2" t="s">
        <v>55</v>
      </c>
      <c r="X1444" s="2" t="s">
        <v>57</v>
      </c>
      <c r="Y1444" s="2">
        <v>1.99174298826436</v>
      </c>
      <c r="Z1444" s="2">
        <v>4.71035</v>
      </c>
      <c r="AA1444" s="2">
        <v>-74.030416666666696</v>
      </c>
      <c r="AB1444" s="2">
        <v>2570</v>
      </c>
      <c r="AC1444" s="2" t="s">
        <v>31</v>
      </c>
      <c r="AD1444" s="2" t="s">
        <v>58</v>
      </c>
      <c r="AE1444" s="2" t="s">
        <v>33</v>
      </c>
      <c r="AF1444" s="2" t="s">
        <v>34</v>
      </c>
      <c r="AG1444" s="2" t="s">
        <v>59</v>
      </c>
      <c r="AH1444" s="2">
        <v>2.5071774999788601</v>
      </c>
      <c r="AI1444" s="2">
        <v>0.74954019132328797</v>
      </c>
      <c r="AJ1444" s="2">
        <v>0.448383524175826</v>
      </c>
      <c r="AK1444" s="2">
        <v>9.8935099307957103E-2</v>
      </c>
      <c r="AL1444" s="2">
        <v>0.45202476345373099</v>
      </c>
      <c r="AM1444" s="2">
        <v>15.5</v>
      </c>
      <c r="AN1444" s="2">
        <v>2.4</v>
      </c>
      <c r="AO1444" s="2">
        <v>10.9</v>
      </c>
      <c r="AP1444" s="2">
        <v>564</v>
      </c>
      <c r="AQ1444" s="2">
        <v>68</v>
      </c>
      <c r="AR1444" s="2">
        <v>1.5</v>
      </c>
      <c r="AS1444" s="2">
        <v>135</v>
      </c>
      <c r="AT1444" s="2">
        <v>0</v>
      </c>
      <c r="AU1444" s="2">
        <v>162</v>
      </c>
      <c r="AV1444" s="2">
        <v>9.1</v>
      </c>
      <c r="AW1444" s="2">
        <v>9.1999999999999993</v>
      </c>
      <c r="AX1444" s="2">
        <v>18.3</v>
      </c>
      <c r="AY1444" s="2">
        <v>0.34</v>
      </c>
      <c r="AZ1444" s="2">
        <v>7.3</v>
      </c>
      <c r="BA1444" s="2">
        <v>0.9</v>
      </c>
      <c r="BB1444" s="2">
        <v>7.5</v>
      </c>
      <c r="BC1444" s="2">
        <v>2.9</v>
      </c>
      <c r="BD1444" s="2">
        <f>+AN1444*EXP(-0.0495*Y1444)</f>
        <v>2.1746711537570547</v>
      </c>
      <c r="BE1444" s="2">
        <f>+AO1444*EXP(-0.024*Y1444)</f>
        <v>10.391217284796895</v>
      </c>
    </row>
    <row r="1445" spans="1:57" x14ac:dyDescent="0.2">
      <c r="A1445" s="2" t="s">
        <v>3020</v>
      </c>
      <c r="B1445" s="2" t="s">
        <v>19</v>
      </c>
      <c r="C1445" s="2" t="s">
        <v>1907</v>
      </c>
      <c r="D1445" s="2" t="s">
        <v>21</v>
      </c>
      <c r="E1445" s="2" t="s">
        <v>156</v>
      </c>
      <c r="F1445" s="2">
        <v>5</v>
      </c>
      <c r="G1445" s="2">
        <v>272</v>
      </c>
      <c r="H1445" s="2">
        <v>5</v>
      </c>
      <c r="I1445" s="2">
        <v>4</v>
      </c>
      <c r="J1445" s="2">
        <v>3</v>
      </c>
      <c r="K1445" s="2" t="s">
        <v>61</v>
      </c>
      <c r="L1445" s="6" t="s">
        <v>113</v>
      </c>
      <c r="M1445" s="5">
        <v>1300000000</v>
      </c>
      <c r="N1445" s="2">
        <v>0</v>
      </c>
      <c r="O1445" s="2">
        <v>4.7243380999999998</v>
      </c>
      <c r="P1445" s="2">
        <v>-74.036596900000006</v>
      </c>
      <c r="Q1445" s="2" t="s">
        <v>3021</v>
      </c>
      <c r="R1445" s="2">
        <v>4779411.7649999997</v>
      </c>
      <c r="S1445" s="2">
        <v>0</v>
      </c>
      <c r="T1445" s="2" t="s">
        <v>55</v>
      </c>
      <c r="U1445" s="2" t="s">
        <v>56</v>
      </c>
      <c r="V1445" s="2" t="s">
        <v>28</v>
      </c>
      <c r="W1445" s="2" t="s">
        <v>55</v>
      </c>
      <c r="X1445" s="2" t="s">
        <v>57</v>
      </c>
      <c r="Y1445" s="2">
        <v>1.70141888751445</v>
      </c>
      <c r="Z1445" s="2">
        <v>4.71035</v>
      </c>
      <c r="AA1445" s="2">
        <v>-74.030416666666696</v>
      </c>
      <c r="AB1445" s="2">
        <v>2570</v>
      </c>
      <c r="AC1445" s="2" t="s">
        <v>31</v>
      </c>
      <c r="AD1445" s="2" t="s">
        <v>58</v>
      </c>
      <c r="AE1445" s="2" t="s">
        <v>33</v>
      </c>
      <c r="AF1445" s="2" t="s">
        <v>34</v>
      </c>
      <c r="AG1445" s="2" t="s">
        <v>59</v>
      </c>
      <c r="AH1445" s="2">
        <v>1.56664252505138</v>
      </c>
      <c r="AI1445" s="2">
        <v>1.5329098565157999</v>
      </c>
      <c r="AJ1445" s="2">
        <v>1.0158760806635501</v>
      </c>
      <c r="AK1445" s="2">
        <v>0.403872986760417</v>
      </c>
      <c r="AL1445" s="2">
        <v>3.8833354389476598E-3</v>
      </c>
      <c r="AM1445" s="2">
        <v>15.5</v>
      </c>
      <c r="AN1445" s="2">
        <v>2.4</v>
      </c>
      <c r="AO1445" s="2">
        <v>10.9</v>
      </c>
      <c r="AP1445" s="2">
        <v>564</v>
      </c>
      <c r="AQ1445" s="2">
        <v>68</v>
      </c>
      <c r="AR1445" s="2">
        <v>1.5</v>
      </c>
      <c r="AS1445" s="2">
        <v>135</v>
      </c>
      <c r="AT1445" s="2">
        <v>0</v>
      </c>
      <c r="AU1445" s="2">
        <v>162</v>
      </c>
      <c r="AV1445" s="2">
        <v>9.1</v>
      </c>
      <c r="AW1445" s="2">
        <v>9.1999999999999993</v>
      </c>
      <c r="AX1445" s="2">
        <v>18.3</v>
      </c>
      <c r="AY1445" s="2">
        <v>0.34</v>
      </c>
      <c r="AZ1445" s="2">
        <v>7.3</v>
      </c>
      <c r="BA1445" s="2">
        <v>0.9</v>
      </c>
      <c r="BB1445" s="2">
        <v>7.5</v>
      </c>
      <c r="BC1445" s="2">
        <v>2.9</v>
      </c>
      <c r="BD1445" s="2">
        <f>+AN1445*EXP(-0.0495*Y1445)</f>
        <v>2.20614909002673</v>
      </c>
      <c r="BE1445" s="2">
        <f>+AO1445*EXP(-0.024*Y1445)</f>
        <v>10.463873817685926</v>
      </c>
    </row>
    <row r="1446" spans="1:57" x14ac:dyDescent="0.2">
      <c r="A1446" s="2" t="s">
        <v>1533</v>
      </c>
      <c r="B1446" s="2" t="s">
        <v>19</v>
      </c>
      <c r="C1446" s="2" t="s">
        <v>20</v>
      </c>
      <c r="D1446" s="2" t="s">
        <v>21</v>
      </c>
      <c r="E1446" s="2" t="s">
        <v>1132</v>
      </c>
      <c r="F1446" s="2">
        <v>6</v>
      </c>
      <c r="G1446" s="2">
        <v>271</v>
      </c>
      <c r="H1446" s="2">
        <v>3</v>
      </c>
      <c r="I1446" s="2">
        <v>4</v>
      </c>
      <c r="J1446" s="2">
        <v>2</v>
      </c>
      <c r="K1446" s="2" t="s">
        <v>61</v>
      </c>
      <c r="L1446" s="6" t="s">
        <v>113</v>
      </c>
      <c r="M1446" s="5">
        <v>1890000000</v>
      </c>
      <c r="N1446" s="2">
        <v>0</v>
      </c>
      <c r="O1446" s="2">
        <v>4.6688847000000004</v>
      </c>
      <c r="P1446" s="2">
        <v>-74.040959400000006</v>
      </c>
      <c r="Q1446" s="2" t="s">
        <v>1534</v>
      </c>
      <c r="R1446" s="2">
        <v>6974169.7419999996</v>
      </c>
      <c r="S1446" s="2">
        <v>0</v>
      </c>
      <c r="T1446" s="2" t="s">
        <v>55</v>
      </c>
      <c r="U1446" s="2" t="s">
        <v>56</v>
      </c>
      <c r="V1446" s="2" t="s">
        <v>28</v>
      </c>
      <c r="W1446" s="2" t="s">
        <v>55</v>
      </c>
      <c r="X1446" s="2" t="s">
        <v>57</v>
      </c>
      <c r="Y1446" s="2">
        <v>4.7617910726071804</v>
      </c>
      <c r="Z1446" s="2">
        <v>4.71035</v>
      </c>
      <c r="AA1446" s="2">
        <v>-74.030416666666696</v>
      </c>
      <c r="AB1446" s="2">
        <v>2570</v>
      </c>
      <c r="AC1446" s="2" t="s">
        <v>31</v>
      </c>
      <c r="AD1446" s="2" t="s">
        <v>58</v>
      </c>
      <c r="AE1446" s="2" t="s">
        <v>33</v>
      </c>
      <c r="AF1446" s="2" t="s">
        <v>34</v>
      </c>
      <c r="AG1446" s="2" t="s">
        <v>81</v>
      </c>
      <c r="AH1446" s="2">
        <v>2.10610120185139</v>
      </c>
      <c r="AI1446" s="2">
        <v>2.1806639992785301E-2</v>
      </c>
      <c r="AJ1446" s="2">
        <v>1.4492126347191701</v>
      </c>
      <c r="AK1446" s="2">
        <v>0.71898560052705296</v>
      </c>
      <c r="AL1446" s="2">
        <v>0.94415056287139298</v>
      </c>
      <c r="AM1446" s="2">
        <v>15.5</v>
      </c>
      <c r="AN1446" s="2">
        <v>2.4</v>
      </c>
      <c r="AO1446" s="2">
        <v>10.9</v>
      </c>
      <c r="AP1446" s="2">
        <v>564</v>
      </c>
      <c r="AQ1446" s="2">
        <v>68</v>
      </c>
      <c r="AR1446" s="2">
        <v>1.5</v>
      </c>
      <c r="AS1446" s="2">
        <v>135</v>
      </c>
      <c r="AT1446" s="2">
        <v>0</v>
      </c>
      <c r="AU1446" s="2">
        <v>162</v>
      </c>
      <c r="AV1446" s="2">
        <v>9.1</v>
      </c>
      <c r="AW1446" s="2">
        <v>9.1999999999999993</v>
      </c>
      <c r="AX1446" s="2">
        <v>18.3</v>
      </c>
      <c r="AY1446" s="2">
        <v>0.34</v>
      </c>
      <c r="AZ1446" s="2">
        <v>7.3</v>
      </c>
      <c r="BA1446" s="2">
        <v>0.9</v>
      </c>
      <c r="BB1446" s="2">
        <v>7.5</v>
      </c>
      <c r="BC1446" s="2">
        <v>2.9</v>
      </c>
      <c r="BD1446" s="2">
        <f>+AN1446*EXP(-0.0495*Y1446)</f>
        <v>1.8960259287869126</v>
      </c>
      <c r="BE1446" s="2">
        <f>+AO1446*EXP(-0.024*Y1446)</f>
        <v>9.7228598990452344</v>
      </c>
    </row>
    <row r="1447" spans="1:57" x14ac:dyDescent="0.2">
      <c r="A1447" s="2" t="s">
        <v>478</v>
      </c>
      <c r="B1447" s="2" t="s">
        <v>19</v>
      </c>
      <c r="C1447" s="2" t="s">
        <v>20</v>
      </c>
      <c r="D1447" s="2" t="s">
        <v>21</v>
      </c>
      <c r="E1447" s="2" t="s">
        <v>223</v>
      </c>
      <c r="F1447" s="2">
        <v>6</v>
      </c>
      <c r="G1447" s="2">
        <v>270</v>
      </c>
      <c r="H1447" s="2">
        <v>3</v>
      </c>
      <c r="I1447" s="2">
        <v>5</v>
      </c>
      <c r="J1447" s="2">
        <v>3</v>
      </c>
      <c r="K1447" s="2" t="s">
        <v>61</v>
      </c>
      <c r="L1447" s="6" t="s">
        <v>113</v>
      </c>
      <c r="M1447" s="5">
        <v>2600000000</v>
      </c>
      <c r="N1447" s="2">
        <v>0</v>
      </c>
      <c r="O1447" s="2">
        <v>4.6883673669999997</v>
      </c>
      <c r="P1447" s="2">
        <v>-74.032096859999996</v>
      </c>
      <c r="Q1447" s="2" t="s">
        <v>479</v>
      </c>
      <c r="R1447" s="2">
        <v>9629629.6300000008</v>
      </c>
      <c r="S1447" s="2">
        <v>0</v>
      </c>
      <c r="T1447" s="2" t="s">
        <v>55</v>
      </c>
      <c r="U1447" s="2" t="s">
        <v>56</v>
      </c>
      <c r="V1447" s="2" t="s">
        <v>28</v>
      </c>
      <c r="W1447" s="2" t="s">
        <v>55</v>
      </c>
      <c r="X1447" s="2" t="s">
        <v>57</v>
      </c>
      <c r="Y1447" s="2">
        <v>2.4541851897485198</v>
      </c>
      <c r="Z1447" s="2">
        <v>4.71035</v>
      </c>
      <c r="AA1447" s="2">
        <v>-74.030416666666696</v>
      </c>
      <c r="AB1447" s="2">
        <v>2570</v>
      </c>
      <c r="AC1447" s="2" t="s">
        <v>31</v>
      </c>
      <c r="AD1447" s="2" t="s">
        <v>58</v>
      </c>
      <c r="AE1447" s="2" t="s">
        <v>33</v>
      </c>
      <c r="AF1447" s="2" t="s">
        <v>34</v>
      </c>
      <c r="AG1447" s="2" t="s">
        <v>59</v>
      </c>
      <c r="AH1447" s="2">
        <v>2.7188471987660701</v>
      </c>
      <c r="AI1447" s="2">
        <v>0.62961595105916701</v>
      </c>
      <c r="AJ1447" s="2">
        <v>0.72316794759747005</v>
      </c>
      <c r="AK1447" s="2">
        <v>0.34341976369708299</v>
      </c>
      <c r="AL1447" s="2">
        <v>0.54886394470880995</v>
      </c>
      <c r="AM1447" s="2">
        <v>15.5</v>
      </c>
      <c r="AN1447" s="2">
        <v>2.4</v>
      </c>
      <c r="AO1447" s="2">
        <v>10.9</v>
      </c>
      <c r="AP1447" s="2">
        <v>564</v>
      </c>
      <c r="AQ1447" s="2">
        <v>68</v>
      </c>
      <c r="AR1447" s="2">
        <v>1.5</v>
      </c>
      <c r="AS1447" s="2">
        <v>135</v>
      </c>
      <c r="AT1447" s="2">
        <v>0</v>
      </c>
      <c r="AU1447" s="2">
        <v>162</v>
      </c>
      <c r="AV1447" s="2">
        <v>9.1</v>
      </c>
      <c r="AW1447" s="2">
        <v>9.1999999999999993</v>
      </c>
      <c r="AX1447" s="2">
        <v>18.3</v>
      </c>
      <c r="AY1447" s="2">
        <v>0.34</v>
      </c>
      <c r="AZ1447" s="2">
        <v>7.3</v>
      </c>
      <c r="BA1447" s="2">
        <v>0.9</v>
      </c>
      <c r="BB1447" s="2">
        <v>7.5</v>
      </c>
      <c r="BC1447" s="2">
        <v>2.9</v>
      </c>
      <c r="BD1447" s="2">
        <f>+AN1447*EXP(-0.0495*Y1447)</f>
        <v>2.1254564311922288</v>
      </c>
      <c r="BE1447" s="2">
        <f>+AO1447*EXP(-0.024*Y1447)</f>
        <v>10.276526817098247</v>
      </c>
    </row>
    <row r="1448" spans="1:57" x14ac:dyDescent="0.2">
      <c r="A1448" s="2" t="s">
        <v>2541</v>
      </c>
      <c r="B1448" s="2" t="s">
        <v>19</v>
      </c>
      <c r="C1448" s="2" t="s">
        <v>1907</v>
      </c>
      <c r="D1448" s="2" t="s">
        <v>21</v>
      </c>
      <c r="E1448" s="2" t="s">
        <v>321</v>
      </c>
      <c r="F1448" s="2">
        <v>6</v>
      </c>
      <c r="G1448" s="2">
        <v>270</v>
      </c>
      <c r="H1448" s="2">
        <v>3</v>
      </c>
      <c r="I1448" s="2">
        <v>4</v>
      </c>
      <c r="J1448" s="2">
        <v>3</v>
      </c>
      <c r="K1448" s="2" t="s">
        <v>61</v>
      </c>
      <c r="L1448" s="6" t="s">
        <v>75</v>
      </c>
      <c r="M1448" s="5">
        <v>2100000000</v>
      </c>
      <c r="N1448" s="2">
        <v>0</v>
      </c>
      <c r="O1448" s="2">
        <v>4.7248752999999999</v>
      </c>
      <c r="P1448" s="2">
        <v>-74.022506000000007</v>
      </c>
      <c r="Q1448" s="2" t="s">
        <v>2542</v>
      </c>
      <c r="R1448" s="2">
        <v>7777777.7779999999</v>
      </c>
      <c r="S1448" s="2">
        <v>0</v>
      </c>
      <c r="T1448" s="2" t="s">
        <v>55</v>
      </c>
      <c r="U1448" s="2" t="s">
        <v>56</v>
      </c>
      <c r="V1448" s="2" t="s">
        <v>28</v>
      </c>
      <c r="W1448" s="2" t="s">
        <v>55</v>
      </c>
      <c r="X1448" s="2" t="s">
        <v>57</v>
      </c>
      <c r="Y1448" s="2">
        <v>1.8397703614479399</v>
      </c>
      <c r="Z1448" s="2">
        <v>4.71035</v>
      </c>
      <c r="AA1448" s="2">
        <v>-74.030416666666696</v>
      </c>
      <c r="AB1448" s="2">
        <v>2570</v>
      </c>
      <c r="AC1448" s="2" t="s">
        <v>31</v>
      </c>
      <c r="AD1448" s="2" t="s">
        <v>58</v>
      </c>
      <c r="AE1448" s="2" t="s">
        <v>33</v>
      </c>
      <c r="AF1448" s="2" t="s">
        <v>34</v>
      </c>
      <c r="AG1448" s="2" t="s">
        <v>59</v>
      </c>
      <c r="AH1448" s="2">
        <v>3.0995380161114401</v>
      </c>
      <c r="AI1448" s="2">
        <v>0.16244526680676499</v>
      </c>
      <c r="AJ1448" s="2">
        <v>1.9330819837659801</v>
      </c>
      <c r="AK1448" s="2">
        <v>0.37650789325384698</v>
      </c>
      <c r="AL1448" s="2">
        <v>0.739504534484273</v>
      </c>
      <c r="AM1448" s="2">
        <v>15.5</v>
      </c>
      <c r="AN1448" s="2">
        <v>2.4</v>
      </c>
      <c r="AO1448" s="2">
        <v>10.9</v>
      </c>
      <c r="AP1448" s="2">
        <v>564</v>
      </c>
      <c r="AQ1448" s="2">
        <v>68</v>
      </c>
      <c r="AR1448" s="2">
        <v>1.5</v>
      </c>
      <c r="AS1448" s="2">
        <v>135</v>
      </c>
      <c r="AT1448" s="2">
        <v>0</v>
      </c>
      <c r="AU1448" s="2">
        <v>162</v>
      </c>
      <c r="AV1448" s="2">
        <v>9.1</v>
      </c>
      <c r="AW1448" s="2">
        <v>9.1999999999999993</v>
      </c>
      <c r="AX1448" s="2">
        <v>18.3</v>
      </c>
      <c r="AY1448" s="2">
        <v>0.34</v>
      </c>
      <c r="AZ1448" s="2">
        <v>7.3</v>
      </c>
      <c r="BA1448" s="2">
        <v>0.9</v>
      </c>
      <c r="BB1448" s="2">
        <v>7.5</v>
      </c>
      <c r="BC1448" s="2">
        <v>2.9</v>
      </c>
      <c r="BD1448" s="2">
        <f>+AN1448*EXP(-0.0495*Y1448)</f>
        <v>2.1910921200094604</v>
      </c>
      <c r="BE1448" s="2">
        <f>+AO1448*EXP(-0.024*Y1448)</f>
        <v>10.429186820743737</v>
      </c>
    </row>
    <row r="1449" spans="1:57" x14ac:dyDescent="0.2">
      <c r="A1449" s="2" t="s">
        <v>1846</v>
      </c>
      <c r="B1449" s="2" t="s">
        <v>19</v>
      </c>
      <c r="C1449" s="2" t="s">
        <v>20</v>
      </c>
      <c r="D1449" s="2" t="s">
        <v>21</v>
      </c>
      <c r="E1449" s="2" t="s">
        <v>186</v>
      </c>
      <c r="F1449" s="2">
        <v>6</v>
      </c>
      <c r="G1449" s="2">
        <v>270</v>
      </c>
      <c r="H1449" s="2">
        <v>3</v>
      </c>
      <c r="I1449" s="2">
        <v>4</v>
      </c>
      <c r="J1449" s="2">
        <v>4</v>
      </c>
      <c r="K1449" s="2" t="s">
        <v>61</v>
      </c>
      <c r="L1449" s="6" t="s">
        <v>113</v>
      </c>
      <c r="M1449" s="5">
        <v>1800000000</v>
      </c>
      <c r="N1449" s="2">
        <v>8000000</v>
      </c>
      <c r="O1449" s="2">
        <v>4.7081081640000004</v>
      </c>
      <c r="P1449" s="2">
        <v>-74.042424589999996</v>
      </c>
      <c r="Q1449" s="2" t="s">
        <v>1847</v>
      </c>
      <c r="R1449" s="2">
        <v>6666666.6670000004</v>
      </c>
      <c r="S1449" s="2">
        <v>29629.629629999999</v>
      </c>
      <c r="T1449" s="2" t="s">
        <v>55</v>
      </c>
      <c r="U1449" s="2" t="s">
        <v>56</v>
      </c>
      <c r="V1449" s="2" t="s">
        <v>28</v>
      </c>
      <c r="W1449" s="2" t="s">
        <v>55</v>
      </c>
      <c r="X1449" s="2" t="s">
        <v>57</v>
      </c>
      <c r="Y1449" s="2">
        <v>1.35537673481406</v>
      </c>
      <c r="Z1449" s="2">
        <v>4.71035</v>
      </c>
      <c r="AA1449" s="2">
        <v>-74.030416666666696</v>
      </c>
      <c r="AB1449" s="2">
        <v>2570</v>
      </c>
      <c r="AC1449" s="2" t="s">
        <v>31</v>
      </c>
      <c r="AD1449" s="2" t="s">
        <v>58</v>
      </c>
      <c r="AE1449" s="2" t="s">
        <v>33</v>
      </c>
      <c r="AF1449" s="2" t="s">
        <v>34</v>
      </c>
      <c r="AG1449" s="2" t="s">
        <v>59</v>
      </c>
      <c r="AH1449" s="2">
        <v>1.3306238892107001</v>
      </c>
      <c r="AI1449" s="2">
        <v>1.9277606398419</v>
      </c>
      <c r="AJ1449" s="2">
        <v>1.10841090979541</v>
      </c>
      <c r="AK1449" s="2">
        <v>0.12443888441414799</v>
      </c>
      <c r="AL1449" s="2">
        <v>7.18328413785672E-2</v>
      </c>
      <c r="AM1449" s="2">
        <v>15.5</v>
      </c>
      <c r="AN1449" s="2">
        <v>2.4</v>
      </c>
      <c r="AO1449" s="2">
        <v>10.9</v>
      </c>
      <c r="AP1449" s="2">
        <v>564</v>
      </c>
      <c r="AQ1449" s="2">
        <v>68</v>
      </c>
      <c r="AR1449" s="2">
        <v>1.5</v>
      </c>
      <c r="AS1449" s="2">
        <v>135</v>
      </c>
      <c r="AT1449" s="2">
        <v>0</v>
      </c>
      <c r="AU1449" s="2">
        <v>162</v>
      </c>
      <c r="AV1449" s="2">
        <v>9.1</v>
      </c>
      <c r="AW1449" s="2">
        <v>9.1999999999999993</v>
      </c>
      <c r="AX1449" s="2">
        <v>18.3</v>
      </c>
      <c r="AY1449" s="2">
        <v>0.34</v>
      </c>
      <c r="AZ1449" s="2">
        <v>7.3</v>
      </c>
      <c r="BA1449" s="2">
        <v>0.9</v>
      </c>
      <c r="BB1449" s="2">
        <v>7.5</v>
      </c>
      <c r="BC1449" s="2">
        <v>2.9</v>
      </c>
      <c r="BD1449" s="2">
        <f>+AN1449*EXP(-0.0495*Y1449)</f>
        <v>2.2442639128803732</v>
      </c>
      <c r="BE1449" s="2">
        <f>+AO1449*EXP(-0.024*Y1449)</f>
        <v>10.551138276399362</v>
      </c>
    </row>
    <row r="1450" spans="1:57" x14ac:dyDescent="0.2">
      <c r="A1450" s="2" t="s">
        <v>806</v>
      </c>
      <c r="B1450" s="2" t="s">
        <v>19</v>
      </c>
      <c r="C1450" s="2" t="s">
        <v>20</v>
      </c>
      <c r="D1450" s="2" t="s">
        <v>21</v>
      </c>
      <c r="E1450" s="2" t="s">
        <v>128</v>
      </c>
      <c r="F1450" s="2">
        <v>6</v>
      </c>
      <c r="G1450" s="2">
        <v>270</v>
      </c>
      <c r="H1450" s="2">
        <v>3</v>
      </c>
      <c r="I1450" s="2">
        <v>5</v>
      </c>
      <c r="J1450" s="2">
        <v>2</v>
      </c>
      <c r="K1450" s="2" t="s">
        <v>61</v>
      </c>
      <c r="L1450" s="6" t="s">
        <v>113</v>
      </c>
      <c r="M1450" s="5">
        <v>1550000000</v>
      </c>
      <c r="N1450" s="2">
        <v>0</v>
      </c>
      <c r="O1450" s="2">
        <v>4.7044889000000003</v>
      </c>
      <c r="P1450" s="2">
        <v>-74.0408252</v>
      </c>
      <c r="Q1450" s="2" t="s">
        <v>807</v>
      </c>
      <c r="R1450" s="2">
        <v>5740740.7410000004</v>
      </c>
      <c r="S1450" s="2">
        <v>0</v>
      </c>
      <c r="T1450" s="2" t="s">
        <v>55</v>
      </c>
      <c r="U1450" s="2" t="s">
        <v>56</v>
      </c>
      <c r="V1450" s="2" t="s">
        <v>28</v>
      </c>
      <c r="W1450" s="2" t="s">
        <v>55</v>
      </c>
      <c r="X1450" s="2" t="s">
        <v>57</v>
      </c>
      <c r="Y1450" s="2">
        <v>1.3263398337479599</v>
      </c>
      <c r="Z1450" s="2">
        <v>4.71035</v>
      </c>
      <c r="AA1450" s="2">
        <v>-74.030416666666696</v>
      </c>
      <c r="AB1450" s="2">
        <v>2570</v>
      </c>
      <c r="AC1450" s="2" t="s">
        <v>31</v>
      </c>
      <c r="AD1450" s="2" t="s">
        <v>58</v>
      </c>
      <c r="AE1450" s="2" t="s">
        <v>33</v>
      </c>
      <c r="AF1450" s="2" t="s">
        <v>34</v>
      </c>
      <c r="AG1450" s="2" t="s">
        <v>59</v>
      </c>
      <c r="AH1450" s="2">
        <v>1.4858372928063599</v>
      </c>
      <c r="AI1450" s="2">
        <v>1.7093113044796799</v>
      </c>
      <c r="AJ1450" s="2">
        <v>0.99044720862595104</v>
      </c>
      <c r="AK1450" s="2">
        <v>4.26262729461711E-2</v>
      </c>
      <c r="AL1450" s="2">
        <v>0.17375583870282801</v>
      </c>
      <c r="AM1450" s="2">
        <v>15.5</v>
      </c>
      <c r="AN1450" s="2">
        <v>2.4</v>
      </c>
      <c r="AO1450" s="2">
        <v>10.9</v>
      </c>
      <c r="AP1450" s="2">
        <v>564</v>
      </c>
      <c r="AQ1450" s="2">
        <v>68</v>
      </c>
      <c r="AR1450" s="2">
        <v>1.5</v>
      </c>
      <c r="AS1450" s="2">
        <v>135</v>
      </c>
      <c r="AT1450" s="2">
        <v>0</v>
      </c>
      <c r="AU1450" s="2">
        <v>162</v>
      </c>
      <c r="AV1450" s="2">
        <v>9.1</v>
      </c>
      <c r="AW1450" s="2">
        <v>9.1999999999999993</v>
      </c>
      <c r="AX1450" s="2">
        <v>18.3</v>
      </c>
      <c r="AY1450" s="2">
        <v>0.34</v>
      </c>
      <c r="AZ1450" s="2">
        <v>7.3</v>
      </c>
      <c r="BA1450" s="2">
        <v>0.9</v>
      </c>
      <c r="BB1450" s="2">
        <v>7.5</v>
      </c>
      <c r="BC1450" s="2">
        <v>2.9</v>
      </c>
      <c r="BD1450" s="2">
        <f>+AN1450*EXP(-0.0495*Y1450)</f>
        <v>2.2474919724381963</v>
      </c>
      <c r="BE1450" s="2">
        <f>+AO1450*EXP(-0.024*Y1450)</f>
        <v>10.558493775670932</v>
      </c>
    </row>
    <row r="1451" spans="1:57" x14ac:dyDescent="0.2">
      <c r="A1451" s="2" t="s">
        <v>2769</v>
      </c>
      <c r="B1451" s="2" t="s">
        <v>19</v>
      </c>
      <c r="C1451" s="2" t="s">
        <v>1907</v>
      </c>
      <c r="D1451" s="2" t="s">
        <v>21</v>
      </c>
      <c r="E1451" s="2" t="s">
        <v>186</v>
      </c>
      <c r="F1451" s="2">
        <v>6</v>
      </c>
      <c r="G1451" s="2">
        <v>269.58999999999997</v>
      </c>
      <c r="H1451" s="2">
        <v>4</v>
      </c>
      <c r="I1451" s="2">
        <v>5</v>
      </c>
      <c r="J1451" s="2">
        <v>3</v>
      </c>
      <c r="K1451" s="2" t="s">
        <v>61</v>
      </c>
      <c r="L1451" s="6" t="s">
        <v>113</v>
      </c>
      <c r="M1451" s="5">
        <v>2200000000</v>
      </c>
      <c r="N1451" s="2">
        <v>0</v>
      </c>
      <c r="O1451" s="2">
        <v>4.7052199999999997</v>
      </c>
      <c r="P1451" s="2">
        <v>-74.041719999999998</v>
      </c>
      <c r="Q1451" s="2" t="s">
        <v>2770</v>
      </c>
      <c r="R1451" s="2">
        <v>8160540.0789999999</v>
      </c>
      <c r="S1451" s="2">
        <v>0</v>
      </c>
      <c r="T1451" s="2" t="s">
        <v>55</v>
      </c>
      <c r="U1451" s="2" t="s">
        <v>56</v>
      </c>
      <c r="V1451" s="2" t="s">
        <v>28</v>
      </c>
      <c r="W1451" s="2" t="s">
        <v>55</v>
      </c>
      <c r="X1451" s="2" t="s">
        <v>57</v>
      </c>
      <c r="Y1451" s="2">
        <v>1.3779428585496201</v>
      </c>
      <c r="Z1451" s="2">
        <v>4.71035</v>
      </c>
      <c r="AA1451" s="2">
        <v>-74.030416666666696</v>
      </c>
      <c r="AB1451" s="2">
        <v>2570</v>
      </c>
      <c r="AC1451" s="2" t="s">
        <v>31</v>
      </c>
      <c r="AD1451" s="2" t="s">
        <v>58</v>
      </c>
      <c r="AE1451" s="2" t="s">
        <v>33</v>
      </c>
      <c r="AF1451" s="2" t="s">
        <v>34</v>
      </c>
      <c r="AG1451" s="2" t="s">
        <v>59</v>
      </c>
      <c r="AH1451" s="2">
        <v>1.3880135104685201</v>
      </c>
      <c r="AI1451" s="2">
        <v>1.8202899444232801</v>
      </c>
      <c r="AJ1451" s="2">
        <v>1.11249661068723</v>
      </c>
      <c r="AK1451" s="2">
        <v>8.8329909114179997E-2</v>
      </c>
      <c r="AL1451" s="2">
        <v>0.29989114442124298</v>
      </c>
      <c r="AM1451" s="2">
        <v>15.5</v>
      </c>
      <c r="AN1451" s="2">
        <v>2.4</v>
      </c>
      <c r="AO1451" s="2">
        <v>10.9</v>
      </c>
      <c r="AP1451" s="2">
        <v>564</v>
      </c>
      <c r="AQ1451" s="2">
        <v>68</v>
      </c>
      <c r="AR1451" s="2">
        <v>1.5</v>
      </c>
      <c r="AS1451" s="2">
        <v>135</v>
      </c>
      <c r="AT1451" s="2">
        <v>0</v>
      </c>
      <c r="AU1451" s="2">
        <v>162</v>
      </c>
      <c r="AV1451" s="2">
        <v>9.1</v>
      </c>
      <c r="AW1451" s="2">
        <v>9.1999999999999993</v>
      </c>
      <c r="AX1451" s="2">
        <v>18.3</v>
      </c>
      <c r="AY1451" s="2">
        <v>0.34</v>
      </c>
      <c r="AZ1451" s="2">
        <v>7.3</v>
      </c>
      <c r="BA1451" s="2">
        <v>0.9</v>
      </c>
      <c r="BB1451" s="2">
        <v>7.5</v>
      </c>
      <c r="BC1451" s="2">
        <v>2.9</v>
      </c>
      <c r="BD1451" s="2">
        <f>+AN1451*EXP(-0.0495*Y1451)</f>
        <v>2.2417584177997738</v>
      </c>
      <c r="BE1451" s="2">
        <f>+AO1451*EXP(-0.024*Y1451)</f>
        <v>10.545425464525726</v>
      </c>
    </row>
    <row r="1452" spans="1:57" x14ac:dyDescent="0.2">
      <c r="A1452" s="2" t="s">
        <v>1224</v>
      </c>
      <c r="B1452" s="2" t="s">
        <v>19</v>
      </c>
      <c r="C1452" s="2" t="s">
        <v>20</v>
      </c>
      <c r="D1452" s="2" t="s">
        <v>21</v>
      </c>
      <c r="E1452" s="2" t="s">
        <v>1225</v>
      </c>
      <c r="F1452" s="2">
        <v>5</v>
      </c>
      <c r="G1452" s="2">
        <v>264</v>
      </c>
      <c r="H1452" s="2">
        <v>3</v>
      </c>
      <c r="I1452" s="2">
        <v>5</v>
      </c>
      <c r="J1452" s="2">
        <v>4</v>
      </c>
      <c r="K1452" s="2" t="s">
        <v>61</v>
      </c>
      <c r="L1452" s="6" t="s">
        <v>75</v>
      </c>
      <c r="M1452" s="5">
        <v>1850000000</v>
      </c>
      <c r="N1452" s="2">
        <v>0</v>
      </c>
      <c r="O1452" s="2">
        <v>4.7075595999999997</v>
      </c>
      <c r="P1452" s="2">
        <v>-74.047327899999999</v>
      </c>
      <c r="Q1452" s="2" t="s">
        <v>1226</v>
      </c>
      <c r="R1452" s="2">
        <v>7007575.7580000004</v>
      </c>
      <c r="S1452" s="2">
        <v>0</v>
      </c>
      <c r="T1452" s="2" t="s">
        <v>55</v>
      </c>
      <c r="U1452" s="2" t="s">
        <v>56</v>
      </c>
      <c r="V1452" s="2" t="s">
        <v>28</v>
      </c>
      <c r="W1452" s="2" t="s">
        <v>55</v>
      </c>
      <c r="X1452" s="2" t="s">
        <v>57</v>
      </c>
      <c r="Y1452" s="2">
        <v>1.90173549060652</v>
      </c>
      <c r="Z1452" s="2">
        <v>4.71035</v>
      </c>
      <c r="AA1452" s="2">
        <v>-74.030416666666696</v>
      </c>
      <c r="AB1452" s="2">
        <v>2570</v>
      </c>
      <c r="AC1452" s="2" t="s">
        <v>31</v>
      </c>
      <c r="AD1452" s="2" t="s">
        <v>58</v>
      </c>
      <c r="AE1452" s="2" t="s">
        <v>33</v>
      </c>
      <c r="AF1452" s="2" t="s">
        <v>34</v>
      </c>
      <c r="AG1452" s="2" t="s">
        <v>59</v>
      </c>
      <c r="AH1452" s="2">
        <v>0.83003869280709297</v>
      </c>
      <c r="AI1452" s="2">
        <v>2.4743177869989701</v>
      </c>
      <c r="AJ1452" s="2">
        <v>1.60120631419968</v>
      </c>
      <c r="AK1452" s="2">
        <v>0.11035327928768</v>
      </c>
      <c r="AL1452" s="2">
        <v>0.226543198374276</v>
      </c>
      <c r="AM1452" s="2">
        <v>15.5</v>
      </c>
      <c r="AN1452" s="2">
        <v>2.4</v>
      </c>
      <c r="AO1452" s="2">
        <v>10.9</v>
      </c>
      <c r="AP1452" s="2">
        <v>564</v>
      </c>
      <c r="AQ1452" s="2">
        <v>68</v>
      </c>
      <c r="AR1452" s="2">
        <v>1.5</v>
      </c>
      <c r="AS1452" s="2">
        <v>135</v>
      </c>
      <c r="AT1452" s="2">
        <v>0</v>
      </c>
      <c r="AU1452" s="2">
        <v>162</v>
      </c>
      <c r="AV1452" s="2">
        <v>9.1</v>
      </c>
      <c r="AW1452" s="2">
        <v>9.1999999999999993</v>
      </c>
      <c r="AX1452" s="2">
        <v>18.3</v>
      </c>
      <c r="AY1452" s="2">
        <v>0.34</v>
      </c>
      <c r="AZ1452" s="2">
        <v>7.3</v>
      </c>
      <c r="BA1452" s="2">
        <v>0.9</v>
      </c>
      <c r="BB1452" s="2">
        <v>7.5</v>
      </c>
      <c r="BC1452" s="2">
        <v>2.9</v>
      </c>
      <c r="BD1452" s="2">
        <f>+AN1452*EXP(-0.0495*Y1452)</f>
        <v>2.1843817369043217</v>
      </c>
      <c r="BE1452" s="2">
        <f>+AO1452*EXP(-0.024*Y1452)</f>
        <v>10.4136884461048</v>
      </c>
    </row>
    <row r="1453" spans="1:57" x14ac:dyDescent="0.2">
      <c r="A1453" s="2" t="s">
        <v>2465</v>
      </c>
      <c r="B1453" s="2" t="s">
        <v>19</v>
      </c>
      <c r="C1453" s="2" t="s">
        <v>1907</v>
      </c>
      <c r="D1453" s="2" t="s">
        <v>21</v>
      </c>
      <c r="E1453" s="2" t="s">
        <v>825</v>
      </c>
      <c r="F1453" s="2">
        <v>6</v>
      </c>
      <c r="G1453" s="2">
        <v>262</v>
      </c>
      <c r="H1453" s="2">
        <v>4</v>
      </c>
      <c r="I1453" s="2">
        <v>4</v>
      </c>
      <c r="J1453" s="2">
        <v>3</v>
      </c>
      <c r="K1453" s="2" t="s">
        <v>61</v>
      </c>
      <c r="L1453" s="6" t="s">
        <v>75</v>
      </c>
      <c r="M1453" s="5">
        <v>1850000000</v>
      </c>
      <c r="N1453" s="2">
        <v>0</v>
      </c>
      <c r="O1453" s="2">
        <v>4.7249967000000002</v>
      </c>
      <c r="P1453" s="2">
        <v>-74.024607099999997</v>
      </c>
      <c r="Q1453" s="2" t="s">
        <v>2466</v>
      </c>
      <c r="R1453" s="2">
        <v>7061068.7019999996</v>
      </c>
      <c r="S1453" s="2">
        <v>0</v>
      </c>
      <c r="T1453" s="2" t="s">
        <v>55</v>
      </c>
      <c r="U1453" s="2" t="s">
        <v>56</v>
      </c>
      <c r="V1453" s="2" t="s">
        <v>28</v>
      </c>
      <c r="W1453" s="2" t="s">
        <v>55</v>
      </c>
      <c r="X1453" s="2" t="s">
        <v>57</v>
      </c>
      <c r="Y1453" s="2">
        <v>1.75323278709835</v>
      </c>
      <c r="Z1453" s="2">
        <v>4.71035</v>
      </c>
      <c r="AA1453" s="2">
        <v>-74.030416666666696</v>
      </c>
      <c r="AB1453" s="2">
        <v>2570</v>
      </c>
      <c r="AC1453" s="2" t="s">
        <v>31</v>
      </c>
      <c r="AD1453" s="2" t="s">
        <v>58</v>
      </c>
      <c r="AE1453" s="2" t="s">
        <v>33</v>
      </c>
      <c r="AF1453" s="2" t="s">
        <v>34</v>
      </c>
      <c r="AG1453" s="2" t="s">
        <v>59</v>
      </c>
      <c r="AH1453" s="2">
        <v>2.8693650810968498</v>
      </c>
      <c r="AI1453" s="2">
        <v>0.378257803773145</v>
      </c>
      <c r="AJ1453" s="2">
        <v>1.8172822769741801</v>
      </c>
      <c r="AK1453" s="2">
        <v>0.26380611245424401</v>
      </c>
      <c r="AL1453" s="2">
        <v>0.60323897136008997</v>
      </c>
      <c r="AM1453" s="2">
        <v>15.5</v>
      </c>
      <c r="AN1453" s="2">
        <v>2.4</v>
      </c>
      <c r="AO1453" s="2">
        <v>10.9</v>
      </c>
      <c r="AP1453" s="2">
        <v>564</v>
      </c>
      <c r="AQ1453" s="2">
        <v>68</v>
      </c>
      <c r="AR1453" s="2">
        <v>1.5</v>
      </c>
      <c r="AS1453" s="2">
        <v>135</v>
      </c>
      <c r="AT1453" s="2">
        <v>0</v>
      </c>
      <c r="AU1453" s="2">
        <v>162</v>
      </c>
      <c r="AV1453" s="2">
        <v>9.1</v>
      </c>
      <c r="AW1453" s="2">
        <v>9.1999999999999993</v>
      </c>
      <c r="AX1453" s="2">
        <v>18.3</v>
      </c>
      <c r="AY1453" s="2">
        <v>0.34</v>
      </c>
      <c r="AZ1453" s="2">
        <v>7.3</v>
      </c>
      <c r="BA1453" s="2">
        <v>0.9</v>
      </c>
      <c r="BB1453" s="2">
        <v>7.5</v>
      </c>
      <c r="BC1453" s="2">
        <v>2.9</v>
      </c>
      <c r="BD1453" s="2">
        <f>+AN1453*EXP(-0.0495*Y1453)</f>
        <v>2.2004980352261887</v>
      </c>
      <c r="BE1453" s="2">
        <f>+AO1453*EXP(-0.024*Y1453)</f>
        <v>10.45086972629996</v>
      </c>
    </row>
    <row r="1454" spans="1:57" x14ac:dyDescent="0.2">
      <c r="A1454" s="2" t="s">
        <v>2309</v>
      </c>
      <c r="B1454" s="2" t="s">
        <v>19</v>
      </c>
      <c r="C1454" s="2" t="s">
        <v>1907</v>
      </c>
      <c r="D1454" s="2" t="s">
        <v>21</v>
      </c>
      <c r="E1454" s="2" t="s">
        <v>1830</v>
      </c>
      <c r="F1454" s="2">
        <v>5</v>
      </c>
      <c r="G1454" s="2">
        <v>261</v>
      </c>
      <c r="H1454" s="2">
        <v>3</v>
      </c>
      <c r="I1454" s="2">
        <v>5</v>
      </c>
      <c r="J1454" s="2">
        <v>1</v>
      </c>
      <c r="K1454" s="2" t="s">
        <v>61</v>
      </c>
      <c r="L1454" s="6" t="s">
        <v>113</v>
      </c>
      <c r="M1454" s="5">
        <v>720000000</v>
      </c>
      <c r="N1454" s="2">
        <v>0</v>
      </c>
      <c r="O1454" s="2">
        <v>4.6887526509999997</v>
      </c>
      <c r="P1454" s="2">
        <v>-74.037292480000005</v>
      </c>
      <c r="Q1454" s="2" t="s">
        <v>2310</v>
      </c>
      <c r="R1454" s="2">
        <v>2758620.69</v>
      </c>
      <c r="S1454" s="2">
        <v>0</v>
      </c>
      <c r="T1454" s="2" t="s">
        <v>55</v>
      </c>
      <c r="U1454" s="2" t="s">
        <v>56</v>
      </c>
      <c r="V1454" s="2" t="s">
        <v>28</v>
      </c>
      <c r="W1454" s="2" t="s">
        <v>55</v>
      </c>
      <c r="X1454" s="2" t="s">
        <v>57</v>
      </c>
      <c r="Y1454" s="2">
        <v>2.52232609339063</v>
      </c>
      <c r="Z1454" s="2">
        <v>4.71035</v>
      </c>
      <c r="AA1454" s="2">
        <v>-74.030416666666696</v>
      </c>
      <c r="AB1454" s="2">
        <v>2570</v>
      </c>
      <c r="AC1454" s="2" t="s">
        <v>31</v>
      </c>
      <c r="AD1454" s="2" t="s">
        <v>58</v>
      </c>
      <c r="AE1454" s="2" t="s">
        <v>33</v>
      </c>
      <c r="AF1454" s="2" t="s">
        <v>34</v>
      </c>
      <c r="AG1454" s="2" t="s">
        <v>59</v>
      </c>
      <c r="AH1454" s="2">
        <v>2.1460270377332802</v>
      </c>
      <c r="AI1454" s="2">
        <v>1.11093454565375</v>
      </c>
      <c r="AJ1454" s="2">
        <v>0.73372202630518102</v>
      </c>
      <c r="AK1454" s="2">
        <v>0.21797434292304399</v>
      </c>
      <c r="AL1454" s="2">
        <v>0.26996534850503601</v>
      </c>
      <c r="AM1454" s="2">
        <v>15.5</v>
      </c>
      <c r="AN1454" s="2">
        <v>2.4</v>
      </c>
      <c r="AO1454" s="2">
        <v>10.9</v>
      </c>
      <c r="AP1454" s="2">
        <v>564</v>
      </c>
      <c r="AQ1454" s="2">
        <v>68</v>
      </c>
      <c r="AR1454" s="2">
        <v>1.5</v>
      </c>
      <c r="AS1454" s="2">
        <v>135</v>
      </c>
      <c r="AT1454" s="2">
        <v>0</v>
      </c>
      <c r="AU1454" s="2">
        <v>162</v>
      </c>
      <c r="AV1454" s="2">
        <v>9.1</v>
      </c>
      <c r="AW1454" s="2">
        <v>9.1999999999999993</v>
      </c>
      <c r="AX1454" s="2">
        <v>18.3</v>
      </c>
      <c r="AY1454" s="2">
        <v>0.34</v>
      </c>
      <c r="AZ1454" s="2">
        <v>7.3</v>
      </c>
      <c r="BA1454" s="2">
        <v>0.9</v>
      </c>
      <c r="BB1454" s="2">
        <v>7.5</v>
      </c>
      <c r="BC1454" s="2">
        <v>2.9</v>
      </c>
      <c r="BD1454" s="2">
        <f>+AN1454*EXP(-0.0495*Y1454)</f>
        <v>2.1182993973920117</v>
      </c>
      <c r="BE1454" s="2">
        <f>+AO1454*EXP(-0.024*Y1454)</f>
        <v>10.259734507991331</v>
      </c>
    </row>
    <row r="1455" spans="1:57" x14ac:dyDescent="0.2">
      <c r="A1455" s="2" t="s">
        <v>287</v>
      </c>
      <c r="B1455" s="2" t="s">
        <v>19</v>
      </c>
      <c r="C1455" s="2" t="s">
        <v>20</v>
      </c>
      <c r="D1455" s="2" t="s">
        <v>21</v>
      </c>
      <c r="E1455" s="2" t="s">
        <v>288</v>
      </c>
      <c r="F1455" s="2">
        <v>5</v>
      </c>
      <c r="G1455" s="2">
        <v>259</v>
      </c>
      <c r="H1455" s="2">
        <v>3</v>
      </c>
      <c r="I1455" s="2">
        <v>5</v>
      </c>
      <c r="J1455" s="2">
        <v>4</v>
      </c>
      <c r="K1455" s="2" t="s">
        <v>61</v>
      </c>
      <c r="L1455" s="6" t="s">
        <v>113</v>
      </c>
      <c r="M1455" s="5">
        <v>1750000000</v>
      </c>
      <c r="N1455" s="2">
        <v>0</v>
      </c>
      <c r="O1455" s="2">
        <v>4.7010531430000002</v>
      </c>
      <c r="P1455" s="2">
        <v>-74.050567630000003</v>
      </c>
      <c r="Q1455" s="2" t="s">
        <v>289</v>
      </c>
      <c r="R1455" s="2">
        <v>6756756.7570000002</v>
      </c>
      <c r="S1455" s="2">
        <v>0</v>
      </c>
      <c r="T1455" s="2" t="s">
        <v>55</v>
      </c>
      <c r="U1455" s="2" t="s">
        <v>56</v>
      </c>
      <c r="V1455" s="2" t="s">
        <v>28</v>
      </c>
      <c r="W1455" s="2" t="s">
        <v>55</v>
      </c>
      <c r="X1455" s="2" t="s">
        <v>57</v>
      </c>
      <c r="Y1455" s="2">
        <v>2.4635584448536099</v>
      </c>
      <c r="Z1455" s="2">
        <v>4.71035</v>
      </c>
      <c r="AA1455" s="2">
        <v>-74.030416666666696</v>
      </c>
      <c r="AB1455" s="2">
        <v>2570</v>
      </c>
      <c r="AC1455" s="2" t="s">
        <v>31</v>
      </c>
      <c r="AD1455" s="2" t="s">
        <v>58</v>
      </c>
      <c r="AE1455" s="2" t="s">
        <v>33</v>
      </c>
      <c r="AF1455" s="2" t="s">
        <v>34</v>
      </c>
      <c r="AG1455" s="2" t="s">
        <v>59</v>
      </c>
      <c r="AH1455" s="2">
        <v>0.56705709852391295</v>
      </c>
      <c r="AI1455" s="2">
        <v>2.7473738467121098</v>
      </c>
      <c r="AJ1455" s="2">
        <v>0.86122361656300706</v>
      </c>
      <c r="AK1455" s="2">
        <v>7.4731034641123101E-2</v>
      </c>
      <c r="AL1455" s="2">
        <v>0.105364946820176</v>
      </c>
      <c r="AM1455" s="2">
        <v>15.5</v>
      </c>
      <c r="AN1455" s="2">
        <v>2.4</v>
      </c>
      <c r="AO1455" s="2">
        <v>10.9</v>
      </c>
      <c r="AP1455" s="2">
        <v>564</v>
      </c>
      <c r="AQ1455" s="2">
        <v>68</v>
      </c>
      <c r="AR1455" s="2">
        <v>1.5</v>
      </c>
      <c r="AS1455" s="2">
        <v>135</v>
      </c>
      <c r="AT1455" s="2">
        <v>0</v>
      </c>
      <c r="AU1455" s="2">
        <v>162</v>
      </c>
      <c r="AV1455" s="2">
        <v>9.1</v>
      </c>
      <c r="AW1455" s="2">
        <v>9.1999999999999993</v>
      </c>
      <c r="AX1455" s="2">
        <v>18.3</v>
      </c>
      <c r="AY1455" s="2">
        <v>0.34</v>
      </c>
      <c r="AZ1455" s="2">
        <v>7.3</v>
      </c>
      <c r="BA1455" s="2">
        <v>0.9</v>
      </c>
      <c r="BB1455" s="2">
        <v>7.5</v>
      </c>
      <c r="BC1455" s="2">
        <v>2.9</v>
      </c>
      <c r="BD1455" s="2">
        <f>+AN1455*EXP(-0.0495*Y1455)</f>
        <v>2.1244704988898984</v>
      </c>
      <c r="BE1455" s="2">
        <f>+AO1455*EXP(-0.024*Y1455)</f>
        <v>10.274215288927691</v>
      </c>
    </row>
    <row r="1456" spans="1:57" x14ac:dyDescent="0.2">
      <c r="A1456" s="2" t="s">
        <v>551</v>
      </c>
      <c r="B1456" s="2" t="s">
        <v>19</v>
      </c>
      <c r="C1456" s="2" t="s">
        <v>20</v>
      </c>
      <c r="D1456" s="2" t="s">
        <v>21</v>
      </c>
      <c r="E1456" s="2" t="s">
        <v>180</v>
      </c>
      <c r="F1456" s="2">
        <v>6</v>
      </c>
      <c r="G1456" s="2">
        <v>258</v>
      </c>
      <c r="H1456" s="2">
        <v>4</v>
      </c>
      <c r="I1456" s="2">
        <v>5</v>
      </c>
      <c r="J1456" s="2">
        <v>3</v>
      </c>
      <c r="K1456" s="2" t="s">
        <v>61</v>
      </c>
      <c r="L1456" s="6" t="s">
        <v>75</v>
      </c>
      <c r="M1456" s="5">
        <v>3130000000</v>
      </c>
      <c r="N1456" s="2">
        <v>0</v>
      </c>
      <c r="O1456" s="2">
        <v>4.6765003199999997</v>
      </c>
      <c r="P1456" s="2">
        <v>-74.045188899999999</v>
      </c>
      <c r="Q1456" s="2" t="s">
        <v>552</v>
      </c>
      <c r="R1456" s="2">
        <v>12131782.949999999</v>
      </c>
      <c r="S1456" s="2">
        <v>0</v>
      </c>
      <c r="T1456" s="2" t="s">
        <v>55</v>
      </c>
      <c r="U1456" s="2" t="s">
        <v>56</v>
      </c>
      <c r="V1456" s="2" t="s">
        <v>28</v>
      </c>
      <c r="W1456" s="2" t="s">
        <v>55</v>
      </c>
      <c r="X1456" s="2" t="s">
        <v>57</v>
      </c>
      <c r="Y1456" s="2">
        <v>4.1091199602499904</v>
      </c>
      <c r="Z1456" s="2">
        <v>4.71035</v>
      </c>
      <c r="AA1456" s="2">
        <v>-74.030416666666696</v>
      </c>
      <c r="AB1456" s="2">
        <v>2570</v>
      </c>
      <c r="AC1456" s="2" t="s">
        <v>31</v>
      </c>
      <c r="AD1456" s="2" t="s">
        <v>58</v>
      </c>
      <c r="AE1456" s="2" t="s">
        <v>33</v>
      </c>
      <c r="AF1456" s="2" t="s">
        <v>34</v>
      </c>
      <c r="AG1456" s="2" t="s">
        <v>81</v>
      </c>
      <c r="AH1456" s="2">
        <v>1.53456425783115</v>
      </c>
      <c r="AI1456" s="2">
        <v>0.68697298298164899</v>
      </c>
      <c r="AJ1456" s="2">
        <v>0.927892412327189</v>
      </c>
      <c r="AK1456" s="2">
        <v>3.5029107844702499E-2</v>
      </c>
      <c r="AL1456" s="2">
        <v>1.18570109413381</v>
      </c>
      <c r="AM1456" s="2">
        <v>15.5</v>
      </c>
      <c r="AN1456" s="2">
        <v>2.4</v>
      </c>
      <c r="AO1456" s="2">
        <v>10.9</v>
      </c>
      <c r="AP1456" s="2">
        <v>564</v>
      </c>
      <c r="AQ1456" s="2">
        <v>68</v>
      </c>
      <c r="AR1456" s="2">
        <v>1.5</v>
      </c>
      <c r="AS1456" s="2">
        <v>135</v>
      </c>
      <c r="AT1456" s="2">
        <v>0</v>
      </c>
      <c r="AU1456" s="2">
        <v>162</v>
      </c>
      <c r="AV1456" s="2">
        <v>9.1</v>
      </c>
      <c r="AW1456" s="2">
        <v>9.1999999999999993</v>
      </c>
      <c r="AX1456" s="2">
        <v>18.3</v>
      </c>
      <c r="AY1456" s="2">
        <v>0.34</v>
      </c>
      <c r="AZ1456" s="2">
        <v>7.3</v>
      </c>
      <c r="BA1456" s="2">
        <v>0.9</v>
      </c>
      <c r="BB1456" s="2">
        <v>7.5</v>
      </c>
      <c r="BC1456" s="2">
        <v>2.9</v>
      </c>
      <c r="BD1456" s="2">
        <f>+AN1456*EXP(-0.0495*Y1456)</f>
        <v>1.9582814929400127</v>
      </c>
      <c r="BE1456" s="2">
        <f>+AO1456*EXP(-0.024*Y1456)</f>
        <v>9.8763588875828034</v>
      </c>
    </row>
    <row r="1457" spans="1:57" x14ac:dyDescent="0.2">
      <c r="A1457" s="2" t="s">
        <v>192</v>
      </c>
      <c r="B1457" s="2" t="s">
        <v>19</v>
      </c>
      <c r="C1457" s="2" t="s">
        <v>20</v>
      </c>
      <c r="D1457" s="2" t="s">
        <v>21</v>
      </c>
      <c r="E1457" s="2" t="s">
        <v>164</v>
      </c>
      <c r="F1457" s="2">
        <v>6</v>
      </c>
      <c r="G1457" s="2">
        <v>257</v>
      </c>
      <c r="H1457" s="2">
        <v>4</v>
      </c>
      <c r="I1457" s="2">
        <v>5</v>
      </c>
      <c r="J1457" s="2">
        <v>4</v>
      </c>
      <c r="K1457" s="2" t="s">
        <v>61</v>
      </c>
      <c r="L1457" s="6" t="s">
        <v>113</v>
      </c>
      <c r="M1457" s="5">
        <v>1500000000</v>
      </c>
      <c r="N1457" s="2">
        <v>0</v>
      </c>
      <c r="O1457" s="2">
        <v>4.7015209200000001</v>
      </c>
      <c r="P1457" s="2">
        <v>-74.034591669999998</v>
      </c>
      <c r="Q1457" s="2" t="s">
        <v>193</v>
      </c>
      <c r="R1457" s="2">
        <v>5836575.875</v>
      </c>
      <c r="S1457" s="2">
        <v>0</v>
      </c>
      <c r="T1457" s="2" t="s">
        <v>55</v>
      </c>
      <c r="U1457" s="2" t="s">
        <v>56</v>
      </c>
      <c r="V1457" s="2" t="s">
        <v>28</v>
      </c>
      <c r="W1457" s="2" t="s">
        <v>55</v>
      </c>
      <c r="X1457" s="2" t="s">
        <v>57</v>
      </c>
      <c r="Y1457" s="2">
        <v>1.08652603800568</v>
      </c>
      <c r="Z1457" s="2">
        <v>4.71035</v>
      </c>
      <c r="AA1457" s="2">
        <v>-74.030416666666696</v>
      </c>
      <c r="AB1457" s="2">
        <v>2570</v>
      </c>
      <c r="AC1457" s="2" t="s">
        <v>31</v>
      </c>
      <c r="AD1457" s="2" t="s">
        <v>58</v>
      </c>
      <c r="AE1457" s="2" t="s">
        <v>33</v>
      </c>
      <c r="AF1457" s="2" t="s">
        <v>34</v>
      </c>
      <c r="AG1457" s="2" t="s">
        <v>59</v>
      </c>
      <c r="AH1457" s="2">
        <v>2.20401424797023</v>
      </c>
      <c r="AI1457" s="2">
        <v>0.996273359721773</v>
      </c>
      <c r="AJ1457" s="2">
        <v>0.23679017950366199</v>
      </c>
      <c r="AK1457" s="2">
        <v>0.28223439630499603</v>
      </c>
      <c r="AL1457" s="2">
        <v>0.42194022484947402</v>
      </c>
      <c r="AM1457" s="2">
        <v>15.5</v>
      </c>
      <c r="AN1457" s="2">
        <v>2.4</v>
      </c>
      <c r="AO1457" s="2">
        <v>10.9</v>
      </c>
      <c r="AP1457" s="2">
        <v>564</v>
      </c>
      <c r="AQ1457" s="2">
        <v>68</v>
      </c>
      <c r="AR1457" s="2">
        <v>1.5</v>
      </c>
      <c r="AS1457" s="2">
        <v>135</v>
      </c>
      <c r="AT1457" s="2">
        <v>0</v>
      </c>
      <c r="AU1457" s="2">
        <v>162</v>
      </c>
      <c r="AV1457" s="2">
        <v>9.1</v>
      </c>
      <c r="AW1457" s="2">
        <v>9.1999999999999993</v>
      </c>
      <c r="AX1457" s="2">
        <v>18.3</v>
      </c>
      <c r="AY1457" s="2">
        <v>0.34</v>
      </c>
      <c r="AZ1457" s="2">
        <v>7.3</v>
      </c>
      <c r="BA1457" s="2">
        <v>0.9</v>
      </c>
      <c r="BB1457" s="2">
        <v>7.5</v>
      </c>
      <c r="BC1457" s="2">
        <v>2.9</v>
      </c>
      <c r="BD1457" s="2">
        <f>+AN1457*EXP(-0.0495*Y1457)</f>
        <v>2.2743304433567282</v>
      </c>
      <c r="BE1457" s="2">
        <f>+AO1457*EXP(-0.024*Y1457)</f>
        <v>10.619438731999431</v>
      </c>
    </row>
    <row r="1458" spans="1:57" x14ac:dyDescent="0.2">
      <c r="A1458" s="2" t="s">
        <v>2556</v>
      </c>
      <c r="B1458" s="2" t="s">
        <v>19</v>
      </c>
      <c r="C1458" s="2" t="s">
        <v>1907</v>
      </c>
      <c r="D1458" s="2" t="s">
        <v>21</v>
      </c>
      <c r="E1458" s="2" t="s">
        <v>295</v>
      </c>
      <c r="F1458" s="2">
        <v>5</v>
      </c>
      <c r="G1458" s="2">
        <v>256</v>
      </c>
      <c r="H1458" s="2">
        <v>4</v>
      </c>
      <c r="I1458" s="2">
        <v>3</v>
      </c>
      <c r="J1458" s="2">
        <v>2</v>
      </c>
      <c r="K1458" s="2" t="s">
        <v>61</v>
      </c>
      <c r="L1458" s="6" t="s">
        <v>113</v>
      </c>
      <c r="M1458" s="5">
        <v>1460000000</v>
      </c>
      <c r="N1458" s="2">
        <v>0</v>
      </c>
      <c r="O1458" s="2">
        <v>4.7016705999999999</v>
      </c>
      <c r="P1458" s="2">
        <v>-74.06147</v>
      </c>
      <c r="Q1458" s="2" t="s">
        <v>2557</v>
      </c>
      <c r="R1458" s="2">
        <v>5703125</v>
      </c>
      <c r="S1458" s="2">
        <v>0</v>
      </c>
      <c r="T1458" s="2" t="s">
        <v>55</v>
      </c>
      <c r="U1458" s="2" t="s">
        <v>56</v>
      </c>
      <c r="V1458" s="2" t="s">
        <v>28</v>
      </c>
      <c r="W1458" s="2" t="s">
        <v>55</v>
      </c>
      <c r="X1458" s="2" t="s">
        <v>57</v>
      </c>
      <c r="Y1458" s="2">
        <v>3.5781046714334201</v>
      </c>
      <c r="Z1458" s="2">
        <v>4.71035</v>
      </c>
      <c r="AA1458" s="2">
        <v>-74.030416666666696</v>
      </c>
      <c r="AB1458" s="2">
        <v>2570</v>
      </c>
      <c r="AC1458" s="2" t="s">
        <v>31</v>
      </c>
      <c r="AD1458" s="2" t="s">
        <v>58</v>
      </c>
      <c r="AE1458" s="2" t="s">
        <v>33</v>
      </c>
      <c r="AF1458" s="2" t="s">
        <v>34</v>
      </c>
      <c r="AG1458" s="2" t="s">
        <v>72</v>
      </c>
      <c r="AH1458" s="2">
        <v>0.78743221760400905</v>
      </c>
      <c r="AI1458" s="2">
        <v>3.7862161980956301</v>
      </c>
      <c r="AJ1458" s="2">
        <v>0.99769999486335903</v>
      </c>
      <c r="AK1458" s="2">
        <v>0.278994968237257</v>
      </c>
      <c r="AL1458" s="2">
        <v>0.14523031587551699</v>
      </c>
      <c r="AM1458" s="2">
        <v>15.5</v>
      </c>
      <c r="AN1458" s="2">
        <v>2.4</v>
      </c>
      <c r="AO1458" s="2">
        <v>10.9</v>
      </c>
      <c r="AP1458" s="2">
        <v>564</v>
      </c>
      <c r="AQ1458" s="2">
        <v>68</v>
      </c>
      <c r="AR1458" s="2">
        <v>1.5</v>
      </c>
      <c r="AS1458" s="2">
        <v>135</v>
      </c>
      <c r="AT1458" s="2">
        <v>0</v>
      </c>
      <c r="AU1458" s="2">
        <v>162</v>
      </c>
      <c r="AV1458" s="2">
        <v>9.1</v>
      </c>
      <c r="AW1458" s="2">
        <v>9.1999999999999993</v>
      </c>
      <c r="AX1458" s="2">
        <v>18.3</v>
      </c>
      <c r="AY1458" s="2">
        <v>0.34</v>
      </c>
      <c r="AZ1458" s="2">
        <v>7.3</v>
      </c>
      <c r="BA1458" s="2">
        <v>0.9</v>
      </c>
      <c r="BB1458" s="2">
        <v>7.5</v>
      </c>
      <c r="BC1458" s="2">
        <v>2.9</v>
      </c>
      <c r="BD1458" s="2">
        <f>+AN1458*EXP(-0.0495*Y1458)</f>
        <v>2.0104378941267855</v>
      </c>
      <c r="BE1458" s="2">
        <f>+AO1458*EXP(-0.024*Y1458)</f>
        <v>10.003032300916027</v>
      </c>
    </row>
    <row r="1459" spans="1:57" x14ac:dyDescent="0.2">
      <c r="A1459" s="2" t="s">
        <v>2585</v>
      </c>
      <c r="B1459" s="2" t="s">
        <v>19</v>
      </c>
      <c r="C1459" s="2" t="s">
        <v>1907</v>
      </c>
      <c r="D1459" s="2" t="s">
        <v>21</v>
      </c>
      <c r="E1459" s="2" t="s">
        <v>156</v>
      </c>
      <c r="F1459" s="2">
        <v>4</v>
      </c>
      <c r="G1459" s="2">
        <v>256</v>
      </c>
      <c r="H1459" s="2">
        <v>4</v>
      </c>
      <c r="I1459" s="2">
        <v>3</v>
      </c>
      <c r="J1459" s="2">
        <v>3</v>
      </c>
      <c r="K1459" s="2" t="s">
        <v>61</v>
      </c>
      <c r="L1459" s="6" t="s">
        <v>113</v>
      </c>
      <c r="M1459" s="5">
        <v>750000000</v>
      </c>
      <c r="N1459" s="2">
        <v>0</v>
      </c>
      <c r="O1459" s="2">
        <v>4.7313000000000001</v>
      </c>
      <c r="P1459" s="2">
        <v>-74.041529999999995</v>
      </c>
      <c r="Q1459" s="2" t="s">
        <v>2586</v>
      </c>
      <c r="R1459" s="2">
        <v>2929687.5</v>
      </c>
      <c r="S1459" s="2">
        <v>0</v>
      </c>
      <c r="T1459" s="2" t="s">
        <v>55</v>
      </c>
      <c r="U1459" s="2" t="s">
        <v>56</v>
      </c>
      <c r="V1459" s="2" t="s">
        <v>28</v>
      </c>
      <c r="W1459" s="2" t="s">
        <v>55</v>
      </c>
      <c r="X1459" s="2" t="s">
        <v>57</v>
      </c>
      <c r="Y1459" s="2">
        <v>2.6379950700663302</v>
      </c>
      <c r="Z1459" s="2">
        <v>4.71035</v>
      </c>
      <c r="AA1459" s="2">
        <v>-74.030416666666696</v>
      </c>
      <c r="AB1459" s="2">
        <v>2570</v>
      </c>
      <c r="AC1459" s="2" t="s">
        <v>31</v>
      </c>
      <c r="AD1459" s="2" t="s">
        <v>58</v>
      </c>
      <c r="AE1459" s="2" t="s">
        <v>33</v>
      </c>
      <c r="AF1459" s="2" t="s">
        <v>34</v>
      </c>
      <c r="AG1459" s="2" t="s">
        <v>59</v>
      </c>
      <c r="AH1459" s="2">
        <v>0.91927147570197998</v>
      </c>
      <c r="AI1459" s="2">
        <v>2.1711091227970298</v>
      </c>
      <c r="AJ1459" s="2">
        <v>0.245902017373344</v>
      </c>
      <c r="AK1459" s="2">
        <v>8.5950307912128696E-2</v>
      </c>
      <c r="AL1459" s="2">
        <v>0.104421554886778</v>
      </c>
      <c r="AM1459" s="2">
        <v>15.5</v>
      </c>
      <c r="AN1459" s="2">
        <v>2.4</v>
      </c>
      <c r="AO1459" s="2">
        <v>10.9</v>
      </c>
      <c r="AP1459" s="2">
        <v>564</v>
      </c>
      <c r="AQ1459" s="2">
        <v>68</v>
      </c>
      <c r="AR1459" s="2">
        <v>1.5</v>
      </c>
      <c r="AS1459" s="2">
        <v>135</v>
      </c>
      <c r="AT1459" s="2">
        <v>0</v>
      </c>
      <c r="AU1459" s="2">
        <v>162</v>
      </c>
      <c r="AV1459" s="2">
        <v>9.1</v>
      </c>
      <c r="AW1459" s="2">
        <v>9.1999999999999993</v>
      </c>
      <c r="AX1459" s="2">
        <v>18.3</v>
      </c>
      <c r="AY1459" s="2">
        <v>0.34</v>
      </c>
      <c r="AZ1459" s="2">
        <v>7.3</v>
      </c>
      <c r="BA1459" s="2">
        <v>0.9</v>
      </c>
      <c r="BB1459" s="2">
        <v>7.5</v>
      </c>
      <c r="BC1459" s="2">
        <v>2.9</v>
      </c>
      <c r="BD1459" s="2">
        <f>+AN1459*EXP(-0.0495*Y1459)</f>
        <v>2.1062054875453997</v>
      </c>
      <c r="BE1459" s="2">
        <f>+AO1459*EXP(-0.024*Y1459)</f>
        <v>10.231292412877385</v>
      </c>
    </row>
    <row r="1460" spans="1:57" x14ac:dyDescent="0.2">
      <c r="A1460" s="2" t="s">
        <v>1817</v>
      </c>
      <c r="B1460" s="2" t="s">
        <v>19</v>
      </c>
      <c r="C1460" s="2" t="s">
        <v>20</v>
      </c>
      <c r="D1460" s="2" t="s">
        <v>21</v>
      </c>
      <c r="E1460" s="2" t="s">
        <v>128</v>
      </c>
      <c r="F1460" s="2">
        <v>6</v>
      </c>
      <c r="G1460" s="2">
        <v>256</v>
      </c>
      <c r="H1460" s="2">
        <v>3</v>
      </c>
      <c r="I1460" s="2">
        <v>4</v>
      </c>
      <c r="J1460" s="2">
        <v>2</v>
      </c>
      <c r="K1460" s="2" t="s">
        <v>61</v>
      </c>
      <c r="L1460" s="6" t="s">
        <v>113</v>
      </c>
      <c r="M1460" s="5">
        <v>1850000000</v>
      </c>
      <c r="N1460" s="2">
        <v>0</v>
      </c>
      <c r="O1460" s="2">
        <v>4.7142600000000003</v>
      </c>
      <c r="P1460" s="2">
        <v>-74.047439999999995</v>
      </c>
      <c r="Q1460" s="2" t="s">
        <v>1818</v>
      </c>
      <c r="R1460" s="2">
        <v>7226562.5</v>
      </c>
      <c r="S1460" s="2">
        <v>0</v>
      </c>
      <c r="T1460" s="2" t="s">
        <v>55</v>
      </c>
      <c r="U1460" s="2" t="s">
        <v>56</v>
      </c>
      <c r="V1460" s="2" t="s">
        <v>28</v>
      </c>
      <c r="W1460" s="2" t="s">
        <v>55</v>
      </c>
      <c r="X1460" s="2" t="s">
        <v>57</v>
      </c>
      <c r="Y1460" s="2">
        <v>1.9381300296908099</v>
      </c>
      <c r="Z1460" s="2">
        <v>4.71035</v>
      </c>
      <c r="AA1460" s="2">
        <v>-74.030416666666696</v>
      </c>
      <c r="AB1460" s="2">
        <v>2570</v>
      </c>
      <c r="AC1460" s="2" t="s">
        <v>31</v>
      </c>
      <c r="AD1460" s="2" t="s">
        <v>58</v>
      </c>
      <c r="AE1460" s="2" t="s">
        <v>33</v>
      </c>
      <c r="AF1460" s="2" t="s">
        <v>34</v>
      </c>
      <c r="AG1460" s="2" t="s">
        <v>59</v>
      </c>
      <c r="AH1460" s="2">
        <v>0.5684493546778</v>
      </c>
      <c r="AI1460" s="2">
        <v>2.5297023294884098</v>
      </c>
      <c r="AJ1460" s="2">
        <v>1.6714542553777201</v>
      </c>
      <c r="AK1460" s="2">
        <v>0.43734386017572502</v>
      </c>
      <c r="AL1460" s="2">
        <v>0.50419018661974702</v>
      </c>
      <c r="AM1460" s="2">
        <v>15.5</v>
      </c>
      <c r="AN1460" s="2">
        <v>2.4</v>
      </c>
      <c r="AO1460" s="2">
        <v>10.9</v>
      </c>
      <c r="AP1460" s="2">
        <v>564</v>
      </c>
      <c r="AQ1460" s="2">
        <v>68</v>
      </c>
      <c r="AR1460" s="2">
        <v>1.5</v>
      </c>
      <c r="AS1460" s="2">
        <v>135</v>
      </c>
      <c r="AT1460" s="2">
        <v>0</v>
      </c>
      <c r="AU1460" s="2">
        <v>162</v>
      </c>
      <c r="AV1460" s="2">
        <v>9.1</v>
      </c>
      <c r="AW1460" s="2">
        <v>9.1999999999999993</v>
      </c>
      <c r="AX1460" s="2">
        <v>18.3</v>
      </c>
      <c r="AY1460" s="2">
        <v>0.34</v>
      </c>
      <c r="AZ1460" s="2">
        <v>7.3</v>
      </c>
      <c r="BA1460" s="2">
        <v>0.9</v>
      </c>
      <c r="BB1460" s="2">
        <v>7.5</v>
      </c>
      <c r="BC1460" s="2">
        <v>2.9</v>
      </c>
      <c r="BD1460" s="2">
        <f>+AN1460*EXP(-0.0495*Y1460)</f>
        <v>2.180450050950471</v>
      </c>
      <c r="BE1460" s="2">
        <f>+AO1460*EXP(-0.024*Y1460)</f>
        <v>10.404596384111809</v>
      </c>
    </row>
    <row r="1461" spans="1:57" x14ac:dyDescent="0.2">
      <c r="A1461" s="2" t="s">
        <v>1031</v>
      </c>
      <c r="B1461" s="2" t="s">
        <v>19</v>
      </c>
      <c r="C1461" s="2" t="s">
        <v>20</v>
      </c>
      <c r="D1461" s="2" t="s">
        <v>21</v>
      </c>
      <c r="E1461" s="2" t="s">
        <v>221</v>
      </c>
      <c r="F1461" s="2">
        <v>6</v>
      </c>
      <c r="G1461" s="2">
        <v>253</v>
      </c>
      <c r="H1461" s="2">
        <v>3</v>
      </c>
      <c r="I1461" s="2">
        <v>3</v>
      </c>
      <c r="J1461" s="2">
        <v>4</v>
      </c>
      <c r="K1461" s="2" t="s">
        <v>61</v>
      </c>
      <c r="L1461" s="6" t="s">
        <v>75</v>
      </c>
      <c r="M1461" s="5">
        <v>2590000000</v>
      </c>
      <c r="N1461" s="2">
        <v>0</v>
      </c>
      <c r="O1461" s="2">
        <v>4.6933441159999996</v>
      </c>
      <c r="P1461" s="2">
        <v>-74.026123049999995</v>
      </c>
      <c r="Q1461" s="2" t="s">
        <v>1032</v>
      </c>
      <c r="R1461" s="2">
        <v>10237154.15</v>
      </c>
      <c r="S1461" s="2">
        <v>0</v>
      </c>
      <c r="T1461" s="2" t="s">
        <v>55</v>
      </c>
      <c r="U1461" s="2" t="s">
        <v>56</v>
      </c>
      <c r="V1461" s="2" t="s">
        <v>28</v>
      </c>
      <c r="W1461" s="2" t="s">
        <v>55</v>
      </c>
      <c r="X1461" s="2" t="s">
        <v>57</v>
      </c>
      <c r="Y1461" s="2">
        <v>1.9520988108714501</v>
      </c>
      <c r="Z1461" s="2">
        <v>4.71035</v>
      </c>
      <c r="AA1461" s="2">
        <v>-74.030416666666696</v>
      </c>
      <c r="AB1461" s="2">
        <v>2570</v>
      </c>
      <c r="AC1461" s="2" t="s">
        <v>31</v>
      </c>
      <c r="AD1461" s="2" t="s">
        <v>58</v>
      </c>
      <c r="AE1461" s="2" t="s">
        <v>33</v>
      </c>
      <c r="AF1461" s="2" t="s">
        <v>34</v>
      </c>
      <c r="AG1461" s="2" t="s">
        <v>59</v>
      </c>
      <c r="AH1461" s="2">
        <v>3.2789342489278499</v>
      </c>
      <c r="AI1461" s="2">
        <v>0.18909712438845999</v>
      </c>
      <c r="AJ1461" s="2">
        <v>0.41616428483094597</v>
      </c>
      <c r="AK1461" s="2">
        <v>0.53116830678396798</v>
      </c>
      <c r="AL1461" s="2">
        <v>0.90700948287577199</v>
      </c>
      <c r="AM1461" s="2">
        <v>15.5</v>
      </c>
      <c r="AN1461" s="2">
        <v>2.4</v>
      </c>
      <c r="AO1461" s="2">
        <v>10.9</v>
      </c>
      <c r="AP1461" s="2">
        <v>564</v>
      </c>
      <c r="AQ1461" s="2">
        <v>68</v>
      </c>
      <c r="AR1461" s="2">
        <v>1.5</v>
      </c>
      <c r="AS1461" s="2">
        <v>135</v>
      </c>
      <c r="AT1461" s="2">
        <v>0</v>
      </c>
      <c r="AU1461" s="2">
        <v>162</v>
      </c>
      <c r="AV1461" s="2">
        <v>9.1</v>
      </c>
      <c r="AW1461" s="2">
        <v>9.1999999999999993</v>
      </c>
      <c r="AX1461" s="2">
        <v>18.3</v>
      </c>
      <c r="AY1461" s="2">
        <v>0.34</v>
      </c>
      <c r="AZ1461" s="2">
        <v>7.3</v>
      </c>
      <c r="BA1461" s="2">
        <v>0.9</v>
      </c>
      <c r="BB1461" s="2">
        <v>7.5</v>
      </c>
      <c r="BC1461" s="2">
        <v>2.9</v>
      </c>
      <c r="BD1461" s="2">
        <f>+AN1461*EXP(-0.0495*Y1461)</f>
        <v>2.1789428897103242</v>
      </c>
      <c r="BE1461" s="2">
        <f>+AO1461*EXP(-0.024*Y1461)</f>
        <v>10.401108820024808</v>
      </c>
    </row>
    <row r="1462" spans="1:57" x14ac:dyDescent="0.2">
      <c r="A1462" s="2" t="s">
        <v>163</v>
      </c>
      <c r="B1462" s="2" t="s">
        <v>19</v>
      </c>
      <c r="C1462" s="2" t="s">
        <v>20</v>
      </c>
      <c r="D1462" s="2" t="s">
        <v>21</v>
      </c>
      <c r="E1462" s="2" t="s">
        <v>164</v>
      </c>
      <c r="F1462" s="2">
        <v>6</v>
      </c>
      <c r="G1462" s="2">
        <v>251.54</v>
      </c>
      <c r="H1462" s="2">
        <v>5</v>
      </c>
      <c r="I1462" s="2">
        <v>5</v>
      </c>
      <c r="J1462" s="2">
        <v>3</v>
      </c>
      <c r="K1462" s="2" t="s">
        <v>61</v>
      </c>
      <c r="L1462" s="6" t="s">
        <v>113</v>
      </c>
      <c r="M1462" s="5">
        <v>2600000000</v>
      </c>
      <c r="N1462" s="2">
        <v>0</v>
      </c>
      <c r="O1462" s="2">
        <v>4.7034039500000002</v>
      </c>
      <c r="P1462" s="2">
        <v>-74.035270690000004</v>
      </c>
      <c r="Q1462" s="2" t="s">
        <v>165</v>
      </c>
      <c r="R1462" s="2">
        <v>10336328.220000001</v>
      </c>
      <c r="S1462" s="2">
        <v>0</v>
      </c>
      <c r="T1462" s="2" t="s">
        <v>55</v>
      </c>
      <c r="U1462" s="2" t="s">
        <v>56</v>
      </c>
      <c r="V1462" s="2" t="s">
        <v>28</v>
      </c>
      <c r="W1462" s="2" t="s">
        <v>55</v>
      </c>
      <c r="X1462" s="2" t="s">
        <v>57</v>
      </c>
      <c r="Y1462" s="2">
        <v>0.94228184915736901</v>
      </c>
      <c r="Z1462" s="2">
        <v>4.71035</v>
      </c>
      <c r="AA1462" s="2">
        <v>-74.030416666666696</v>
      </c>
      <c r="AB1462" s="2">
        <v>2570</v>
      </c>
      <c r="AC1462" s="2" t="s">
        <v>31</v>
      </c>
      <c r="AD1462" s="2" t="s">
        <v>58</v>
      </c>
      <c r="AE1462" s="2" t="s">
        <v>33</v>
      </c>
      <c r="AF1462" s="2" t="s">
        <v>34</v>
      </c>
      <c r="AG1462" s="2" t="s">
        <v>59</v>
      </c>
      <c r="AH1462" s="2">
        <v>2.1060414025913601</v>
      </c>
      <c r="AI1462" s="2">
        <v>1.0830289618884601</v>
      </c>
      <c r="AJ1462" s="2">
        <v>0.38623309294166602</v>
      </c>
      <c r="AK1462" s="2">
        <v>0.13461208137252101</v>
      </c>
      <c r="AL1462" s="2">
        <v>0.45104015560647398</v>
      </c>
      <c r="AM1462" s="2">
        <v>15.5</v>
      </c>
      <c r="AN1462" s="2">
        <v>2.4</v>
      </c>
      <c r="AO1462" s="2">
        <v>10.9</v>
      </c>
      <c r="AP1462" s="2">
        <v>564</v>
      </c>
      <c r="AQ1462" s="2">
        <v>68</v>
      </c>
      <c r="AR1462" s="2">
        <v>1.5</v>
      </c>
      <c r="AS1462" s="2">
        <v>135</v>
      </c>
      <c r="AT1462" s="2">
        <v>0</v>
      </c>
      <c r="AU1462" s="2">
        <v>162</v>
      </c>
      <c r="AV1462" s="2">
        <v>9.1</v>
      </c>
      <c r="AW1462" s="2">
        <v>9.1999999999999993</v>
      </c>
      <c r="AX1462" s="2">
        <v>18.3</v>
      </c>
      <c r="AY1462" s="2">
        <v>0.34</v>
      </c>
      <c r="AZ1462" s="2">
        <v>7.3</v>
      </c>
      <c r="BA1462" s="2">
        <v>0.9</v>
      </c>
      <c r="BB1462" s="2">
        <v>7.5</v>
      </c>
      <c r="BC1462" s="2">
        <v>2.9</v>
      </c>
      <c r="BD1462" s="2">
        <f>+AN1462*EXP(-0.0495*Y1462)</f>
        <v>2.2906274732526688</v>
      </c>
      <c r="BE1462" s="2">
        <f>+AO1462*EXP(-0.024*Y1462)</f>
        <v>10.656265455532836</v>
      </c>
    </row>
    <row r="1463" spans="1:57" x14ac:dyDescent="0.2">
      <c r="A1463" s="2" t="s">
        <v>2446</v>
      </c>
      <c r="B1463" s="2" t="s">
        <v>19</v>
      </c>
      <c r="C1463" s="2" t="s">
        <v>1907</v>
      </c>
      <c r="D1463" s="2" t="s">
        <v>21</v>
      </c>
      <c r="E1463" s="2" t="s">
        <v>144</v>
      </c>
      <c r="F1463" s="2">
        <v>5</v>
      </c>
      <c r="G1463" s="2">
        <v>251</v>
      </c>
      <c r="H1463" s="2">
        <v>5</v>
      </c>
      <c r="I1463" s="2">
        <v>5</v>
      </c>
      <c r="J1463" s="2">
        <v>4</v>
      </c>
      <c r="K1463" s="2" t="s">
        <v>61</v>
      </c>
      <c r="L1463" s="6" t="s">
        <v>113</v>
      </c>
      <c r="M1463" s="5">
        <v>1800000000</v>
      </c>
      <c r="N1463" s="2">
        <v>0</v>
      </c>
      <c r="O1463" s="2">
        <v>4.7006515340000004</v>
      </c>
      <c r="P1463" s="2">
        <v>-74.030495509999994</v>
      </c>
      <c r="Q1463" s="2" t="s">
        <v>2447</v>
      </c>
      <c r="R1463" s="2">
        <v>7171314.7410000004</v>
      </c>
      <c r="S1463" s="2">
        <v>0</v>
      </c>
      <c r="T1463" s="2" t="s">
        <v>55</v>
      </c>
      <c r="U1463" s="2" t="s">
        <v>56</v>
      </c>
      <c r="V1463" s="2" t="s">
        <v>28</v>
      </c>
      <c r="W1463" s="2" t="s">
        <v>55</v>
      </c>
      <c r="X1463" s="2" t="s">
        <v>57</v>
      </c>
      <c r="Y1463" s="2">
        <v>1.07966373127321</v>
      </c>
      <c r="Z1463" s="2">
        <v>4.71035</v>
      </c>
      <c r="AA1463" s="2">
        <v>-74.030416666666696</v>
      </c>
      <c r="AB1463" s="2">
        <v>2570</v>
      </c>
      <c r="AC1463" s="2" t="s">
        <v>31</v>
      </c>
      <c r="AD1463" s="2" t="s">
        <v>58</v>
      </c>
      <c r="AE1463" s="2" t="s">
        <v>33</v>
      </c>
      <c r="AF1463" s="2" t="s">
        <v>34</v>
      </c>
      <c r="AG1463" s="2" t="s">
        <v>59</v>
      </c>
      <c r="AH1463" s="2">
        <v>2.6677270099779098</v>
      </c>
      <c r="AI1463" s="2">
        <v>0.532114811911097</v>
      </c>
      <c r="AJ1463" s="2">
        <v>0.23093233391416099</v>
      </c>
      <c r="AK1463" s="2">
        <v>7.2048626372656799E-2</v>
      </c>
      <c r="AL1463" s="2">
        <v>0.41135031163270502</v>
      </c>
      <c r="AM1463" s="2">
        <v>15.5</v>
      </c>
      <c r="AN1463" s="2">
        <v>2.4</v>
      </c>
      <c r="AO1463" s="2">
        <v>10.9</v>
      </c>
      <c r="AP1463" s="2">
        <v>564</v>
      </c>
      <c r="AQ1463" s="2">
        <v>68</v>
      </c>
      <c r="AR1463" s="2">
        <v>1.5</v>
      </c>
      <c r="AS1463" s="2">
        <v>135</v>
      </c>
      <c r="AT1463" s="2">
        <v>0</v>
      </c>
      <c r="AU1463" s="2">
        <v>162</v>
      </c>
      <c r="AV1463" s="2">
        <v>9.1</v>
      </c>
      <c r="AW1463" s="2">
        <v>9.1999999999999993</v>
      </c>
      <c r="AX1463" s="2">
        <v>18.3</v>
      </c>
      <c r="AY1463" s="2">
        <v>0.34</v>
      </c>
      <c r="AZ1463" s="2">
        <v>7.3</v>
      </c>
      <c r="BA1463" s="2">
        <v>0.9</v>
      </c>
      <c r="BB1463" s="2">
        <v>7.5</v>
      </c>
      <c r="BC1463" s="2">
        <v>2.9</v>
      </c>
      <c r="BD1463" s="2">
        <f>+AN1463*EXP(-0.0495*Y1463)</f>
        <v>2.2751031286628955</v>
      </c>
      <c r="BE1463" s="2">
        <f>+AO1463*EXP(-0.024*Y1463)</f>
        <v>10.621187848332886</v>
      </c>
    </row>
    <row r="1464" spans="1:57" x14ac:dyDescent="0.2">
      <c r="A1464" s="2" t="s">
        <v>2448</v>
      </c>
      <c r="B1464" s="2" t="s">
        <v>19</v>
      </c>
      <c r="C1464" s="2" t="s">
        <v>1907</v>
      </c>
      <c r="D1464" s="2" t="s">
        <v>21</v>
      </c>
      <c r="E1464" s="2" t="s">
        <v>144</v>
      </c>
      <c r="F1464" s="2">
        <v>5</v>
      </c>
      <c r="G1464" s="2">
        <v>251</v>
      </c>
      <c r="H1464" s="2">
        <v>5</v>
      </c>
      <c r="I1464" s="2">
        <v>5</v>
      </c>
      <c r="J1464" s="2">
        <v>4</v>
      </c>
      <c r="K1464" s="2" t="s">
        <v>61</v>
      </c>
      <c r="L1464" s="6" t="s">
        <v>113</v>
      </c>
      <c r="M1464" s="5">
        <v>1800000000</v>
      </c>
      <c r="N1464" s="2">
        <v>0</v>
      </c>
      <c r="O1464" s="2">
        <v>4.7006515340000004</v>
      </c>
      <c r="P1464" s="2">
        <v>-74.030495509999994</v>
      </c>
      <c r="Q1464" s="2" t="s">
        <v>2449</v>
      </c>
      <c r="R1464" s="2">
        <v>7171314.7410000004</v>
      </c>
      <c r="S1464" s="2">
        <v>0</v>
      </c>
      <c r="T1464" s="2" t="s">
        <v>55</v>
      </c>
      <c r="U1464" s="2" t="s">
        <v>56</v>
      </c>
      <c r="V1464" s="2" t="s">
        <v>28</v>
      </c>
      <c r="W1464" s="2" t="s">
        <v>55</v>
      </c>
      <c r="X1464" s="2" t="s">
        <v>57</v>
      </c>
      <c r="Y1464" s="2">
        <v>1.07966373127321</v>
      </c>
      <c r="Z1464" s="2">
        <v>4.71035</v>
      </c>
      <c r="AA1464" s="2">
        <v>-74.030416666666696</v>
      </c>
      <c r="AB1464" s="2">
        <v>2570</v>
      </c>
      <c r="AC1464" s="2" t="s">
        <v>31</v>
      </c>
      <c r="AD1464" s="2" t="s">
        <v>58</v>
      </c>
      <c r="AE1464" s="2" t="s">
        <v>33</v>
      </c>
      <c r="AF1464" s="2" t="s">
        <v>34</v>
      </c>
      <c r="AG1464" s="2" t="s">
        <v>59</v>
      </c>
      <c r="AH1464" s="2">
        <v>2.6677270099779098</v>
      </c>
      <c r="AI1464" s="2">
        <v>0.532114811911097</v>
      </c>
      <c r="AJ1464" s="2">
        <v>0.23093233391416099</v>
      </c>
      <c r="AK1464" s="2">
        <v>7.2048626372656799E-2</v>
      </c>
      <c r="AL1464" s="2">
        <v>0.41135031163270502</v>
      </c>
      <c r="AM1464" s="2">
        <v>15.5</v>
      </c>
      <c r="AN1464" s="2">
        <v>2.4</v>
      </c>
      <c r="AO1464" s="2">
        <v>10.9</v>
      </c>
      <c r="AP1464" s="2">
        <v>564</v>
      </c>
      <c r="AQ1464" s="2">
        <v>68</v>
      </c>
      <c r="AR1464" s="2">
        <v>1.5</v>
      </c>
      <c r="AS1464" s="2">
        <v>135</v>
      </c>
      <c r="AT1464" s="2">
        <v>0</v>
      </c>
      <c r="AU1464" s="2">
        <v>162</v>
      </c>
      <c r="AV1464" s="2">
        <v>9.1</v>
      </c>
      <c r="AW1464" s="2">
        <v>9.1999999999999993</v>
      </c>
      <c r="AX1464" s="2">
        <v>18.3</v>
      </c>
      <c r="AY1464" s="2">
        <v>0.34</v>
      </c>
      <c r="AZ1464" s="2">
        <v>7.3</v>
      </c>
      <c r="BA1464" s="2">
        <v>0.9</v>
      </c>
      <c r="BB1464" s="2">
        <v>7.5</v>
      </c>
      <c r="BC1464" s="2">
        <v>2.9</v>
      </c>
      <c r="BD1464" s="2">
        <f>+AN1464*EXP(-0.0495*Y1464)</f>
        <v>2.2751031286628955</v>
      </c>
      <c r="BE1464" s="2">
        <f>+AO1464*EXP(-0.024*Y1464)</f>
        <v>10.621187848332886</v>
      </c>
    </row>
    <row r="1465" spans="1:57" x14ac:dyDescent="0.2">
      <c r="A1465" s="2" t="s">
        <v>815</v>
      </c>
      <c r="B1465" s="2" t="s">
        <v>19</v>
      </c>
      <c r="C1465" s="2" t="s">
        <v>20</v>
      </c>
      <c r="D1465" s="2" t="s">
        <v>21</v>
      </c>
      <c r="E1465" s="2" t="s">
        <v>816</v>
      </c>
      <c r="F1465" s="2">
        <v>6</v>
      </c>
      <c r="G1465" s="2">
        <v>250.9</v>
      </c>
      <c r="H1465" s="2">
        <v>3</v>
      </c>
      <c r="I1465" s="2">
        <v>4</v>
      </c>
      <c r="J1465" s="2">
        <v>3</v>
      </c>
      <c r="K1465" s="2" t="s">
        <v>61</v>
      </c>
      <c r="L1465" s="6" t="s">
        <v>113</v>
      </c>
      <c r="M1465" s="5">
        <v>2400000000</v>
      </c>
      <c r="N1465" s="2">
        <v>0</v>
      </c>
      <c r="O1465" s="2">
        <v>4.7167479999999999</v>
      </c>
      <c r="P1465" s="2">
        <v>-74.025801000000001</v>
      </c>
      <c r="Q1465" s="2" t="s">
        <v>817</v>
      </c>
      <c r="R1465" s="2">
        <v>9565563.9700000007</v>
      </c>
      <c r="S1465" s="2">
        <v>0</v>
      </c>
      <c r="T1465" s="2" t="s">
        <v>55</v>
      </c>
      <c r="U1465" s="2" t="s">
        <v>56</v>
      </c>
      <c r="V1465" s="2" t="s">
        <v>28</v>
      </c>
      <c r="W1465" s="2" t="s">
        <v>55</v>
      </c>
      <c r="X1465" s="2" t="s">
        <v>57</v>
      </c>
      <c r="Y1465" s="2">
        <v>0.87720128072861603</v>
      </c>
      <c r="Z1465" s="2">
        <v>4.71035</v>
      </c>
      <c r="AA1465" s="2">
        <v>-74.030416666666696</v>
      </c>
      <c r="AB1465" s="2">
        <v>2570</v>
      </c>
      <c r="AC1465" s="2" t="s">
        <v>31</v>
      </c>
      <c r="AD1465" s="2" t="s">
        <v>58</v>
      </c>
      <c r="AE1465" s="2" t="s">
        <v>33</v>
      </c>
      <c r="AF1465" s="2" t="s">
        <v>34</v>
      </c>
      <c r="AG1465" s="2" t="s">
        <v>59</v>
      </c>
      <c r="AH1465" s="2">
        <v>2.8862731303306899</v>
      </c>
      <c r="AI1465" s="2">
        <v>0.28931653366660898</v>
      </c>
      <c r="AJ1465" s="2">
        <v>1.0193519909150399</v>
      </c>
      <c r="AK1465" s="2">
        <v>0.40690835115190799</v>
      </c>
      <c r="AL1465" s="2">
        <v>0.37331783287292902</v>
      </c>
      <c r="AM1465" s="2">
        <v>15.5</v>
      </c>
      <c r="AN1465" s="2">
        <v>2.4</v>
      </c>
      <c r="AO1465" s="2">
        <v>10.9</v>
      </c>
      <c r="AP1465" s="2">
        <v>564</v>
      </c>
      <c r="AQ1465" s="2">
        <v>68</v>
      </c>
      <c r="AR1465" s="2">
        <v>1.5</v>
      </c>
      <c r="AS1465" s="2">
        <v>135</v>
      </c>
      <c r="AT1465" s="2">
        <v>0</v>
      </c>
      <c r="AU1465" s="2">
        <v>162</v>
      </c>
      <c r="AV1465" s="2">
        <v>9.1</v>
      </c>
      <c r="AW1465" s="2">
        <v>9.1999999999999993</v>
      </c>
      <c r="AX1465" s="2">
        <v>18.3</v>
      </c>
      <c r="AY1465" s="2">
        <v>0.34</v>
      </c>
      <c r="AZ1465" s="2">
        <v>7.3</v>
      </c>
      <c r="BA1465" s="2">
        <v>0.9</v>
      </c>
      <c r="BB1465" s="2">
        <v>7.5</v>
      </c>
      <c r="BC1465" s="2">
        <v>2.9</v>
      </c>
      <c r="BD1465" s="2">
        <f>+AN1465*EXP(-0.0495*Y1465)</f>
        <v>2.2980186013081414</v>
      </c>
      <c r="BE1465" s="2">
        <f>+AO1465*EXP(-0.024*Y1465)</f>
        <v>10.672922840527516</v>
      </c>
    </row>
    <row r="1466" spans="1:57" x14ac:dyDescent="0.2">
      <c r="A1466" s="2" t="s">
        <v>2664</v>
      </c>
      <c r="B1466" s="2" t="s">
        <v>19</v>
      </c>
      <c r="C1466" s="2" t="s">
        <v>1907</v>
      </c>
      <c r="D1466" s="2" t="s">
        <v>21</v>
      </c>
      <c r="E1466" s="2" t="s">
        <v>2665</v>
      </c>
      <c r="F1466" s="2">
        <v>4</v>
      </c>
      <c r="G1466" s="2">
        <v>250</v>
      </c>
      <c r="H1466" s="2">
        <v>4</v>
      </c>
      <c r="I1466" s="2">
        <v>5</v>
      </c>
      <c r="J1466" s="2">
        <v>4</v>
      </c>
      <c r="K1466" s="2" t="s">
        <v>61</v>
      </c>
      <c r="L1466" s="6" t="s">
        <v>113</v>
      </c>
      <c r="M1466" s="5">
        <v>950000000</v>
      </c>
      <c r="N1466" s="2">
        <v>0</v>
      </c>
      <c r="O1466" s="2">
        <v>4.7308488000000004</v>
      </c>
      <c r="P1466" s="2">
        <v>-74.041314</v>
      </c>
      <c r="Q1466" s="2" t="s">
        <v>2666</v>
      </c>
      <c r="R1466" s="2">
        <v>3800000</v>
      </c>
      <c r="S1466" s="2">
        <v>0</v>
      </c>
      <c r="T1466" s="2" t="s">
        <v>55</v>
      </c>
      <c r="U1466" s="2" t="s">
        <v>56</v>
      </c>
      <c r="V1466" s="2" t="s">
        <v>28</v>
      </c>
      <c r="W1466" s="2" t="s">
        <v>55</v>
      </c>
      <c r="X1466" s="2" t="s">
        <v>57</v>
      </c>
      <c r="Y1466" s="2">
        <v>2.58239240544839</v>
      </c>
      <c r="Z1466" s="2">
        <v>4.71035</v>
      </c>
      <c r="AA1466" s="2">
        <v>-74.030416666666696</v>
      </c>
      <c r="AB1466" s="2">
        <v>2570</v>
      </c>
      <c r="AC1466" s="2" t="s">
        <v>31</v>
      </c>
      <c r="AD1466" s="2" t="s">
        <v>58</v>
      </c>
      <c r="AE1466" s="2" t="s">
        <v>33</v>
      </c>
      <c r="AF1466" s="2" t="s">
        <v>34</v>
      </c>
      <c r="AG1466" s="2" t="s">
        <v>59</v>
      </c>
      <c r="AH1466" s="2">
        <v>0.94212025443341496</v>
      </c>
      <c r="AI1466" s="2">
        <v>2.1513316398574802</v>
      </c>
      <c r="AJ1466" s="2">
        <v>0.26965488293689699</v>
      </c>
      <c r="AK1466" s="2">
        <v>0.139678606826903</v>
      </c>
      <c r="AL1466" s="2">
        <v>0.14810654448614499</v>
      </c>
      <c r="AM1466" s="2">
        <v>15.5</v>
      </c>
      <c r="AN1466" s="2">
        <v>2.4</v>
      </c>
      <c r="AO1466" s="2">
        <v>10.9</v>
      </c>
      <c r="AP1466" s="2">
        <v>564</v>
      </c>
      <c r="AQ1466" s="2">
        <v>68</v>
      </c>
      <c r="AR1466" s="2">
        <v>1.5</v>
      </c>
      <c r="AS1466" s="2">
        <v>135</v>
      </c>
      <c r="AT1466" s="2">
        <v>0</v>
      </c>
      <c r="AU1466" s="2">
        <v>162</v>
      </c>
      <c r="AV1466" s="2">
        <v>9.1</v>
      </c>
      <c r="AW1466" s="2">
        <v>9.1999999999999993</v>
      </c>
      <c r="AX1466" s="2">
        <v>18.3</v>
      </c>
      <c r="AY1466" s="2">
        <v>0.34</v>
      </c>
      <c r="AZ1466" s="2">
        <v>7.3</v>
      </c>
      <c r="BA1466" s="2">
        <v>0.9</v>
      </c>
      <c r="BB1466" s="2">
        <v>7.5</v>
      </c>
      <c r="BC1466" s="2">
        <v>2.9</v>
      </c>
      <c r="BD1466" s="2">
        <f>+AN1466*EXP(-0.0495*Y1466)</f>
        <v>2.1120104490195284</v>
      </c>
      <c r="BE1466" s="2">
        <f>+AO1466*EXP(-0.024*Y1466)</f>
        <v>10.24495481773867</v>
      </c>
    </row>
    <row r="1467" spans="1:57" x14ac:dyDescent="0.2">
      <c r="A1467" s="2" t="s">
        <v>1000</v>
      </c>
      <c r="B1467" s="2" t="s">
        <v>19</v>
      </c>
      <c r="C1467" s="2" t="s">
        <v>20</v>
      </c>
      <c r="D1467" s="2" t="s">
        <v>21</v>
      </c>
      <c r="E1467" s="2" t="s">
        <v>1001</v>
      </c>
      <c r="F1467" s="2">
        <v>6</v>
      </c>
      <c r="G1467" s="2">
        <v>250</v>
      </c>
      <c r="H1467" s="2">
        <v>3</v>
      </c>
      <c r="I1467" s="2">
        <v>4</v>
      </c>
      <c r="J1467" s="2">
        <v>3</v>
      </c>
      <c r="K1467" s="2" t="s">
        <v>61</v>
      </c>
      <c r="L1467" s="6" t="s">
        <v>75</v>
      </c>
      <c r="M1467" s="5">
        <v>2400000000</v>
      </c>
      <c r="N1467" s="2">
        <v>0</v>
      </c>
      <c r="O1467" s="2">
        <v>4.7093629840000002</v>
      </c>
      <c r="P1467" s="2">
        <v>-74.026924129999998</v>
      </c>
      <c r="Q1467" s="2" t="s">
        <v>1002</v>
      </c>
      <c r="R1467" s="2">
        <v>9600000</v>
      </c>
      <c r="S1467" s="2">
        <v>0</v>
      </c>
      <c r="T1467" s="2" t="s">
        <v>55</v>
      </c>
      <c r="U1467" s="2" t="s">
        <v>56</v>
      </c>
      <c r="V1467" s="2" t="s">
        <v>28</v>
      </c>
      <c r="W1467" s="2" t="s">
        <v>55</v>
      </c>
      <c r="X1467" s="2" t="s">
        <v>57</v>
      </c>
      <c r="Y1467" s="2">
        <v>0.40275162162286399</v>
      </c>
      <c r="Z1467" s="2">
        <v>4.71035</v>
      </c>
      <c r="AA1467" s="2">
        <v>-74.030416666666696</v>
      </c>
      <c r="AB1467" s="2">
        <v>2570</v>
      </c>
      <c r="AC1467" s="2" t="s">
        <v>31</v>
      </c>
      <c r="AD1467" s="2" t="s">
        <v>58</v>
      </c>
      <c r="AE1467" s="2" t="s">
        <v>33</v>
      </c>
      <c r="AF1467" s="2" t="s">
        <v>34</v>
      </c>
      <c r="AG1467" s="2" t="s">
        <v>59</v>
      </c>
      <c r="AH1467" s="2">
        <v>2.8996076958833799</v>
      </c>
      <c r="AI1467" s="2">
        <v>0.20577943575313501</v>
      </c>
      <c r="AJ1467" s="2">
        <v>0.66674096465823496</v>
      </c>
      <c r="AK1467" s="2">
        <v>0.37866646102576001</v>
      </c>
      <c r="AL1467" s="2">
        <v>0.437495445790197</v>
      </c>
      <c r="AM1467" s="2">
        <v>15.5</v>
      </c>
      <c r="AN1467" s="2">
        <v>2.4</v>
      </c>
      <c r="AO1467" s="2">
        <v>10.9</v>
      </c>
      <c r="AP1467" s="2">
        <v>564</v>
      </c>
      <c r="AQ1467" s="2">
        <v>68</v>
      </c>
      <c r="AR1467" s="2">
        <v>1.5</v>
      </c>
      <c r="AS1467" s="2">
        <v>135</v>
      </c>
      <c r="AT1467" s="2">
        <v>0</v>
      </c>
      <c r="AU1467" s="2">
        <v>162</v>
      </c>
      <c r="AV1467" s="2">
        <v>9.1</v>
      </c>
      <c r="AW1467" s="2">
        <v>9.1999999999999993</v>
      </c>
      <c r="AX1467" s="2">
        <v>18.3</v>
      </c>
      <c r="AY1467" s="2">
        <v>0.34</v>
      </c>
      <c r="AZ1467" s="2">
        <v>7.3</v>
      </c>
      <c r="BA1467" s="2">
        <v>0.9</v>
      </c>
      <c r="BB1467" s="2">
        <v>7.5</v>
      </c>
      <c r="BC1467" s="2">
        <v>2.9</v>
      </c>
      <c r="BD1467" s="2">
        <f>+AN1467*EXP(-0.0495*Y1467)</f>
        <v>2.3526268963458548</v>
      </c>
      <c r="BE1467" s="2">
        <f>+AO1467*EXP(-0.024*Y1467)</f>
        <v>10.795147745152587</v>
      </c>
    </row>
    <row r="1468" spans="1:57" x14ac:dyDescent="0.2">
      <c r="A1468" s="2" t="s">
        <v>3236</v>
      </c>
      <c r="B1468" s="2" t="s">
        <v>19</v>
      </c>
      <c r="C1468" s="2" t="s">
        <v>1907</v>
      </c>
      <c r="D1468" s="2" t="s">
        <v>21</v>
      </c>
      <c r="E1468" s="2" t="s">
        <v>295</v>
      </c>
      <c r="F1468" s="2">
        <v>5</v>
      </c>
      <c r="G1468" s="2">
        <v>248.92</v>
      </c>
      <c r="H1468" s="2">
        <v>5</v>
      </c>
      <c r="I1468" s="2">
        <v>5</v>
      </c>
      <c r="J1468" s="2">
        <v>2</v>
      </c>
      <c r="K1468" s="2" t="s">
        <v>61</v>
      </c>
      <c r="L1468" s="6" t="s">
        <v>113</v>
      </c>
      <c r="M1468" s="5">
        <v>1100000000</v>
      </c>
      <c r="N1468" s="2">
        <v>0</v>
      </c>
      <c r="O1468" s="2">
        <v>4.7008049999999999</v>
      </c>
      <c r="P1468" s="2">
        <v>-74.062860000000001</v>
      </c>
      <c r="Q1468" s="2" t="s">
        <v>3237</v>
      </c>
      <c r="R1468" s="2">
        <v>4419090.4709999999</v>
      </c>
      <c r="S1468" s="2">
        <v>0</v>
      </c>
      <c r="T1468" s="2" t="s">
        <v>55</v>
      </c>
      <c r="U1468" s="2" t="s">
        <v>56</v>
      </c>
      <c r="V1468" s="2" t="s">
        <v>28</v>
      </c>
      <c r="W1468" s="2" t="s">
        <v>55</v>
      </c>
      <c r="X1468" s="2" t="s">
        <v>57</v>
      </c>
      <c r="Y1468" s="2">
        <v>3.7529584329371399</v>
      </c>
      <c r="Z1468" s="2">
        <v>4.71035</v>
      </c>
      <c r="AA1468" s="2">
        <v>-74.030416666666696</v>
      </c>
      <c r="AB1468" s="2">
        <v>2570</v>
      </c>
      <c r="AC1468" s="2" t="s">
        <v>31</v>
      </c>
      <c r="AD1468" s="2" t="s">
        <v>58</v>
      </c>
      <c r="AE1468" s="2" t="s">
        <v>33</v>
      </c>
      <c r="AF1468" s="2" t="s">
        <v>34</v>
      </c>
      <c r="AG1468" s="2" t="s">
        <v>72</v>
      </c>
      <c r="AH1468" s="2">
        <v>0.793418556446297</v>
      </c>
      <c r="AI1468" s="2">
        <v>3.8379954936890801</v>
      </c>
      <c r="AJ1468" s="2">
        <v>0.81777957454081196</v>
      </c>
      <c r="AK1468" s="2">
        <v>0.427779662998093</v>
      </c>
      <c r="AL1468" s="2">
        <v>6.6330074084818294E-2</v>
      </c>
      <c r="AM1468" s="2">
        <v>15.5</v>
      </c>
      <c r="AN1468" s="2">
        <v>2.4</v>
      </c>
      <c r="AO1468" s="2">
        <v>10.9</v>
      </c>
      <c r="AP1468" s="2">
        <v>564</v>
      </c>
      <c r="AQ1468" s="2">
        <v>68</v>
      </c>
      <c r="AR1468" s="2">
        <v>1.5</v>
      </c>
      <c r="AS1468" s="2">
        <v>135</v>
      </c>
      <c r="AT1468" s="2">
        <v>0</v>
      </c>
      <c r="AU1468" s="2">
        <v>162</v>
      </c>
      <c r="AV1468" s="2">
        <v>9.1</v>
      </c>
      <c r="AW1468" s="2">
        <v>9.1999999999999993</v>
      </c>
      <c r="AX1468" s="2">
        <v>18.3</v>
      </c>
      <c r="AY1468" s="2">
        <v>0.34</v>
      </c>
      <c r="AZ1468" s="2">
        <v>7.3</v>
      </c>
      <c r="BA1468" s="2">
        <v>0.9</v>
      </c>
      <c r="BB1468" s="2">
        <v>7.5</v>
      </c>
      <c r="BC1468" s="2">
        <v>2.9</v>
      </c>
      <c r="BD1468" s="2">
        <f>+AN1468*EXP(-0.0495*Y1468)</f>
        <v>1.993112116763319</v>
      </c>
      <c r="BE1468" s="2">
        <f>+AO1468*EXP(-0.024*Y1468)</f>
        <v>9.9611426294083287</v>
      </c>
    </row>
    <row r="1469" spans="1:57" x14ac:dyDescent="0.2">
      <c r="A1469" s="2" t="s">
        <v>686</v>
      </c>
      <c r="B1469" s="2" t="s">
        <v>19</v>
      </c>
      <c r="C1469" s="2" t="s">
        <v>20</v>
      </c>
      <c r="D1469" s="2" t="s">
        <v>21</v>
      </c>
      <c r="E1469" s="2" t="s">
        <v>223</v>
      </c>
      <c r="F1469" s="2">
        <v>6</v>
      </c>
      <c r="G1469" s="2">
        <v>247.29</v>
      </c>
      <c r="H1469" s="2">
        <v>2</v>
      </c>
      <c r="I1469" s="2">
        <v>3</v>
      </c>
      <c r="J1469" s="2">
        <v>3</v>
      </c>
      <c r="K1469" s="2" t="s">
        <v>61</v>
      </c>
      <c r="L1469" s="6" t="s">
        <v>113</v>
      </c>
      <c r="M1469" s="5">
        <v>2200000000</v>
      </c>
      <c r="N1469" s="2">
        <v>0</v>
      </c>
      <c r="O1469" s="2">
        <v>4.6877569330000002</v>
      </c>
      <c r="P1469" s="2">
        <v>-74.027422659999999</v>
      </c>
      <c r="Q1469" s="2" t="s">
        <v>687</v>
      </c>
      <c r="R1469" s="2">
        <v>8896437.3809999991</v>
      </c>
      <c r="S1469" s="2">
        <v>0</v>
      </c>
      <c r="T1469" s="2" t="s">
        <v>55</v>
      </c>
      <c r="U1469" s="2" t="s">
        <v>56</v>
      </c>
      <c r="V1469" s="2" t="s">
        <v>28</v>
      </c>
      <c r="W1469" s="2" t="s">
        <v>55</v>
      </c>
      <c r="X1469" s="2" t="s">
        <v>57</v>
      </c>
      <c r="Y1469" s="2">
        <v>2.5368893585771302</v>
      </c>
      <c r="Z1469" s="2">
        <v>4.71035</v>
      </c>
      <c r="AA1469" s="2">
        <v>-74.030416666666696</v>
      </c>
      <c r="AB1469" s="2">
        <v>2570</v>
      </c>
      <c r="AC1469" s="2" t="s">
        <v>31</v>
      </c>
      <c r="AD1469" s="2" t="s">
        <v>58</v>
      </c>
      <c r="AE1469" s="2" t="s">
        <v>33</v>
      </c>
      <c r="AF1469" s="2" t="s">
        <v>34</v>
      </c>
      <c r="AG1469" s="2" t="s">
        <v>59</v>
      </c>
      <c r="AH1469" s="2">
        <v>3.2407177917040202</v>
      </c>
      <c r="AI1469" s="2">
        <v>0.21563404017432899</v>
      </c>
      <c r="AJ1469" s="2">
        <v>0.78260003295922898</v>
      </c>
      <c r="AK1469" s="2">
        <v>0.69050153522897695</v>
      </c>
      <c r="AL1469" s="2">
        <v>0.99371789693609702</v>
      </c>
      <c r="AM1469" s="2">
        <v>15.5</v>
      </c>
      <c r="AN1469" s="2">
        <v>2.4</v>
      </c>
      <c r="AO1469" s="2">
        <v>10.9</v>
      </c>
      <c r="AP1469" s="2">
        <v>564</v>
      </c>
      <c r="AQ1469" s="2">
        <v>68</v>
      </c>
      <c r="AR1469" s="2">
        <v>1.5</v>
      </c>
      <c r="AS1469" s="2">
        <v>135</v>
      </c>
      <c r="AT1469" s="2">
        <v>0</v>
      </c>
      <c r="AU1469" s="2">
        <v>162</v>
      </c>
      <c r="AV1469" s="2">
        <v>9.1</v>
      </c>
      <c r="AW1469" s="2">
        <v>9.1999999999999993</v>
      </c>
      <c r="AX1469" s="2">
        <v>18.3</v>
      </c>
      <c r="AY1469" s="2">
        <v>0.34</v>
      </c>
      <c r="AZ1469" s="2">
        <v>7.3</v>
      </c>
      <c r="BA1469" s="2">
        <v>0.9</v>
      </c>
      <c r="BB1469" s="2">
        <v>7.5</v>
      </c>
      <c r="BC1469" s="2">
        <v>2.9</v>
      </c>
      <c r="BD1469" s="2">
        <f>+AN1469*EXP(-0.0495*Y1469)</f>
        <v>2.1167729045529415</v>
      </c>
      <c r="BE1469" s="2">
        <f>+AO1469*EXP(-0.024*Y1469)</f>
        <v>10.256149168973554</v>
      </c>
    </row>
    <row r="1470" spans="1:57" x14ac:dyDescent="0.2">
      <c r="A1470" s="2" t="s">
        <v>1115</v>
      </c>
      <c r="B1470" s="2" t="s">
        <v>19</v>
      </c>
      <c r="C1470" s="2" t="s">
        <v>20</v>
      </c>
      <c r="D1470" s="2" t="s">
        <v>21</v>
      </c>
      <c r="E1470" s="2" t="s">
        <v>161</v>
      </c>
      <c r="F1470" s="2">
        <v>6</v>
      </c>
      <c r="G1470" s="2">
        <v>247</v>
      </c>
      <c r="H1470" s="2">
        <v>3</v>
      </c>
      <c r="I1470" s="2">
        <v>4</v>
      </c>
      <c r="J1470" s="2">
        <v>4</v>
      </c>
      <c r="K1470" s="2" t="s">
        <v>61</v>
      </c>
      <c r="L1470" s="6" t="s">
        <v>84</v>
      </c>
      <c r="M1470" s="5">
        <v>2480000000</v>
      </c>
      <c r="N1470" s="2">
        <v>0</v>
      </c>
      <c r="O1470" s="2">
        <v>4.6950824659999997</v>
      </c>
      <c r="P1470" s="2">
        <v>-74.05465384</v>
      </c>
      <c r="Q1470" s="2" t="s">
        <v>1116</v>
      </c>
      <c r="R1470" s="2">
        <v>10040485.83</v>
      </c>
      <c r="S1470" s="2">
        <v>0</v>
      </c>
      <c r="T1470" s="2" t="s">
        <v>55</v>
      </c>
      <c r="U1470" s="2" t="s">
        <v>56</v>
      </c>
      <c r="V1470" s="2" t="s">
        <v>28</v>
      </c>
      <c r="W1470" s="2" t="s">
        <v>55</v>
      </c>
      <c r="X1470" s="2" t="s">
        <v>57</v>
      </c>
      <c r="Y1470" s="2">
        <v>3.18106929004071</v>
      </c>
      <c r="Z1470" s="2">
        <v>4.71035</v>
      </c>
      <c r="AA1470" s="2">
        <v>-74.030416666666696</v>
      </c>
      <c r="AB1470" s="2">
        <v>2570</v>
      </c>
      <c r="AC1470" s="2" t="s">
        <v>31</v>
      </c>
      <c r="AD1470" s="2" t="s">
        <v>58</v>
      </c>
      <c r="AE1470" s="2" t="s">
        <v>33</v>
      </c>
      <c r="AF1470" s="2" t="s">
        <v>34</v>
      </c>
      <c r="AG1470" s="2" t="s">
        <v>59</v>
      </c>
      <c r="AH1470" s="2">
        <v>0.28736439516565399</v>
      </c>
      <c r="AI1470" s="2">
        <v>2.7371869595869098</v>
      </c>
      <c r="AJ1470" s="2">
        <v>0.56809162653755296</v>
      </c>
      <c r="AK1470" s="2">
        <v>0.11687678233356601</v>
      </c>
      <c r="AL1470" s="2">
        <v>0.17917634446394601</v>
      </c>
      <c r="AM1470" s="2">
        <v>15.5</v>
      </c>
      <c r="AN1470" s="2">
        <v>2.4</v>
      </c>
      <c r="AO1470" s="2">
        <v>10.9</v>
      </c>
      <c r="AP1470" s="2">
        <v>564</v>
      </c>
      <c r="AQ1470" s="2">
        <v>68</v>
      </c>
      <c r="AR1470" s="2">
        <v>1.5</v>
      </c>
      <c r="AS1470" s="2">
        <v>135</v>
      </c>
      <c r="AT1470" s="2">
        <v>0</v>
      </c>
      <c r="AU1470" s="2">
        <v>162</v>
      </c>
      <c r="AV1470" s="2">
        <v>9.1</v>
      </c>
      <c r="AW1470" s="2">
        <v>9.1999999999999993</v>
      </c>
      <c r="AX1470" s="2">
        <v>18.3</v>
      </c>
      <c r="AY1470" s="2">
        <v>0.34</v>
      </c>
      <c r="AZ1470" s="2">
        <v>7.3</v>
      </c>
      <c r="BA1470" s="2">
        <v>0.9</v>
      </c>
      <c r="BB1470" s="2">
        <v>7.5</v>
      </c>
      <c r="BC1470" s="2">
        <v>2.9</v>
      </c>
      <c r="BD1470" s="2">
        <f>+AN1470*EXP(-0.0495*Y1470)</f>
        <v>2.0503403576618098</v>
      </c>
      <c r="BE1470" s="2">
        <f>+AO1470*EXP(-0.024*Y1470)</f>
        <v>10.098805265180271</v>
      </c>
    </row>
    <row r="1471" spans="1:57" x14ac:dyDescent="0.2">
      <c r="A1471" s="2" t="s">
        <v>323</v>
      </c>
      <c r="B1471" s="2" t="s">
        <v>19</v>
      </c>
      <c r="C1471" s="2" t="s">
        <v>20</v>
      </c>
      <c r="D1471" s="2" t="s">
        <v>21</v>
      </c>
      <c r="E1471" s="2" t="s">
        <v>180</v>
      </c>
      <c r="F1471" s="2">
        <v>6</v>
      </c>
      <c r="G1471" s="2">
        <v>246</v>
      </c>
      <c r="H1471" s="2">
        <v>3</v>
      </c>
      <c r="I1471" s="2">
        <v>4</v>
      </c>
      <c r="J1471" s="2">
        <v>2</v>
      </c>
      <c r="K1471" s="2" t="s">
        <v>61</v>
      </c>
      <c r="L1471" s="6" t="s">
        <v>75</v>
      </c>
      <c r="M1471" s="5">
        <v>2500000000</v>
      </c>
      <c r="N1471" s="2">
        <v>0</v>
      </c>
      <c r="O1471" s="2">
        <v>4.6739869120000002</v>
      </c>
      <c r="P1471" s="2">
        <v>-74.042434689999993</v>
      </c>
      <c r="Q1471" s="2" t="s">
        <v>324</v>
      </c>
      <c r="R1471" s="2">
        <v>10162601.630000001</v>
      </c>
      <c r="S1471" s="2">
        <v>0</v>
      </c>
      <c r="T1471" s="2" t="s">
        <v>55</v>
      </c>
      <c r="U1471" s="2" t="s">
        <v>56</v>
      </c>
      <c r="V1471" s="2" t="s">
        <v>28</v>
      </c>
      <c r="W1471" s="2" t="s">
        <v>55</v>
      </c>
      <c r="X1471" s="2" t="s">
        <v>57</v>
      </c>
      <c r="Y1471" s="2">
        <v>4.2618657379615197</v>
      </c>
      <c r="Z1471" s="2">
        <v>4.71035</v>
      </c>
      <c r="AA1471" s="2">
        <v>-74.030416666666696</v>
      </c>
      <c r="AB1471" s="2">
        <v>2570</v>
      </c>
      <c r="AC1471" s="2" t="s">
        <v>31</v>
      </c>
      <c r="AD1471" s="2" t="s">
        <v>58</v>
      </c>
      <c r="AE1471" s="2" t="s">
        <v>33</v>
      </c>
      <c r="AF1471" s="2" t="s">
        <v>34</v>
      </c>
      <c r="AG1471" s="2" t="s">
        <v>81</v>
      </c>
      <c r="AH1471" s="2">
        <v>1.85232337614771</v>
      </c>
      <c r="AI1471" s="2">
        <v>0.31394963021927702</v>
      </c>
      <c r="AJ1471" s="2">
        <v>0.99416336722123599</v>
      </c>
      <c r="AK1471" s="2">
        <v>0.18711225113611499</v>
      </c>
      <c r="AL1471" s="2">
        <v>1.1100895091665</v>
      </c>
      <c r="AM1471" s="2">
        <v>15.5</v>
      </c>
      <c r="AN1471" s="2">
        <v>2.4</v>
      </c>
      <c r="AO1471" s="2">
        <v>10.9</v>
      </c>
      <c r="AP1471" s="2">
        <v>564</v>
      </c>
      <c r="AQ1471" s="2">
        <v>68</v>
      </c>
      <c r="AR1471" s="2">
        <v>1.5</v>
      </c>
      <c r="AS1471" s="2">
        <v>135</v>
      </c>
      <c r="AT1471" s="2">
        <v>0</v>
      </c>
      <c r="AU1471" s="2">
        <v>162</v>
      </c>
      <c r="AV1471" s="2">
        <v>9.1</v>
      </c>
      <c r="AW1471" s="2">
        <v>9.1999999999999993</v>
      </c>
      <c r="AX1471" s="2">
        <v>18.3</v>
      </c>
      <c r="AY1471" s="2">
        <v>0.34</v>
      </c>
      <c r="AZ1471" s="2">
        <v>7.3</v>
      </c>
      <c r="BA1471" s="2">
        <v>0.9</v>
      </c>
      <c r="BB1471" s="2">
        <v>7.5</v>
      </c>
      <c r="BC1471" s="2">
        <v>2.9</v>
      </c>
      <c r="BD1471" s="2">
        <f>+AN1471*EXP(-0.0495*Y1471)</f>
        <v>1.94353092524654</v>
      </c>
      <c r="BE1471" s="2">
        <f>+AO1471*EXP(-0.024*Y1471)</f>
        <v>9.8402194389718023</v>
      </c>
    </row>
    <row r="1472" spans="1:57" x14ac:dyDescent="0.2">
      <c r="A1472" s="2" t="s">
        <v>4362</v>
      </c>
      <c r="B1472" s="2" t="s">
        <v>19</v>
      </c>
      <c r="C1472" s="2" t="s">
        <v>3245</v>
      </c>
      <c r="D1472" s="2" t="s">
        <v>21</v>
      </c>
      <c r="E1472" s="2" t="s">
        <v>1658</v>
      </c>
      <c r="F1472" s="2">
        <v>6</v>
      </c>
      <c r="G1472" s="2">
        <v>246</v>
      </c>
      <c r="H1472" s="2">
        <v>3</v>
      </c>
      <c r="I1472" s="2">
        <v>4</v>
      </c>
      <c r="J1472" s="2">
        <v>3</v>
      </c>
      <c r="K1472" s="2" t="s">
        <v>61</v>
      </c>
      <c r="L1472" s="6" t="s">
        <v>113</v>
      </c>
      <c r="M1472" s="5">
        <v>1980000000</v>
      </c>
      <c r="N1472" s="2">
        <v>0</v>
      </c>
      <c r="O1472" s="2">
        <v>4.7198758999999999</v>
      </c>
      <c r="P1472" s="2">
        <v>-74.025103700000003</v>
      </c>
      <c r="Q1472" s="2" t="s">
        <v>4363</v>
      </c>
      <c r="R1472" s="2">
        <v>8048780.4879999999</v>
      </c>
      <c r="S1472" s="2">
        <v>0</v>
      </c>
      <c r="T1472" s="2" t="s">
        <v>55</v>
      </c>
      <c r="U1472" s="2" t="s">
        <v>56</v>
      </c>
      <c r="V1472" s="2" t="s">
        <v>28</v>
      </c>
      <c r="W1472" s="2" t="s">
        <v>55</v>
      </c>
      <c r="X1472" s="2" t="s">
        <v>57</v>
      </c>
      <c r="Y1472" s="2">
        <v>1.2132274586073899</v>
      </c>
      <c r="Z1472" s="2">
        <v>4.71035</v>
      </c>
      <c r="AA1472" s="2">
        <v>-74.030416666666696</v>
      </c>
      <c r="AB1472" s="2">
        <v>2570</v>
      </c>
      <c r="AC1472" s="2" t="s">
        <v>31</v>
      </c>
      <c r="AD1472" s="2" t="s">
        <v>58</v>
      </c>
      <c r="AE1472" s="2" t="s">
        <v>33</v>
      </c>
      <c r="AF1472" s="2" t="s">
        <v>34</v>
      </c>
      <c r="AG1472" s="2" t="s">
        <v>59</v>
      </c>
      <c r="AH1472" s="2">
        <v>2.9197061640762501</v>
      </c>
      <c r="AI1472" s="2">
        <v>0.172637400418443</v>
      </c>
      <c r="AJ1472" s="2">
        <v>1.3202447424058099</v>
      </c>
      <c r="AK1472" s="2">
        <v>0.41938158640277601</v>
      </c>
      <c r="AL1472" s="2">
        <v>0.25490822894182003</v>
      </c>
      <c r="AM1472" s="2">
        <v>15.5</v>
      </c>
      <c r="AN1472" s="2">
        <v>2.4</v>
      </c>
      <c r="AO1472" s="2">
        <v>10.9</v>
      </c>
      <c r="AP1472" s="2">
        <v>564</v>
      </c>
      <c r="AQ1472" s="2">
        <v>68</v>
      </c>
      <c r="AR1472" s="2">
        <v>1.5</v>
      </c>
      <c r="AS1472" s="2">
        <v>135</v>
      </c>
      <c r="AT1472" s="2">
        <v>0</v>
      </c>
      <c r="AU1472" s="2">
        <v>162</v>
      </c>
      <c r="AV1472" s="2">
        <v>9.1</v>
      </c>
      <c r="AW1472" s="2">
        <v>9.1999999999999993</v>
      </c>
      <c r="AX1472" s="2">
        <v>18.3</v>
      </c>
      <c r="AY1472" s="2">
        <v>0.34</v>
      </c>
      <c r="AZ1472" s="2">
        <v>7.3</v>
      </c>
      <c r="BA1472" s="2">
        <v>0.9</v>
      </c>
      <c r="BB1472" s="2">
        <v>7.5</v>
      </c>
      <c r="BC1472" s="2">
        <v>2.9</v>
      </c>
      <c r="BD1472" s="2">
        <f>+AN1472*EXP(-0.0495*Y1472)</f>
        <v>2.2601111153345883</v>
      </c>
      <c r="BE1472" s="2">
        <f>+AO1472*EXP(-0.024*Y1472)</f>
        <v>10.587195828144971</v>
      </c>
    </row>
    <row r="1473" spans="1:57" x14ac:dyDescent="0.2">
      <c r="A1473" s="2" t="s">
        <v>3188</v>
      </c>
      <c r="B1473" s="2" t="s">
        <v>19</v>
      </c>
      <c r="C1473" s="2" t="s">
        <v>1907</v>
      </c>
      <c r="D1473" s="2" t="s">
        <v>21</v>
      </c>
      <c r="E1473" s="2" t="s">
        <v>1402</v>
      </c>
      <c r="F1473" s="2">
        <v>6</v>
      </c>
      <c r="G1473" s="2">
        <v>246</v>
      </c>
      <c r="H1473" s="2">
        <v>3</v>
      </c>
      <c r="I1473" s="2">
        <v>3</v>
      </c>
      <c r="J1473" s="2">
        <v>2</v>
      </c>
      <c r="K1473" s="2" t="s">
        <v>61</v>
      </c>
      <c r="L1473" s="6" t="s">
        <v>113</v>
      </c>
      <c r="M1473" s="5">
        <v>1800000000</v>
      </c>
      <c r="N1473" s="2">
        <v>0</v>
      </c>
      <c r="O1473" s="2">
        <v>4.7040899999999999</v>
      </c>
      <c r="P1473" s="2">
        <v>-74.036709999999999</v>
      </c>
      <c r="Q1473" s="2" t="s">
        <v>3189</v>
      </c>
      <c r="R1473" s="2">
        <v>7317073.1710000001</v>
      </c>
      <c r="S1473" s="2">
        <v>0</v>
      </c>
      <c r="T1473" s="2" t="s">
        <v>55</v>
      </c>
      <c r="U1473" s="2" t="s">
        <v>56</v>
      </c>
      <c r="V1473" s="2" t="s">
        <v>28</v>
      </c>
      <c r="W1473" s="2" t="s">
        <v>55</v>
      </c>
      <c r="X1473" s="2" t="s">
        <v>57</v>
      </c>
      <c r="Y1473" s="2">
        <v>0.98646228181631102</v>
      </c>
      <c r="Z1473" s="2">
        <v>4.71035</v>
      </c>
      <c r="AA1473" s="2">
        <v>-74.030416666666696</v>
      </c>
      <c r="AB1473" s="2">
        <v>2570</v>
      </c>
      <c r="AC1473" s="2" t="s">
        <v>31</v>
      </c>
      <c r="AD1473" s="2" t="s">
        <v>58</v>
      </c>
      <c r="AE1473" s="2" t="s">
        <v>33</v>
      </c>
      <c r="AF1473" s="2" t="s">
        <v>34</v>
      </c>
      <c r="AG1473" s="2" t="s">
        <v>59</v>
      </c>
      <c r="AH1473" s="2">
        <v>1.94297270466452</v>
      </c>
      <c r="AI1473" s="2">
        <v>1.25162578336667</v>
      </c>
      <c r="AJ1473" s="2">
        <v>0.56071540291885602</v>
      </c>
      <c r="AK1473" s="2">
        <v>5.8532822189509698E-2</v>
      </c>
      <c r="AL1473" s="2">
        <v>0.30253369989555101</v>
      </c>
      <c r="AM1473" s="2">
        <v>15.5</v>
      </c>
      <c r="AN1473" s="2">
        <v>2.4</v>
      </c>
      <c r="AO1473" s="2">
        <v>10.9</v>
      </c>
      <c r="AP1473" s="2">
        <v>564</v>
      </c>
      <c r="AQ1473" s="2">
        <v>68</v>
      </c>
      <c r="AR1473" s="2">
        <v>1.5</v>
      </c>
      <c r="AS1473" s="2">
        <v>135</v>
      </c>
      <c r="AT1473" s="2">
        <v>0</v>
      </c>
      <c r="AU1473" s="2">
        <v>162</v>
      </c>
      <c r="AV1473" s="2">
        <v>9.1</v>
      </c>
      <c r="AW1473" s="2">
        <v>9.1999999999999993</v>
      </c>
      <c r="AX1473" s="2">
        <v>18.3</v>
      </c>
      <c r="AY1473" s="2">
        <v>0.34</v>
      </c>
      <c r="AZ1473" s="2">
        <v>7.3</v>
      </c>
      <c r="BA1473" s="2">
        <v>0.9</v>
      </c>
      <c r="BB1473" s="2">
        <v>7.5</v>
      </c>
      <c r="BC1473" s="2">
        <v>2.9</v>
      </c>
      <c r="BD1473" s="2">
        <f>+AN1473*EXP(-0.0495*Y1473)</f>
        <v>2.2856235017332684</v>
      </c>
      <c r="BE1473" s="2">
        <f>+AO1473*EXP(-0.024*Y1473)</f>
        <v>10.644972281798037</v>
      </c>
    </row>
    <row r="1474" spans="1:57" x14ac:dyDescent="0.2">
      <c r="A1474" s="2" t="s">
        <v>1120</v>
      </c>
      <c r="B1474" s="2" t="s">
        <v>19</v>
      </c>
      <c r="C1474" s="2" t="s">
        <v>20</v>
      </c>
      <c r="D1474" s="2" t="s">
        <v>21</v>
      </c>
      <c r="E1474" s="2" t="s">
        <v>288</v>
      </c>
      <c r="F1474" s="2">
        <v>5</v>
      </c>
      <c r="G1474" s="2">
        <v>245.22</v>
      </c>
      <c r="H1474" s="2">
        <v>3</v>
      </c>
      <c r="I1474" s="2">
        <v>4</v>
      </c>
      <c r="J1474" s="2">
        <v>4</v>
      </c>
      <c r="K1474" s="2" t="s">
        <v>61</v>
      </c>
      <c r="L1474" s="6" t="s">
        <v>113</v>
      </c>
      <c r="M1474" s="5">
        <v>1350000000</v>
      </c>
      <c r="N1474" s="2">
        <v>0</v>
      </c>
      <c r="O1474" s="2">
        <v>4.7010709999999998</v>
      </c>
      <c r="P1474" s="2">
        <v>-74.050597999999994</v>
      </c>
      <c r="Q1474" s="2" t="s">
        <v>1121</v>
      </c>
      <c r="R1474" s="2">
        <v>5505260.5820000004</v>
      </c>
      <c r="S1474" s="2">
        <v>0</v>
      </c>
      <c r="T1474" s="2" t="s">
        <v>55</v>
      </c>
      <c r="U1474" s="2" t="s">
        <v>56</v>
      </c>
      <c r="V1474" s="2" t="s">
        <v>28</v>
      </c>
      <c r="W1474" s="2" t="s">
        <v>55</v>
      </c>
      <c r="X1474" s="2" t="s">
        <v>57</v>
      </c>
      <c r="Y1474" s="2">
        <v>2.46578309522826</v>
      </c>
      <c r="Z1474" s="2">
        <v>4.71035</v>
      </c>
      <c r="AA1474" s="2">
        <v>-74.030416666666696</v>
      </c>
      <c r="AB1474" s="2">
        <v>2570</v>
      </c>
      <c r="AC1474" s="2" t="s">
        <v>31</v>
      </c>
      <c r="AD1474" s="2" t="s">
        <v>58</v>
      </c>
      <c r="AE1474" s="2" t="s">
        <v>33</v>
      </c>
      <c r="AF1474" s="2" t="s">
        <v>34</v>
      </c>
      <c r="AG1474" s="2" t="s">
        <v>59</v>
      </c>
      <c r="AH1474" s="2">
        <v>0.56327036161380695</v>
      </c>
      <c r="AI1474" s="2">
        <v>2.7508923927187401</v>
      </c>
      <c r="AJ1474" s="2">
        <v>0.86350527687336698</v>
      </c>
      <c r="AK1474" s="2">
        <v>7.1420402985399006E-2</v>
      </c>
      <c r="AL1474" s="2">
        <v>0.103944048723079</v>
      </c>
      <c r="AM1474" s="2">
        <v>15.5</v>
      </c>
      <c r="AN1474" s="2">
        <v>2.4</v>
      </c>
      <c r="AO1474" s="2">
        <v>10.9</v>
      </c>
      <c r="AP1474" s="2">
        <v>564</v>
      </c>
      <c r="AQ1474" s="2">
        <v>68</v>
      </c>
      <c r="AR1474" s="2">
        <v>1.5</v>
      </c>
      <c r="AS1474" s="2">
        <v>135</v>
      </c>
      <c r="AT1474" s="2">
        <v>0</v>
      </c>
      <c r="AU1474" s="2">
        <v>162</v>
      </c>
      <c r="AV1474" s="2">
        <v>9.1</v>
      </c>
      <c r="AW1474" s="2">
        <v>9.1999999999999993</v>
      </c>
      <c r="AX1474" s="2">
        <v>18.3</v>
      </c>
      <c r="AY1474" s="2">
        <v>0.34</v>
      </c>
      <c r="AZ1474" s="2">
        <v>7.3</v>
      </c>
      <c r="BA1474" s="2">
        <v>0.9</v>
      </c>
      <c r="BB1474" s="2">
        <v>7.5</v>
      </c>
      <c r="BC1474" s="2">
        <v>2.9</v>
      </c>
      <c r="BD1474" s="2">
        <f>+AN1474*EXP(-0.0495*Y1474)</f>
        <v>2.124236564668057</v>
      </c>
      <c r="BE1474" s="2">
        <f>+AO1474*EXP(-0.024*Y1474)</f>
        <v>10.273666746686196</v>
      </c>
    </row>
    <row r="1475" spans="1:57" x14ac:dyDescent="0.2">
      <c r="A1475" s="2" t="s">
        <v>1902</v>
      </c>
      <c r="B1475" s="2" t="s">
        <v>19</v>
      </c>
      <c r="C1475" s="2" t="s">
        <v>20</v>
      </c>
      <c r="D1475" s="2" t="s">
        <v>21</v>
      </c>
      <c r="E1475" s="2" t="s">
        <v>161</v>
      </c>
      <c r="F1475" s="2">
        <v>6</v>
      </c>
      <c r="G1475" s="2">
        <v>245</v>
      </c>
      <c r="H1475" s="2">
        <v>4</v>
      </c>
      <c r="I1475" s="2">
        <v>5</v>
      </c>
      <c r="J1475" s="2">
        <v>3</v>
      </c>
      <c r="K1475" s="2" t="s">
        <v>61</v>
      </c>
      <c r="L1475" s="6" t="s">
        <v>113</v>
      </c>
      <c r="M1475" s="5">
        <v>1420000000</v>
      </c>
      <c r="N1475" s="2">
        <v>0</v>
      </c>
      <c r="O1475" s="2">
        <v>4.6969804999999996</v>
      </c>
      <c r="P1475" s="2">
        <v>-74.050835000000006</v>
      </c>
      <c r="Q1475" s="2" t="s">
        <v>1903</v>
      </c>
      <c r="R1475" s="2">
        <v>5795918.3669999996</v>
      </c>
      <c r="S1475" s="2">
        <v>0</v>
      </c>
      <c r="T1475" s="2" t="s">
        <v>55</v>
      </c>
      <c r="U1475" s="2" t="s">
        <v>56</v>
      </c>
      <c r="V1475" s="2" t="s">
        <v>28</v>
      </c>
      <c r="W1475" s="2" t="s">
        <v>55</v>
      </c>
      <c r="X1475" s="2" t="s">
        <v>57</v>
      </c>
      <c r="Y1475" s="2">
        <v>2.7104602572354901</v>
      </c>
      <c r="Z1475" s="2">
        <v>4.71035</v>
      </c>
      <c r="AA1475" s="2">
        <v>-74.030416666666696</v>
      </c>
      <c r="AB1475" s="2">
        <v>2570</v>
      </c>
      <c r="AC1475" s="2" t="s">
        <v>31</v>
      </c>
      <c r="AD1475" s="2" t="s">
        <v>58</v>
      </c>
      <c r="AE1475" s="2" t="s">
        <v>33</v>
      </c>
      <c r="AF1475" s="2" t="s">
        <v>34</v>
      </c>
      <c r="AG1475" s="2" t="s">
        <v>59</v>
      </c>
      <c r="AH1475" s="2">
        <v>0.51196871122381304</v>
      </c>
      <c r="AI1475" s="2">
        <v>2.5945105506982</v>
      </c>
      <c r="AJ1475" s="2">
        <v>0.42183633322514502</v>
      </c>
      <c r="AK1475" s="2">
        <v>4.4003328912310402E-2</v>
      </c>
      <c r="AL1475" s="2">
        <v>0.21410480902725099</v>
      </c>
      <c r="AM1475" s="2">
        <v>15.5</v>
      </c>
      <c r="AN1475" s="2">
        <v>2.4</v>
      </c>
      <c r="AO1475" s="2">
        <v>10.9</v>
      </c>
      <c r="AP1475" s="2">
        <v>564</v>
      </c>
      <c r="AQ1475" s="2">
        <v>68</v>
      </c>
      <c r="AR1475" s="2">
        <v>1.5</v>
      </c>
      <c r="AS1475" s="2">
        <v>135</v>
      </c>
      <c r="AT1475" s="2">
        <v>0</v>
      </c>
      <c r="AU1475" s="2">
        <v>162</v>
      </c>
      <c r="AV1475" s="2">
        <v>9.1</v>
      </c>
      <c r="AW1475" s="2">
        <v>9.1999999999999993</v>
      </c>
      <c r="AX1475" s="2">
        <v>18.3</v>
      </c>
      <c r="AY1475" s="2">
        <v>0.34</v>
      </c>
      <c r="AZ1475" s="2">
        <v>7.3</v>
      </c>
      <c r="BA1475" s="2">
        <v>0.9</v>
      </c>
      <c r="BB1475" s="2">
        <v>7.5</v>
      </c>
      <c r="BC1475" s="2">
        <v>2.9</v>
      </c>
      <c r="BD1475" s="2">
        <f>+AN1475*EXP(-0.0495*Y1475)</f>
        <v>2.0986640059236645</v>
      </c>
      <c r="BE1475" s="2">
        <f>+AO1475*EXP(-0.024*Y1475)</f>
        <v>10.213513976698685</v>
      </c>
    </row>
    <row r="1476" spans="1:57" x14ac:dyDescent="0.2">
      <c r="A1476" s="2" t="s">
        <v>2298</v>
      </c>
      <c r="B1476" s="2" t="s">
        <v>19</v>
      </c>
      <c r="C1476" s="2" t="s">
        <v>1907</v>
      </c>
      <c r="D1476" s="2" t="s">
        <v>21</v>
      </c>
      <c r="E1476" s="2" t="s">
        <v>1600</v>
      </c>
      <c r="F1476" s="2">
        <v>6</v>
      </c>
      <c r="G1476" s="2">
        <v>245</v>
      </c>
      <c r="H1476" s="2">
        <v>3</v>
      </c>
      <c r="I1476" s="2">
        <v>5</v>
      </c>
      <c r="J1476" s="2">
        <v>4</v>
      </c>
      <c r="K1476" s="2" t="s">
        <v>61</v>
      </c>
      <c r="L1476" s="6" t="s">
        <v>113</v>
      </c>
      <c r="M1476" s="5">
        <v>1450000000</v>
      </c>
      <c r="N1476" s="2">
        <v>0</v>
      </c>
      <c r="O1476" s="2">
        <v>4.6911455870000003</v>
      </c>
      <c r="P1476" s="2">
        <v>-74.041738580000001</v>
      </c>
      <c r="Q1476" s="2" t="s">
        <v>2299</v>
      </c>
      <c r="R1476" s="2">
        <v>5918367.3470000001</v>
      </c>
      <c r="S1476" s="2">
        <v>0</v>
      </c>
      <c r="T1476" s="2" t="s">
        <v>55</v>
      </c>
      <c r="U1476" s="2" t="s">
        <v>56</v>
      </c>
      <c r="V1476" s="2" t="s">
        <v>28</v>
      </c>
      <c r="W1476" s="2" t="s">
        <v>55</v>
      </c>
      <c r="X1476" s="2" t="s">
        <v>57</v>
      </c>
      <c r="Y1476" s="2">
        <v>2.4795383871114201</v>
      </c>
      <c r="Z1476" s="2">
        <v>4.71035</v>
      </c>
      <c r="AA1476" s="2">
        <v>-74.030416666666696</v>
      </c>
      <c r="AB1476" s="2">
        <v>2570</v>
      </c>
      <c r="AC1476" s="2" t="s">
        <v>31</v>
      </c>
      <c r="AD1476" s="2" t="s">
        <v>58</v>
      </c>
      <c r="AE1476" s="2" t="s">
        <v>33</v>
      </c>
      <c r="AF1476" s="2" t="s">
        <v>34</v>
      </c>
      <c r="AG1476" s="2" t="s">
        <v>59</v>
      </c>
      <c r="AH1476" s="2">
        <v>1.61433197630134</v>
      </c>
      <c r="AI1476" s="2">
        <v>1.5050327990756101</v>
      </c>
      <c r="AJ1476" s="2">
        <v>0.93024097060793798</v>
      </c>
      <c r="AK1476" s="2">
        <v>0.18618723043824301</v>
      </c>
      <c r="AL1476" s="2">
        <v>0.26848533996526702</v>
      </c>
      <c r="AM1476" s="2">
        <v>15.5</v>
      </c>
      <c r="AN1476" s="2">
        <v>2.4</v>
      </c>
      <c r="AO1476" s="2">
        <v>10.9</v>
      </c>
      <c r="AP1476" s="2">
        <v>564</v>
      </c>
      <c r="AQ1476" s="2">
        <v>68</v>
      </c>
      <c r="AR1476" s="2">
        <v>1.5</v>
      </c>
      <c r="AS1476" s="2">
        <v>135</v>
      </c>
      <c r="AT1476" s="2">
        <v>0</v>
      </c>
      <c r="AU1476" s="2">
        <v>162</v>
      </c>
      <c r="AV1476" s="2">
        <v>9.1</v>
      </c>
      <c r="AW1476" s="2">
        <v>9.1999999999999993</v>
      </c>
      <c r="AX1476" s="2">
        <v>18.3</v>
      </c>
      <c r="AY1476" s="2">
        <v>0.34</v>
      </c>
      <c r="AZ1476" s="2">
        <v>7.3</v>
      </c>
      <c r="BA1476" s="2">
        <v>0.9</v>
      </c>
      <c r="BB1476" s="2">
        <v>7.5</v>
      </c>
      <c r="BC1476" s="2">
        <v>2.9</v>
      </c>
      <c r="BD1476" s="2">
        <f>+AN1476*EXP(-0.0495*Y1476)</f>
        <v>2.1227906920100206</v>
      </c>
      <c r="BE1476" s="2">
        <f>+AO1476*EXP(-0.024*Y1476)</f>
        <v>10.270275691620956</v>
      </c>
    </row>
    <row r="1477" spans="1:57" x14ac:dyDescent="0.2">
      <c r="A1477" s="2" t="s">
        <v>3081</v>
      </c>
      <c r="B1477" s="2" t="s">
        <v>19</v>
      </c>
      <c r="C1477" s="2" t="s">
        <v>1907</v>
      </c>
      <c r="D1477" s="2" t="s">
        <v>21</v>
      </c>
      <c r="E1477" s="2" t="s">
        <v>83</v>
      </c>
      <c r="F1477" s="2">
        <v>6</v>
      </c>
      <c r="G1477" s="2">
        <v>243</v>
      </c>
      <c r="H1477" s="2">
        <v>4</v>
      </c>
      <c r="I1477" s="2">
        <v>4</v>
      </c>
      <c r="J1477" s="2">
        <v>3</v>
      </c>
      <c r="K1477" s="2" t="s">
        <v>61</v>
      </c>
      <c r="L1477" s="6" t="s">
        <v>84</v>
      </c>
      <c r="M1477" s="5">
        <v>2600000000</v>
      </c>
      <c r="N1477" s="2">
        <v>0</v>
      </c>
      <c r="O1477" s="2">
        <v>4.6770290000000001</v>
      </c>
      <c r="P1477" s="2">
        <v>-74.043413000000001</v>
      </c>
      <c r="Q1477" s="2" t="s">
        <v>3082</v>
      </c>
      <c r="R1477" s="2">
        <v>10699588.48</v>
      </c>
      <c r="S1477" s="2">
        <v>0</v>
      </c>
      <c r="T1477" s="2" t="s">
        <v>55</v>
      </c>
      <c r="U1477" s="2" t="s">
        <v>56</v>
      </c>
      <c r="V1477" s="2" t="s">
        <v>28</v>
      </c>
      <c r="W1477" s="2" t="s">
        <v>55</v>
      </c>
      <c r="X1477" s="2" t="s">
        <v>57</v>
      </c>
      <c r="Y1477" s="2">
        <v>3.97967216988993</v>
      </c>
      <c r="Z1477" s="2">
        <v>4.71035</v>
      </c>
      <c r="AA1477" s="2">
        <v>-74.030416666666696</v>
      </c>
      <c r="AB1477" s="2">
        <v>2570</v>
      </c>
      <c r="AC1477" s="2" t="s">
        <v>31</v>
      </c>
      <c r="AD1477" s="2" t="s">
        <v>58</v>
      </c>
      <c r="AE1477" s="2" t="s">
        <v>33</v>
      </c>
      <c r="AF1477" s="2" t="s">
        <v>34</v>
      </c>
      <c r="AG1477" s="2" t="s">
        <v>81</v>
      </c>
      <c r="AH1477" s="2">
        <v>1.7342218273502901</v>
      </c>
      <c r="AI1477" s="2">
        <v>0.54708408241155504</v>
      </c>
      <c r="AJ1477" s="2">
        <v>0.75313841696607498</v>
      </c>
      <c r="AK1477" s="2">
        <v>0.21106395606712</v>
      </c>
      <c r="AL1477" s="2">
        <v>1.1841485198716799</v>
      </c>
      <c r="AM1477" s="2">
        <v>15.5</v>
      </c>
      <c r="AN1477" s="2">
        <v>2.4</v>
      </c>
      <c r="AO1477" s="2">
        <v>10.9</v>
      </c>
      <c r="AP1477" s="2">
        <v>564</v>
      </c>
      <c r="AQ1477" s="2">
        <v>68</v>
      </c>
      <c r="AR1477" s="2">
        <v>1.5</v>
      </c>
      <c r="AS1477" s="2">
        <v>135</v>
      </c>
      <c r="AT1477" s="2">
        <v>0</v>
      </c>
      <c r="AU1477" s="2">
        <v>162</v>
      </c>
      <c r="AV1477" s="2">
        <v>9.1</v>
      </c>
      <c r="AW1477" s="2">
        <v>9.1999999999999993</v>
      </c>
      <c r="AX1477" s="2">
        <v>18.3</v>
      </c>
      <c r="AY1477" s="2">
        <v>0.34</v>
      </c>
      <c r="AZ1477" s="2">
        <v>7.3</v>
      </c>
      <c r="BA1477" s="2">
        <v>0.9</v>
      </c>
      <c r="BB1477" s="2">
        <v>7.5</v>
      </c>
      <c r="BC1477" s="2">
        <v>2.9</v>
      </c>
      <c r="BD1477" s="2">
        <f>+AN1477*EXP(-0.0495*Y1477)</f>
        <v>1.9708697936820634</v>
      </c>
      <c r="BE1477" s="2">
        <f>+AO1477*EXP(-0.024*Y1477)</f>
        <v>9.9070899477142724</v>
      </c>
    </row>
    <row r="1478" spans="1:57" x14ac:dyDescent="0.2">
      <c r="A1478" s="2" t="s">
        <v>2805</v>
      </c>
      <c r="B1478" s="2" t="s">
        <v>19</v>
      </c>
      <c r="C1478" s="2" t="s">
        <v>1907</v>
      </c>
      <c r="D1478" s="2" t="s">
        <v>21</v>
      </c>
      <c r="E1478" s="2" t="s">
        <v>24</v>
      </c>
      <c r="F1478" s="2">
        <v>5</v>
      </c>
      <c r="G1478" s="2">
        <v>243</v>
      </c>
      <c r="H1478" s="2">
        <v>5</v>
      </c>
      <c r="I1478" s="2">
        <v>4</v>
      </c>
      <c r="J1478" s="2">
        <v>3</v>
      </c>
      <c r="K1478" s="2" t="s">
        <v>61</v>
      </c>
      <c r="L1478" s="6" t="s">
        <v>113</v>
      </c>
      <c r="M1478" s="5">
        <v>1400000000</v>
      </c>
      <c r="N1478" s="2">
        <v>0</v>
      </c>
      <c r="O1478" s="2">
        <v>4.690046787</v>
      </c>
      <c r="P1478" s="2">
        <v>-74.059570309999998</v>
      </c>
      <c r="Q1478" s="2" t="s">
        <v>2806</v>
      </c>
      <c r="R1478" s="2">
        <v>5761316.8720000004</v>
      </c>
      <c r="S1478" s="2">
        <v>0</v>
      </c>
      <c r="T1478" s="2" t="s">
        <v>55</v>
      </c>
      <c r="U1478" s="2" t="s">
        <v>56</v>
      </c>
      <c r="V1478" s="2" t="s">
        <v>28</v>
      </c>
      <c r="W1478" s="2" t="s">
        <v>55</v>
      </c>
      <c r="X1478" s="2" t="s">
        <v>57</v>
      </c>
      <c r="Y1478" s="2">
        <v>3.9458771150774501</v>
      </c>
      <c r="Z1478" s="2">
        <v>4.71035</v>
      </c>
      <c r="AA1478" s="2">
        <v>-74.030416666666696</v>
      </c>
      <c r="AB1478" s="2">
        <v>2570</v>
      </c>
      <c r="AC1478" s="2" t="s">
        <v>31</v>
      </c>
      <c r="AD1478" s="2" t="s">
        <v>58</v>
      </c>
      <c r="AE1478" s="2" t="s">
        <v>33</v>
      </c>
      <c r="AF1478" s="2" t="s">
        <v>34</v>
      </c>
      <c r="AG1478" s="2" t="s">
        <v>72</v>
      </c>
      <c r="AH1478" s="2">
        <v>0.49635896827342002</v>
      </c>
      <c r="AI1478" s="2">
        <v>2.8434995200358602</v>
      </c>
      <c r="AJ1478" s="2">
        <v>0.88695057031525204</v>
      </c>
      <c r="AK1478" s="2">
        <v>0.102473749513622</v>
      </c>
      <c r="AL1478" s="2">
        <v>0.20696907203102399</v>
      </c>
      <c r="AM1478" s="2">
        <v>15.5</v>
      </c>
      <c r="AN1478" s="2">
        <v>2.4</v>
      </c>
      <c r="AO1478" s="2">
        <v>10.9</v>
      </c>
      <c r="AP1478" s="2">
        <v>564</v>
      </c>
      <c r="AQ1478" s="2">
        <v>68</v>
      </c>
      <c r="AR1478" s="2">
        <v>1.5</v>
      </c>
      <c r="AS1478" s="2">
        <v>135</v>
      </c>
      <c r="AT1478" s="2">
        <v>0</v>
      </c>
      <c r="AU1478" s="2">
        <v>162</v>
      </c>
      <c r="AV1478" s="2">
        <v>9.1</v>
      </c>
      <c r="AW1478" s="2">
        <v>9.1999999999999993</v>
      </c>
      <c r="AX1478" s="2">
        <v>18.3</v>
      </c>
      <c r="AY1478" s="2">
        <v>0.34</v>
      </c>
      <c r="AZ1478" s="2">
        <v>7.3</v>
      </c>
      <c r="BA1478" s="2">
        <v>0.9</v>
      </c>
      <c r="BB1478" s="2">
        <v>7.5</v>
      </c>
      <c r="BC1478" s="2">
        <v>2.9</v>
      </c>
      <c r="BD1478" s="2">
        <f>+AN1478*EXP(-0.0495*Y1478)</f>
        <v>1.9741695327143074</v>
      </c>
      <c r="BE1478" s="2">
        <f>+AO1478*EXP(-0.024*Y1478)</f>
        <v>9.9151286628469695</v>
      </c>
    </row>
    <row r="1479" spans="1:57" x14ac:dyDescent="0.2">
      <c r="A1479" s="2" t="s">
        <v>2182</v>
      </c>
      <c r="B1479" s="2" t="s">
        <v>19</v>
      </c>
      <c r="C1479" s="2" t="s">
        <v>1907</v>
      </c>
      <c r="D1479" s="2" t="s">
        <v>21</v>
      </c>
      <c r="E1479" s="2" t="s">
        <v>961</v>
      </c>
      <c r="F1479" s="2">
        <v>5</v>
      </c>
      <c r="G1479" s="2">
        <v>243</v>
      </c>
      <c r="H1479" s="2">
        <v>4</v>
      </c>
      <c r="I1479" s="2">
        <v>5</v>
      </c>
      <c r="J1479" s="2">
        <v>3</v>
      </c>
      <c r="K1479" s="2" t="s">
        <v>61</v>
      </c>
      <c r="L1479" s="6" t="s">
        <v>113</v>
      </c>
      <c r="M1479" s="5">
        <v>1400000000</v>
      </c>
      <c r="N1479" s="2">
        <v>0</v>
      </c>
      <c r="O1479" s="2">
        <v>4.6921799999999996</v>
      </c>
      <c r="P1479" s="2">
        <v>-74.060360000000003</v>
      </c>
      <c r="Q1479" s="2" t="s">
        <v>2183</v>
      </c>
      <c r="R1479" s="2">
        <v>5761316.8720000004</v>
      </c>
      <c r="S1479" s="2">
        <v>0</v>
      </c>
      <c r="T1479" s="2" t="s">
        <v>55</v>
      </c>
      <c r="U1479" s="2" t="s">
        <v>56</v>
      </c>
      <c r="V1479" s="2" t="s">
        <v>28</v>
      </c>
      <c r="W1479" s="2" t="s">
        <v>55</v>
      </c>
      <c r="X1479" s="2" t="s">
        <v>57</v>
      </c>
      <c r="Y1479" s="2">
        <v>3.8893844042357002</v>
      </c>
      <c r="Z1479" s="2">
        <v>4.71035</v>
      </c>
      <c r="AA1479" s="2">
        <v>-74.030416666666696</v>
      </c>
      <c r="AB1479" s="2">
        <v>2570</v>
      </c>
      <c r="AC1479" s="2" t="s">
        <v>31</v>
      </c>
      <c r="AD1479" s="2" t="s">
        <v>58</v>
      </c>
      <c r="AE1479" s="2" t="s">
        <v>33</v>
      </c>
      <c r="AF1479" s="2" t="s">
        <v>34</v>
      </c>
      <c r="AG1479" s="2" t="s">
        <v>72</v>
      </c>
      <c r="AH1479" s="2">
        <v>0.47162004336454599</v>
      </c>
      <c r="AI1479" s="2">
        <v>3.0560358401364001</v>
      </c>
      <c r="AJ1479" s="2">
        <v>1.09755624151464</v>
      </c>
      <c r="AK1479" s="2">
        <v>0.20084159389807499</v>
      </c>
      <c r="AL1479" s="2">
        <v>8.1796081471594506E-2</v>
      </c>
      <c r="AM1479" s="2">
        <v>15.5</v>
      </c>
      <c r="AN1479" s="2">
        <v>2.4</v>
      </c>
      <c r="AO1479" s="2">
        <v>10.9</v>
      </c>
      <c r="AP1479" s="2">
        <v>564</v>
      </c>
      <c r="AQ1479" s="2">
        <v>68</v>
      </c>
      <c r="AR1479" s="2">
        <v>1.5</v>
      </c>
      <c r="AS1479" s="2">
        <v>135</v>
      </c>
      <c r="AT1479" s="2">
        <v>0</v>
      </c>
      <c r="AU1479" s="2">
        <v>162</v>
      </c>
      <c r="AV1479" s="2">
        <v>9.1</v>
      </c>
      <c r="AW1479" s="2">
        <v>9.1999999999999993</v>
      </c>
      <c r="AX1479" s="2">
        <v>18.3</v>
      </c>
      <c r="AY1479" s="2">
        <v>0.34</v>
      </c>
      <c r="AZ1479" s="2">
        <v>7.3</v>
      </c>
      <c r="BA1479" s="2">
        <v>0.9</v>
      </c>
      <c r="BB1479" s="2">
        <v>7.5</v>
      </c>
      <c r="BC1479" s="2">
        <v>2.9</v>
      </c>
      <c r="BD1479" s="2">
        <f>+AN1479*EXP(-0.0495*Y1479)</f>
        <v>1.9796978050462268</v>
      </c>
      <c r="BE1479" s="2">
        <f>+AO1479*EXP(-0.024*Y1479)</f>
        <v>9.9285809601833712</v>
      </c>
    </row>
    <row r="1480" spans="1:57" x14ac:dyDescent="0.2">
      <c r="A1480" s="2" t="s">
        <v>1630</v>
      </c>
      <c r="B1480" s="2" t="s">
        <v>19</v>
      </c>
      <c r="C1480" s="2" t="s">
        <v>20</v>
      </c>
      <c r="D1480" s="2" t="s">
        <v>21</v>
      </c>
      <c r="E1480" s="2" t="s">
        <v>699</v>
      </c>
      <c r="F1480" s="2">
        <v>6</v>
      </c>
      <c r="G1480" s="2">
        <v>243</v>
      </c>
      <c r="H1480" s="2">
        <v>4</v>
      </c>
      <c r="I1480" s="2">
        <v>5</v>
      </c>
      <c r="J1480" s="2">
        <v>3</v>
      </c>
      <c r="K1480" s="2" t="s">
        <v>61</v>
      </c>
      <c r="L1480" s="6" t="s">
        <v>113</v>
      </c>
      <c r="M1480" s="5">
        <v>1590000000</v>
      </c>
      <c r="N1480" s="2">
        <v>0</v>
      </c>
      <c r="O1480" s="2">
        <v>4.6894299999999998</v>
      </c>
      <c r="P1480" s="2">
        <v>-74.041229999999999</v>
      </c>
      <c r="Q1480" s="2" t="s">
        <v>1631</v>
      </c>
      <c r="R1480" s="2">
        <v>6543209.8770000003</v>
      </c>
      <c r="S1480" s="2">
        <v>0</v>
      </c>
      <c r="T1480" s="2" t="s">
        <v>55</v>
      </c>
      <c r="U1480" s="2" t="s">
        <v>56</v>
      </c>
      <c r="V1480" s="2" t="s">
        <v>28</v>
      </c>
      <c r="W1480" s="2" t="s">
        <v>55</v>
      </c>
      <c r="X1480" s="2" t="s">
        <v>57</v>
      </c>
      <c r="Y1480" s="2">
        <v>2.6196519593985399</v>
      </c>
      <c r="Z1480" s="2">
        <v>4.71035</v>
      </c>
      <c r="AA1480" s="2">
        <v>-74.030416666666696</v>
      </c>
      <c r="AB1480" s="2">
        <v>2570</v>
      </c>
      <c r="AC1480" s="2" t="s">
        <v>31</v>
      </c>
      <c r="AD1480" s="2" t="s">
        <v>58</v>
      </c>
      <c r="AE1480" s="2" t="s">
        <v>33</v>
      </c>
      <c r="AF1480" s="2" t="s">
        <v>34</v>
      </c>
      <c r="AG1480" s="2" t="s">
        <v>59</v>
      </c>
      <c r="AH1480" s="2">
        <v>1.70376037887944</v>
      </c>
      <c r="AI1480" s="2">
        <v>1.3095433689787701</v>
      </c>
      <c r="AJ1480" s="2">
        <v>0.80668120654236797</v>
      </c>
      <c r="AK1480" s="2">
        <v>0.27622233024015003</v>
      </c>
      <c r="AL1480" s="2">
        <v>0.13529973633468001</v>
      </c>
      <c r="AM1480" s="2">
        <v>15.5</v>
      </c>
      <c r="AN1480" s="2">
        <v>2.4</v>
      </c>
      <c r="AO1480" s="2">
        <v>10.9</v>
      </c>
      <c r="AP1480" s="2">
        <v>564</v>
      </c>
      <c r="AQ1480" s="2">
        <v>68</v>
      </c>
      <c r="AR1480" s="2">
        <v>1.5</v>
      </c>
      <c r="AS1480" s="2">
        <v>135</v>
      </c>
      <c r="AT1480" s="2">
        <v>0</v>
      </c>
      <c r="AU1480" s="2">
        <v>162</v>
      </c>
      <c r="AV1480" s="2">
        <v>9.1</v>
      </c>
      <c r="AW1480" s="2">
        <v>9.1999999999999993</v>
      </c>
      <c r="AX1480" s="2">
        <v>18.3</v>
      </c>
      <c r="AY1480" s="2">
        <v>0.34</v>
      </c>
      <c r="AZ1480" s="2">
        <v>7.3</v>
      </c>
      <c r="BA1480" s="2">
        <v>0.9</v>
      </c>
      <c r="BB1480" s="2">
        <v>7.5</v>
      </c>
      <c r="BC1480" s="2">
        <v>2.9</v>
      </c>
      <c r="BD1480" s="2">
        <f>+AN1480*EXP(-0.0495*Y1480)</f>
        <v>2.1081187568600783</v>
      </c>
      <c r="BE1480" s="2">
        <f>+AO1480*EXP(-0.024*Y1480)</f>
        <v>10.23579757396474</v>
      </c>
    </row>
    <row r="1481" spans="1:57" x14ac:dyDescent="0.2">
      <c r="A1481" s="2" t="s">
        <v>2594</v>
      </c>
      <c r="B1481" s="2" t="s">
        <v>19</v>
      </c>
      <c r="C1481" s="2" t="s">
        <v>1907</v>
      </c>
      <c r="D1481" s="2" t="s">
        <v>21</v>
      </c>
      <c r="E1481" s="2" t="s">
        <v>513</v>
      </c>
      <c r="F1481" s="2">
        <v>6</v>
      </c>
      <c r="G1481" s="2">
        <v>243</v>
      </c>
      <c r="H1481" s="2">
        <v>3</v>
      </c>
      <c r="I1481" s="2">
        <v>3</v>
      </c>
      <c r="J1481" s="2">
        <v>3</v>
      </c>
      <c r="K1481" s="2" t="s">
        <v>61</v>
      </c>
      <c r="L1481" s="6" t="s">
        <v>75</v>
      </c>
      <c r="M1481" s="5">
        <v>3500000000</v>
      </c>
      <c r="N1481" s="2">
        <v>0</v>
      </c>
      <c r="O1481" s="2">
        <v>4.6904408350000004</v>
      </c>
      <c r="P1481" s="2">
        <v>-74.032672250000005</v>
      </c>
      <c r="Q1481" s="2" t="s">
        <v>2595</v>
      </c>
      <c r="R1481" s="2">
        <v>14403292.18</v>
      </c>
      <c r="S1481" s="2">
        <v>0</v>
      </c>
      <c r="T1481" s="2" t="s">
        <v>55</v>
      </c>
      <c r="U1481" s="2" t="s">
        <v>56</v>
      </c>
      <c r="V1481" s="2" t="s">
        <v>28</v>
      </c>
      <c r="W1481" s="2" t="s">
        <v>55</v>
      </c>
      <c r="X1481" s="2" t="s">
        <v>57</v>
      </c>
      <c r="Y1481" s="2">
        <v>2.2303613347340798</v>
      </c>
      <c r="Z1481" s="2">
        <v>4.71035</v>
      </c>
      <c r="AA1481" s="2">
        <v>-74.030416666666696</v>
      </c>
      <c r="AB1481" s="2">
        <v>2570</v>
      </c>
      <c r="AC1481" s="2" t="s">
        <v>31</v>
      </c>
      <c r="AD1481" s="2" t="s">
        <v>58</v>
      </c>
      <c r="AE1481" s="2" t="s">
        <v>33</v>
      </c>
      <c r="AF1481" s="2" t="s">
        <v>34</v>
      </c>
      <c r="AG1481" s="2" t="s">
        <v>59</v>
      </c>
      <c r="AH1481" s="2">
        <v>2.6218672110346901</v>
      </c>
      <c r="AI1481" s="2">
        <v>0.66689196248113802</v>
      </c>
      <c r="AJ1481" s="2">
        <v>0.552205425385769</v>
      </c>
      <c r="AK1481" s="2">
        <v>0.10742946635864099</v>
      </c>
      <c r="AL1481" s="2">
        <v>0.67177370907188505</v>
      </c>
      <c r="AM1481" s="2">
        <v>15.5</v>
      </c>
      <c r="AN1481" s="2">
        <v>2.4</v>
      </c>
      <c r="AO1481" s="2">
        <v>10.9</v>
      </c>
      <c r="AP1481" s="2">
        <v>564</v>
      </c>
      <c r="AQ1481" s="2">
        <v>68</v>
      </c>
      <c r="AR1481" s="2">
        <v>1.5</v>
      </c>
      <c r="AS1481" s="2">
        <v>135</v>
      </c>
      <c r="AT1481" s="2">
        <v>0</v>
      </c>
      <c r="AU1481" s="2">
        <v>162</v>
      </c>
      <c r="AV1481" s="2">
        <v>9.1</v>
      </c>
      <c r="AW1481" s="2">
        <v>9.1999999999999993</v>
      </c>
      <c r="AX1481" s="2">
        <v>18.3</v>
      </c>
      <c r="AY1481" s="2">
        <v>0.34</v>
      </c>
      <c r="AZ1481" s="2">
        <v>7.3</v>
      </c>
      <c r="BA1481" s="2">
        <v>0.9</v>
      </c>
      <c r="BB1481" s="2">
        <v>7.5</v>
      </c>
      <c r="BC1481" s="2">
        <v>2.9</v>
      </c>
      <c r="BD1481" s="2">
        <f>+AN1481*EXP(-0.0495*Y1481)</f>
        <v>2.1491358933548526</v>
      </c>
      <c r="BE1481" s="2">
        <f>+AO1481*EXP(-0.024*Y1481)</f>
        <v>10.331878516726404</v>
      </c>
    </row>
    <row r="1482" spans="1:57" x14ac:dyDescent="0.2">
      <c r="A1482" s="2" t="s">
        <v>2203</v>
      </c>
      <c r="B1482" s="2" t="s">
        <v>19</v>
      </c>
      <c r="C1482" s="2" t="s">
        <v>1907</v>
      </c>
      <c r="D1482" s="2" t="s">
        <v>21</v>
      </c>
      <c r="E1482" s="2" t="s">
        <v>2204</v>
      </c>
      <c r="F1482" s="2">
        <v>6</v>
      </c>
      <c r="G1482" s="2">
        <v>242.6</v>
      </c>
      <c r="H1482" s="2">
        <v>4</v>
      </c>
      <c r="I1482" s="2">
        <v>4</v>
      </c>
      <c r="J1482" s="2">
        <v>4</v>
      </c>
      <c r="K1482" s="2" t="s">
        <v>61</v>
      </c>
      <c r="L1482" s="6" t="s">
        <v>113</v>
      </c>
      <c r="M1482" s="5">
        <v>2380000000</v>
      </c>
      <c r="N1482" s="2">
        <v>0</v>
      </c>
      <c r="O1482" s="2">
        <v>4.7264710000000001</v>
      </c>
      <c r="P1482" s="2">
        <v>-74.024580999999998</v>
      </c>
      <c r="Q1482" s="2" t="s">
        <v>2205</v>
      </c>
      <c r="R1482" s="2">
        <v>9810387.4690000005</v>
      </c>
      <c r="S1482" s="2">
        <v>0</v>
      </c>
      <c r="T1482" s="2" t="s">
        <v>55</v>
      </c>
      <c r="U1482" s="2" t="s">
        <v>56</v>
      </c>
      <c r="V1482" s="2" t="s">
        <v>28</v>
      </c>
      <c r="W1482" s="2" t="s">
        <v>55</v>
      </c>
      <c r="X1482" s="2" t="s">
        <v>57</v>
      </c>
      <c r="Y1482" s="2">
        <v>1.90779398198029</v>
      </c>
      <c r="Z1482" s="2">
        <v>4.71035</v>
      </c>
      <c r="AA1482" s="2">
        <v>-74.030416666666696</v>
      </c>
      <c r="AB1482" s="2">
        <v>2570</v>
      </c>
      <c r="AC1482" s="2" t="s">
        <v>31</v>
      </c>
      <c r="AD1482" s="2" t="s">
        <v>58</v>
      </c>
      <c r="AE1482" s="2" t="s">
        <v>33</v>
      </c>
      <c r="AF1482" s="2" t="s">
        <v>34</v>
      </c>
      <c r="AG1482" s="2" t="s">
        <v>59</v>
      </c>
      <c r="AH1482" s="2">
        <v>2.8396665860800301</v>
      </c>
      <c r="AI1482" s="2">
        <v>0.363106048068986</v>
      </c>
      <c r="AJ1482" s="2">
        <v>1.84779500399083</v>
      </c>
      <c r="AK1482" s="2">
        <v>0.12664854265513001</v>
      </c>
      <c r="AL1482" s="2">
        <v>0.57447849300271703</v>
      </c>
      <c r="AM1482" s="2">
        <v>15.5</v>
      </c>
      <c r="AN1482" s="2">
        <v>2.4</v>
      </c>
      <c r="AO1482" s="2">
        <v>10.9</v>
      </c>
      <c r="AP1482" s="2">
        <v>564</v>
      </c>
      <c r="AQ1482" s="2">
        <v>68</v>
      </c>
      <c r="AR1482" s="2">
        <v>1.5</v>
      </c>
      <c r="AS1482" s="2">
        <v>135</v>
      </c>
      <c r="AT1482" s="2">
        <v>0</v>
      </c>
      <c r="AU1482" s="2">
        <v>162</v>
      </c>
      <c r="AV1482" s="2">
        <v>9.1</v>
      </c>
      <c r="AW1482" s="2">
        <v>9.1999999999999993</v>
      </c>
      <c r="AX1482" s="2">
        <v>18.3</v>
      </c>
      <c r="AY1482" s="2">
        <v>0.34</v>
      </c>
      <c r="AZ1482" s="2">
        <v>7.3</v>
      </c>
      <c r="BA1482" s="2">
        <v>0.9</v>
      </c>
      <c r="BB1482" s="2">
        <v>7.5</v>
      </c>
      <c r="BC1482" s="2">
        <v>2.9</v>
      </c>
      <c r="BD1482" s="2">
        <f>+AN1482*EXP(-0.0495*Y1482)</f>
        <v>2.1837267492565493</v>
      </c>
      <c r="BE1482" s="2">
        <f>+AO1482*EXP(-0.024*Y1482)</f>
        <v>10.412174366385058</v>
      </c>
    </row>
    <row r="1483" spans="1:57" x14ac:dyDescent="0.2">
      <c r="A1483" s="2" t="s">
        <v>2747</v>
      </c>
      <c r="B1483" s="2" t="s">
        <v>19</v>
      </c>
      <c r="C1483" s="2" t="s">
        <v>1907</v>
      </c>
      <c r="D1483" s="2" t="s">
        <v>21</v>
      </c>
      <c r="E1483" s="2" t="s">
        <v>164</v>
      </c>
      <c r="F1483" s="2">
        <v>6</v>
      </c>
      <c r="G1483" s="2">
        <v>242</v>
      </c>
      <c r="H1483" s="2">
        <v>5</v>
      </c>
      <c r="I1483" s="2">
        <v>3</v>
      </c>
      <c r="J1483" s="2">
        <v>2</v>
      </c>
      <c r="K1483" s="2" t="s">
        <v>61</v>
      </c>
      <c r="L1483" s="6" t="s">
        <v>66</v>
      </c>
      <c r="M1483" s="5">
        <v>1450000000</v>
      </c>
      <c r="N1483" s="2">
        <v>0</v>
      </c>
      <c r="O1483" s="2">
        <v>4.6966669999999997</v>
      </c>
      <c r="P1483" s="2">
        <v>-74.034835999999999</v>
      </c>
      <c r="Q1483" s="2" t="s">
        <v>2748</v>
      </c>
      <c r="R1483" s="2">
        <v>5991735.5369999995</v>
      </c>
      <c r="S1483" s="2">
        <v>0</v>
      </c>
      <c r="T1483" s="2" t="s">
        <v>55</v>
      </c>
      <c r="U1483" s="2" t="s">
        <v>56</v>
      </c>
      <c r="V1483" s="2" t="s">
        <v>28</v>
      </c>
      <c r="W1483" s="2" t="s">
        <v>55</v>
      </c>
      <c r="X1483" s="2" t="s">
        <v>57</v>
      </c>
      <c r="Y1483" s="2">
        <v>1.6001520462632199</v>
      </c>
      <c r="Z1483" s="2">
        <v>4.71035</v>
      </c>
      <c r="AA1483" s="2">
        <v>-74.030416666666696</v>
      </c>
      <c r="AB1483" s="2">
        <v>2570</v>
      </c>
      <c r="AC1483" s="2" t="s">
        <v>31</v>
      </c>
      <c r="AD1483" s="2" t="s">
        <v>58</v>
      </c>
      <c r="AE1483" s="2" t="s">
        <v>33</v>
      </c>
      <c r="AF1483" s="2" t="s">
        <v>34</v>
      </c>
      <c r="AG1483" s="2" t="s">
        <v>59</v>
      </c>
      <c r="AH1483" s="2">
        <v>2.2757041794342401</v>
      </c>
      <c r="AI1483" s="2">
        <v>0.99899559360193402</v>
      </c>
      <c r="AJ1483" s="2">
        <v>0.578889029065077</v>
      </c>
      <c r="AK1483" s="2">
        <v>2.9894779328163E-2</v>
      </c>
      <c r="AL1483" s="2">
        <v>7.3205131603939294E-2</v>
      </c>
      <c r="AM1483" s="2">
        <v>15.5</v>
      </c>
      <c r="AN1483" s="2">
        <v>2.4</v>
      </c>
      <c r="AO1483" s="2">
        <v>10.9</v>
      </c>
      <c r="AP1483" s="2">
        <v>564</v>
      </c>
      <c r="AQ1483" s="2">
        <v>68</v>
      </c>
      <c r="AR1483" s="2">
        <v>1.5</v>
      </c>
      <c r="AS1483" s="2">
        <v>135</v>
      </c>
      <c r="AT1483" s="2">
        <v>0</v>
      </c>
      <c r="AU1483" s="2">
        <v>162</v>
      </c>
      <c r="AV1483" s="2">
        <v>9.1</v>
      </c>
      <c r="AW1483" s="2">
        <v>9.1999999999999993</v>
      </c>
      <c r="AX1483" s="2">
        <v>18.3</v>
      </c>
      <c r="AY1483" s="2">
        <v>0.34</v>
      </c>
      <c r="AZ1483" s="2">
        <v>7.3</v>
      </c>
      <c r="BA1483" s="2">
        <v>0.9</v>
      </c>
      <c r="BB1483" s="2">
        <v>7.5</v>
      </c>
      <c r="BC1483" s="2">
        <v>2.9</v>
      </c>
      <c r="BD1483" s="2">
        <f>+AN1483*EXP(-0.0495*Y1483)</f>
        <v>2.2172356362341747</v>
      </c>
      <c r="BE1483" s="2">
        <f>+AO1483*EXP(-0.024*Y1483)</f>
        <v>10.489336189850803</v>
      </c>
    </row>
    <row r="1484" spans="1:57" x14ac:dyDescent="0.2">
      <c r="A1484" s="2" t="s">
        <v>1713</v>
      </c>
      <c r="B1484" s="2" t="s">
        <v>19</v>
      </c>
      <c r="C1484" s="2" t="s">
        <v>20</v>
      </c>
      <c r="D1484" s="2" t="s">
        <v>21</v>
      </c>
      <c r="E1484" s="2" t="s">
        <v>53</v>
      </c>
      <c r="F1484" s="2">
        <v>5</v>
      </c>
      <c r="G1484" s="2">
        <v>238</v>
      </c>
      <c r="H1484" s="2">
        <v>3</v>
      </c>
      <c r="I1484" s="2">
        <v>5</v>
      </c>
      <c r="J1484" s="2">
        <v>4</v>
      </c>
      <c r="K1484" s="2" t="s">
        <v>61</v>
      </c>
      <c r="L1484" s="6" t="s">
        <v>113</v>
      </c>
      <c r="M1484" s="5">
        <v>1400000000</v>
      </c>
      <c r="N1484" s="2">
        <v>0</v>
      </c>
      <c r="O1484" s="2">
        <v>4.7034897999999998</v>
      </c>
      <c r="P1484" s="2">
        <v>-74.052620500000003</v>
      </c>
      <c r="Q1484" s="2" t="s">
        <v>1714</v>
      </c>
      <c r="R1484" s="2">
        <v>5882352.9409999996</v>
      </c>
      <c r="S1484" s="2">
        <v>0</v>
      </c>
      <c r="T1484" s="2" t="s">
        <v>55</v>
      </c>
      <c r="U1484" s="2" t="s">
        <v>56</v>
      </c>
      <c r="V1484" s="2" t="s">
        <v>28</v>
      </c>
      <c r="W1484" s="2" t="s">
        <v>55</v>
      </c>
      <c r="X1484" s="2" t="s">
        <v>57</v>
      </c>
      <c r="Y1484" s="2">
        <v>2.57904172540308</v>
      </c>
      <c r="Z1484" s="2">
        <v>4.71035</v>
      </c>
      <c r="AA1484" s="2">
        <v>-74.030416666666696</v>
      </c>
      <c r="AB1484" s="2">
        <v>2570</v>
      </c>
      <c r="AC1484" s="2" t="s">
        <v>31</v>
      </c>
      <c r="AD1484" s="2" t="s">
        <v>58</v>
      </c>
      <c r="AE1484" s="2" t="s">
        <v>33</v>
      </c>
      <c r="AF1484" s="2" t="s">
        <v>34</v>
      </c>
      <c r="AG1484" s="2" t="s">
        <v>59</v>
      </c>
      <c r="AH1484" s="2">
        <v>0.21863805430657299</v>
      </c>
      <c r="AI1484" s="2">
        <v>3.0024436997127801</v>
      </c>
      <c r="AJ1484" s="2">
        <v>1.1679295454896701</v>
      </c>
      <c r="AK1484" s="2">
        <v>0.113326112797605</v>
      </c>
      <c r="AL1484" s="2">
        <v>0.122790107746029</v>
      </c>
      <c r="AM1484" s="2">
        <v>15.5</v>
      </c>
      <c r="AN1484" s="2">
        <v>2.4</v>
      </c>
      <c r="AO1484" s="2">
        <v>10.9</v>
      </c>
      <c r="AP1484" s="2">
        <v>564</v>
      </c>
      <c r="AQ1484" s="2">
        <v>68</v>
      </c>
      <c r="AR1484" s="2">
        <v>1.5</v>
      </c>
      <c r="AS1484" s="2">
        <v>135</v>
      </c>
      <c r="AT1484" s="2">
        <v>0</v>
      </c>
      <c r="AU1484" s="2">
        <v>162</v>
      </c>
      <c r="AV1484" s="2">
        <v>9.1</v>
      </c>
      <c r="AW1484" s="2">
        <v>9.1999999999999993</v>
      </c>
      <c r="AX1484" s="2">
        <v>18.3</v>
      </c>
      <c r="AY1484" s="2">
        <v>0.34</v>
      </c>
      <c r="AZ1484" s="2">
        <v>7.3</v>
      </c>
      <c r="BA1484" s="2">
        <v>0.9</v>
      </c>
      <c r="BB1484" s="2">
        <v>7.5</v>
      </c>
      <c r="BC1484" s="2">
        <v>2.9</v>
      </c>
      <c r="BD1484" s="2">
        <f>+AN1484*EXP(-0.0495*Y1484)</f>
        <v>2.1123607732986005</v>
      </c>
      <c r="BE1484" s="2">
        <f>+AO1484*EXP(-0.024*Y1484)</f>
        <v>10.245778712441664</v>
      </c>
    </row>
    <row r="1485" spans="1:57" x14ac:dyDescent="0.2">
      <c r="A1485" s="2" t="s">
        <v>2642</v>
      </c>
      <c r="B1485" s="2" t="s">
        <v>19</v>
      </c>
      <c r="C1485" s="2" t="s">
        <v>1907</v>
      </c>
      <c r="D1485" s="2" t="s">
        <v>21</v>
      </c>
      <c r="E1485" s="2" t="s">
        <v>1628</v>
      </c>
      <c r="F1485" s="2">
        <v>6</v>
      </c>
      <c r="G1485" s="2">
        <v>237.51</v>
      </c>
      <c r="H1485" s="2">
        <v>3</v>
      </c>
      <c r="I1485" s="2">
        <v>3</v>
      </c>
      <c r="J1485" s="2">
        <v>2</v>
      </c>
      <c r="K1485" s="2" t="s">
        <v>61</v>
      </c>
      <c r="L1485" s="6" t="s">
        <v>113</v>
      </c>
      <c r="M1485" s="5">
        <v>1360000000</v>
      </c>
      <c r="N1485" s="2">
        <v>0</v>
      </c>
      <c r="O1485" s="2">
        <v>4.7110200000000004</v>
      </c>
      <c r="P1485" s="2">
        <v>-74.025459999999995</v>
      </c>
      <c r="Q1485" s="2" t="s">
        <v>2643</v>
      </c>
      <c r="R1485" s="2">
        <v>5726074.6919999998</v>
      </c>
      <c r="S1485" s="2">
        <v>0</v>
      </c>
      <c r="T1485" s="2" t="s">
        <v>55</v>
      </c>
      <c r="U1485" s="2" t="s">
        <v>56</v>
      </c>
      <c r="V1485" s="2" t="s">
        <v>28</v>
      </c>
      <c r="W1485" s="2" t="s">
        <v>55</v>
      </c>
      <c r="X1485" s="2" t="s">
        <v>57</v>
      </c>
      <c r="Y1485" s="2">
        <v>0.55494462233058295</v>
      </c>
      <c r="Z1485" s="2">
        <v>4.71035</v>
      </c>
      <c r="AA1485" s="2">
        <v>-74.030416666666696</v>
      </c>
      <c r="AB1485" s="2">
        <v>2570</v>
      </c>
      <c r="AC1485" s="2" t="s">
        <v>31</v>
      </c>
      <c r="AD1485" s="2" t="s">
        <v>58</v>
      </c>
      <c r="AE1485" s="2" t="s">
        <v>33</v>
      </c>
      <c r="AF1485" s="2" t="s">
        <v>34</v>
      </c>
      <c r="AG1485" s="2" t="s">
        <v>59</v>
      </c>
      <c r="AH1485" s="2">
        <v>3.02986575165037</v>
      </c>
      <c r="AI1485" s="2">
        <v>0.104385846055884</v>
      </c>
      <c r="AJ1485" s="2">
        <v>0.81201682887859095</v>
      </c>
      <c r="AK1485" s="2">
        <v>0.48826708776116601</v>
      </c>
      <c r="AL1485" s="2">
        <v>0.63177733836661698</v>
      </c>
      <c r="AM1485" s="2">
        <v>15.5</v>
      </c>
      <c r="AN1485" s="2">
        <v>2.4</v>
      </c>
      <c r="AO1485" s="2">
        <v>10.9</v>
      </c>
      <c r="AP1485" s="2">
        <v>564</v>
      </c>
      <c r="AQ1485" s="2">
        <v>68</v>
      </c>
      <c r="AR1485" s="2">
        <v>1.5</v>
      </c>
      <c r="AS1485" s="2">
        <v>135</v>
      </c>
      <c r="AT1485" s="2">
        <v>0</v>
      </c>
      <c r="AU1485" s="2">
        <v>162</v>
      </c>
      <c r="AV1485" s="2">
        <v>9.1</v>
      </c>
      <c r="AW1485" s="2">
        <v>9.1999999999999993</v>
      </c>
      <c r="AX1485" s="2">
        <v>18.3</v>
      </c>
      <c r="AY1485" s="2">
        <v>0.34</v>
      </c>
      <c r="AZ1485" s="2">
        <v>7.3</v>
      </c>
      <c r="BA1485" s="2">
        <v>0.9</v>
      </c>
      <c r="BB1485" s="2">
        <v>7.5</v>
      </c>
      <c r="BC1485" s="2">
        <v>2.9</v>
      </c>
      <c r="BD1485" s="2">
        <f>+AN1485*EXP(-0.0495*Y1485)</f>
        <v>2.3349698493382838</v>
      </c>
      <c r="BE1485" s="2">
        <f>+AO1485*EXP(-0.024*Y1485)</f>
        <v>10.755788968194462</v>
      </c>
    </row>
    <row r="1486" spans="1:57" x14ac:dyDescent="0.2">
      <c r="A1486" s="2" t="s">
        <v>418</v>
      </c>
      <c r="B1486" s="2" t="s">
        <v>19</v>
      </c>
      <c r="C1486" s="2" t="s">
        <v>20</v>
      </c>
      <c r="D1486" s="2" t="s">
        <v>21</v>
      </c>
      <c r="E1486" s="2" t="s">
        <v>419</v>
      </c>
      <c r="F1486" s="2">
        <v>6</v>
      </c>
      <c r="G1486" s="2">
        <v>236.21</v>
      </c>
      <c r="H1486" s="2">
        <v>3</v>
      </c>
      <c r="I1486" s="2">
        <v>4</v>
      </c>
      <c r="J1486" s="2">
        <v>4</v>
      </c>
      <c r="K1486" s="2" t="s">
        <v>61</v>
      </c>
      <c r="L1486" s="6" t="s">
        <v>62</v>
      </c>
      <c r="M1486" s="5">
        <v>2280000000</v>
      </c>
      <c r="N1486" s="2">
        <v>0</v>
      </c>
      <c r="O1486" s="2">
        <v>4.6877804000000003</v>
      </c>
      <c r="P1486" s="2">
        <v>-74.049385000000001</v>
      </c>
      <c r="Q1486" s="2" t="s">
        <v>420</v>
      </c>
      <c r="R1486" s="2">
        <v>9652427.9240000006</v>
      </c>
      <c r="S1486" s="2">
        <v>0</v>
      </c>
      <c r="T1486" s="2" t="s">
        <v>55</v>
      </c>
      <c r="U1486" s="2" t="s">
        <v>56</v>
      </c>
      <c r="V1486" s="2" t="s">
        <v>28</v>
      </c>
      <c r="W1486" s="2" t="s">
        <v>55</v>
      </c>
      <c r="X1486" s="2" t="s">
        <v>57</v>
      </c>
      <c r="Y1486" s="2">
        <v>3.27735208832839</v>
      </c>
      <c r="Z1486" s="2">
        <v>4.71035</v>
      </c>
      <c r="AA1486" s="2">
        <v>-74.030416666666696</v>
      </c>
      <c r="AB1486" s="2">
        <v>2570</v>
      </c>
      <c r="AC1486" s="2" t="s">
        <v>31</v>
      </c>
      <c r="AD1486" s="2" t="s">
        <v>58</v>
      </c>
      <c r="AE1486" s="2" t="s">
        <v>33</v>
      </c>
      <c r="AF1486" s="2" t="s">
        <v>34</v>
      </c>
      <c r="AG1486" s="2" t="s">
        <v>59</v>
      </c>
      <c r="AH1486" s="2">
        <v>0.94792914640236503</v>
      </c>
      <c r="AI1486" s="2">
        <v>1.7711054310604499</v>
      </c>
      <c r="AJ1486" s="2">
        <v>0.158692666997065</v>
      </c>
      <c r="AK1486" s="2">
        <v>0.19607376466279799</v>
      </c>
      <c r="AL1486" s="2">
        <v>0.43116831071587702</v>
      </c>
      <c r="AM1486" s="2">
        <v>15.5</v>
      </c>
      <c r="AN1486" s="2">
        <v>2.4</v>
      </c>
      <c r="AO1486" s="2">
        <v>10.9</v>
      </c>
      <c r="AP1486" s="2">
        <v>564</v>
      </c>
      <c r="AQ1486" s="2">
        <v>68</v>
      </c>
      <c r="AR1486" s="2">
        <v>1.5</v>
      </c>
      <c r="AS1486" s="2">
        <v>135</v>
      </c>
      <c r="AT1486" s="2">
        <v>0</v>
      </c>
      <c r="AU1486" s="2">
        <v>162</v>
      </c>
      <c r="AV1486" s="2">
        <v>9.1</v>
      </c>
      <c r="AW1486" s="2">
        <v>9.1999999999999993</v>
      </c>
      <c r="AX1486" s="2">
        <v>18.3</v>
      </c>
      <c r="AY1486" s="2">
        <v>0.34</v>
      </c>
      <c r="AZ1486" s="2">
        <v>7.3</v>
      </c>
      <c r="BA1486" s="2">
        <v>0.9</v>
      </c>
      <c r="BB1486" s="2">
        <v>7.5</v>
      </c>
      <c r="BC1486" s="2">
        <v>2.9</v>
      </c>
      <c r="BD1486" s="2">
        <f>+AN1486*EXP(-0.0495*Y1486)</f>
        <v>2.0405916880870185</v>
      </c>
      <c r="BE1486" s="2">
        <f>+AO1486*EXP(-0.024*Y1486)</f>
        <v>10.075496017380571</v>
      </c>
    </row>
    <row r="1487" spans="1:57" x14ac:dyDescent="0.2">
      <c r="A1487" s="2" t="s">
        <v>1730</v>
      </c>
      <c r="B1487" s="2" t="s">
        <v>19</v>
      </c>
      <c r="C1487" s="2" t="s">
        <v>20</v>
      </c>
      <c r="D1487" s="2" t="s">
        <v>21</v>
      </c>
      <c r="E1487" s="2" t="s">
        <v>186</v>
      </c>
      <c r="F1487" s="2">
        <v>6</v>
      </c>
      <c r="G1487" s="2">
        <v>236</v>
      </c>
      <c r="H1487" s="2">
        <v>3</v>
      </c>
      <c r="I1487" s="2">
        <v>5</v>
      </c>
      <c r="J1487" s="2">
        <v>2</v>
      </c>
      <c r="K1487" s="2" t="s">
        <v>61</v>
      </c>
      <c r="L1487" s="6" t="s">
        <v>113</v>
      </c>
      <c r="M1487" s="5">
        <v>1440000000</v>
      </c>
      <c r="N1487" s="2">
        <v>0</v>
      </c>
      <c r="O1487" s="2">
        <v>4.7059100000000003</v>
      </c>
      <c r="P1487" s="2">
        <v>-74.043430000000001</v>
      </c>
      <c r="Q1487" s="2" t="s">
        <v>1731</v>
      </c>
      <c r="R1487" s="2">
        <v>6101694.915</v>
      </c>
      <c r="S1487" s="2">
        <v>0</v>
      </c>
      <c r="T1487" s="2" t="s">
        <v>55</v>
      </c>
      <c r="U1487" s="2" t="s">
        <v>56</v>
      </c>
      <c r="V1487" s="2" t="s">
        <v>28</v>
      </c>
      <c r="W1487" s="2" t="s">
        <v>55</v>
      </c>
      <c r="X1487" s="2" t="s">
        <v>57</v>
      </c>
      <c r="Y1487" s="2">
        <v>1.5260092847133699</v>
      </c>
      <c r="Z1487" s="2">
        <v>4.71035</v>
      </c>
      <c r="AA1487" s="2">
        <v>-74.030416666666696</v>
      </c>
      <c r="AB1487" s="2">
        <v>2570</v>
      </c>
      <c r="AC1487" s="2" t="s">
        <v>31</v>
      </c>
      <c r="AD1487" s="2" t="s">
        <v>58</v>
      </c>
      <c r="AE1487" s="2" t="s">
        <v>33</v>
      </c>
      <c r="AF1487" s="2" t="s">
        <v>34</v>
      </c>
      <c r="AG1487" s="2" t="s">
        <v>59</v>
      </c>
      <c r="AH1487" s="2">
        <v>1.2051367184248201</v>
      </c>
      <c r="AI1487" s="2">
        <v>2.0209053053930299</v>
      </c>
      <c r="AJ1487" s="2">
        <v>1.29609583788088</v>
      </c>
      <c r="AK1487" s="2">
        <v>9.2070140103397605E-2</v>
      </c>
      <c r="AL1487" s="2">
        <v>0.33147597462414002</v>
      </c>
      <c r="AM1487" s="2">
        <v>15.5</v>
      </c>
      <c r="AN1487" s="2">
        <v>2.4</v>
      </c>
      <c r="AO1487" s="2">
        <v>10.9</v>
      </c>
      <c r="AP1487" s="2">
        <v>564</v>
      </c>
      <c r="AQ1487" s="2">
        <v>68</v>
      </c>
      <c r="AR1487" s="2">
        <v>1.5</v>
      </c>
      <c r="AS1487" s="2">
        <v>135</v>
      </c>
      <c r="AT1487" s="2">
        <v>0</v>
      </c>
      <c r="AU1487" s="2">
        <v>162</v>
      </c>
      <c r="AV1487" s="2">
        <v>9.1</v>
      </c>
      <c r="AW1487" s="2">
        <v>9.1999999999999993</v>
      </c>
      <c r="AX1487" s="2">
        <v>18.3</v>
      </c>
      <c r="AY1487" s="2">
        <v>0.34</v>
      </c>
      <c r="AZ1487" s="2">
        <v>7.3</v>
      </c>
      <c r="BA1487" s="2">
        <v>0.9</v>
      </c>
      <c r="BB1487" s="2">
        <v>7.5</v>
      </c>
      <c r="BC1487" s="2">
        <v>2.9</v>
      </c>
      <c r="BD1487" s="2">
        <f>+AN1487*EXP(-0.0495*Y1487)</f>
        <v>2.2253879895911708</v>
      </c>
      <c r="BE1487" s="2">
        <f>+AO1487*EXP(-0.024*Y1487)</f>
        <v>10.508017806647896</v>
      </c>
    </row>
    <row r="1488" spans="1:57" x14ac:dyDescent="0.2">
      <c r="A1488" s="2" t="s">
        <v>1565</v>
      </c>
      <c r="B1488" s="2" t="s">
        <v>19</v>
      </c>
      <c r="C1488" s="2" t="s">
        <v>20</v>
      </c>
      <c r="D1488" s="2" t="s">
        <v>21</v>
      </c>
      <c r="E1488" s="2" t="s">
        <v>1566</v>
      </c>
      <c r="F1488" s="2">
        <v>5</v>
      </c>
      <c r="G1488" s="2">
        <v>235</v>
      </c>
      <c r="H1488" s="2">
        <v>4</v>
      </c>
      <c r="I1488" s="2">
        <v>5</v>
      </c>
      <c r="J1488" s="2">
        <v>4</v>
      </c>
      <c r="K1488" s="2" t="s">
        <v>61</v>
      </c>
      <c r="L1488" s="6" t="s">
        <v>113</v>
      </c>
      <c r="M1488" s="5">
        <v>1700000000</v>
      </c>
      <c r="N1488" s="2">
        <v>0</v>
      </c>
      <c r="O1488" s="2">
        <v>4.715310433</v>
      </c>
      <c r="P1488" s="2">
        <v>-74.047138480000001</v>
      </c>
      <c r="Q1488" s="2" t="s">
        <v>1567</v>
      </c>
      <c r="R1488" s="2">
        <v>7234042.5530000003</v>
      </c>
      <c r="S1488" s="2">
        <v>0</v>
      </c>
      <c r="T1488" s="2" t="s">
        <v>55</v>
      </c>
      <c r="U1488" s="2" t="s">
        <v>56</v>
      </c>
      <c r="V1488" s="2" t="s">
        <v>28</v>
      </c>
      <c r="W1488" s="2" t="s">
        <v>55</v>
      </c>
      <c r="X1488" s="2" t="s">
        <v>57</v>
      </c>
      <c r="Y1488" s="2">
        <v>1.9356067000541699</v>
      </c>
      <c r="Z1488" s="2">
        <v>4.71035</v>
      </c>
      <c r="AA1488" s="2">
        <v>-74.030416666666696</v>
      </c>
      <c r="AB1488" s="2">
        <v>2570</v>
      </c>
      <c r="AC1488" s="2" t="s">
        <v>31</v>
      </c>
      <c r="AD1488" s="2" t="s">
        <v>58</v>
      </c>
      <c r="AE1488" s="2" t="s">
        <v>33</v>
      </c>
      <c r="AF1488" s="2" t="s">
        <v>34</v>
      </c>
      <c r="AG1488" s="2" t="s">
        <v>59</v>
      </c>
      <c r="AH1488" s="2">
        <v>0.60664189496477505</v>
      </c>
      <c r="AI1488" s="2">
        <v>2.5075100966672301</v>
      </c>
      <c r="AJ1488" s="2">
        <v>1.67030801252503</v>
      </c>
      <c r="AK1488" s="2">
        <v>0.31655229384087802</v>
      </c>
      <c r="AL1488" s="2">
        <v>0.62391114083724197</v>
      </c>
      <c r="AM1488" s="2">
        <v>15.5</v>
      </c>
      <c r="AN1488" s="2">
        <v>2.4</v>
      </c>
      <c r="AO1488" s="2">
        <v>10.9</v>
      </c>
      <c r="AP1488" s="2">
        <v>564</v>
      </c>
      <c r="AQ1488" s="2">
        <v>68</v>
      </c>
      <c r="AR1488" s="2">
        <v>1.5</v>
      </c>
      <c r="AS1488" s="2">
        <v>135</v>
      </c>
      <c r="AT1488" s="2">
        <v>0</v>
      </c>
      <c r="AU1488" s="2">
        <v>162</v>
      </c>
      <c r="AV1488" s="2">
        <v>9.1</v>
      </c>
      <c r="AW1488" s="2">
        <v>9.1999999999999993</v>
      </c>
      <c r="AX1488" s="2">
        <v>18.3</v>
      </c>
      <c r="AY1488" s="2">
        <v>0.34</v>
      </c>
      <c r="AZ1488" s="2">
        <v>7.3</v>
      </c>
      <c r="BA1488" s="2">
        <v>0.9</v>
      </c>
      <c r="BB1488" s="2">
        <v>7.5</v>
      </c>
      <c r="BC1488" s="2">
        <v>2.9</v>
      </c>
      <c r="BD1488" s="2">
        <f>+AN1488*EXP(-0.0495*Y1488)</f>
        <v>2.1807224166746337</v>
      </c>
      <c r="BE1488" s="2">
        <f>+AO1488*EXP(-0.024*Y1488)</f>
        <v>10.405226504625556</v>
      </c>
    </row>
    <row r="1489" spans="1:57" x14ac:dyDescent="0.2">
      <c r="A1489" s="2" t="s">
        <v>2085</v>
      </c>
      <c r="B1489" s="2" t="s">
        <v>19</v>
      </c>
      <c r="C1489" s="2" t="s">
        <v>1907</v>
      </c>
      <c r="D1489" s="2" t="s">
        <v>21</v>
      </c>
      <c r="E1489" s="2" t="s">
        <v>295</v>
      </c>
      <c r="F1489" s="2">
        <v>5</v>
      </c>
      <c r="G1489" s="2">
        <v>234</v>
      </c>
      <c r="H1489" s="2">
        <v>5</v>
      </c>
      <c r="I1489" s="2">
        <v>5</v>
      </c>
      <c r="J1489" s="2">
        <v>3</v>
      </c>
      <c r="K1489" s="2" t="s">
        <v>61</v>
      </c>
      <c r="L1489" s="6" t="s">
        <v>75</v>
      </c>
      <c r="M1489" s="5">
        <v>1100000000</v>
      </c>
      <c r="N1489" s="2">
        <v>0</v>
      </c>
      <c r="O1489" s="2">
        <v>4.6990122799999998</v>
      </c>
      <c r="P1489" s="2">
        <v>-74.058441160000001</v>
      </c>
      <c r="Q1489" s="2" t="s">
        <v>2086</v>
      </c>
      <c r="R1489" s="2">
        <v>4700854.7010000004</v>
      </c>
      <c r="S1489" s="2">
        <v>0</v>
      </c>
      <c r="T1489" s="2" t="s">
        <v>55</v>
      </c>
      <c r="U1489" s="2" t="s">
        <v>56</v>
      </c>
      <c r="V1489" s="2" t="s">
        <v>28</v>
      </c>
      <c r="W1489" s="2" t="s">
        <v>55</v>
      </c>
      <c r="X1489" s="2" t="s">
        <v>57</v>
      </c>
      <c r="Y1489" s="2">
        <v>3.35556297722413</v>
      </c>
      <c r="Z1489" s="2">
        <v>4.71035</v>
      </c>
      <c r="AA1489" s="2">
        <v>-74.030416666666696</v>
      </c>
      <c r="AB1489" s="2">
        <v>2570</v>
      </c>
      <c r="AC1489" s="2" t="s">
        <v>31</v>
      </c>
      <c r="AD1489" s="2" t="s">
        <v>58</v>
      </c>
      <c r="AE1489" s="2" t="s">
        <v>33</v>
      </c>
      <c r="AF1489" s="2" t="s">
        <v>34</v>
      </c>
      <c r="AG1489" s="2" t="s">
        <v>72</v>
      </c>
      <c r="AH1489" s="2">
        <v>0.36082959374113299</v>
      </c>
      <c r="AI1489" s="2">
        <v>3.3401838816952298</v>
      </c>
      <c r="AJ1489" s="2">
        <v>1.14311004829365</v>
      </c>
      <c r="AK1489" s="2">
        <v>5.5400412237505303E-2</v>
      </c>
      <c r="AL1489" s="2">
        <v>0.129461903375126</v>
      </c>
      <c r="AM1489" s="2">
        <v>15.5</v>
      </c>
      <c r="AN1489" s="2">
        <v>2.4</v>
      </c>
      <c r="AO1489" s="2">
        <v>10.9</v>
      </c>
      <c r="AP1489" s="2">
        <v>564</v>
      </c>
      <c r="AQ1489" s="2">
        <v>68</v>
      </c>
      <c r="AR1489" s="2">
        <v>1.5</v>
      </c>
      <c r="AS1489" s="2">
        <v>135</v>
      </c>
      <c r="AT1489" s="2">
        <v>0</v>
      </c>
      <c r="AU1489" s="2">
        <v>162</v>
      </c>
      <c r="AV1489" s="2">
        <v>9.1</v>
      </c>
      <c r="AW1489" s="2">
        <v>9.1999999999999993</v>
      </c>
      <c r="AX1489" s="2">
        <v>18.3</v>
      </c>
      <c r="AY1489" s="2">
        <v>0.34</v>
      </c>
      <c r="AZ1489" s="2">
        <v>7.3</v>
      </c>
      <c r="BA1489" s="2">
        <v>0.9</v>
      </c>
      <c r="BB1489" s="2">
        <v>7.5</v>
      </c>
      <c r="BC1489" s="2">
        <v>2.9</v>
      </c>
      <c r="BD1489" s="2">
        <f>+AN1489*EXP(-0.0495*Y1489)</f>
        <v>2.0327069343616122</v>
      </c>
      <c r="BE1489" s="2">
        <f>+AO1489*EXP(-0.024*Y1489)</f>
        <v>10.056601432085971</v>
      </c>
    </row>
    <row r="1490" spans="1:57" x14ac:dyDescent="0.2">
      <c r="A1490" s="2" t="s">
        <v>901</v>
      </c>
      <c r="B1490" s="2" t="s">
        <v>19</v>
      </c>
      <c r="C1490" s="2" t="s">
        <v>20</v>
      </c>
      <c r="D1490" s="2" t="s">
        <v>21</v>
      </c>
      <c r="E1490" s="2" t="s">
        <v>177</v>
      </c>
      <c r="F1490" s="2">
        <v>6</v>
      </c>
      <c r="G1490" s="2">
        <v>234</v>
      </c>
      <c r="H1490" s="2">
        <v>5</v>
      </c>
      <c r="I1490" s="2">
        <v>5</v>
      </c>
      <c r="J1490" s="2">
        <v>3</v>
      </c>
      <c r="K1490" s="2" t="s">
        <v>61</v>
      </c>
      <c r="L1490" s="6" t="s">
        <v>75</v>
      </c>
      <c r="M1490" s="5">
        <v>1700000000</v>
      </c>
      <c r="N1490" s="2">
        <v>0</v>
      </c>
      <c r="O1490" s="2">
        <v>4.6899571419999999</v>
      </c>
      <c r="P1490" s="2">
        <v>-74.043762209999997</v>
      </c>
      <c r="Q1490" s="2" t="s">
        <v>902</v>
      </c>
      <c r="R1490" s="2">
        <v>7264957.2649999997</v>
      </c>
      <c r="S1490" s="2">
        <v>0</v>
      </c>
      <c r="T1490" s="2" t="s">
        <v>55</v>
      </c>
      <c r="U1490" s="2" t="s">
        <v>56</v>
      </c>
      <c r="V1490" s="2" t="s">
        <v>28</v>
      </c>
      <c r="W1490" s="2" t="s">
        <v>55</v>
      </c>
      <c r="X1490" s="2" t="s">
        <v>57</v>
      </c>
      <c r="Y1490" s="2">
        <v>2.7102954656329001</v>
      </c>
      <c r="Z1490" s="2">
        <v>4.71035</v>
      </c>
      <c r="AA1490" s="2">
        <v>-74.030416666666696</v>
      </c>
      <c r="AB1490" s="2">
        <v>2570</v>
      </c>
      <c r="AC1490" s="2" t="s">
        <v>31</v>
      </c>
      <c r="AD1490" s="2" t="s">
        <v>58</v>
      </c>
      <c r="AE1490" s="2" t="s">
        <v>33</v>
      </c>
      <c r="AF1490" s="2" t="s">
        <v>34</v>
      </c>
      <c r="AG1490" s="2" t="s">
        <v>59</v>
      </c>
      <c r="AH1490" s="2">
        <v>1.4171465631856199</v>
      </c>
      <c r="AI1490" s="2">
        <v>1.5020954577391901</v>
      </c>
      <c r="AJ1490" s="2">
        <v>0.76919357009385403</v>
      </c>
      <c r="AK1490" s="2">
        <v>6.9764145696256594E-2</v>
      </c>
      <c r="AL1490" s="2">
        <v>5.0307065687747302E-2</v>
      </c>
      <c r="AM1490" s="2">
        <v>15.5</v>
      </c>
      <c r="AN1490" s="2">
        <v>2.4</v>
      </c>
      <c r="AO1490" s="2">
        <v>10.9</v>
      </c>
      <c r="AP1490" s="2">
        <v>564</v>
      </c>
      <c r="AQ1490" s="2">
        <v>68</v>
      </c>
      <c r="AR1490" s="2">
        <v>1.5</v>
      </c>
      <c r="AS1490" s="2">
        <v>135</v>
      </c>
      <c r="AT1490" s="2">
        <v>0</v>
      </c>
      <c r="AU1490" s="2">
        <v>162</v>
      </c>
      <c r="AV1490" s="2">
        <v>9.1</v>
      </c>
      <c r="AW1490" s="2">
        <v>9.1999999999999993</v>
      </c>
      <c r="AX1490" s="2">
        <v>18.3</v>
      </c>
      <c r="AY1490" s="2">
        <v>0.34</v>
      </c>
      <c r="AZ1490" s="2">
        <v>7.3</v>
      </c>
      <c r="BA1490" s="2">
        <v>0.9</v>
      </c>
      <c r="BB1490" s="2">
        <v>7.5</v>
      </c>
      <c r="BC1490" s="2">
        <v>2.9</v>
      </c>
      <c r="BD1490" s="2">
        <f>+AN1490*EXP(-0.0495*Y1490)</f>
        <v>2.0986811251826265</v>
      </c>
      <c r="BE1490" s="2">
        <f>+AO1490*EXP(-0.024*Y1490)</f>
        <v>10.213554371210636</v>
      </c>
    </row>
    <row r="1491" spans="1:57" x14ac:dyDescent="0.2">
      <c r="A1491" s="2" t="s">
        <v>1541</v>
      </c>
      <c r="B1491" s="2" t="s">
        <v>19</v>
      </c>
      <c r="C1491" s="2" t="s">
        <v>20</v>
      </c>
      <c r="D1491" s="2" t="s">
        <v>21</v>
      </c>
      <c r="E1491" s="2" t="s">
        <v>177</v>
      </c>
      <c r="F1491" s="2">
        <v>6</v>
      </c>
      <c r="G1491" s="2">
        <v>232</v>
      </c>
      <c r="H1491" s="2">
        <v>3</v>
      </c>
      <c r="I1491" s="2">
        <v>3</v>
      </c>
      <c r="J1491" s="2">
        <v>3</v>
      </c>
      <c r="K1491" s="2" t="s">
        <v>61</v>
      </c>
      <c r="L1491" s="6" t="s">
        <v>113</v>
      </c>
      <c r="M1491" s="5">
        <v>1350000000</v>
      </c>
      <c r="N1491" s="2">
        <v>0</v>
      </c>
      <c r="O1491" s="2">
        <v>4.6902240170000002</v>
      </c>
      <c r="P1491" s="2">
        <v>-74.043813249999999</v>
      </c>
      <c r="Q1491" s="2" t="s">
        <v>1542</v>
      </c>
      <c r="R1491" s="2">
        <v>5818965.517</v>
      </c>
      <c r="S1491" s="2">
        <v>0</v>
      </c>
      <c r="T1491" s="2" t="s">
        <v>55</v>
      </c>
      <c r="U1491" s="2" t="s">
        <v>56</v>
      </c>
      <c r="V1491" s="2" t="s">
        <v>28</v>
      </c>
      <c r="W1491" s="2" t="s">
        <v>55</v>
      </c>
      <c r="X1491" s="2" t="s">
        <v>57</v>
      </c>
      <c r="Y1491" s="2">
        <v>2.6885870680803698</v>
      </c>
      <c r="Z1491" s="2">
        <v>4.71035</v>
      </c>
      <c r="AA1491" s="2">
        <v>-74.030416666666696</v>
      </c>
      <c r="AB1491" s="2">
        <v>2570</v>
      </c>
      <c r="AC1491" s="2" t="s">
        <v>31</v>
      </c>
      <c r="AD1491" s="2" t="s">
        <v>58</v>
      </c>
      <c r="AE1491" s="2" t="s">
        <v>33</v>
      </c>
      <c r="AF1491" s="2" t="s">
        <v>34</v>
      </c>
      <c r="AG1491" s="2" t="s">
        <v>59</v>
      </c>
      <c r="AH1491" s="2">
        <v>1.40495429906076</v>
      </c>
      <c r="AI1491" s="2">
        <v>1.5296215969936999</v>
      </c>
      <c r="AJ1491" s="2">
        <v>0.75044790764596303</v>
      </c>
      <c r="AK1491" s="2">
        <v>8.4447861828201201E-2</v>
      </c>
      <c r="AL1491" s="2">
        <v>7.3600780936509805E-2</v>
      </c>
      <c r="AM1491" s="2">
        <v>15.5</v>
      </c>
      <c r="AN1491" s="2">
        <v>2.4</v>
      </c>
      <c r="AO1491" s="2">
        <v>10.9</v>
      </c>
      <c r="AP1491" s="2">
        <v>564</v>
      </c>
      <c r="AQ1491" s="2">
        <v>68</v>
      </c>
      <c r="AR1491" s="2">
        <v>1.5</v>
      </c>
      <c r="AS1491" s="2">
        <v>135</v>
      </c>
      <c r="AT1491" s="2">
        <v>0</v>
      </c>
      <c r="AU1491" s="2">
        <v>162</v>
      </c>
      <c r="AV1491" s="2">
        <v>9.1</v>
      </c>
      <c r="AW1491" s="2">
        <v>9.1999999999999993</v>
      </c>
      <c r="AX1491" s="2">
        <v>18.3</v>
      </c>
      <c r="AY1491" s="2">
        <v>0.34</v>
      </c>
      <c r="AZ1491" s="2">
        <v>7.3</v>
      </c>
      <c r="BA1491" s="2">
        <v>0.9</v>
      </c>
      <c r="BB1491" s="2">
        <v>7.5</v>
      </c>
      <c r="BC1491" s="2">
        <v>2.9</v>
      </c>
      <c r="BD1491" s="2">
        <f>+AN1491*EXP(-0.0495*Y1491)</f>
        <v>2.1009375079892409</v>
      </c>
      <c r="BE1491" s="2">
        <f>+AO1491*EXP(-0.024*Y1491)</f>
        <v>10.218877035217462</v>
      </c>
    </row>
    <row r="1492" spans="1:57" x14ac:dyDescent="0.2">
      <c r="A1492" s="2" t="s">
        <v>2859</v>
      </c>
      <c r="B1492" s="2" t="s">
        <v>19</v>
      </c>
      <c r="C1492" s="2" t="s">
        <v>1907</v>
      </c>
      <c r="D1492" s="2" t="s">
        <v>21</v>
      </c>
      <c r="E1492" s="2" t="s">
        <v>342</v>
      </c>
      <c r="F1492" s="2">
        <v>5</v>
      </c>
      <c r="G1492" s="2">
        <v>231</v>
      </c>
      <c r="H1492" s="2">
        <v>4</v>
      </c>
      <c r="I1492" s="2">
        <v>4</v>
      </c>
      <c r="J1492" s="2">
        <v>1</v>
      </c>
      <c r="K1492" s="2" t="s">
        <v>61</v>
      </c>
      <c r="L1492" s="6" t="s">
        <v>113</v>
      </c>
      <c r="M1492" s="5">
        <v>1350000000</v>
      </c>
      <c r="N1492" s="2">
        <v>0</v>
      </c>
      <c r="O1492" s="2">
        <v>4.7204699999999997</v>
      </c>
      <c r="P1492" s="2">
        <v>-74.047489999999996</v>
      </c>
      <c r="Q1492" s="2" t="s">
        <v>2860</v>
      </c>
      <c r="R1492" s="2">
        <v>5844155.8439999996</v>
      </c>
      <c r="S1492" s="2">
        <v>0</v>
      </c>
      <c r="T1492" s="2" t="s">
        <v>55</v>
      </c>
      <c r="U1492" s="2" t="s">
        <v>56</v>
      </c>
      <c r="V1492" s="2" t="s">
        <v>28</v>
      </c>
      <c r="W1492" s="2" t="s">
        <v>55</v>
      </c>
      <c r="X1492" s="2" t="s">
        <v>57</v>
      </c>
      <c r="Y1492" s="2">
        <v>2.2038537471272601</v>
      </c>
      <c r="Z1492" s="2">
        <v>4.71035</v>
      </c>
      <c r="AA1492" s="2">
        <v>-74.030416666666696</v>
      </c>
      <c r="AB1492" s="2">
        <v>2570</v>
      </c>
      <c r="AC1492" s="2" t="s">
        <v>31</v>
      </c>
      <c r="AD1492" s="2" t="s">
        <v>58</v>
      </c>
      <c r="AE1492" s="2" t="s">
        <v>33</v>
      </c>
      <c r="AF1492" s="2" t="s">
        <v>34</v>
      </c>
      <c r="AG1492" s="2" t="s">
        <v>59</v>
      </c>
      <c r="AH1492" s="2">
        <v>0.44660124070908502</v>
      </c>
      <c r="AI1492" s="2">
        <v>2.65511021334166</v>
      </c>
      <c r="AJ1492" s="2">
        <v>1.60524883907657</v>
      </c>
      <c r="AK1492" s="2">
        <v>3.8504676207704903E-2</v>
      </c>
      <c r="AL1492" s="2">
        <v>0.42267416334288599</v>
      </c>
      <c r="AM1492" s="2">
        <v>15.5</v>
      </c>
      <c r="AN1492" s="2">
        <v>2.4</v>
      </c>
      <c r="AO1492" s="2">
        <v>10.9</v>
      </c>
      <c r="AP1492" s="2">
        <v>564</v>
      </c>
      <c r="AQ1492" s="2">
        <v>68</v>
      </c>
      <c r="AR1492" s="2">
        <v>1.5</v>
      </c>
      <c r="AS1492" s="2">
        <v>135</v>
      </c>
      <c r="AT1492" s="2">
        <v>0</v>
      </c>
      <c r="AU1492" s="2">
        <v>162</v>
      </c>
      <c r="AV1492" s="2">
        <v>9.1</v>
      </c>
      <c r="AW1492" s="2">
        <v>9.1999999999999993</v>
      </c>
      <c r="AX1492" s="2">
        <v>18.3</v>
      </c>
      <c r="AY1492" s="2">
        <v>0.34</v>
      </c>
      <c r="AZ1492" s="2">
        <v>7.3</v>
      </c>
      <c r="BA1492" s="2">
        <v>0.9</v>
      </c>
      <c r="BB1492" s="2">
        <v>7.5</v>
      </c>
      <c r="BC1492" s="2">
        <v>2.9</v>
      </c>
      <c r="BD1492" s="2">
        <f>+AN1492*EXP(-0.0495*Y1492)</f>
        <v>2.1519576804141205</v>
      </c>
      <c r="BE1492" s="2">
        <f>+AO1492*EXP(-0.024*Y1492)</f>
        <v>10.338453564166601</v>
      </c>
    </row>
    <row r="1493" spans="1:57" x14ac:dyDescent="0.2">
      <c r="A1493" s="2" t="s">
        <v>2949</v>
      </c>
      <c r="B1493" s="2" t="s">
        <v>19</v>
      </c>
      <c r="C1493" s="2" t="s">
        <v>1907</v>
      </c>
      <c r="D1493" s="2" t="s">
        <v>21</v>
      </c>
      <c r="E1493" s="2" t="s">
        <v>342</v>
      </c>
      <c r="F1493" s="2">
        <v>5</v>
      </c>
      <c r="G1493" s="2">
        <v>231</v>
      </c>
      <c r="H1493" s="2">
        <v>4</v>
      </c>
      <c r="I1493" s="2">
        <v>3</v>
      </c>
      <c r="J1493" s="2">
        <v>3</v>
      </c>
      <c r="K1493" s="2" t="s">
        <v>61</v>
      </c>
      <c r="L1493" s="6" t="s">
        <v>113</v>
      </c>
      <c r="M1493" s="5">
        <v>1350000000</v>
      </c>
      <c r="N1493" s="2">
        <v>0</v>
      </c>
      <c r="O1493" s="2">
        <v>4.7204699999999997</v>
      </c>
      <c r="P1493" s="2">
        <v>-74.047489999999996</v>
      </c>
      <c r="Q1493" s="2" t="s">
        <v>2950</v>
      </c>
      <c r="R1493" s="2">
        <v>5844155.8439999996</v>
      </c>
      <c r="S1493" s="2">
        <v>0</v>
      </c>
      <c r="T1493" s="2" t="s">
        <v>55</v>
      </c>
      <c r="U1493" s="2" t="s">
        <v>56</v>
      </c>
      <c r="V1493" s="2" t="s">
        <v>28</v>
      </c>
      <c r="W1493" s="2" t="s">
        <v>55</v>
      </c>
      <c r="X1493" s="2" t="s">
        <v>57</v>
      </c>
      <c r="Y1493" s="2">
        <v>2.2038537471272601</v>
      </c>
      <c r="Z1493" s="2">
        <v>4.71035</v>
      </c>
      <c r="AA1493" s="2">
        <v>-74.030416666666696</v>
      </c>
      <c r="AB1493" s="2">
        <v>2570</v>
      </c>
      <c r="AC1493" s="2" t="s">
        <v>31</v>
      </c>
      <c r="AD1493" s="2" t="s">
        <v>58</v>
      </c>
      <c r="AE1493" s="2" t="s">
        <v>33</v>
      </c>
      <c r="AF1493" s="2" t="s">
        <v>34</v>
      </c>
      <c r="AG1493" s="2" t="s">
        <v>59</v>
      </c>
      <c r="AH1493" s="2">
        <v>0.44660124070908502</v>
      </c>
      <c r="AI1493" s="2">
        <v>2.65511021334166</v>
      </c>
      <c r="AJ1493" s="2">
        <v>1.60524883907657</v>
      </c>
      <c r="AK1493" s="2">
        <v>3.8504676207704903E-2</v>
      </c>
      <c r="AL1493" s="2">
        <v>0.42267416334288599</v>
      </c>
      <c r="AM1493" s="2">
        <v>15.5</v>
      </c>
      <c r="AN1493" s="2">
        <v>2.4</v>
      </c>
      <c r="AO1493" s="2">
        <v>10.9</v>
      </c>
      <c r="AP1493" s="2">
        <v>564</v>
      </c>
      <c r="AQ1493" s="2">
        <v>68</v>
      </c>
      <c r="AR1493" s="2">
        <v>1.5</v>
      </c>
      <c r="AS1493" s="2">
        <v>135</v>
      </c>
      <c r="AT1493" s="2">
        <v>0</v>
      </c>
      <c r="AU1493" s="2">
        <v>162</v>
      </c>
      <c r="AV1493" s="2">
        <v>9.1</v>
      </c>
      <c r="AW1493" s="2">
        <v>9.1999999999999993</v>
      </c>
      <c r="AX1493" s="2">
        <v>18.3</v>
      </c>
      <c r="AY1493" s="2">
        <v>0.34</v>
      </c>
      <c r="AZ1493" s="2">
        <v>7.3</v>
      </c>
      <c r="BA1493" s="2">
        <v>0.9</v>
      </c>
      <c r="BB1493" s="2">
        <v>7.5</v>
      </c>
      <c r="BC1493" s="2">
        <v>2.9</v>
      </c>
      <c r="BD1493" s="2">
        <f>+AN1493*EXP(-0.0495*Y1493)</f>
        <v>2.1519576804141205</v>
      </c>
      <c r="BE1493" s="2">
        <f>+AO1493*EXP(-0.024*Y1493)</f>
        <v>10.338453564166601</v>
      </c>
    </row>
    <row r="1494" spans="1:57" x14ac:dyDescent="0.2">
      <c r="A1494" s="2" t="s">
        <v>1448</v>
      </c>
      <c r="B1494" s="2" t="s">
        <v>19</v>
      </c>
      <c r="C1494" s="2" t="s">
        <v>20</v>
      </c>
      <c r="D1494" s="2" t="s">
        <v>21</v>
      </c>
      <c r="E1494" s="2" t="s">
        <v>1449</v>
      </c>
      <c r="F1494" s="2">
        <v>6</v>
      </c>
      <c r="G1494" s="2">
        <v>230</v>
      </c>
      <c r="H1494" s="2">
        <v>4</v>
      </c>
      <c r="I1494" s="2">
        <v>4</v>
      </c>
      <c r="J1494" s="2">
        <v>3</v>
      </c>
      <c r="K1494" s="2" t="s">
        <v>61</v>
      </c>
      <c r="L1494" s="6" t="s">
        <v>113</v>
      </c>
      <c r="M1494" s="5">
        <v>1195000000</v>
      </c>
      <c r="N1494" s="2">
        <v>0</v>
      </c>
      <c r="O1494" s="2">
        <v>4.6866523310000003</v>
      </c>
      <c r="P1494" s="2">
        <v>-74.054842930000007</v>
      </c>
      <c r="Q1494" s="2" t="s">
        <v>1450</v>
      </c>
      <c r="R1494" s="2">
        <v>5195652.1739999996</v>
      </c>
      <c r="S1494" s="2">
        <v>0</v>
      </c>
      <c r="T1494" s="2" t="s">
        <v>55</v>
      </c>
      <c r="U1494" s="2" t="s">
        <v>56</v>
      </c>
      <c r="V1494" s="2" t="s">
        <v>28</v>
      </c>
      <c r="W1494" s="2" t="s">
        <v>55</v>
      </c>
      <c r="X1494" s="2" t="s">
        <v>57</v>
      </c>
      <c r="Y1494" s="2">
        <v>3.7819452998701601</v>
      </c>
      <c r="Z1494" s="2">
        <v>4.71035</v>
      </c>
      <c r="AA1494" s="2">
        <v>-74.030416666666696</v>
      </c>
      <c r="AB1494" s="2">
        <v>2570</v>
      </c>
      <c r="AC1494" s="2" t="s">
        <v>31</v>
      </c>
      <c r="AD1494" s="2" t="s">
        <v>58</v>
      </c>
      <c r="AE1494" s="2" t="s">
        <v>33</v>
      </c>
      <c r="AF1494" s="2" t="s">
        <v>34</v>
      </c>
      <c r="AG1494" s="2" t="s">
        <v>59</v>
      </c>
      <c r="AH1494" s="2">
        <v>0.43640120005136901</v>
      </c>
      <c r="AI1494" s="2">
        <v>2.19962752285545</v>
      </c>
      <c r="AJ1494" s="2">
        <v>0.24625434502110299</v>
      </c>
      <c r="AK1494" s="2">
        <v>3.3872409018295198E-2</v>
      </c>
      <c r="AL1494" s="2">
        <v>0.50137587067360201</v>
      </c>
      <c r="AM1494" s="2">
        <v>15.5</v>
      </c>
      <c r="AN1494" s="2">
        <v>2.4</v>
      </c>
      <c r="AO1494" s="2">
        <v>10.9</v>
      </c>
      <c r="AP1494" s="2">
        <v>564</v>
      </c>
      <c r="AQ1494" s="2">
        <v>68</v>
      </c>
      <c r="AR1494" s="2">
        <v>1.5</v>
      </c>
      <c r="AS1494" s="2">
        <v>135</v>
      </c>
      <c r="AT1494" s="2">
        <v>0</v>
      </c>
      <c r="AU1494" s="2">
        <v>162</v>
      </c>
      <c r="AV1494" s="2">
        <v>9.1</v>
      </c>
      <c r="AW1494" s="2">
        <v>9.1999999999999993</v>
      </c>
      <c r="AX1494" s="2">
        <v>18.3</v>
      </c>
      <c r="AY1494" s="2">
        <v>0.34</v>
      </c>
      <c r="AZ1494" s="2">
        <v>7.3</v>
      </c>
      <c r="BA1494" s="2">
        <v>0.9</v>
      </c>
      <c r="BB1494" s="2">
        <v>7.5</v>
      </c>
      <c r="BC1494" s="2">
        <v>2.9</v>
      </c>
      <c r="BD1494" s="2">
        <f>+AN1494*EXP(-0.0495*Y1494)</f>
        <v>1.9902543507385764</v>
      </c>
      <c r="BE1494" s="2">
        <f>+AO1494*EXP(-0.024*Y1494)</f>
        <v>9.9542152237515644</v>
      </c>
    </row>
    <row r="1495" spans="1:57" x14ac:dyDescent="0.2">
      <c r="A1495" s="2" t="s">
        <v>2797</v>
      </c>
      <c r="B1495" s="2" t="s">
        <v>19</v>
      </c>
      <c r="C1495" s="2" t="s">
        <v>1907</v>
      </c>
      <c r="D1495" s="2" t="s">
        <v>21</v>
      </c>
      <c r="E1495" s="2" t="s">
        <v>221</v>
      </c>
      <c r="F1495" s="2">
        <v>6</v>
      </c>
      <c r="G1495" s="2">
        <v>230</v>
      </c>
      <c r="H1495" s="2">
        <v>2</v>
      </c>
      <c r="I1495" s="2">
        <v>3</v>
      </c>
      <c r="J1495" s="2">
        <v>3</v>
      </c>
      <c r="K1495" s="2" t="s">
        <v>61</v>
      </c>
      <c r="L1495" s="6" t="s">
        <v>75</v>
      </c>
      <c r="M1495" s="5">
        <v>2900000000</v>
      </c>
      <c r="N1495" s="2">
        <v>0</v>
      </c>
      <c r="O1495" s="2">
        <v>4.6927202899999996</v>
      </c>
      <c r="P1495" s="2">
        <v>-74.027908749999995</v>
      </c>
      <c r="Q1495" s="2" t="s">
        <v>2798</v>
      </c>
      <c r="R1495" s="2">
        <v>12608695.65</v>
      </c>
      <c r="S1495" s="2">
        <v>0</v>
      </c>
      <c r="T1495" s="2" t="s">
        <v>55</v>
      </c>
      <c r="U1495" s="2" t="s">
        <v>56</v>
      </c>
      <c r="V1495" s="2" t="s">
        <v>28</v>
      </c>
      <c r="W1495" s="2" t="s">
        <v>55</v>
      </c>
      <c r="X1495" s="2" t="s">
        <v>57</v>
      </c>
      <c r="Y1495" s="2">
        <v>1.98215619387956</v>
      </c>
      <c r="Z1495" s="2">
        <v>4.71035</v>
      </c>
      <c r="AA1495" s="2">
        <v>-74.030416666666696</v>
      </c>
      <c r="AB1495" s="2">
        <v>2570</v>
      </c>
      <c r="AC1495" s="2" t="s">
        <v>31</v>
      </c>
      <c r="AD1495" s="2" t="s">
        <v>58</v>
      </c>
      <c r="AE1495" s="2" t="s">
        <v>33</v>
      </c>
      <c r="AF1495" s="2" t="s">
        <v>34</v>
      </c>
      <c r="AG1495" s="2" t="s">
        <v>59</v>
      </c>
      <c r="AH1495" s="2">
        <v>3.0962577835784502</v>
      </c>
      <c r="AI1495" s="2">
        <v>0.19248162268840199</v>
      </c>
      <c r="AJ1495" s="2">
        <v>0.27688106453474298</v>
      </c>
      <c r="AK1495" s="2">
        <v>0.40908635427203999</v>
      </c>
      <c r="AL1495" s="2">
        <v>0.77003531564317096</v>
      </c>
      <c r="AM1495" s="2">
        <v>15.5</v>
      </c>
      <c r="AN1495" s="2">
        <v>2.4</v>
      </c>
      <c r="AO1495" s="2">
        <v>10.9</v>
      </c>
      <c r="AP1495" s="2">
        <v>564</v>
      </c>
      <c r="AQ1495" s="2">
        <v>68</v>
      </c>
      <c r="AR1495" s="2">
        <v>1.5</v>
      </c>
      <c r="AS1495" s="2">
        <v>135</v>
      </c>
      <c r="AT1495" s="2">
        <v>0</v>
      </c>
      <c r="AU1495" s="2">
        <v>162</v>
      </c>
      <c r="AV1495" s="2">
        <v>9.1</v>
      </c>
      <c r="AW1495" s="2">
        <v>9.1999999999999993</v>
      </c>
      <c r="AX1495" s="2">
        <v>18.3</v>
      </c>
      <c r="AY1495" s="2">
        <v>0.34</v>
      </c>
      <c r="AZ1495" s="2">
        <v>7.3</v>
      </c>
      <c r="BA1495" s="2">
        <v>0.9</v>
      </c>
      <c r="BB1495" s="2">
        <v>7.5</v>
      </c>
      <c r="BC1495" s="2">
        <v>2.9</v>
      </c>
      <c r="BD1495" s="2">
        <f>+AN1495*EXP(-0.0495*Y1495)</f>
        <v>2.1757033808551483</v>
      </c>
      <c r="BE1495" s="2">
        <f>+AO1495*EXP(-0.024*Y1495)</f>
        <v>10.393608402988658</v>
      </c>
    </row>
    <row r="1496" spans="1:57" x14ac:dyDescent="0.2">
      <c r="A1496" s="2" t="s">
        <v>2795</v>
      </c>
      <c r="B1496" s="2" t="s">
        <v>19</v>
      </c>
      <c r="C1496" s="2" t="s">
        <v>1907</v>
      </c>
      <c r="D1496" s="2" t="s">
        <v>21</v>
      </c>
      <c r="E1496" s="2" t="s">
        <v>825</v>
      </c>
      <c r="F1496" s="2">
        <v>6</v>
      </c>
      <c r="G1496" s="2">
        <v>230</v>
      </c>
      <c r="H1496" s="2">
        <v>3</v>
      </c>
      <c r="I1496" s="2">
        <v>4</v>
      </c>
      <c r="J1496" s="2">
        <v>3</v>
      </c>
      <c r="K1496" s="2" t="s">
        <v>61</v>
      </c>
      <c r="L1496" s="6" t="s">
        <v>75</v>
      </c>
      <c r="M1496" s="5">
        <v>1500000000</v>
      </c>
      <c r="N1496" s="2">
        <v>0</v>
      </c>
      <c r="O1496" s="2">
        <v>4.7248099999999997</v>
      </c>
      <c r="P1496" s="2">
        <v>-74.024469999999994</v>
      </c>
      <c r="Q1496" s="2" t="s">
        <v>2796</v>
      </c>
      <c r="R1496" s="2">
        <v>6521739.1299999999</v>
      </c>
      <c r="S1496" s="2">
        <v>0</v>
      </c>
      <c r="T1496" s="2" t="s">
        <v>55</v>
      </c>
      <c r="U1496" s="2" t="s">
        <v>56</v>
      </c>
      <c r="V1496" s="2" t="s">
        <v>28</v>
      </c>
      <c r="W1496" s="2" t="s">
        <v>55</v>
      </c>
      <c r="X1496" s="2" t="s">
        <v>57</v>
      </c>
      <c r="Y1496" s="2">
        <v>1.7396328384181801</v>
      </c>
      <c r="Z1496" s="2">
        <v>4.71035</v>
      </c>
      <c r="AA1496" s="2">
        <v>-74.030416666666696</v>
      </c>
      <c r="AB1496" s="2">
        <v>2570</v>
      </c>
      <c r="AC1496" s="2" t="s">
        <v>31</v>
      </c>
      <c r="AD1496" s="2" t="s">
        <v>58</v>
      </c>
      <c r="AE1496" s="2" t="s">
        <v>33</v>
      </c>
      <c r="AF1496" s="2" t="s">
        <v>34</v>
      </c>
      <c r="AG1496" s="2" t="s">
        <v>59</v>
      </c>
      <c r="AH1496" s="2">
        <v>2.8889010134922199</v>
      </c>
      <c r="AI1496" s="2">
        <v>0.37012078514069602</v>
      </c>
      <c r="AJ1496" s="2">
        <v>1.8071273080010699</v>
      </c>
      <c r="AK1496" s="2">
        <v>0.269442245901583</v>
      </c>
      <c r="AL1496" s="2">
        <v>0.59362744416191504</v>
      </c>
      <c r="AM1496" s="2">
        <v>15.5</v>
      </c>
      <c r="AN1496" s="2">
        <v>2.4</v>
      </c>
      <c r="AO1496" s="2">
        <v>10.9</v>
      </c>
      <c r="AP1496" s="2">
        <v>564</v>
      </c>
      <c r="AQ1496" s="2">
        <v>68</v>
      </c>
      <c r="AR1496" s="2">
        <v>1.5</v>
      </c>
      <c r="AS1496" s="2">
        <v>135</v>
      </c>
      <c r="AT1496" s="2">
        <v>0</v>
      </c>
      <c r="AU1496" s="2">
        <v>162</v>
      </c>
      <c r="AV1496" s="2">
        <v>9.1</v>
      </c>
      <c r="AW1496" s="2">
        <v>9.1999999999999993</v>
      </c>
      <c r="AX1496" s="2">
        <v>18.3</v>
      </c>
      <c r="AY1496" s="2">
        <v>0.34</v>
      </c>
      <c r="AZ1496" s="2">
        <v>7.3</v>
      </c>
      <c r="BA1496" s="2">
        <v>0.9</v>
      </c>
      <c r="BB1496" s="2">
        <v>7.5</v>
      </c>
      <c r="BC1496" s="2">
        <v>2.9</v>
      </c>
      <c r="BD1496" s="2">
        <f>+AN1496*EXP(-0.0495*Y1496)</f>
        <v>2.2019799036525733</v>
      </c>
      <c r="BE1496" s="2">
        <f>+AO1496*EXP(-0.024*Y1496)</f>
        <v>10.454281434064857</v>
      </c>
    </row>
    <row r="1497" spans="1:57" x14ac:dyDescent="0.2">
      <c r="A1497" s="2" t="s">
        <v>533</v>
      </c>
      <c r="B1497" s="2" t="s">
        <v>19</v>
      </c>
      <c r="C1497" s="2" t="s">
        <v>20</v>
      </c>
      <c r="D1497" s="2" t="s">
        <v>21</v>
      </c>
      <c r="E1497" s="2" t="s">
        <v>534</v>
      </c>
      <c r="F1497" s="2">
        <v>6</v>
      </c>
      <c r="G1497" s="2">
        <v>230</v>
      </c>
      <c r="H1497" s="2">
        <v>3</v>
      </c>
      <c r="I1497" s="2">
        <v>5</v>
      </c>
      <c r="J1497" s="2">
        <v>4</v>
      </c>
      <c r="K1497" s="2" t="s">
        <v>61</v>
      </c>
      <c r="L1497" s="6" t="s">
        <v>113</v>
      </c>
      <c r="M1497" s="5">
        <v>1450000000</v>
      </c>
      <c r="N1497" s="2">
        <v>0</v>
      </c>
      <c r="O1497" s="2">
        <v>4.7088546750000004</v>
      </c>
      <c r="P1497" s="2">
        <v>-74.043777469999995</v>
      </c>
      <c r="Q1497" s="2" t="s">
        <v>535</v>
      </c>
      <c r="R1497" s="2">
        <v>6304347.8260000004</v>
      </c>
      <c r="S1497" s="2">
        <v>0</v>
      </c>
      <c r="T1497" s="2" t="s">
        <v>55</v>
      </c>
      <c r="U1497" s="2" t="s">
        <v>56</v>
      </c>
      <c r="V1497" s="2" t="s">
        <v>28</v>
      </c>
      <c r="W1497" s="2" t="s">
        <v>55</v>
      </c>
      <c r="X1497" s="2" t="s">
        <v>57</v>
      </c>
      <c r="Y1497" s="2">
        <v>1.49161331379141</v>
      </c>
      <c r="Z1497" s="2">
        <v>4.71035</v>
      </c>
      <c r="AA1497" s="2">
        <v>-74.030416666666696</v>
      </c>
      <c r="AB1497" s="2">
        <v>2570</v>
      </c>
      <c r="AC1497" s="2" t="s">
        <v>31</v>
      </c>
      <c r="AD1497" s="2" t="s">
        <v>58</v>
      </c>
      <c r="AE1497" s="2" t="s">
        <v>33</v>
      </c>
      <c r="AF1497" s="2" t="s">
        <v>34</v>
      </c>
      <c r="AG1497" s="2" t="s">
        <v>59</v>
      </c>
      <c r="AH1497" s="2">
        <v>1.1598163881235699</v>
      </c>
      <c r="AI1497" s="2">
        <v>2.0742200037002898</v>
      </c>
      <c r="AJ1497" s="2">
        <v>1.2372228188932299</v>
      </c>
      <c r="AK1497" s="2">
        <v>3.0427712475189401E-2</v>
      </c>
      <c r="AL1497" s="2">
        <v>1.8516142023503601E-2</v>
      </c>
      <c r="AM1497" s="2">
        <v>15.5</v>
      </c>
      <c r="AN1497" s="2">
        <v>2.4</v>
      </c>
      <c r="AO1497" s="2">
        <v>10.9</v>
      </c>
      <c r="AP1497" s="2">
        <v>564</v>
      </c>
      <c r="AQ1497" s="2">
        <v>68</v>
      </c>
      <c r="AR1497" s="2">
        <v>1.5</v>
      </c>
      <c r="AS1497" s="2">
        <v>135</v>
      </c>
      <c r="AT1497" s="2">
        <v>0</v>
      </c>
      <c r="AU1497" s="2">
        <v>162</v>
      </c>
      <c r="AV1497" s="2">
        <v>9.1</v>
      </c>
      <c r="AW1497" s="2">
        <v>9.1999999999999993</v>
      </c>
      <c r="AX1497" s="2">
        <v>18.3</v>
      </c>
      <c r="AY1497" s="2">
        <v>0.34</v>
      </c>
      <c r="AZ1497" s="2">
        <v>7.3</v>
      </c>
      <c r="BA1497" s="2">
        <v>0.9</v>
      </c>
      <c r="BB1497" s="2">
        <v>7.5</v>
      </c>
      <c r="BC1497" s="2">
        <v>2.9</v>
      </c>
      <c r="BD1497" s="2">
        <f>+AN1497*EXP(-0.0495*Y1497)</f>
        <v>2.2291801637927664</v>
      </c>
      <c r="BE1497" s="2">
        <f>+AO1497*EXP(-0.024*Y1497)</f>
        <v>10.516695791405827</v>
      </c>
    </row>
    <row r="1498" spans="1:57" x14ac:dyDescent="0.2">
      <c r="A1498" s="2" t="s">
        <v>1171</v>
      </c>
      <c r="B1498" s="2" t="s">
        <v>19</v>
      </c>
      <c r="C1498" s="2" t="s">
        <v>20</v>
      </c>
      <c r="D1498" s="2" t="s">
        <v>21</v>
      </c>
      <c r="E1498" s="2" t="s">
        <v>153</v>
      </c>
      <c r="F1498" s="2">
        <v>6</v>
      </c>
      <c r="G1498" s="2">
        <v>230</v>
      </c>
      <c r="H1498" s="2">
        <v>3</v>
      </c>
      <c r="I1498" s="2">
        <v>3</v>
      </c>
      <c r="J1498" s="2">
        <v>2</v>
      </c>
      <c r="K1498" s="2" t="s">
        <v>61</v>
      </c>
      <c r="L1498" s="6" t="s">
        <v>75</v>
      </c>
      <c r="M1498" s="5">
        <v>2800000000</v>
      </c>
      <c r="N1498" s="2">
        <v>0</v>
      </c>
      <c r="O1498" s="2">
        <v>4.7009953050000002</v>
      </c>
      <c r="P1498" s="2">
        <v>-74.028470499999997</v>
      </c>
      <c r="Q1498" s="2" t="s">
        <v>1172</v>
      </c>
      <c r="R1498" s="2">
        <v>12173913.039999999</v>
      </c>
      <c r="S1498" s="2">
        <v>0</v>
      </c>
      <c r="T1498" s="2" t="s">
        <v>55</v>
      </c>
      <c r="U1498" s="2" t="s">
        <v>56</v>
      </c>
      <c r="V1498" s="2" t="s">
        <v>28</v>
      </c>
      <c r="W1498" s="2" t="s">
        <v>55</v>
      </c>
      <c r="X1498" s="2" t="s">
        <v>57</v>
      </c>
      <c r="Y1498" s="2">
        <v>1.0635084099676599</v>
      </c>
      <c r="Z1498" s="2">
        <v>4.71035</v>
      </c>
      <c r="AA1498" s="2">
        <v>-74.030416666666696</v>
      </c>
      <c r="AB1498" s="2">
        <v>2570</v>
      </c>
      <c r="AC1498" s="2" t="s">
        <v>31</v>
      </c>
      <c r="AD1498" s="2" t="s">
        <v>58</v>
      </c>
      <c r="AE1498" s="2" t="s">
        <v>33</v>
      </c>
      <c r="AF1498" s="2" t="s">
        <v>34</v>
      </c>
      <c r="AG1498" s="2" t="s">
        <v>59</v>
      </c>
      <c r="AH1498" s="2">
        <v>2.8838544692985399</v>
      </c>
      <c r="AI1498" s="2">
        <v>0.33411255142011298</v>
      </c>
      <c r="AJ1498" s="2">
        <v>0.444386755925675</v>
      </c>
      <c r="AK1498" s="2">
        <v>9.8689537749663894E-2</v>
      </c>
      <c r="AL1498" s="2">
        <v>0.27622586608413502</v>
      </c>
      <c r="AM1498" s="2">
        <v>15.5</v>
      </c>
      <c r="AN1498" s="2">
        <v>2.4</v>
      </c>
      <c r="AO1498" s="2">
        <v>10.9</v>
      </c>
      <c r="AP1498" s="2">
        <v>564</v>
      </c>
      <c r="AQ1498" s="2">
        <v>68</v>
      </c>
      <c r="AR1498" s="2">
        <v>1.5</v>
      </c>
      <c r="AS1498" s="2">
        <v>135</v>
      </c>
      <c r="AT1498" s="2">
        <v>0</v>
      </c>
      <c r="AU1498" s="2">
        <v>162</v>
      </c>
      <c r="AV1498" s="2">
        <v>9.1</v>
      </c>
      <c r="AW1498" s="2">
        <v>9.1999999999999993</v>
      </c>
      <c r="AX1498" s="2">
        <v>18.3</v>
      </c>
      <c r="AY1498" s="2">
        <v>0.34</v>
      </c>
      <c r="AZ1498" s="2">
        <v>7.3</v>
      </c>
      <c r="BA1498" s="2">
        <v>0.9</v>
      </c>
      <c r="BB1498" s="2">
        <v>7.5</v>
      </c>
      <c r="BC1498" s="2">
        <v>2.9</v>
      </c>
      <c r="BD1498" s="2">
        <f>+AN1498*EXP(-0.0495*Y1498)</f>
        <v>2.2769232299141495</v>
      </c>
      <c r="BE1498" s="2">
        <f>+AO1498*EXP(-0.024*Y1498)</f>
        <v>10.62530677564849</v>
      </c>
    </row>
    <row r="1499" spans="1:57" x14ac:dyDescent="0.2">
      <c r="A1499" s="2" t="s">
        <v>705</v>
      </c>
      <c r="B1499" s="2" t="s">
        <v>19</v>
      </c>
      <c r="C1499" s="2" t="s">
        <v>20</v>
      </c>
      <c r="D1499" s="2" t="s">
        <v>21</v>
      </c>
      <c r="E1499" s="2" t="s">
        <v>144</v>
      </c>
      <c r="F1499" s="2">
        <v>6</v>
      </c>
      <c r="G1499" s="2">
        <v>230</v>
      </c>
      <c r="H1499" s="2">
        <v>3</v>
      </c>
      <c r="I1499" s="2">
        <v>4</v>
      </c>
      <c r="J1499" s="2">
        <v>2</v>
      </c>
      <c r="K1499" s="2" t="s">
        <v>61</v>
      </c>
      <c r="L1499" s="6" t="s">
        <v>75</v>
      </c>
      <c r="M1499" s="5">
        <v>1540000000</v>
      </c>
      <c r="N1499" s="2">
        <v>0</v>
      </c>
      <c r="O1499" s="2">
        <v>4.702277949</v>
      </c>
      <c r="P1499" s="2">
        <v>-74.03271101</v>
      </c>
      <c r="Q1499" s="2" t="s">
        <v>706</v>
      </c>
      <c r="R1499" s="2">
        <v>6695652.1739999996</v>
      </c>
      <c r="S1499" s="2">
        <v>0</v>
      </c>
      <c r="T1499" s="2" t="s">
        <v>55</v>
      </c>
      <c r="U1499" s="2" t="s">
        <v>56</v>
      </c>
      <c r="V1499" s="2" t="s">
        <v>28</v>
      </c>
      <c r="W1499" s="2" t="s">
        <v>55</v>
      </c>
      <c r="X1499" s="2" t="s">
        <v>57</v>
      </c>
      <c r="Y1499" s="2">
        <v>0.93393391841664097</v>
      </c>
      <c r="Z1499" s="2">
        <v>4.71035</v>
      </c>
      <c r="AA1499" s="2">
        <v>-74.030416666666696</v>
      </c>
      <c r="AB1499" s="2">
        <v>2570</v>
      </c>
      <c r="AC1499" s="2" t="s">
        <v>31</v>
      </c>
      <c r="AD1499" s="2" t="s">
        <v>58</v>
      </c>
      <c r="AE1499" s="2" t="s">
        <v>33</v>
      </c>
      <c r="AF1499" s="2" t="s">
        <v>34</v>
      </c>
      <c r="AG1499" s="2" t="s">
        <v>59</v>
      </c>
      <c r="AH1499" s="2">
        <v>2.3996547580454299</v>
      </c>
      <c r="AI1499" s="2">
        <v>0.79189781811531601</v>
      </c>
      <c r="AJ1499" s="2">
        <v>0.107890277501083</v>
      </c>
      <c r="AK1499" s="2">
        <v>0.13014800336184101</v>
      </c>
      <c r="AL1499" s="2">
        <v>0.50608077900143</v>
      </c>
      <c r="AM1499" s="2">
        <v>15.5</v>
      </c>
      <c r="AN1499" s="2">
        <v>2.4</v>
      </c>
      <c r="AO1499" s="2">
        <v>10.9</v>
      </c>
      <c r="AP1499" s="2">
        <v>564</v>
      </c>
      <c r="AQ1499" s="2">
        <v>68</v>
      </c>
      <c r="AR1499" s="2">
        <v>1.5</v>
      </c>
      <c r="AS1499" s="2">
        <v>135</v>
      </c>
      <c r="AT1499" s="2">
        <v>0</v>
      </c>
      <c r="AU1499" s="2">
        <v>162</v>
      </c>
      <c r="AV1499" s="2">
        <v>9.1</v>
      </c>
      <c r="AW1499" s="2">
        <v>9.1999999999999993</v>
      </c>
      <c r="AX1499" s="2">
        <v>18.3</v>
      </c>
      <c r="AY1499" s="2">
        <v>0.34</v>
      </c>
      <c r="AZ1499" s="2">
        <v>7.3</v>
      </c>
      <c r="BA1499" s="2">
        <v>0.9</v>
      </c>
      <c r="BB1499" s="2">
        <v>7.5</v>
      </c>
      <c r="BC1499" s="2">
        <v>2.9</v>
      </c>
      <c r="BD1499" s="2">
        <f>+AN1499*EXP(-0.0495*Y1499)</f>
        <v>2.2915742078204699</v>
      </c>
      <c r="BE1499" s="2">
        <f>+AO1499*EXP(-0.024*Y1499)</f>
        <v>10.658400655803202</v>
      </c>
    </row>
    <row r="1500" spans="1:57" x14ac:dyDescent="0.2">
      <c r="A1500" s="2" t="s">
        <v>651</v>
      </c>
      <c r="B1500" s="2" t="s">
        <v>19</v>
      </c>
      <c r="C1500" s="2" t="s">
        <v>20</v>
      </c>
      <c r="D1500" s="2" t="s">
        <v>21</v>
      </c>
      <c r="E1500" s="2" t="s">
        <v>177</v>
      </c>
      <c r="F1500" s="2">
        <v>6</v>
      </c>
      <c r="G1500" s="2">
        <v>228</v>
      </c>
      <c r="H1500" s="2">
        <v>3</v>
      </c>
      <c r="I1500" s="2">
        <v>3</v>
      </c>
      <c r="J1500" s="2">
        <v>4</v>
      </c>
      <c r="K1500" s="2" t="s">
        <v>61</v>
      </c>
      <c r="L1500" s="6" t="s">
        <v>84</v>
      </c>
      <c r="M1500" s="5">
        <v>1600000000</v>
      </c>
      <c r="N1500" s="2">
        <v>0</v>
      </c>
      <c r="O1500" s="2">
        <v>4.6939225200000001</v>
      </c>
      <c r="P1500" s="2">
        <v>-74.040542599999995</v>
      </c>
      <c r="Q1500" s="2" t="s">
        <v>652</v>
      </c>
      <c r="R1500" s="2">
        <v>7017543.8600000003</v>
      </c>
      <c r="S1500" s="2">
        <v>0</v>
      </c>
      <c r="T1500" s="2" t="s">
        <v>55</v>
      </c>
      <c r="U1500" s="2" t="s">
        <v>56</v>
      </c>
      <c r="V1500" s="2" t="s">
        <v>28</v>
      </c>
      <c r="W1500" s="2" t="s">
        <v>55</v>
      </c>
      <c r="X1500" s="2" t="s">
        <v>57</v>
      </c>
      <c r="Y1500" s="2">
        <v>2.1462085783235998</v>
      </c>
      <c r="Z1500" s="2">
        <v>4.71035</v>
      </c>
      <c r="AA1500" s="2">
        <v>-74.030416666666696</v>
      </c>
      <c r="AB1500" s="2">
        <v>2570</v>
      </c>
      <c r="AC1500" s="2" t="s">
        <v>31</v>
      </c>
      <c r="AD1500" s="2" t="s">
        <v>58</v>
      </c>
      <c r="AE1500" s="2" t="s">
        <v>33</v>
      </c>
      <c r="AF1500" s="2" t="s">
        <v>34</v>
      </c>
      <c r="AG1500" s="2" t="s">
        <v>59</v>
      </c>
      <c r="AH1500" s="2">
        <v>1.7018999370719901</v>
      </c>
      <c r="AI1500" s="2">
        <v>1.55794654329767</v>
      </c>
      <c r="AJ1500" s="2">
        <v>1.03439589112021</v>
      </c>
      <c r="AK1500" s="2">
        <v>0.24262463191690101</v>
      </c>
      <c r="AL1500" s="2">
        <v>0.20981103812660701</v>
      </c>
      <c r="AM1500" s="2">
        <v>15.5</v>
      </c>
      <c r="AN1500" s="2">
        <v>2.4</v>
      </c>
      <c r="AO1500" s="2">
        <v>10.9</v>
      </c>
      <c r="AP1500" s="2">
        <v>564</v>
      </c>
      <c r="AQ1500" s="2">
        <v>68</v>
      </c>
      <c r="AR1500" s="2">
        <v>1.5</v>
      </c>
      <c r="AS1500" s="2">
        <v>135</v>
      </c>
      <c r="AT1500" s="2">
        <v>0</v>
      </c>
      <c r="AU1500" s="2">
        <v>162</v>
      </c>
      <c r="AV1500" s="2">
        <v>9.1</v>
      </c>
      <c r="AW1500" s="2">
        <v>9.1999999999999993</v>
      </c>
      <c r="AX1500" s="2">
        <v>18.3</v>
      </c>
      <c r="AY1500" s="2">
        <v>0.34</v>
      </c>
      <c r="AZ1500" s="2">
        <v>7.3</v>
      </c>
      <c r="BA1500" s="2">
        <v>0.9</v>
      </c>
      <c r="BB1500" s="2">
        <v>7.5</v>
      </c>
      <c r="BC1500" s="2">
        <v>2.9</v>
      </c>
      <c r="BD1500" s="2">
        <f>+AN1500*EXP(-0.0495*Y1500)</f>
        <v>2.1581069226814136</v>
      </c>
      <c r="BE1500" s="2">
        <f>+AO1500*EXP(-0.024*Y1500)</f>
        <v>10.352766548397355</v>
      </c>
    </row>
    <row r="1501" spans="1:57" x14ac:dyDescent="0.2">
      <c r="A1501" s="2" t="s">
        <v>519</v>
      </c>
      <c r="B1501" s="2" t="s">
        <v>19</v>
      </c>
      <c r="C1501" s="2" t="s">
        <v>20</v>
      </c>
      <c r="D1501" s="2" t="s">
        <v>21</v>
      </c>
      <c r="E1501" s="2" t="s">
        <v>520</v>
      </c>
      <c r="F1501" s="2">
        <v>6</v>
      </c>
      <c r="G1501" s="2">
        <v>228</v>
      </c>
      <c r="H1501" s="2">
        <v>3</v>
      </c>
      <c r="I1501" s="2">
        <v>4</v>
      </c>
      <c r="J1501" s="2">
        <v>3</v>
      </c>
      <c r="K1501" s="2" t="s">
        <v>61</v>
      </c>
      <c r="L1501" s="6" t="s">
        <v>84</v>
      </c>
      <c r="M1501" s="5">
        <v>2650000000</v>
      </c>
      <c r="N1501" s="2">
        <v>0</v>
      </c>
      <c r="O1501" s="2">
        <v>4.7011909999999997</v>
      </c>
      <c r="P1501" s="2">
        <v>-74.028475</v>
      </c>
      <c r="Q1501" s="2" t="s">
        <v>521</v>
      </c>
      <c r="R1501" s="2">
        <v>11622807.02</v>
      </c>
      <c r="S1501" s="2">
        <v>0</v>
      </c>
      <c r="T1501" s="2" t="s">
        <v>55</v>
      </c>
      <c r="U1501" s="2" t="s">
        <v>56</v>
      </c>
      <c r="V1501" s="2" t="s">
        <v>28</v>
      </c>
      <c r="W1501" s="2" t="s">
        <v>55</v>
      </c>
      <c r="X1501" s="2" t="s">
        <v>57</v>
      </c>
      <c r="Y1501" s="2">
        <v>1.0420834880512699</v>
      </c>
      <c r="Z1501" s="2">
        <v>4.71035</v>
      </c>
      <c r="AA1501" s="2">
        <v>-74.030416666666696</v>
      </c>
      <c r="AB1501" s="2">
        <v>2570</v>
      </c>
      <c r="AC1501" s="2" t="s">
        <v>31</v>
      </c>
      <c r="AD1501" s="2" t="s">
        <v>58</v>
      </c>
      <c r="AE1501" s="2" t="s">
        <v>33</v>
      </c>
      <c r="AF1501" s="2" t="s">
        <v>34</v>
      </c>
      <c r="AG1501" s="2" t="s">
        <v>59</v>
      </c>
      <c r="AH1501" s="2">
        <v>2.88041888259816</v>
      </c>
      <c r="AI1501" s="2">
        <v>0.34173767196218602</v>
      </c>
      <c r="AJ1501" s="2">
        <v>0.44259311175034499</v>
      </c>
      <c r="AK1501" s="2">
        <v>9.2716555068276293E-2</v>
      </c>
      <c r="AL1501" s="2">
        <v>0.25653747605254201</v>
      </c>
      <c r="AM1501" s="2">
        <v>15.5</v>
      </c>
      <c r="AN1501" s="2">
        <v>2.4</v>
      </c>
      <c r="AO1501" s="2">
        <v>10.9</v>
      </c>
      <c r="AP1501" s="2">
        <v>564</v>
      </c>
      <c r="AQ1501" s="2">
        <v>68</v>
      </c>
      <c r="AR1501" s="2">
        <v>1.5</v>
      </c>
      <c r="AS1501" s="2">
        <v>135</v>
      </c>
      <c r="AT1501" s="2">
        <v>0</v>
      </c>
      <c r="AU1501" s="2">
        <v>162</v>
      </c>
      <c r="AV1501" s="2">
        <v>9.1</v>
      </c>
      <c r="AW1501" s="2">
        <v>9.1999999999999993</v>
      </c>
      <c r="AX1501" s="2">
        <v>18.3</v>
      </c>
      <c r="AY1501" s="2">
        <v>0.34</v>
      </c>
      <c r="AZ1501" s="2">
        <v>7.3</v>
      </c>
      <c r="BA1501" s="2">
        <v>0.9</v>
      </c>
      <c r="BB1501" s="2">
        <v>7.5</v>
      </c>
      <c r="BC1501" s="2">
        <v>2.9</v>
      </c>
      <c r="BD1501" s="2">
        <f>+AN1501*EXP(-0.0495*Y1501)</f>
        <v>2.2793392644999915</v>
      </c>
      <c r="BE1501" s="2">
        <f>+AO1501*EXP(-0.024*Y1501)</f>
        <v>10.630771693385451</v>
      </c>
    </row>
    <row r="1502" spans="1:57" x14ac:dyDescent="0.2">
      <c r="A1502" s="2" t="s">
        <v>3234</v>
      </c>
      <c r="B1502" s="2" t="s">
        <v>19</v>
      </c>
      <c r="C1502" s="2" t="s">
        <v>1907</v>
      </c>
      <c r="D1502" s="2" t="s">
        <v>21</v>
      </c>
      <c r="E1502" s="2" t="s">
        <v>156</v>
      </c>
      <c r="F1502" s="2">
        <v>4</v>
      </c>
      <c r="G1502" s="2">
        <v>227</v>
      </c>
      <c r="H1502" s="2">
        <v>3</v>
      </c>
      <c r="I1502" s="2">
        <v>3</v>
      </c>
      <c r="J1502" s="2">
        <v>2</v>
      </c>
      <c r="K1502" s="2" t="s">
        <v>61</v>
      </c>
      <c r="L1502" s="6" t="s">
        <v>113</v>
      </c>
      <c r="M1502" s="5">
        <v>1100000000</v>
      </c>
      <c r="N1502" s="2">
        <v>0</v>
      </c>
      <c r="O1502" s="2">
        <v>4.7274399999999996</v>
      </c>
      <c r="P1502" s="2">
        <v>-74.03434</v>
      </c>
      <c r="Q1502" s="2" t="s">
        <v>3235</v>
      </c>
      <c r="R1502" s="2">
        <v>4845814.9780000001</v>
      </c>
      <c r="S1502" s="2">
        <v>0</v>
      </c>
      <c r="T1502" s="2" t="s">
        <v>55</v>
      </c>
      <c r="U1502" s="2" t="s">
        <v>56</v>
      </c>
      <c r="V1502" s="2" t="s">
        <v>28</v>
      </c>
      <c r="W1502" s="2" t="s">
        <v>55</v>
      </c>
      <c r="X1502" s="2" t="s">
        <v>57</v>
      </c>
      <c r="Y1502" s="2">
        <v>1.9516071045152199</v>
      </c>
      <c r="Z1502" s="2">
        <v>4.71035</v>
      </c>
      <c r="AA1502" s="2">
        <v>-74.030416666666696</v>
      </c>
      <c r="AB1502" s="2">
        <v>2570</v>
      </c>
      <c r="AC1502" s="2" t="s">
        <v>31</v>
      </c>
      <c r="AD1502" s="2" t="s">
        <v>58</v>
      </c>
      <c r="AE1502" s="2" t="s">
        <v>33</v>
      </c>
      <c r="AF1502" s="2" t="s">
        <v>34</v>
      </c>
      <c r="AG1502" s="2" t="s">
        <v>59</v>
      </c>
      <c r="AH1502" s="2">
        <v>1.75722190553306</v>
      </c>
      <c r="AI1502" s="2">
        <v>1.43862422745067</v>
      </c>
      <c r="AJ1502" s="2">
        <v>0.86713965387172698</v>
      </c>
      <c r="AK1502" s="2">
        <v>3.7856728126562503E-2</v>
      </c>
      <c r="AL1502" s="2">
        <v>0.113982118723631</v>
      </c>
      <c r="AM1502" s="2">
        <v>15.5</v>
      </c>
      <c r="AN1502" s="2">
        <v>2.4</v>
      </c>
      <c r="AO1502" s="2">
        <v>10.9</v>
      </c>
      <c r="AP1502" s="2">
        <v>564</v>
      </c>
      <c r="AQ1502" s="2">
        <v>68</v>
      </c>
      <c r="AR1502" s="2">
        <v>1.5</v>
      </c>
      <c r="AS1502" s="2">
        <v>135</v>
      </c>
      <c r="AT1502" s="2">
        <v>0</v>
      </c>
      <c r="AU1502" s="2">
        <v>162</v>
      </c>
      <c r="AV1502" s="2">
        <v>9.1</v>
      </c>
      <c r="AW1502" s="2">
        <v>9.1999999999999993</v>
      </c>
      <c r="AX1502" s="2">
        <v>18.3</v>
      </c>
      <c r="AY1502" s="2">
        <v>0.34</v>
      </c>
      <c r="AZ1502" s="2">
        <v>7.3</v>
      </c>
      <c r="BA1502" s="2">
        <v>0.9</v>
      </c>
      <c r="BB1502" s="2">
        <v>7.5</v>
      </c>
      <c r="BC1502" s="2">
        <v>2.9</v>
      </c>
      <c r="BD1502" s="2">
        <f>+AN1502*EXP(-0.0495*Y1502)</f>
        <v>2.1789959246591448</v>
      </c>
      <c r="BE1502" s="2">
        <f>+AO1502*EXP(-0.024*Y1502)</f>
        <v>10.401231563740701</v>
      </c>
    </row>
    <row r="1503" spans="1:57" x14ac:dyDescent="0.2">
      <c r="A1503" s="2" t="s">
        <v>140</v>
      </c>
      <c r="B1503" s="2" t="s">
        <v>19</v>
      </c>
      <c r="C1503" s="2" t="s">
        <v>20</v>
      </c>
      <c r="D1503" s="2" t="s">
        <v>21</v>
      </c>
      <c r="E1503" s="2" t="s">
        <v>141</v>
      </c>
      <c r="F1503" s="2">
        <v>6</v>
      </c>
      <c r="G1503" s="2">
        <v>225</v>
      </c>
      <c r="H1503" s="2">
        <v>3</v>
      </c>
      <c r="I1503" s="2">
        <v>3</v>
      </c>
      <c r="J1503" s="2">
        <v>2</v>
      </c>
      <c r="K1503" s="2" t="s">
        <v>61</v>
      </c>
      <c r="L1503" s="6" t="s">
        <v>113</v>
      </c>
      <c r="M1503" s="5">
        <v>1500000000</v>
      </c>
      <c r="N1503" s="2">
        <v>0</v>
      </c>
      <c r="O1503" s="2">
        <v>4.6856775280000003</v>
      </c>
      <c r="P1503" s="2">
        <v>-74.045822139999999</v>
      </c>
      <c r="Q1503" s="2" t="s">
        <v>142</v>
      </c>
      <c r="R1503" s="2">
        <v>6666666.6670000004</v>
      </c>
      <c r="S1503" s="2">
        <v>0</v>
      </c>
      <c r="T1503" s="2" t="s">
        <v>55</v>
      </c>
      <c r="U1503" s="2" t="s">
        <v>56</v>
      </c>
      <c r="V1503" s="2" t="s">
        <v>28</v>
      </c>
      <c r="W1503" s="2" t="s">
        <v>55</v>
      </c>
      <c r="X1503" s="2" t="s">
        <v>57</v>
      </c>
      <c r="Y1503" s="2">
        <v>3.2349134079862498</v>
      </c>
      <c r="Z1503" s="2">
        <v>4.71035</v>
      </c>
      <c r="AA1503" s="2">
        <v>-74.030416666666696</v>
      </c>
      <c r="AB1503" s="2">
        <v>2570</v>
      </c>
      <c r="AC1503" s="2" t="s">
        <v>31</v>
      </c>
      <c r="AD1503" s="2" t="s">
        <v>58</v>
      </c>
      <c r="AE1503" s="2" t="s">
        <v>33</v>
      </c>
      <c r="AF1503" s="2" t="s">
        <v>34</v>
      </c>
      <c r="AG1503" s="2" t="s">
        <v>59</v>
      </c>
      <c r="AH1503" s="2">
        <v>1.3321404588715999</v>
      </c>
      <c r="AI1503" s="2">
        <v>1.31634918434827</v>
      </c>
      <c r="AJ1503" s="2">
        <v>0.58614912944882003</v>
      </c>
      <c r="AK1503" s="2">
        <v>0.14075677572558201</v>
      </c>
      <c r="AL1503" s="2">
        <v>0.46070594476870202</v>
      </c>
      <c r="AM1503" s="2">
        <v>15.5</v>
      </c>
      <c r="AN1503" s="2">
        <v>2.4</v>
      </c>
      <c r="AO1503" s="2">
        <v>10.9</v>
      </c>
      <c r="AP1503" s="2">
        <v>564</v>
      </c>
      <c r="AQ1503" s="2">
        <v>68</v>
      </c>
      <c r="AR1503" s="2">
        <v>1.5</v>
      </c>
      <c r="AS1503" s="2">
        <v>135</v>
      </c>
      <c r="AT1503" s="2">
        <v>0</v>
      </c>
      <c r="AU1503" s="2">
        <v>162</v>
      </c>
      <c r="AV1503" s="2">
        <v>9.1</v>
      </c>
      <c r="AW1503" s="2">
        <v>9.1999999999999993</v>
      </c>
      <c r="AX1503" s="2">
        <v>18.3</v>
      </c>
      <c r="AY1503" s="2">
        <v>0.34</v>
      </c>
      <c r="AZ1503" s="2">
        <v>7.3</v>
      </c>
      <c r="BA1503" s="2">
        <v>0.9</v>
      </c>
      <c r="BB1503" s="2">
        <v>7.5</v>
      </c>
      <c r="BC1503" s="2">
        <v>2.9</v>
      </c>
      <c r="BD1503" s="2">
        <f>+AN1503*EXP(-0.0495*Y1503)</f>
        <v>2.0448828947181004</v>
      </c>
      <c r="BE1503" s="2">
        <f>+AO1503*EXP(-0.024*Y1503)</f>
        <v>10.085763423429396</v>
      </c>
    </row>
    <row r="1504" spans="1:57" x14ac:dyDescent="0.2">
      <c r="A1504" s="2" t="s">
        <v>985</v>
      </c>
      <c r="B1504" s="2" t="s">
        <v>19</v>
      </c>
      <c r="C1504" s="2" t="s">
        <v>20</v>
      </c>
      <c r="D1504" s="2" t="s">
        <v>21</v>
      </c>
      <c r="E1504" s="2" t="s">
        <v>986</v>
      </c>
      <c r="F1504" s="2">
        <v>6</v>
      </c>
      <c r="G1504" s="2">
        <v>224</v>
      </c>
      <c r="H1504" s="2">
        <v>3</v>
      </c>
      <c r="I1504" s="2">
        <v>3</v>
      </c>
      <c r="J1504" s="2">
        <v>3</v>
      </c>
      <c r="K1504" s="2" t="s">
        <v>61</v>
      </c>
      <c r="L1504" s="6" t="s">
        <v>75</v>
      </c>
      <c r="M1504" s="5">
        <v>2050000000</v>
      </c>
      <c r="N1504" s="2">
        <v>0</v>
      </c>
      <c r="O1504" s="2">
        <v>4.7182283399999996</v>
      </c>
      <c r="P1504" s="2">
        <v>-74.026451109999996</v>
      </c>
      <c r="Q1504" s="2" t="s">
        <v>987</v>
      </c>
      <c r="R1504" s="2">
        <v>9151785.7139999997</v>
      </c>
      <c r="S1504" s="2">
        <v>0</v>
      </c>
      <c r="T1504" s="2" t="s">
        <v>55</v>
      </c>
      <c r="U1504" s="2" t="s">
        <v>56</v>
      </c>
      <c r="V1504" s="2" t="s">
        <v>28</v>
      </c>
      <c r="W1504" s="2" t="s">
        <v>55</v>
      </c>
      <c r="X1504" s="2" t="s">
        <v>57</v>
      </c>
      <c r="Y1504" s="2">
        <v>0.98117670222938203</v>
      </c>
      <c r="Z1504" s="2">
        <v>4.71035</v>
      </c>
      <c r="AA1504" s="2">
        <v>-74.030416666666696</v>
      </c>
      <c r="AB1504" s="2">
        <v>2570</v>
      </c>
      <c r="AC1504" s="2" t="s">
        <v>31</v>
      </c>
      <c r="AD1504" s="2" t="s">
        <v>58</v>
      </c>
      <c r="AE1504" s="2" t="s">
        <v>33</v>
      </c>
      <c r="AF1504" s="2" t="s">
        <v>34</v>
      </c>
      <c r="AG1504" s="2" t="s">
        <v>59</v>
      </c>
      <c r="AH1504" s="2">
        <v>2.7915837415625102</v>
      </c>
      <c r="AI1504" s="2">
        <v>0.350381430446569</v>
      </c>
      <c r="AJ1504" s="2">
        <v>1.08475183395335</v>
      </c>
      <c r="AK1504" s="2">
        <v>0.38738978774410898</v>
      </c>
      <c r="AL1504" s="2">
        <v>0.24950284923650901</v>
      </c>
      <c r="AM1504" s="2">
        <v>15.5</v>
      </c>
      <c r="AN1504" s="2">
        <v>2.4</v>
      </c>
      <c r="AO1504" s="2">
        <v>10.9</v>
      </c>
      <c r="AP1504" s="2">
        <v>564</v>
      </c>
      <c r="AQ1504" s="2">
        <v>68</v>
      </c>
      <c r="AR1504" s="2">
        <v>1.5</v>
      </c>
      <c r="AS1504" s="2">
        <v>135</v>
      </c>
      <c r="AT1504" s="2">
        <v>0</v>
      </c>
      <c r="AU1504" s="2">
        <v>162</v>
      </c>
      <c r="AV1504" s="2">
        <v>9.1</v>
      </c>
      <c r="AW1504" s="2">
        <v>9.1999999999999993</v>
      </c>
      <c r="AX1504" s="2">
        <v>18.3</v>
      </c>
      <c r="AY1504" s="2">
        <v>0.34</v>
      </c>
      <c r="AZ1504" s="2">
        <v>7.3</v>
      </c>
      <c r="BA1504" s="2">
        <v>0.9</v>
      </c>
      <c r="BB1504" s="2">
        <v>7.5</v>
      </c>
      <c r="BC1504" s="2">
        <v>2.9</v>
      </c>
      <c r="BD1504" s="2">
        <f>+AN1504*EXP(-0.0495*Y1504)</f>
        <v>2.2862215817932969</v>
      </c>
      <c r="BE1504" s="2">
        <f>+AO1504*EXP(-0.024*Y1504)</f>
        <v>10.646322723807357</v>
      </c>
    </row>
    <row r="1505" spans="1:57" x14ac:dyDescent="0.2">
      <c r="A1505" s="2" t="s">
        <v>2331</v>
      </c>
      <c r="B1505" s="2" t="s">
        <v>19</v>
      </c>
      <c r="C1505" s="2" t="s">
        <v>1907</v>
      </c>
      <c r="D1505" s="2" t="s">
        <v>21</v>
      </c>
      <c r="E1505" s="2" t="s">
        <v>933</v>
      </c>
      <c r="F1505" s="2">
        <v>5</v>
      </c>
      <c r="G1505" s="2">
        <v>221</v>
      </c>
      <c r="H1505" s="2">
        <v>3</v>
      </c>
      <c r="I1505" s="2">
        <v>4</v>
      </c>
      <c r="J1505" s="2">
        <v>3</v>
      </c>
      <c r="K1505" s="2" t="s">
        <v>61</v>
      </c>
      <c r="L1505" s="6" t="s">
        <v>113</v>
      </c>
      <c r="M1505" s="5">
        <v>1450000000</v>
      </c>
      <c r="N1505" s="2">
        <v>0</v>
      </c>
      <c r="O1505" s="2">
        <v>4.7098106</v>
      </c>
      <c r="P1505" s="2">
        <v>-74.052482900000001</v>
      </c>
      <c r="Q1505" s="2" t="s">
        <v>2332</v>
      </c>
      <c r="R1505" s="2">
        <v>6561085.9730000002</v>
      </c>
      <c r="S1505" s="2">
        <v>0</v>
      </c>
      <c r="T1505" s="2" t="s">
        <v>55</v>
      </c>
      <c r="U1505" s="2" t="s">
        <v>56</v>
      </c>
      <c r="V1505" s="2" t="s">
        <v>28</v>
      </c>
      <c r="W1505" s="2" t="s">
        <v>55</v>
      </c>
      <c r="X1505" s="2" t="s">
        <v>57</v>
      </c>
      <c r="Y1505" s="2">
        <v>2.4488427528260499</v>
      </c>
      <c r="Z1505" s="2">
        <v>4.71035</v>
      </c>
      <c r="AA1505" s="2">
        <v>-74.030416666666696</v>
      </c>
      <c r="AB1505" s="2">
        <v>2570</v>
      </c>
      <c r="AC1505" s="2" t="s">
        <v>31</v>
      </c>
      <c r="AD1505" s="2" t="s">
        <v>58</v>
      </c>
      <c r="AE1505" s="2" t="s">
        <v>33</v>
      </c>
      <c r="AF1505" s="2" t="s">
        <v>34</v>
      </c>
      <c r="AG1505" s="2" t="s">
        <v>59</v>
      </c>
      <c r="AH1505" s="2">
        <v>0.52475807881361802</v>
      </c>
      <c r="AI1505" s="2">
        <v>3.0397357872228499</v>
      </c>
      <c r="AJ1505" s="2">
        <v>1.848535655224</v>
      </c>
      <c r="AK1505" s="2">
        <v>0.201971599773002</v>
      </c>
      <c r="AL1505" s="2">
        <v>0.15598142106059201</v>
      </c>
      <c r="AM1505" s="2">
        <v>15.5</v>
      </c>
      <c r="AN1505" s="2">
        <v>2.4</v>
      </c>
      <c r="AO1505" s="2">
        <v>10.9</v>
      </c>
      <c r="AP1505" s="2">
        <v>564</v>
      </c>
      <c r="AQ1505" s="2">
        <v>68</v>
      </c>
      <c r="AR1505" s="2">
        <v>1.5</v>
      </c>
      <c r="AS1505" s="2">
        <v>135</v>
      </c>
      <c r="AT1505" s="2">
        <v>0</v>
      </c>
      <c r="AU1505" s="2">
        <v>162</v>
      </c>
      <c r="AV1505" s="2">
        <v>9.1</v>
      </c>
      <c r="AW1505" s="2">
        <v>9.1999999999999993</v>
      </c>
      <c r="AX1505" s="2">
        <v>18.3</v>
      </c>
      <c r="AY1505" s="2">
        <v>0.34</v>
      </c>
      <c r="AZ1505" s="2">
        <v>7.3</v>
      </c>
      <c r="BA1505" s="2">
        <v>0.9</v>
      </c>
      <c r="BB1505" s="2">
        <v>7.5</v>
      </c>
      <c r="BC1505" s="2">
        <v>2.9</v>
      </c>
      <c r="BD1505" s="2">
        <f>+AN1505*EXP(-0.0495*Y1505)</f>
        <v>2.1260185838070562</v>
      </c>
      <c r="BE1505" s="2">
        <f>+AO1505*EXP(-0.024*Y1505)</f>
        <v>10.277844542286065</v>
      </c>
    </row>
    <row r="1506" spans="1:57" x14ac:dyDescent="0.2">
      <c r="A1506" s="2" t="s">
        <v>2087</v>
      </c>
      <c r="B1506" s="2" t="s">
        <v>19</v>
      </c>
      <c r="C1506" s="2" t="s">
        <v>1907</v>
      </c>
      <c r="D1506" s="2" t="s">
        <v>21</v>
      </c>
      <c r="E1506" s="2" t="s">
        <v>161</v>
      </c>
      <c r="F1506" s="2">
        <v>6</v>
      </c>
      <c r="G1506" s="2">
        <v>220</v>
      </c>
      <c r="H1506" s="2">
        <v>3</v>
      </c>
      <c r="I1506" s="2">
        <v>3</v>
      </c>
      <c r="J1506" s="2">
        <v>2</v>
      </c>
      <c r="K1506" s="2" t="s">
        <v>61</v>
      </c>
      <c r="L1506" s="6" t="s">
        <v>113</v>
      </c>
      <c r="M1506" s="5">
        <v>1200000000</v>
      </c>
      <c r="N1506" s="2">
        <v>0</v>
      </c>
      <c r="O1506" s="2">
        <v>4.6962891999999998</v>
      </c>
      <c r="P1506" s="2">
        <v>-74.053984900000003</v>
      </c>
      <c r="Q1506" s="2" t="s">
        <v>2088</v>
      </c>
      <c r="R1506" s="2">
        <v>5454545.4550000001</v>
      </c>
      <c r="S1506" s="2">
        <v>0</v>
      </c>
      <c r="T1506" s="2" t="s">
        <v>55</v>
      </c>
      <c r="U1506" s="2" t="s">
        <v>56</v>
      </c>
      <c r="V1506" s="2" t="s">
        <v>28</v>
      </c>
      <c r="W1506" s="2" t="s">
        <v>55</v>
      </c>
      <c r="X1506" s="2" t="s">
        <v>57</v>
      </c>
      <c r="Y1506" s="2">
        <v>3.04745748936294</v>
      </c>
      <c r="Z1506" s="2">
        <v>4.71035</v>
      </c>
      <c r="AA1506" s="2">
        <v>-74.030416666666696</v>
      </c>
      <c r="AB1506" s="2">
        <v>2570</v>
      </c>
      <c r="AC1506" s="2" t="s">
        <v>31</v>
      </c>
      <c r="AD1506" s="2" t="s">
        <v>58</v>
      </c>
      <c r="AE1506" s="2" t="s">
        <v>33</v>
      </c>
      <c r="AF1506" s="2" t="s">
        <v>34</v>
      </c>
      <c r="AG1506" s="2" t="s">
        <v>59</v>
      </c>
      <c r="AH1506" s="2">
        <v>0.250583263397886</v>
      </c>
      <c r="AI1506" s="2">
        <v>2.7742345977021499</v>
      </c>
      <c r="AJ1506" s="2">
        <v>0.56545938036127796</v>
      </c>
      <c r="AK1506" s="2">
        <v>0.12307136374926</v>
      </c>
      <c r="AL1506" s="2">
        <v>0.26449305980564802</v>
      </c>
      <c r="AM1506" s="2">
        <v>15.5</v>
      </c>
      <c r="AN1506" s="2">
        <v>2.4</v>
      </c>
      <c r="AO1506" s="2">
        <v>10.9</v>
      </c>
      <c r="AP1506" s="2">
        <v>564</v>
      </c>
      <c r="AQ1506" s="2">
        <v>68</v>
      </c>
      <c r="AR1506" s="2">
        <v>1.5</v>
      </c>
      <c r="AS1506" s="2">
        <v>135</v>
      </c>
      <c r="AT1506" s="2">
        <v>0</v>
      </c>
      <c r="AU1506" s="2">
        <v>162</v>
      </c>
      <c r="AV1506" s="2">
        <v>9.1</v>
      </c>
      <c r="AW1506" s="2">
        <v>9.1999999999999993</v>
      </c>
      <c r="AX1506" s="2">
        <v>18.3</v>
      </c>
      <c r="AY1506" s="2">
        <v>0.34</v>
      </c>
      <c r="AZ1506" s="2">
        <v>7.3</v>
      </c>
      <c r="BA1506" s="2">
        <v>0.9</v>
      </c>
      <c r="BB1506" s="2">
        <v>7.5</v>
      </c>
      <c r="BC1506" s="2">
        <v>2.9</v>
      </c>
      <c r="BD1506" s="2">
        <f>+AN1506*EXP(-0.0495*Y1506)</f>
        <v>2.0639458083503786</v>
      </c>
      <c r="BE1506" s="2">
        <f>+AO1506*EXP(-0.024*Y1506)</f>
        <v>10.131240912156704</v>
      </c>
    </row>
    <row r="1507" spans="1:57" x14ac:dyDescent="0.2">
      <c r="A1507" s="2" t="s">
        <v>824</v>
      </c>
      <c r="B1507" s="2" t="s">
        <v>19</v>
      </c>
      <c r="C1507" s="2" t="s">
        <v>20</v>
      </c>
      <c r="D1507" s="2" t="s">
        <v>21</v>
      </c>
      <c r="E1507" s="2" t="s">
        <v>825</v>
      </c>
      <c r="F1507" s="2">
        <v>6</v>
      </c>
      <c r="G1507" s="2">
        <v>220</v>
      </c>
      <c r="H1507" s="2">
        <v>3</v>
      </c>
      <c r="I1507" s="2">
        <v>4</v>
      </c>
      <c r="J1507" s="2">
        <v>4</v>
      </c>
      <c r="K1507" s="2" t="s">
        <v>61</v>
      </c>
      <c r="L1507" s="6" t="s">
        <v>113</v>
      </c>
      <c r="M1507" s="5">
        <v>1250000000</v>
      </c>
      <c r="N1507" s="2">
        <v>0</v>
      </c>
      <c r="O1507" s="2">
        <v>4.7258623289999999</v>
      </c>
      <c r="P1507" s="2">
        <v>-74.02468906</v>
      </c>
      <c r="Q1507" s="2" t="s">
        <v>826</v>
      </c>
      <c r="R1507" s="2">
        <v>5681818.182</v>
      </c>
      <c r="S1507" s="2">
        <v>0</v>
      </c>
      <c r="T1507" s="2" t="s">
        <v>55</v>
      </c>
      <c r="U1507" s="2" t="s">
        <v>56</v>
      </c>
      <c r="V1507" s="2" t="s">
        <v>28</v>
      </c>
      <c r="W1507" s="2" t="s">
        <v>55</v>
      </c>
      <c r="X1507" s="2" t="s">
        <v>57</v>
      </c>
      <c r="Y1507" s="2">
        <v>1.8400269308816199</v>
      </c>
      <c r="Z1507" s="2">
        <v>4.71035</v>
      </c>
      <c r="AA1507" s="2">
        <v>-74.030416666666696</v>
      </c>
      <c r="AB1507" s="2">
        <v>2570</v>
      </c>
      <c r="AC1507" s="2" t="s">
        <v>31</v>
      </c>
      <c r="AD1507" s="2" t="s">
        <v>58</v>
      </c>
      <c r="AE1507" s="2" t="s">
        <v>33</v>
      </c>
      <c r="AF1507" s="2" t="s">
        <v>34</v>
      </c>
      <c r="AG1507" s="2" t="s">
        <v>59</v>
      </c>
      <c r="AH1507" s="2">
        <v>2.8402580858973501</v>
      </c>
      <c r="AI1507" s="2">
        <v>0.37250271345462999</v>
      </c>
      <c r="AJ1507" s="2">
        <v>1.86372487270688</v>
      </c>
      <c r="AK1507" s="2">
        <v>0.194618848326084</v>
      </c>
      <c r="AL1507" s="2">
        <v>0.611621544947338</v>
      </c>
      <c r="AM1507" s="2">
        <v>15.5</v>
      </c>
      <c r="AN1507" s="2">
        <v>2.4</v>
      </c>
      <c r="AO1507" s="2">
        <v>10.9</v>
      </c>
      <c r="AP1507" s="2">
        <v>564</v>
      </c>
      <c r="AQ1507" s="2">
        <v>68</v>
      </c>
      <c r="AR1507" s="2">
        <v>1.5</v>
      </c>
      <c r="AS1507" s="2">
        <v>135</v>
      </c>
      <c r="AT1507" s="2">
        <v>0</v>
      </c>
      <c r="AU1507" s="2">
        <v>162</v>
      </c>
      <c r="AV1507" s="2">
        <v>9.1</v>
      </c>
      <c r="AW1507" s="2">
        <v>9.1999999999999993</v>
      </c>
      <c r="AX1507" s="2">
        <v>18.3</v>
      </c>
      <c r="AY1507" s="2">
        <v>0.34</v>
      </c>
      <c r="AZ1507" s="2">
        <v>7.3</v>
      </c>
      <c r="BA1507" s="2">
        <v>0.9</v>
      </c>
      <c r="BB1507" s="2">
        <v>7.5</v>
      </c>
      <c r="BC1507" s="2">
        <v>2.9</v>
      </c>
      <c r="BD1507" s="2">
        <f>+AN1507*EXP(-0.0495*Y1507)</f>
        <v>2.1910642929065793</v>
      </c>
      <c r="BE1507" s="2">
        <f>+AO1507*EXP(-0.024*Y1507)</f>
        <v>10.429122601488105</v>
      </c>
    </row>
    <row r="1508" spans="1:57" x14ac:dyDescent="0.2">
      <c r="A1508" s="2" t="s">
        <v>848</v>
      </c>
      <c r="B1508" s="2" t="s">
        <v>19</v>
      </c>
      <c r="C1508" s="2" t="s">
        <v>20</v>
      </c>
      <c r="D1508" s="2" t="s">
        <v>21</v>
      </c>
      <c r="E1508" s="2" t="s">
        <v>53</v>
      </c>
      <c r="F1508" s="2">
        <v>6</v>
      </c>
      <c r="G1508" s="2">
        <v>220</v>
      </c>
      <c r="H1508" s="2">
        <v>3</v>
      </c>
      <c r="I1508" s="2">
        <v>4</v>
      </c>
      <c r="J1508" s="2">
        <v>3</v>
      </c>
      <c r="K1508" s="2" t="s">
        <v>61</v>
      </c>
      <c r="L1508" s="6" t="s">
        <v>84</v>
      </c>
      <c r="M1508" s="5">
        <v>2300000000</v>
      </c>
      <c r="N1508" s="2">
        <v>0</v>
      </c>
      <c r="O1508" s="2">
        <v>4.6999075000000001</v>
      </c>
      <c r="P1508" s="2">
        <v>-74.040057899999994</v>
      </c>
      <c r="Q1508" s="2" t="s">
        <v>849</v>
      </c>
      <c r="R1508" s="2">
        <v>10454545.449999999</v>
      </c>
      <c r="S1508" s="2">
        <v>0</v>
      </c>
      <c r="T1508" s="2" t="s">
        <v>55</v>
      </c>
      <c r="U1508" s="2" t="s">
        <v>56</v>
      </c>
      <c r="V1508" s="2" t="s">
        <v>28</v>
      </c>
      <c r="W1508" s="2" t="s">
        <v>55</v>
      </c>
      <c r="X1508" s="2" t="s">
        <v>57</v>
      </c>
      <c r="Y1508" s="2">
        <v>1.57969278464966</v>
      </c>
      <c r="Z1508" s="2">
        <v>4.71035</v>
      </c>
      <c r="AA1508" s="2">
        <v>-74.030416666666696</v>
      </c>
      <c r="AB1508" s="2">
        <v>2570</v>
      </c>
      <c r="AC1508" s="2" t="s">
        <v>31</v>
      </c>
      <c r="AD1508" s="2" t="s">
        <v>58</v>
      </c>
      <c r="AE1508" s="2" t="s">
        <v>33</v>
      </c>
      <c r="AF1508" s="2" t="s">
        <v>34</v>
      </c>
      <c r="AG1508" s="2" t="s">
        <v>59</v>
      </c>
      <c r="AH1508" s="2">
        <v>1.6555885209032</v>
      </c>
      <c r="AI1508" s="2">
        <v>1.57591702226459</v>
      </c>
      <c r="AJ1508" s="2">
        <v>0.85658535810318104</v>
      </c>
      <c r="AK1508" s="2">
        <v>6.5747557010965699E-2</v>
      </c>
      <c r="AL1508" s="2">
        <v>2.9681819786046299E-2</v>
      </c>
      <c r="AM1508" s="2">
        <v>15.5</v>
      </c>
      <c r="AN1508" s="2">
        <v>2.4</v>
      </c>
      <c r="AO1508" s="2">
        <v>10.9</v>
      </c>
      <c r="AP1508" s="2">
        <v>564</v>
      </c>
      <c r="AQ1508" s="2">
        <v>68</v>
      </c>
      <c r="AR1508" s="2">
        <v>1.5</v>
      </c>
      <c r="AS1508" s="2">
        <v>135</v>
      </c>
      <c r="AT1508" s="2">
        <v>0</v>
      </c>
      <c r="AU1508" s="2">
        <v>162</v>
      </c>
      <c r="AV1508" s="2">
        <v>9.1</v>
      </c>
      <c r="AW1508" s="2">
        <v>9.1999999999999993</v>
      </c>
      <c r="AX1508" s="2">
        <v>18.3</v>
      </c>
      <c r="AY1508" s="2">
        <v>0.34</v>
      </c>
      <c r="AZ1508" s="2">
        <v>7.3</v>
      </c>
      <c r="BA1508" s="2">
        <v>0.9</v>
      </c>
      <c r="BB1508" s="2">
        <v>7.5</v>
      </c>
      <c r="BC1508" s="2">
        <v>2.9</v>
      </c>
      <c r="BD1508" s="2">
        <f>+AN1508*EXP(-0.0495*Y1508)</f>
        <v>2.2194822423437981</v>
      </c>
      <c r="BE1508" s="2">
        <f>+AO1508*EXP(-0.024*Y1508)</f>
        <v>10.494487952320627</v>
      </c>
    </row>
    <row r="1509" spans="1:57" x14ac:dyDescent="0.2">
      <c r="A1509" s="2" t="s">
        <v>539</v>
      </c>
      <c r="B1509" s="2" t="s">
        <v>19</v>
      </c>
      <c r="C1509" s="2" t="s">
        <v>20</v>
      </c>
      <c r="D1509" s="2" t="s">
        <v>21</v>
      </c>
      <c r="E1509" s="2" t="s">
        <v>24</v>
      </c>
      <c r="F1509" s="2">
        <v>6</v>
      </c>
      <c r="G1509" s="2">
        <v>220</v>
      </c>
      <c r="H1509" s="2">
        <v>3</v>
      </c>
      <c r="I1509" s="2">
        <v>5</v>
      </c>
      <c r="J1509" s="2">
        <v>3</v>
      </c>
      <c r="K1509" s="2" t="s">
        <v>61</v>
      </c>
      <c r="L1509" s="6" t="s">
        <v>84</v>
      </c>
      <c r="M1509" s="5">
        <v>2300000000</v>
      </c>
      <c r="N1509" s="2">
        <v>0</v>
      </c>
      <c r="O1509" s="2">
        <v>4.6999073029999998</v>
      </c>
      <c r="P1509" s="2">
        <v>-74.040054319999996</v>
      </c>
      <c r="Q1509" s="2" t="s">
        <v>540</v>
      </c>
      <c r="R1509" s="2">
        <v>10454545.449999999</v>
      </c>
      <c r="S1509" s="2">
        <v>0</v>
      </c>
      <c r="T1509" s="2" t="s">
        <v>55</v>
      </c>
      <c r="U1509" s="2" t="s">
        <v>56</v>
      </c>
      <c r="V1509" s="2" t="s">
        <v>28</v>
      </c>
      <c r="W1509" s="2" t="s">
        <v>55</v>
      </c>
      <c r="X1509" s="2" t="s">
        <v>57</v>
      </c>
      <c r="Y1509" s="2">
        <v>1.57944001353351</v>
      </c>
      <c r="Z1509" s="2">
        <v>4.71035</v>
      </c>
      <c r="AA1509" s="2">
        <v>-74.030416666666696</v>
      </c>
      <c r="AB1509" s="2">
        <v>2570</v>
      </c>
      <c r="AC1509" s="2" t="s">
        <v>31</v>
      </c>
      <c r="AD1509" s="2" t="s">
        <v>58</v>
      </c>
      <c r="AE1509" s="2" t="s">
        <v>33</v>
      </c>
      <c r="AF1509" s="2" t="s">
        <v>34</v>
      </c>
      <c r="AG1509" s="2" t="s">
        <v>59</v>
      </c>
      <c r="AH1509" s="2">
        <v>1.65597201736709</v>
      </c>
      <c r="AI1509" s="2">
        <v>1.57551949840289</v>
      </c>
      <c r="AJ1509" s="2">
        <v>0.85619920507939795</v>
      </c>
      <c r="AK1509" s="2">
        <v>6.5409200609849893E-2</v>
      </c>
      <c r="AL1509" s="2">
        <v>2.9284294500871801E-2</v>
      </c>
      <c r="AM1509" s="2">
        <v>15.5</v>
      </c>
      <c r="AN1509" s="2">
        <v>2.4</v>
      </c>
      <c r="AO1509" s="2">
        <v>10.9</v>
      </c>
      <c r="AP1509" s="2">
        <v>564</v>
      </c>
      <c r="AQ1509" s="2">
        <v>68</v>
      </c>
      <c r="AR1509" s="2">
        <v>1.5</v>
      </c>
      <c r="AS1509" s="2">
        <v>135</v>
      </c>
      <c r="AT1509" s="2">
        <v>0</v>
      </c>
      <c r="AU1509" s="2">
        <v>162</v>
      </c>
      <c r="AV1509" s="2">
        <v>9.1</v>
      </c>
      <c r="AW1509" s="2">
        <v>9.1999999999999993</v>
      </c>
      <c r="AX1509" s="2">
        <v>18.3</v>
      </c>
      <c r="AY1509" s="2">
        <v>0.34</v>
      </c>
      <c r="AZ1509" s="2">
        <v>7.3</v>
      </c>
      <c r="BA1509" s="2">
        <v>0.9</v>
      </c>
      <c r="BB1509" s="2">
        <v>7.5</v>
      </c>
      <c r="BC1509" s="2">
        <v>2.9</v>
      </c>
      <c r="BD1509" s="2">
        <f>+AN1509*EXP(-0.0495*Y1509)</f>
        <v>2.2195100130572154</v>
      </c>
      <c r="BE1509" s="2">
        <f>+AO1509*EXP(-0.024*Y1509)</f>
        <v>10.494551617396134</v>
      </c>
    </row>
    <row r="1510" spans="1:57" x14ac:dyDescent="0.2">
      <c r="A1510" s="2" t="s">
        <v>2033</v>
      </c>
      <c r="B1510" s="2" t="s">
        <v>19</v>
      </c>
      <c r="C1510" s="2" t="s">
        <v>1907</v>
      </c>
      <c r="D1510" s="2" t="s">
        <v>21</v>
      </c>
      <c r="E1510" s="2" t="s">
        <v>2034</v>
      </c>
      <c r="F1510" s="2">
        <v>5</v>
      </c>
      <c r="G1510" s="2">
        <v>220</v>
      </c>
      <c r="H1510" s="2">
        <v>5</v>
      </c>
      <c r="I1510" s="2">
        <v>5</v>
      </c>
      <c r="J1510" s="2">
        <v>2</v>
      </c>
      <c r="K1510" s="2" t="s">
        <v>61</v>
      </c>
      <c r="L1510" s="6" t="s">
        <v>113</v>
      </c>
      <c r="M1510" s="5">
        <v>1350000000</v>
      </c>
      <c r="N1510" s="2">
        <v>0</v>
      </c>
      <c r="O1510" s="2">
        <v>4.7195619999999998</v>
      </c>
      <c r="P1510" s="2">
        <v>-74.0304</v>
      </c>
      <c r="Q1510" s="2" t="s">
        <v>2035</v>
      </c>
      <c r="R1510" s="2">
        <v>6136363.6359999999</v>
      </c>
      <c r="S1510" s="2">
        <v>0</v>
      </c>
      <c r="T1510" s="2" t="s">
        <v>55</v>
      </c>
      <c r="U1510" s="2" t="s">
        <v>56</v>
      </c>
      <c r="V1510" s="2" t="s">
        <v>28</v>
      </c>
      <c r="W1510" s="2" t="s">
        <v>55</v>
      </c>
      <c r="X1510" s="2" t="s">
        <v>57</v>
      </c>
      <c r="Y1510" s="2">
        <v>1.0254768162049299</v>
      </c>
      <c r="Z1510" s="2">
        <v>4.71035</v>
      </c>
      <c r="AA1510" s="2">
        <v>-74.030416666666696</v>
      </c>
      <c r="AB1510" s="2">
        <v>2570</v>
      </c>
      <c r="AC1510" s="2" t="s">
        <v>31</v>
      </c>
      <c r="AD1510" s="2" t="s">
        <v>58</v>
      </c>
      <c r="AE1510" s="2" t="s">
        <v>33</v>
      </c>
      <c r="AF1510" s="2" t="s">
        <v>34</v>
      </c>
      <c r="AG1510" s="2" t="s">
        <v>59</v>
      </c>
      <c r="AH1510" s="2">
        <v>2.34156687258726</v>
      </c>
      <c r="AI1510" s="2">
        <v>0.75853137777120805</v>
      </c>
      <c r="AJ1510" s="2">
        <v>1.00978853365656</v>
      </c>
      <c r="AK1510" s="2">
        <v>0.33534819081804201</v>
      </c>
      <c r="AL1510" s="2">
        <v>0.208833457600577</v>
      </c>
      <c r="AM1510" s="2">
        <v>15.5</v>
      </c>
      <c r="AN1510" s="2">
        <v>2.4</v>
      </c>
      <c r="AO1510" s="2">
        <v>10.9</v>
      </c>
      <c r="AP1510" s="2">
        <v>564</v>
      </c>
      <c r="AQ1510" s="2">
        <v>68</v>
      </c>
      <c r="AR1510" s="2">
        <v>1.5</v>
      </c>
      <c r="AS1510" s="2">
        <v>135</v>
      </c>
      <c r="AT1510" s="2">
        <v>0</v>
      </c>
      <c r="AU1510" s="2">
        <v>162</v>
      </c>
      <c r="AV1510" s="2">
        <v>9.1</v>
      </c>
      <c r="AW1510" s="2">
        <v>9.1999999999999993</v>
      </c>
      <c r="AX1510" s="2">
        <v>18.3</v>
      </c>
      <c r="AY1510" s="2">
        <v>0.34</v>
      </c>
      <c r="AZ1510" s="2">
        <v>7.3</v>
      </c>
      <c r="BA1510" s="2">
        <v>0.9</v>
      </c>
      <c r="BB1510" s="2">
        <v>7.5</v>
      </c>
      <c r="BC1510" s="2">
        <v>2.9</v>
      </c>
      <c r="BD1510" s="2">
        <f>+AN1510*EXP(-0.0495*Y1510)</f>
        <v>2.2812137206642853</v>
      </c>
      <c r="BE1510" s="2">
        <f>+AO1510*EXP(-0.024*Y1510)</f>
        <v>10.635009539535247</v>
      </c>
    </row>
    <row r="1511" spans="1:57" x14ac:dyDescent="0.2">
      <c r="A1511" s="2" t="s">
        <v>143</v>
      </c>
      <c r="B1511" s="2" t="s">
        <v>19</v>
      </c>
      <c r="C1511" s="2" t="s">
        <v>20</v>
      </c>
      <c r="D1511" s="2" t="s">
        <v>21</v>
      </c>
      <c r="E1511" s="2" t="s">
        <v>144</v>
      </c>
      <c r="F1511" s="2">
        <v>5</v>
      </c>
      <c r="G1511" s="2">
        <v>220</v>
      </c>
      <c r="H1511" s="2">
        <v>3</v>
      </c>
      <c r="I1511" s="2">
        <v>4</v>
      </c>
      <c r="J1511" s="2">
        <v>3</v>
      </c>
      <c r="K1511" s="2" t="s">
        <v>61</v>
      </c>
      <c r="L1511" s="6" t="s">
        <v>75</v>
      </c>
      <c r="M1511" s="5">
        <v>2800000000</v>
      </c>
      <c r="N1511" s="2">
        <v>0</v>
      </c>
      <c r="O1511" s="2">
        <v>4.7015838619999997</v>
      </c>
      <c r="P1511" s="2">
        <v>-74.031547549999999</v>
      </c>
      <c r="Q1511" s="2" t="s">
        <v>145</v>
      </c>
      <c r="R1511" s="2">
        <v>12727272.73</v>
      </c>
      <c r="S1511" s="2">
        <v>0</v>
      </c>
      <c r="T1511" s="2" t="s">
        <v>55</v>
      </c>
      <c r="U1511" s="2" t="s">
        <v>56</v>
      </c>
      <c r="V1511" s="2" t="s">
        <v>28</v>
      </c>
      <c r="W1511" s="2" t="s">
        <v>55</v>
      </c>
      <c r="X1511" s="2" t="s">
        <v>57</v>
      </c>
      <c r="Y1511" s="2">
        <v>0.98387453578777895</v>
      </c>
      <c r="Z1511" s="2">
        <v>4.71035</v>
      </c>
      <c r="AA1511" s="2">
        <v>-74.030416666666696</v>
      </c>
      <c r="AB1511" s="2">
        <v>2570</v>
      </c>
      <c r="AC1511" s="2" t="s">
        <v>31</v>
      </c>
      <c r="AD1511" s="2" t="s">
        <v>58</v>
      </c>
      <c r="AE1511" s="2" t="s">
        <v>33</v>
      </c>
      <c r="AF1511" s="2" t="s">
        <v>34</v>
      </c>
      <c r="AG1511" s="2" t="s">
        <v>59</v>
      </c>
      <c r="AH1511" s="2">
        <v>2.5369966113754598</v>
      </c>
      <c r="AI1511" s="2">
        <v>0.66717051416451201</v>
      </c>
      <c r="AJ1511" s="2">
        <v>0.10533467421758599</v>
      </c>
      <c r="AK1511" s="2">
        <v>6.1447112159727299E-2</v>
      </c>
      <c r="AL1511" s="2">
        <v>0.42281337681862302</v>
      </c>
      <c r="AM1511" s="2">
        <v>15.5</v>
      </c>
      <c r="AN1511" s="2">
        <v>2.4</v>
      </c>
      <c r="AO1511" s="2">
        <v>10.9</v>
      </c>
      <c r="AP1511" s="2">
        <v>564</v>
      </c>
      <c r="AQ1511" s="2">
        <v>68</v>
      </c>
      <c r="AR1511" s="2">
        <v>1.5</v>
      </c>
      <c r="AS1511" s="2">
        <v>135</v>
      </c>
      <c r="AT1511" s="2">
        <v>0</v>
      </c>
      <c r="AU1511" s="2">
        <v>162</v>
      </c>
      <c r="AV1511" s="2">
        <v>9.1</v>
      </c>
      <c r="AW1511" s="2">
        <v>9.1999999999999993</v>
      </c>
      <c r="AX1511" s="2">
        <v>18.3</v>
      </c>
      <c r="AY1511" s="2">
        <v>0.34</v>
      </c>
      <c r="AZ1511" s="2">
        <v>7.3</v>
      </c>
      <c r="BA1511" s="2">
        <v>0.9</v>
      </c>
      <c r="BB1511" s="2">
        <v>7.5</v>
      </c>
      <c r="BC1511" s="2">
        <v>2.9</v>
      </c>
      <c r="BD1511" s="2">
        <f>+AN1511*EXP(-0.0495*Y1511)</f>
        <v>2.285916293835637</v>
      </c>
      <c r="BE1511" s="2">
        <f>+AO1511*EXP(-0.024*Y1511)</f>
        <v>10.645633417961959</v>
      </c>
    </row>
    <row r="1512" spans="1:57" x14ac:dyDescent="0.2">
      <c r="A1512" s="2" t="s">
        <v>1779</v>
      </c>
      <c r="B1512" s="2" t="s">
        <v>19</v>
      </c>
      <c r="C1512" s="2" t="s">
        <v>20</v>
      </c>
      <c r="D1512" s="2" t="s">
        <v>21</v>
      </c>
      <c r="E1512" s="2" t="s">
        <v>1780</v>
      </c>
      <c r="F1512" s="2">
        <v>6</v>
      </c>
      <c r="G1512" s="2">
        <v>218</v>
      </c>
      <c r="H1512" s="2">
        <v>3</v>
      </c>
      <c r="I1512" s="2">
        <v>4</v>
      </c>
      <c r="J1512" s="2">
        <v>3</v>
      </c>
      <c r="K1512" s="2" t="s">
        <v>61</v>
      </c>
      <c r="L1512" s="6" t="s">
        <v>113</v>
      </c>
      <c r="M1512" s="5">
        <v>1500000000</v>
      </c>
      <c r="N1512" s="2">
        <v>0</v>
      </c>
      <c r="O1512" s="2">
        <v>4.7183159999999997</v>
      </c>
      <c r="P1512" s="2">
        <v>-74.027266999999995</v>
      </c>
      <c r="Q1512" s="2" t="s">
        <v>1781</v>
      </c>
      <c r="R1512" s="2">
        <v>6880733.9450000003</v>
      </c>
      <c r="S1512" s="2">
        <v>0</v>
      </c>
      <c r="T1512" s="2" t="s">
        <v>55</v>
      </c>
      <c r="U1512" s="2" t="s">
        <v>56</v>
      </c>
      <c r="V1512" s="2" t="s">
        <v>28</v>
      </c>
      <c r="W1512" s="2" t="s">
        <v>55</v>
      </c>
      <c r="X1512" s="2" t="s">
        <v>57</v>
      </c>
      <c r="Y1512" s="2">
        <v>0.95313504121863402</v>
      </c>
      <c r="Z1512" s="2">
        <v>4.71035</v>
      </c>
      <c r="AA1512" s="2">
        <v>-74.030416666666696</v>
      </c>
      <c r="AB1512" s="2">
        <v>2570</v>
      </c>
      <c r="AC1512" s="2" t="s">
        <v>31</v>
      </c>
      <c r="AD1512" s="2" t="s">
        <v>58</v>
      </c>
      <c r="AE1512" s="2" t="s">
        <v>33</v>
      </c>
      <c r="AF1512" s="2" t="s">
        <v>34</v>
      </c>
      <c r="AG1512" s="2" t="s">
        <v>59</v>
      </c>
      <c r="AH1512" s="2">
        <v>2.7006099934426602</v>
      </c>
      <c r="AI1512" s="2">
        <v>0.43484383514401098</v>
      </c>
      <c r="AJ1512" s="2">
        <v>1.0363730309232999</v>
      </c>
      <c r="AK1512" s="2">
        <v>0.31912799413709703</v>
      </c>
      <c r="AL1512" s="2">
        <v>0.218576400391465</v>
      </c>
      <c r="AM1512" s="2">
        <v>15.5</v>
      </c>
      <c r="AN1512" s="2">
        <v>2.4</v>
      </c>
      <c r="AO1512" s="2">
        <v>10.9</v>
      </c>
      <c r="AP1512" s="2">
        <v>564</v>
      </c>
      <c r="AQ1512" s="2">
        <v>68</v>
      </c>
      <c r="AR1512" s="2">
        <v>1.5</v>
      </c>
      <c r="AS1512" s="2">
        <v>135</v>
      </c>
      <c r="AT1512" s="2">
        <v>0</v>
      </c>
      <c r="AU1512" s="2">
        <v>162</v>
      </c>
      <c r="AV1512" s="2">
        <v>9.1</v>
      </c>
      <c r="AW1512" s="2">
        <v>9.1999999999999993</v>
      </c>
      <c r="AX1512" s="2">
        <v>18.3</v>
      </c>
      <c r="AY1512" s="2">
        <v>0.34</v>
      </c>
      <c r="AZ1512" s="2">
        <v>7.3</v>
      </c>
      <c r="BA1512" s="2">
        <v>0.9</v>
      </c>
      <c r="BB1512" s="2">
        <v>7.5</v>
      </c>
      <c r="BC1512" s="2">
        <v>2.9</v>
      </c>
      <c r="BD1512" s="2">
        <f>+AN1512*EXP(-0.0495*Y1512)</f>
        <v>2.2893972030676872</v>
      </c>
      <c r="BE1512" s="2">
        <f>+AO1512*EXP(-0.024*Y1512)</f>
        <v>10.653490109109468</v>
      </c>
    </row>
    <row r="1513" spans="1:57" x14ac:dyDescent="0.2">
      <c r="A1513" s="2" t="s">
        <v>2775</v>
      </c>
      <c r="B1513" s="2" t="s">
        <v>19</v>
      </c>
      <c r="C1513" s="2" t="s">
        <v>1907</v>
      </c>
      <c r="D1513" s="2" t="s">
        <v>21</v>
      </c>
      <c r="E1513" s="2" t="s">
        <v>295</v>
      </c>
      <c r="F1513" s="2">
        <v>5</v>
      </c>
      <c r="G1513" s="2">
        <v>217</v>
      </c>
      <c r="H1513" s="2">
        <v>4</v>
      </c>
      <c r="I1513" s="2">
        <v>3</v>
      </c>
      <c r="J1513" s="2">
        <v>3</v>
      </c>
      <c r="K1513" s="2" t="s">
        <v>61</v>
      </c>
      <c r="L1513" s="6" t="s">
        <v>113</v>
      </c>
      <c r="M1513" s="5">
        <v>950000000</v>
      </c>
      <c r="N1513" s="2">
        <v>0</v>
      </c>
      <c r="O1513" s="2">
        <v>4.70275</v>
      </c>
      <c r="P1513" s="2">
        <v>-74.059690000000003</v>
      </c>
      <c r="Q1513" s="2" t="s">
        <v>2776</v>
      </c>
      <c r="R1513" s="2">
        <v>4377880.1840000004</v>
      </c>
      <c r="S1513" s="2">
        <v>0</v>
      </c>
      <c r="T1513" s="2" t="s">
        <v>55</v>
      </c>
      <c r="U1513" s="2" t="s">
        <v>56</v>
      </c>
      <c r="V1513" s="2" t="s">
        <v>28</v>
      </c>
      <c r="W1513" s="2" t="s">
        <v>55</v>
      </c>
      <c r="X1513" s="2" t="s">
        <v>57</v>
      </c>
      <c r="Y1513" s="2">
        <v>3.3560909922686499</v>
      </c>
      <c r="Z1513" s="2">
        <v>4.71035</v>
      </c>
      <c r="AA1513" s="2">
        <v>-74.030416666666696</v>
      </c>
      <c r="AB1513" s="2">
        <v>2570</v>
      </c>
      <c r="AC1513" s="2" t="s">
        <v>31</v>
      </c>
      <c r="AD1513" s="2" t="s">
        <v>58</v>
      </c>
      <c r="AE1513" s="2" t="s">
        <v>33</v>
      </c>
      <c r="AF1513" s="2" t="s">
        <v>34</v>
      </c>
      <c r="AG1513" s="2" t="s">
        <v>72</v>
      </c>
      <c r="AH1513" s="2">
        <v>0.640901583630616</v>
      </c>
      <c r="AI1513" s="2">
        <v>3.7262095634355399</v>
      </c>
      <c r="AJ1513" s="2">
        <v>1.2273061128719001</v>
      </c>
      <c r="AK1513" s="2">
        <v>0.13957814209265301</v>
      </c>
      <c r="AL1513" s="2">
        <v>7.5063621058680502E-2</v>
      </c>
      <c r="AM1513" s="2">
        <v>15.5</v>
      </c>
      <c r="AN1513" s="2">
        <v>2.4</v>
      </c>
      <c r="AO1513" s="2">
        <v>10.9</v>
      </c>
      <c r="AP1513" s="2">
        <v>564</v>
      </c>
      <c r="AQ1513" s="2">
        <v>68</v>
      </c>
      <c r="AR1513" s="2">
        <v>1.5</v>
      </c>
      <c r="AS1513" s="2">
        <v>135</v>
      </c>
      <c r="AT1513" s="2">
        <v>0</v>
      </c>
      <c r="AU1513" s="2">
        <v>162</v>
      </c>
      <c r="AV1513" s="2">
        <v>9.1</v>
      </c>
      <c r="AW1513" s="2">
        <v>9.1999999999999993</v>
      </c>
      <c r="AX1513" s="2">
        <v>18.3</v>
      </c>
      <c r="AY1513" s="2">
        <v>0.34</v>
      </c>
      <c r="AZ1513" s="2">
        <v>7.3</v>
      </c>
      <c r="BA1513" s="2">
        <v>0.9</v>
      </c>
      <c r="BB1513" s="2">
        <v>7.5</v>
      </c>
      <c r="BC1513" s="2">
        <v>2.9</v>
      </c>
      <c r="BD1513" s="2">
        <f>+AN1513*EXP(-0.0495*Y1513)</f>
        <v>2.0326538067137063</v>
      </c>
      <c r="BE1513" s="2">
        <f>+AO1513*EXP(-0.024*Y1513)</f>
        <v>10.056473992008987</v>
      </c>
    </row>
    <row r="1514" spans="1:57" x14ac:dyDescent="0.2">
      <c r="A1514" s="2" t="s">
        <v>1495</v>
      </c>
      <c r="B1514" s="2" t="s">
        <v>19</v>
      </c>
      <c r="C1514" s="2" t="s">
        <v>20</v>
      </c>
      <c r="D1514" s="2" t="s">
        <v>21</v>
      </c>
      <c r="E1514" s="2" t="s">
        <v>1496</v>
      </c>
      <c r="F1514" s="2">
        <v>6</v>
      </c>
      <c r="G1514" s="2">
        <v>215</v>
      </c>
      <c r="H1514" s="2">
        <v>3</v>
      </c>
      <c r="I1514" s="2">
        <v>4</v>
      </c>
      <c r="J1514" s="2">
        <v>3</v>
      </c>
      <c r="K1514" s="2" t="s">
        <v>61</v>
      </c>
      <c r="L1514" s="6" t="s">
        <v>113</v>
      </c>
      <c r="M1514" s="5">
        <v>1530000000</v>
      </c>
      <c r="N1514" s="2">
        <v>0</v>
      </c>
      <c r="O1514" s="2">
        <v>4.7110743519999998</v>
      </c>
      <c r="P1514" s="2">
        <v>-74.026992800000002</v>
      </c>
      <c r="Q1514" s="2" t="s">
        <v>1497</v>
      </c>
      <c r="R1514" s="2">
        <v>7116279.0700000003</v>
      </c>
      <c r="S1514" s="2">
        <v>0</v>
      </c>
      <c r="T1514" s="2" t="s">
        <v>55</v>
      </c>
      <c r="U1514" s="2" t="s">
        <v>56</v>
      </c>
      <c r="V1514" s="2" t="s">
        <v>28</v>
      </c>
      <c r="W1514" s="2" t="s">
        <v>55</v>
      </c>
      <c r="X1514" s="2" t="s">
        <v>57</v>
      </c>
      <c r="Y1514" s="2">
        <v>0.38831972333682602</v>
      </c>
      <c r="Z1514" s="2">
        <v>4.71035</v>
      </c>
      <c r="AA1514" s="2">
        <v>-74.030416666666696</v>
      </c>
      <c r="AB1514" s="2">
        <v>2570</v>
      </c>
      <c r="AC1514" s="2" t="s">
        <v>31</v>
      </c>
      <c r="AD1514" s="2" t="s">
        <v>58</v>
      </c>
      <c r="AE1514" s="2" t="s">
        <v>33</v>
      </c>
      <c r="AF1514" s="2" t="s">
        <v>34</v>
      </c>
      <c r="AG1514" s="2" t="s">
        <v>59</v>
      </c>
      <c r="AH1514" s="2">
        <v>2.8606077231059199</v>
      </c>
      <c r="AI1514" s="2">
        <v>0.26982510397814502</v>
      </c>
      <c r="AJ1514" s="2">
        <v>0.64253759428271295</v>
      </c>
      <c r="AK1514" s="2">
        <v>0.31824216393475702</v>
      </c>
      <c r="AL1514" s="2">
        <v>0.62449412446749597</v>
      </c>
      <c r="AM1514" s="2">
        <v>15.5</v>
      </c>
      <c r="AN1514" s="2">
        <v>2.4</v>
      </c>
      <c r="AO1514" s="2">
        <v>10.9</v>
      </c>
      <c r="AP1514" s="2">
        <v>564</v>
      </c>
      <c r="AQ1514" s="2">
        <v>68</v>
      </c>
      <c r="AR1514" s="2">
        <v>1.5</v>
      </c>
      <c r="AS1514" s="2">
        <v>135</v>
      </c>
      <c r="AT1514" s="2">
        <v>0</v>
      </c>
      <c r="AU1514" s="2">
        <v>162</v>
      </c>
      <c r="AV1514" s="2">
        <v>9.1</v>
      </c>
      <c r="AW1514" s="2">
        <v>9.1999999999999993</v>
      </c>
      <c r="AX1514" s="2">
        <v>18.3</v>
      </c>
      <c r="AY1514" s="2">
        <v>0.34</v>
      </c>
      <c r="AZ1514" s="2">
        <v>7.3</v>
      </c>
      <c r="BA1514" s="2">
        <v>0.9</v>
      </c>
      <c r="BB1514" s="2">
        <v>7.5</v>
      </c>
      <c r="BC1514" s="2">
        <v>2.9</v>
      </c>
      <c r="BD1514" s="2">
        <f>+AN1514*EXP(-0.0495*Y1514)</f>
        <v>2.3543081639730841</v>
      </c>
      <c r="BE1514" s="2">
        <f>+AO1514*EXP(-0.024*Y1514)</f>
        <v>10.798887460151215</v>
      </c>
    </row>
    <row r="1515" spans="1:57" x14ac:dyDescent="0.2">
      <c r="A1515" s="2" t="s">
        <v>2600</v>
      </c>
      <c r="B1515" s="2" t="s">
        <v>19</v>
      </c>
      <c r="C1515" s="2" t="s">
        <v>1907</v>
      </c>
      <c r="D1515" s="2" t="s">
        <v>21</v>
      </c>
      <c r="E1515" s="2" t="s">
        <v>961</v>
      </c>
      <c r="F1515" s="2">
        <v>5</v>
      </c>
      <c r="G1515" s="2">
        <v>214</v>
      </c>
      <c r="H1515" s="2">
        <v>5</v>
      </c>
      <c r="I1515" s="2">
        <v>3</v>
      </c>
      <c r="J1515" s="2">
        <v>1</v>
      </c>
      <c r="K1515" s="2" t="s">
        <v>61</v>
      </c>
      <c r="L1515" s="6" t="s">
        <v>113</v>
      </c>
      <c r="M1515" s="5">
        <v>1350000000</v>
      </c>
      <c r="N1515" s="2">
        <v>0</v>
      </c>
      <c r="O1515" s="2">
        <v>4.6897700000000002</v>
      </c>
      <c r="P1515" s="2">
        <v>-74.060019999999994</v>
      </c>
      <c r="Q1515" s="2" t="s">
        <v>2601</v>
      </c>
      <c r="R1515" s="2">
        <v>6308411.2149999999</v>
      </c>
      <c r="S1515" s="2">
        <v>0</v>
      </c>
      <c r="T1515" s="2" t="s">
        <v>55</v>
      </c>
      <c r="U1515" s="2" t="s">
        <v>56</v>
      </c>
      <c r="V1515" s="2" t="s">
        <v>28</v>
      </c>
      <c r="W1515" s="2" t="s">
        <v>55</v>
      </c>
      <c r="X1515" s="2" t="s">
        <v>57</v>
      </c>
      <c r="Y1515" s="2">
        <v>4.00442341843668</v>
      </c>
      <c r="Z1515" s="2">
        <v>4.71035</v>
      </c>
      <c r="AA1515" s="2">
        <v>-74.030416666666696</v>
      </c>
      <c r="AB1515" s="2">
        <v>2570</v>
      </c>
      <c r="AC1515" s="2" t="s">
        <v>31</v>
      </c>
      <c r="AD1515" s="2" t="s">
        <v>58</v>
      </c>
      <c r="AE1515" s="2" t="s">
        <v>33</v>
      </c>
      <c r="AF1515" s="2" t="s">
        <v>34</v>
      </c>
      <c r="AG1515" s="2" t="s">
        <v>72</v>
      </c>
      <c r="AH1515" s="2">
        <v>0.55416845789129998</v>
      </c>
      <c r="AI1515" s="2">
        <v>2.86453880589454</v>
      </c>
      <c r="AJ1515" s="2">
        <v>0.91426837518752901</v>
      </c>
      <c r="AK1515" s="2">
        <v>0.123660203158601</v>
      </c>
      <c r="AL1515" s="2">
        <v>0.16281421786247899</v>
      </c>
      <c r="AM1515" s="2">
        <v>15.5</v>
      </c>
      <c r="AN1515" s="2">
        <v>2.4</v>
      </c>
      <c r="AO1515" s="2">
        <v>10.9</v>
      </c>
      <c r="AP1515" s="2">
        <v>564</v>
      </c>
      <c r="AQ1515" s="2">
        <v>68</v>
      </c>
      <c r="AR1515" s="2">
        <v>1.5</v>
      </c>
      <c r="AS1515" s="2">
        <v>135</v>
      </c>
      <c r="AT1515" s="2">
        <v>0</v>
      </c>
      <c r="AU1515" s="2">
        <v>162</v>
      </c>
      <c r="AV1515" s="2">
        <v>9.1</v>
      </c>
      <c r="AW1515" s="2">
        <v>9.1999999999999993</v>
      </c>
      <c r="AX1515" s="2">
        <v>18.3</v>
      </c>
      <c r="AY1515" s="2">
        <v>0.34</v>
      </c>
      <c r="AZ1515" s="2">
        <v>7.3</v>
      </c>
      <c r="BA1515" s="2">
        <v>0.9</v>
      </c>
      <c r="BB1515" s="2">
        <v>7.5</v>
      </c>
      <c r="BC1515" s="2">
        <v>2.9</v>
      </c>
      <c r="BD1515" s="2">
        <f>+AN1515*EXP(-0.0495*Y1515)</f>
        <v>1.9684565886356427</v>
      </c>
      <c r="BE1515" s="2">
        <f>+AO1515*EXP(-0.024*Y1515)</f>
        <v>9.9012065870374464</v>
      </c>
    </row>
    <row r="1516" spans="1:57" x14ac:dyDescent="0.2">
      <c r="A1516" s="2" t="s">
        <v>2155</v>
      </c>
      <c r="B1516" s="2" t="s">
        <v>19</v>
      </c>
      <c r="C1516" s="2" t="s">
        <v>1907</v>
      </c>
      <c r="D1516" s="2" t="s">
        <v>21</v>
      </c>
      <c r="E1516" s="2" t="s">
        <v>1515</v>
      </c>
      <c r="F1516" s="2">
        <v>3</v>
      </c>
      <c r="G1516" s="2">
        <v>214</v>
      </c>
      <c r="H1516" s="2">
        <v>5</v>
      </c>
      <c r="I1516" s="2">
        <v>4</v>
      </c>
      <c r="J1516" s="2">
        <v>0</v>
      </c>
      <c r="K1516" s="2" t="s">
        <v>61</v>
      </c>
      <c r="L1516" s="6" t="s">
        <v>113</v>
      </c>
      <c r="M1516" s="5">
        <v>750000000</v>
      </c>
      <c r="N1516" s="2">
        <v>0</v>
      </c>
      <c r="O1516" s="2">
        <v>4.7341084000000002</v>
      </c>
      <c r="P1516" s="2">
        <v>-74.0304</v>
      </c>
      <c r="Q1516" s="2" t="s">
        <v>2156</v>
      </c>
      <c r="R1516" s="2">
        <v>3504672.8969999999</v>
      </c>
      <c r="S1516" s="2">
        <v>0</v>
      </c>
      <c r="T1516" s="2" t="s">
        <v>55</v>
      </c>
      <c r="U1516" s="2" t="s">
        <v>56</v>
      </c>
      <c r="V1516" s="2" t="s">
        <v>28</v>
      </c>
      <c r="W1516" s="2" t="s">
        <v>55</v>
      </c>
      <c r="X1516" s="2" t="s">
        <v>57</v>
      </c>
      <c r="Y1516" s="2">
        <v>2.6447736364133498</v>
      </c>
      <c r="Z1516" s="2">
        <v>4.71035</v>
      </c>
      <c r="AA1516" s="2">
        <v>-74.030416666666696</v>
      </c>
      <c r="AB1516" s="2">
        <v>2570</v>
      </c>
      <c r="AC1516" s="2" t="s">
        <v>31</v>
      </c>
      <c r="AD1516" s="2" t="s">
        <v>58</v>
      </c>
      <c r="AE1516" s="2" t="s">
        <v>33</v>
      </c>
      <c r="AF1516" s="2" t="s">
        <v>34</v>
      </c>
      <c r="AG1516" s="2" t="s">
        <v>59</v>
      </c>
      <c r="AH1516" s="2">
        <v>2.0879713698226099</v>
      </c>
      <c r="AI1516" s="2">
        <v>0.945076840955832</v>
      </c>
      <c r="AJ1516" s="2">
        <v>1.0698987724309099</v>
      </c>
      <c r="AK1516" s="2">
        <v>0.513234355600234</v>
      </c>
      <c r="AL1516" s="2">
        <v>4.4641770871558302E-2</v>
      </c>
      <c r="AM1516" s="2">
        <v>15.5</v>
      </c>
      <c r="AN1516" s="2">
        <v>2.4</v>
      </c>
      <c r="AO1516" s="2">
        <v>10.9</v>
      </c>
      <c r="AP1516" s="2">
        <v>564</v>
      </c>
      <c r="AQ1516" s="2">
        <v>68</v>
      </c>
      <c r="AR1516" s="2">
        <v>1.5</v>
      </c>
      <c r="AS1516" s="2">
        <v>135</v>
      </c>
      <c r="AT1516" s="2">
        <v>0</v>
      </c>
      <c r="AU1516" s="2">
        <v>162</v>
      </c>
      <c r="AV1516" s="2">
        <v>9.1</v>
      </c>
      <c r="AW1516" s="2">
        <v>9.1999999999999993</v>
      </c>
      <c r="AX1516" s="2">
        <v>18.3</v>
      </c>
      <c r="AY1516" s="2">
        <v>0.34</v>
      </c>
      <c r="AZ1516" s="2">
        <v>7.3</v>
      </c>
      <c r="BA1516" s="2">
        <v>0.9</v>
      </c>
      <c r="BB1516" s="2">
        <v>7.5</v>
      </c>
      <c r="BC1516" s="2">
        <v>2.9</v>
      </c>
      <c r="BD1516" s="2">
        <f>+AN1516*EXP(-0.0495*Y1516)</f>
        <v>2.1054988919421618</v>
      </c>
      <c r="BE1516" s="2">
        <f>+AO1516*EXP(-0.024*Y1516)</f>
        <v>10.229628064397343</v>
      </c>
    </row>
    <row r="1517" spans="1:57" x14ac:dyDescent="0.2">
      <c r="A1517" s="2" t="s">
        <v>2782</v>
      </c>
      <c r="B1517" s="2" t="s">
        <v>19</v>
      </c>
      <c r="C1517" s="2" t="s">
        <v>1907</v>
      </c>
      <c r="D1517" s="2" t="s">
        <v>21</v>
      </c>
      <c r="E1517" s="2" t="s">
        <v>2171</v>
      </c>
      <c r="F1517" s="2">
        <v>5</v>
      </c>
      <c r="G1517" s="2">
        <v>212</v>
      </c>
      <c r="H1517" s="2">
        <v>3</v>
      </c>
      <c r="I1517" s="2">
        <v>3</v>
      </c>
      <c r="J1517" s="2">
        <v>3</v>
      </c>
      <c r="K1517" s="2" t="s">
        <v>61</v>
      </c>
      <c r="L1517" s="6" t="s">
        <v>113</v>
      </c>
      <c r="M1517" s="5">
        <v>1400000000</v>
      </c>
      <c r="N1517" s="2">
        <v>0</v>
      </c>
      <c r="O1517" s="2">
        <v>4.7013480000000003</v>
      </c>
      <c r="P1517" s="2">
        <v>-74.059985999999995</v>
      </c>
      <c r="Q1517" s="2" t="s">
        <v>2783</v>
      </c>
      <c r="R1517" s="2">
        <v>6603773.585</v>
      </c>
      <c r="S1517" s="2">
        <v>0</v>
      </c>
      <c r="T1517" s="2" t="s">
        <v>55</v>
      </c>
      <c r="U1517" s="2" t="s">
        <v>56</v>
      </c>
      <c r="V1517" s="2" t="s">
        <v>28</v>
      </c>
      <c r="W1517" s="2" t="s">
        <v>55</v>
      </c>
      <c r="X1517" s="2" t="s">
        <v>57</v>
      </c>
      <c r="Y1517" s="2">
        <v>3.4301879658507</v>
      </c>
      <c r="Z1517" s="2">
        <v>4.71035</v>
      </c>
      <c r="AA1517" s="2">
        <v>-74.030416666666696</v>
      </c>
      <c r="AB1517" s="2">
        <v>2570</v>
      </c>
      <c r="AC1517" s="2" t="s">
        <v>31</v>
      </c>
      <c r="AD1517" s="2" t="s">
        <v>58</v>
      </c>
      <c r="AE1517" s="2" t="s">
        <v>33</v>
      </c>
      <c r="AF1517" s="2" t="s">
        <v>34</v>
      </c>
      <c r="AG1517" s="2" t="s">
        <v>72</v>
      </c>
      <c r="AH1517" s="2">
        <v>0.62901470474072796</v>
      </c>
      <c r="AI1517" s="2">
        <v>3.6415325998963102</v>
      </c>
      <c r="AJ1517" s="2">
        <v>1.13599689121392</v>
      </c>
      <c r="AK1517" s="2">
        <v>0.110644813542318</v>
      </c>
      <c r="AL1517" s="2">
        <v>8.15111673763175E-2</v>
      </c>
      <c r="AM1517" s="2">
        <v>15.5</v>
      </c>
      <c r="AN1517" s="2">
        <v>2.4</v>
      </c>
      <c r="AO1517" s="2">
        <v>10.9</v>
      </c>
      <c r="AP1517" s="2">
        <v>564</v>
      </c>
      <c r="AQ1517" s="2">
        <v>68</v>
      </c>
      <c r="AR1517" s="2">
        <v>1.5</v>
      </c>
      <c r="AS1517" s="2">
        <v>135</v>
      </c>
      <c r="AT1517" s="2">
        <v>0</v>
      </c>
      <c r="AU1517" s="2">
        <v>162</v>
      </c>
      <c r="AV1517" s="2">
        <v>9.1</v>
      </c>
      <c r="AW1517" s="2">
        <v>9.1999999999999993</v>
      </c>
      <c r="AX1517" s="2">
        <v>18.3</v>
      </c>
      <c r="AY1517" s="2">
        <v>0.34</v>
      </c>
      <c r="AZ1517" s="2">
        <v>7.3</v>
      </c>
      <c r="BA1517" s="2">
        <v>0.9</v>
      </c>
      <c r="BB1517" s="2">
        <v>7.5</v>
      </c>
      <c r="BC1517" s="2">
        <v>2.9</v>
      </c>
      <c r="BD1517" s="2">
        <f>+AN1517*EXP(-0.0495*Y1517)</f>
        <v>2.0252120943901128</v>
      </c>
      <c r="BE1517" s="2">
        <f>+AO1517*EXP(-0.024*Y1517)</f>
        <v>10.038606181221121</v>
      </c>
    </row>
    <row r="1518" spans="1:57" x14ac:dyDescent="0.2">
      <c r="A1518" s="2" t="s">
        <v>1527</v>
      </c>
      <c r="B1518" s="2" t="s">
        <v>19</v>
      </c>
      <c r="C1518" s="2" t="s">
        <v>20</v>
      </c>
      <c r="D1518" s="2" t="s">
        <v>21</v>
      </c>
      <c r="E1518" s="2" t="s">
        <v>933</v>
      </c>
      <c r="F1518" s="2">
        <v>6</v>
      </c>
      <c r="G1518" s="2">
        <v>212</v>
      </c>
      <c r="H1518" s="2">
        <v>4</v>
      </c>
      <c r="I1518" s="2">
        <v>5</v>
      </c>
      <c r="J1518" s="2">
        <v>4</v>
      </c>
      <c r="K1518" s="2" t="s">
        <v>61</v>
      </c>
      <c r="L1518" s="6" t="s">
        <v>113</v>
      </c>
      <c r="M1518" s="5">
        <v>1670000000</v>
      </c>
      <c r="N1518" s="2">
        <v>0</v>
      </c>
      <c r="O1518" s="2">
        <v>4.7151520720000004</v>
      </c>
      <c r="P1518" s="2">
        <v>-74.046709969999995</v>
      </c>
      <c r="Q1518" s="2" t="s">
        <v>1528</v>
      </c>
      <c r="R1518" s="2">
        <v>7877358.4910000004</v>
      </c>
      <c r="S1518" s="2">
        <v>0</v>
      </c>
      <c r="T1518" s="2" t="s">
        <v>55</v>
      </c>
      <c r="U1518" s="2" t="s">
        <v>56</v>
      </c>
      <c r="V1518" s="2" t="s">
        <v>28</v>
      </c>
      <c r="W1518" s="2" t="s">
        <v>55</v>
      </c>
      <c r="X1518" s="2" t="s">
        <v>57</v>
      </c>
      <c r="Y1518" s="2">
        <v>1.8850160691695601</v>
      </c>
      <c r="Z1518" s="2">
        <v>4.71035</v>
      </c>
      <c r="AA1518" s="2">
        <v>-74.030416666666696</v>
      </c>
      <c r="AB1518" s="2">
        <v>2570</v>
      </c>
      <c r="AC1518" s="2" t="s">
        <v>31</v>
      </c>
      <c r="AD1518" s="2" t="s">
        <v>58</v>
      </c>
      <c r="AE1518" s="2" t="s">
        <v>33</v>
      </c>
      <c r="AF1518" s="2" t="s">
        <v>34</v>
      </c>
      <c r="AG1518" s="2" t="s">
        <v>59</v>
      </c>
      <c r="AH1518" s="2">
        <v>0.65174394450694795</v>
      </c>
      <c r="AI1518" s="2">
        <v>2.4582821227872902</v>
      </c>
      <c r="AJ1518" s="2">
        <v>1.61973113186592</v>
      </c>
      <c r="AK1518" s="2">
        <v>0.323373038111474</v>
      </c>
      <c r="AL1518" s="2">
        <v>0.61353058172763897</v>
      </c>
      <c r="AM1518" s="2">
        <v>15.5</v>
      </c>
      <c r="AN1518" s="2">
        <v>2.4</v>
      </c>
      <c r="AO1518" s="2">
        <v>10.9</v>
      </c>
      <c r="AP1518" s="2">
        <v>564</v>
      </c>
      <c r="AQ1518" s="2">
        <v>68</v>
      </c>
      <c r="AR1518" s="2">
        <v>1.5</v>
      </c>
      <c r="AS1518" s="2">
        <v>135</v>
      </c>
      <c r="AT1518" s="2">
        <v>0</v>
      </c>
      <c r="AU1518" s="2">
        <v>162</v>
      </c>
      <c r="AV1518" s="2">
        <v>9.1</v>
      </c>
      <c r="AW1518" s="2">
        <v>9.1999999999999993</v>
      </c>
      <c r="AX1518" s="2">
        <v>18.3</v>
      </c>
      <c r="AY1518" s="2">
        <v>0.34</v>
      </c>
      <c r="AZ1518" s="2">
        <v>7.3</v>
      </c>
      <c r="BA1518" s="2">
        <v>0.9</v>
      </c>
      <c r="BB1518" s="2">
        <v>7.5</v>
      </c>
      <c r="BC1518" s="2">
        <v>2.9</v>
      </c>
      <c r="BD1518" s="2">
        <f>+AN1518*EXP(-0.0495*Y1518)</f>
        <v>2.1861903043390756</v>
      </c>
      <c r="BE1518" s="2">
        <f>+AO1518*EXP(-0.024*Y1518)</f>
        <v>10.417867944894587</v>
      </c>
    </row>
    <row r="1519" spans="1:57" x14ac:dyDescent="0.2">
      <c r="A1519" s="2" t="s">
        <v>1169</v>
      </c>
      <c r="B1519" s="2" t="s">
        <v>19</v>
      </c>
      <c r="C1519" s="2" t="s">
        <v>20</v>
      </c>
      <c r="D1519" s="2" t="s">
        <v>21</v>
      </c>
      <c r="E1519" s="2" t="s">
        <v>1034</v>
      </c>
      <c r="F1519" s="2">
        <v>6</v>
      </c>
      <c r="G1519" s="2">
        <v>212</v>
      </c>
      <c r="H1519" s="2">
        <v>3</v>
      </c>
      <c r="I1519" s="2">
        <v>4</v>
      </c>
      <c r="J1519" s="2">
        <v>3</v>
      </c>
      <c r="K1519" s="2" t="s">
        <v>61</v>
      </c>
      <c r="L1519" s="6" t="s">
        <v>66</v>
      </c>
      <c r="M1519" s="5">
        <v>1700000000</v>
      </c>
      <c r="N1519" s="2">
        <v>0</v>
      </c>
      <c r="O1519" s="2">
        <v>4.7087264060000003</v>
      </c>
      <c r="P1519" s="2">
        <v>-74.028236390000004</v>
      </c>
      <c r="Q1519" s="2" t="s">
        <v>1170</v>
      </c>
      <c r="R1519" s="2">
        <v>8018867.9249999998</v>
      </c>
      <c r="S1519" s="2">
        <v>0</v>
      </c>
      <c r="T1519" s="2" t="s">
        <v>55</v>
      </c>
      <c r="U1519" s="2" t="s">
        <v>56</v>
      </c>
      <c r="V1519" s="2" t="s">
        <v>28</v>
      </c>
      <c r="W1519" s="2" t="s">
        <v>55</v>
      </c>
      <c r="X1519" s="2" t="s">
        <v>57</v>
      </c>
      <c r="Y1519" s="2">
        <v>0.30195335674080698</v>
      </c>
      <c r="Z1519" s="2">
        <v>4.71035</v>
      </c>
      <c r="AA1519" s="2">
        <v>-74.030416666666696</v>
      </c>
      <c r="AB1519" s="2">
        <v>2570</v>
      </c>
      <c r="AC1519" s="2" t="s">
        <v>31</v>
      </c>
      <c r="AD1519" s="2" t="s">
        <v>58</v>
      </c>
      <c r="AE1519" s="2" t="s">
        <v>33</v>
      </c>
      <c r="AF1519" s="2" t="s">
        <v>34</v>
      </c>
      <c r="AG1519" s="2" t="s">
        <v>59</v>
      </c>
      <c r="AH1519" s="2">
        <v>2.77264734691544</v>
      </c>
      <c r="AI1519" s="2">
        <v>0.354961587475072</v>
      </c>
      <c r="AJ1519" s="2">
        <v>0.55064936793612496</v>
      </c>
      <c r="AK1519" s="2">
        <v>0.31911667404280702</v>
      </c>
      <c r="AL1519" s="2">
        <v>0.35411782818635401</v>
      </c>
      <c r="AM1519" s="2">
        <v>15.5</v>
      </c>
      <c r="AN1519" s="2">
        <v>2.4</v>
      </c>
      <c r="AO1519" s="2">
        <v>10.9</v>
      </c>
      <c r="AP1519" s="2">
        <v>564</v>
      </c>
      <c r="AQ1519" s="2">
        <v>68</v>
      </c>
      <c r="AR1519" s="2">
        <v>1.5</v>
      </c>
      <c r="AS1519" s="2">
        <v>135</v>
      </c>
      <c r="AT1519" s="2">
        <v>0</v>
      </c>
      <c r="AU1519" s="2">
        <v>162</v>
      </c>
      <c r="AV1519" s="2">
        <v>9.1</v>
      </c>
      <c r="AW1519" s="2">
        <v>9.1999999999999993</v>
      </c>
      <c r="AX1519" s="2">
        <v>18.3</v>
      </c>
      <c r="AY1519" s="2">
        <v>0.34</v>
      </c>
      <c r="AZ1519" s="2">
        <v>7.3</v>
      </c>
      <c r="BA1519" s="2">
        <v>0.9</v>
      </c>
      <c r="BB1519" s="2">
        <v>7.5</v>
      </c>
      <c r="BC1519" s="2">
        <v>2.9</v>
      </c>
      <c r="BD1519" s="2">
        <f>+AN1519*EXP(-0.0495*Y1519)</f>
        <v>2.3643946948294312</v>
      </c>
      <c r="BE1519" s="2">
        <f>+AO1519*EXP(-0.024*Y1519)</f>
        <v>10.821294530893141</v>
      </c>
    </row>
    <row r="1520" spans="1:57" x14ac:dyDescent="0.2">
      <c r="A1520" s="2" t="s">
        <v>2667</v>
      </c>
      <c r="B1520" s="2" t="s">
        <v>19</v>
      </c>
      <c r="C1520" s="2" t="s">
        <v>1907</v>
      </c>
      <c r="D1520" s="2" t="s">
        <v>21</v>
      </c>
      <c r="E1520" s="2" t="s">
        <v>295</v>
      </c>
      <c r="F1520" s="2">
        <v>5</v>
      </c>
      <c r="G1520" s="2">
        <v>210</v>
      </c>
      <c r="H1520" s="2">
        <v>5</v>
      </c>
      <c r="I1520" s="2">
        <v>4</v>
      </c>
      <c r="J1520" s="2">
        <v>2</v>
      </c>
      <c r="K1520" s="2" t="s">
        <v>61</v>
      </c>
      <c r="L1520" s="6" t="s">
        <v>113</v>
      </c>
      <c r="M1520" s="5">
        <v>1100000000</v>
      </c>
      <c r="N1520" s="2">
        <v>0</v>
      </c>
      <c r="O1520" s="2">
        <v>4.7039365770000003</v>
      </c>
      <c r="P1520" s="2">
        <v>-74.062171939999999</v>
      </c>
      <c r="Q1520" s="2" t="s">
        <v>2668</v>
      </c>
      <c r="R1520" s="2">
        <v>5238095.2379999999</v>
      </c>
      <c r="S1520" s="2">
        <v>0</v>
      </c>
      <c r="T1520" s="2" t="s">
        <v>55</v>
      </c>
      <c r="U1520" s="2" t="s">
        <v>56</v>
      </c>
      <c r="V1520" s="2" t="s">
        <v>28</v>
      </c>
      <c r="W1520" s="2" t="s">
        <v>55</v>
      </c>
      <c r="X1520" s="2" t="s">
        <v>57</v>
      </c>
      <c r="Y1520" s="2">
        <v>3.59466912786832</v>
      </c>
      <c r="Z1520" s="2">
        <v>4.71035</v>
      </c>
      <c r="AA1520" s="2">
        <v>-74.030416666666696</v>
      </c>
      <c r="AB1520" s="2">
        <v>2570</v>
      </c>
      <c r="AC1520" s="2" t="s">
        <v>31</v>
      </c>
      <c r="AD1520" s="2" t="s">
        <v>58</v>
      </c>
      <c r="AE1520" s="2" t="s">
        <v>33</v>
      </c>
      <c r="AF1520" s="2" t="s">
        <v>34</v>
      </c>
      <c r="AG1520" s="2" t="s">
        <v>72</v>
      </c>
      <c r="AH1520" s="2">
        <v>0.88453473478697997</v>
      </c>
      <c r="AI1520" s="2">
        <v>4.0142907063136297</v>
      </c>
      <c r="AJ1520" s="2">
        <v>1.06608671828033</v>
      </c>
      <c r="AK1520" s="2">
        <v>0.440564932042249</v>
      </c>
      <c r="AL1520" s="2">
        <v>3.1382160903610297E-2</v>
      </c>
      <c r="AM1520" s="2">
        <v>15.5</v>
      </c>
      <c r="AN1520" s="2">
        <v>2.4</v>
      </c>
      <c r="AO1520" s="2">
        <v>10.9</v>
      </c>
      <c r="AP1520" s="2">
        <v>564</v>
      </c>
      <c r="AQ1520" s="2">
        <v>68</v>
      </c>
      <c r="AR1520" s="2">
        <v>1.5</v>
      </c>
      <c r="AS1520" s="2">
        <v>135</v>
      </c>
      <c r="AT1520" s="2">
        <v>0</v>
      </c>
      <c r="AU1520" s="2">
        <v>162</v>
      </c>
      <c r="AV1520" s="2">
        <v>9.1</v>
      </c>
      <c r="AW1520" s="2">
        <v>9.1999999999999993</v>
      </c>
      <c r="AX1520" s="2">
        <v>18.3</v>
      </c>
      <c r="AY1520" s="2">
        <v>0.34</v>
      </c>
      <c r="AZ1520" s="2">
        <v>7.3</v>
      </c>
      <c r="BA1520" s="2">
        <v>0.9</v>
      </c>
      <c r="BB1520" s="2">
        <v>7.5</v>
      </c>
      <c r="BC1520" s="2">
        <v>2.9</v>
      </c>
      <c r="BD1520" s="2">
        <f>+AN1520*EXP(-0.0495*Y1520)</f>
        <v>2.0087901301132427</v>
      </c>
      <c r="BE1520" s="2">
        <f>+AO1520*EXP(-0.024*Y1520)</f>
        <v>9.9990564162424427</v>
      </c>
    </row>
    <row r="1521" spans="1:57" x14ac:dyDescent="0.2">
      <c r="A1521" s="2" t="s">
        <v>285</v>
      </c>
      <c r="B1521" s="2" t="s">
        <v>19</v>
      </c>
      <c r="C1521" s="2" t="s">
        <v>20</v>
      </c>
      <c r="D1521" s="2" t="s">
        <v>21</v>
      </c>
      <c r="E1521" s="2" t="s">
        <v>164</v>
      </c>
      <c r="F1521" s="2">
        <v>6</v>
      </c>
      <c r="G1521" s="2">
        <v>210</v>
      </c>
      <c r="H1521" s="2">
        <v>5</v>
      </c>
      <c r="I1521" s="2">
        <v>4</v>
      </c>
      <c r="J1521" s="2">
        <v>2</v>
      </c>
      <c r="K1521" s="2" t="s">
        <v>61</v>
      </c>
      <c r="L1521" s="6" t="s">
        <v>113</v>
      </c>
      <c r="M1521" s="5">
        <v>1450000000</v>
      </c>
      <c r="N1521" s="2">
        <v>0</v>
      </c>
      <c r="O1521" s="2">
        <v>4.7018930000000001</v>
      </c>
      <c r="P1521" s="2">
        <v>-74.039439999999999</v>
      </c>
      <c r="Q1521" s="2" t="s">
        <v>286</v>
      </c>
      <c r="R1521" s="2">
        <v>6904761.9050000003</v>
      </c>
      <c r="S1521" s="2">
        <v>0</v>
      </c>
      <c r="T1521" s="2" t="s">
        <v>55</v>
      </c>
      <c r="U1521" s="2" t="s">
        <v>56</v>
      </c>
      <c r="V1521" s="2" t="s">
        <v>28</v>
      </c>
      <c r="W1521" s="2" t="s">
        <v>55</v>
      </c>
      <c r="X1521" s="2" t="s">
        <v>57</v>
      </c>
      <c r="Y1521" s="2">
        <v>1.3742133944625301</v>
      </c>
      <c r="Z1521" s="2">
        <v>4.71035</v>
      </c>
      <c r="AA1521" s="2">
        <v>-74.030416666666696</v>
      </c>
      <c r="AB1521" s="2">
        <v>2570</v>
      </c>
      <c r="AC1521" s="2" t="s">
        <v>31</v>
      </c>
      <c r="AD1521" s="2" t="s">
        <v>58</v>
      </c>
      <c r="AE1521" s="2" t="s">
        <v>33</v>
      </c>
      <c r="AF1521" s="2" t="s">
        <v>34</v>
      </c>
      <c r="AG1521" s="2" t="s">
        <v>59</v>
      </c>
      <c r="AH1521" s="2">
        <v>1.6671972003197499</v>
      </c>
      <c r="AI1521" s="2">
        <v>1.5317858173130601</v>
      </c>
      <c r="AJ1521" s="2">
        <v>0.77591746709578902</v>
      </c>
      <c r="AK1521" s="2">
        <v>0.195844168078708</v>
      </c>
      <c r="AL1521" s="2">
        <v>8.8134563912122005E-3</v>
      </c>
      <c r="AM1521" s="2">
        <v>15.5</v>
      </c>
      <c r="AN1521" s="2">
        <v>2.4</v>
      </c>
      <c r="AO1521" s="2">
        <v>10.9</v>
      </c>
      <c r="AP1521" s="2">
        <v>564</v>
      </c>
      <c r="AQ1521" s="2">
        <v>68</v>
      </c>
      <c r="AR1521" s="2">
        <v>1.5</v>
      </c>
      <c r="AS1521" s="2">
        <v>135</v>
      </c>
      <c r="AT1521" s="2">
        <v>0</v>
      </c>
      <c r="AU1521" s="2">
        <v>162</v>
      </c>
      <c r="AV1521" s="2">
        <v>9.1</v>
      </c>
      <c r="AW1521" s="2">
        <v>9.1999999999999993</v>
      </c>
      <c r="AX1521" s="2">
        <v>18.3</v>
      </c>
      <c r="AY1521" s="2">
        <v>0.34</v>
      </c>
      <c r="AZ1521" s="2">
        <v>7.3</v>
      </c>
      <c r="BA1521" s="2">
        <v>0.9</v>
      </c>
      <c r="BB1521" s="2">
        <v>7.5</v>
      </c>
      <c r="BC1521" s="2">
        <v>2.9</v>
      </c>
      <c r="BD1521" s="2">
        <f>+AN1521*EXP(-0.0495*Y1521)</f>
        <v>2.242172303598811</v>
      </c>
      <c r="BE1521" s="2">
        <f>+AO1521*EXP(-0.024*Y1521)</f>
        <v>10.546369397622744</v>
      </c>
    </row>
    <row r="1522" spans="1:57" x14ac:dyDescent="0.2">
      <c r="A1522" s="2" t="s">
        <v>1743</v>
      </c>
      <c r="B1522" s="2" t="s">
        <v>19</v>
      </c>
      <c r="C1522" s="2" t="s">
        <v>20</v>
      </c>
      <c r="D1522" s="2" t="s">
        <v>21</v>
      </c>
      <c r="E1522" s="2" t="s">
        <v>186</v>
      </c>
      <c r="F1522" s="2">
        <v>6</v>
      </c>
      <c r="G1522" s="2">
        <v>209</v>
      </c>
      <c r="H1522" s="2">
        <v>3</v>
      </c>
      <c r="I1522" s="2">
        <v>3</v>
      </c>
      <c r="J1522" s="2">
        <v>3</v>
      </c>
      <c r="K1522" s="2" t="s">
        <v>61</v>
      </c>
      <c r="L1522" s="6" t="s">
        <v>113</v>
      </c>
      <c r="M1522" s="5">
        <v>1500000000</v>
      </c>
      <c r="N1522" s="2">
        <v>0</v>
      </c>
      <c r="O1522" s="2">
        <v>4.7065511649999996</v>
      </c>
      <c r="P1522" s="2">
        <v>-74.041690470000006</v>
      </c>
      <c r="Q1522" s="2" t="s">
        <v>1744</v>
      </c>
      <c r="R1522" s="2">
        <v>7177033.4929999998</v>
      </c>
      <c r="S1522" s="2">
        <v>0</v>
      </c>
      <c r="T1522" s="2" t="s">
        <v>55</v>
      </c>
      <c r="U1522" s="2" t="s">
        <v>56</v>
      </c>
      <c r="V1522" s="2" t="s">
        <v>28</v>
      </c>
      <c r="W1522" s="2" t="s">
        <v>55</v>
      </c>
      <c r="X1522" s="2" t="s">
        <v>57</v>
      </c>
      <c r="Y1522" s="2">
        <v>1.32031389763544</v>
      </c>
      <c r="Z1522" s="2">
        <v>4.71035</v>
      </c>
      <c r="AA1522" s="2">
        <v>-74.030416666666696</v>
      </c>
      <c r="AB1522" s="2">
        <v>2570</v>
      </c>
      <c r="AC1522" s="2" t="s">
        <v>31</v>
      </c>
      <c r="AD1522" s="2" t="s">
        <v>58</v>
      </c>
      <c r="AE1522" s="2" t="s">
        <v>33</v>
      </c>
      <c r="AF1522" s="2" t="s">
        <v>34</v>
      </c>
      <c r="AG1522" s="2" t="s">
        <v>59</v>
      </c>
      <c r="AH1522" s="2">
        <v>1.4057665337533201</v>
      </c>
      <c r="AI1522" s="2">
        <v>1.84916691083385</v>
      </c>
      <c r="AJ1522" s="2">
        <v>1.0912619807674799</v>
      </c>
      <c r="AK1522" s="2">
        <v>7.9820711160270397E-2</v>
      </c>
      <c r="AL1522" s="2">
        <v>0.226026395978695</v>
      </c>
      <c r="AM1522" s="2">
        <v>15.5</v>
      </c>
      <c r="AN1522" s="2">
        <v>2.4</v>
      </c>
      <c r="AO1522" s="2">
        <v>10.9</v>
      </c>
      <c r="AP1522" s="2">
        <v>564</v>
      </c>
      <c r="AQ1522" s="2">
        <v>68</v>
      </c>
      <c r="AR1522" s="2">
        <v>1.5</v>
      </c>
      <c r="AS1522" s="2">
        <v>135</v>
      </c>
      <c r="AT1522" s="2">
        <v>0</v>
      </c>
      <c r="AU1522" s="2">
        <v>162</v>
      </c>
      <c r="AV1522" s="2">
        <v>9.1</v>
      </c>
      <c r="AW1522" s="2">
        <v>9.1999999999999993</v>
      </c>
      <c r="AX1522" s="2">
        <v>18.3</v>
      </c>
      <c r="AY1522" s="2">
        <v>0.34</v>
      </c>
      <c r="AZ1522" s="2">
        <v>7.3</v>
      </c>
      <c r="BA1522" s="2">
        <v>0.9</v>
      </c>
      <c r="BB1522" s="2">
        <v>7.5</v>
      </c>
      <c r="BC1522" s="2">
        <v>2.9</v>
      </c>
      <c r="BD1522" s="2">
        <f>+AN1522*EXP(-0.0495*Y1522)</f>
        <v>2.2481624629619144</v>
      </c>
      <c r="BE1522" s="2">
        <f>+AO1522*EXP(-0.024*Y1522)</f>
        <v>10.560020881509656</v>
      </c>
    </row>
    <row r="1523" spans="1:57" x14ac:dyDescent="0.2">
      <c r="A1523" s="2" t="s">
        <v>207</v>
      </c>
      <c r="B1523" s="2" t="s">
        <v>19</v>
      </c>
      <c r="C1523" s="2" t="s">
        <v>20</v>
      </c>
      <c r="D1523" s="2" t="s">
        <v>21</v>
      </c>
      <c r="E1523" s="2" t="s">
        <v>208</v>
      </c>
      <c r="F1523" s="2">
        <v>6</v>
      </c>
      <c r="G1523" s="2">
        <v>208</v>
      </c>
      <c r="H1523" s="2">
        <v>4</v>
      </c>
      <c r="I1523" s="2">
        <v>5</v>
      </c>
      <c r="J1523" s="2">
        <v>4</v>
      </c>
      <c r="K1523" s="2" t="s">
        <v>61</v>
      </c>
      <c r="L1523" s="6" t="s">
        <v>113</v>
      </c>
      <c r="M1523" s="5">
        <v>1550000000</v>
      </c>
      <c r="N1523" s="2">
        <v>0</v>
      </c>
      <c r="O1523" s="2">
        <v>4.7071380620000003</v>
      </c>
      <c r="P1523" s="2">
        <v>-74.034072879999997</v>
      </c>
      <c r="Q1523" s="2" t="s">
        <v>209</v>
      </c>
      <c r="R1523" s="2">
        <v>7451923.0769999996</v>
      </c>
      <c r="S1523" s="2">
        <v>0</v>
      </c>
      <c r="T1523" s="2" t="s">
        <v>55</v>
      </c>
      <c r="U1523" s="2" t="s">
        <v>56</v>
      </c>
      <c r="V1523" s="2" t="s">
        <v>28</v>
      </c>
      <c r="W1523" s="2" t="s">
        <v>55</v>
      </c>
      <c r="X1523" s="2" t="s">
        <v>57</v>
      </c>
      <c r="Y1523" s="2">
        <v>0.54072355135796202</v>
      </c>
      <c r="Z1523" s="2">
        <v>4.71035</v>
      </c>
      <c r="AA1523" s="2">
        <v>-74.030416666666696</v>
      </c>
      <c r="AB1523" s="2">
        <v>2570</v>
      </c>
      <c r="AC1523" s="2" t="s">
        <v>31</v>
      </c>
      <c r="AD1523" s="2" t="s">
        <v>58</v>
      </c>
      <c r="AE1523" s="2" t="s">
        <v>33</v>
      </c>
      <c r="AF1523" s="2" t="s">
        <v>34</v>
      </c>
      <c r="AG1523" s="2" t="s">
        <v>59</v>
      </c>
      <c r="AH1523" s="2">
        <v>2.2075416479560901</v>
      </c>
      <c r="AI1523" s="2">
        <v>1.02407455778795</v>
      </c>
      <c r="AJ1523" s="2">
        <v>0.42331080201926502</v>
      </c>
      <c r="AK1523" s="2">
        <v>0.249124473425022</v>
      </c>
      <c r="AL1523" s="2">
        <v>2.0218344267336302E-2</v>
      </c>
      <c r="AM1523" s="2">
        <v>15.5</v>
      </c>
      <c r="AN1523" s="2">
        <v>2.4</v>
      </c>
      <c r="AO1523" s="2">
        <v>10.9</v>
      </c>
      <c r="AP1523" s="2">
        <v>564</v>
      </c>
      <c r="AQ1523" s="2">
        <v>68</v>
      </c>
      <c r="AR1523" s="2">
        <v>1.5</v>
      </c>
      <c r="AS1523" s="2">
        <v>135</v>
      </c>
      <c r="AT1523" s="2">
        <v>0</v>
      </c>
      <c r="AU1523" s="2">
        <v>162</v>
      </c>
      <c r="AV1523" s="2">
        <v>9.1</v>
      </c>
      <c r="AW1523" s="2">
        <v>9.1999999999999993</v>
      </c>
      <c r="AX1523" s="2">
        <v>18.3</v>
      </c>
      <c r="AY1523" s="2">
        <v>0.34</v>
      </c>
      <c r="AZ1523" s="2">
        <v>7.3</v>
      </c>
      <c r="BA1523" s="2">
        <v>0.9</v>
      </c>
      <c r="BB1523" s="2">
        <v>7.5</v>
      </c>
      <c r="BC1523" s="2">
        <v>2.9</v>
      </c>
      <c r="BD1523" s="2">
        <f>+AN1523*EXP(-0.0495*Y1523)</f>
        <v>2.3366141137159397</v>
      </c>
      <c r="BE1523" s="2">
        <f>+AO1523*EXP(-0.024*Y1523)</f>
        <v>10.759460606853226</v>
      </c>
    </row>
    <row r="1524" spans="1:57" x14ac:dyDescent="0.2">
      <c r="A1524" s="2" t="s">
        <v>1134</v>
      </c>
      <c r="B1524" s="2" t="s">
        <v>19</v>
      </c>
      <c r="C1524" s="2" t="s">
        <v>20</v>
      </c>
      <c r="D1524" s="2" t="s">
        <v>21</v>
      </c>
      <c r="E1524" s="2" t="s">
        <v>1135</v>
      </c>
      <c r="F1524" s="2">
        <v>6</v>
      </c>
      <c r="G1524" s="2">
        <v>205</v>
      </c>
      <c r="H1524" s="2">
        <v>3</v>
      </c>
      <c r="I1524" s="2">
        <v>3</v>
      </c>
      <c r="J1524" s="2">
        <v>4</v>
      </c>
      <c r="K1524" s="2" t="s">
        <v>61</v>
      </c>
      <c r="L1524" s="6" t="s">
        <v>113</v>
      </c>
      <c r="M1524" s="5">
        <v>1250000000</v>
      </c>
      <c r="N1524" s="2">
        <v>0</v>
      </c>
      <c r="O1524" s="2">
        <v>4.7226758000000002</v>
      </c>
      <c r="P1524" s="2">
        <v>-74.023216250000004</v>
      </c>
      <c r="Q1524" s="2" t="s">
        <v>1136</v>
      </c>
      <c r="R1524" s="2">
        <v>6097560.9759999998</v>
      </c>
      <c r="S1524" s="2">
        <v>0</v>
      </c>
      <c r="T1524" s="2" t="s">
        <v>55</v>
      </c>
      <c r="U1524" s="2" t="s">
        <v>56</v>
      </c>
      <c r="V1524" s="2" t="s">
        <v>28</v>
      </c>
      <c r="W1524" s="2" t="s">
        <v>55</v>
      </c>
      <c r="X1524" s="2" t="s">
        <v>57</v>
      </c>
      <c r="Y1524" s="2">
        <v>1.587701670945</v>
      </c>
      <c r="Z1524" s="2">
        <v>4.71035</v>
      </c>
      <c r="AA1524" s="2">
        <v>-74.030416666666696</v>
      </c>
      <c r="AB1524" s="2">
        <v>2570</v>
      </c>
      <c r="AC1524" s="2" t="s">
        <v>31</v>
      </c>
      <c r="AD1524" s="2" t="s">
        <v>58</v>
      </c>
      <c r="AE1524" s="2" t="s">
        <v>33</v>
      </c>
      <c r="AF1524" s="2" t="s">
        <v>34</v>
      </c>
      <c r="AG1524" s="2" t="s">
        <v>59</v>
      </c>
      <c r="AH1524" s="2">
        <v>3.0603716377732799</v>
      </c>
      <c r="AI1524" s="2">
        <v>0.111917923405511</v>
      </c>
      <c r="AJ1524" s="2">
        <v>1.69215925767998</v>
      </c>
      <c r="AK1524" s="2">
        <v>0.41464166948581299</v>
      </c>
      <c r="AL1524" s="2">
        <v>0.53012986260883599</v>
      </c>
      <c r="AM1524" s="2">
        <v>15.5</v>
      </c>
      <c r="AN1524" s="2">
        <v>2.4</v>
      </c>
      <c r="AO1524" s="2">
        <v>10.9</v>
      </c>
      <c r="AP1524" s="2">
        <v>564</v>
      </c>
      <c r="AQ1524" s="2">
        <v>68</v>
      </c>
      <c r="AR1524" s="2">
        <v>1.5</v>
      </c>
      <c r="AS1524" s="2">
        <v>135</v>
      </c>
      <c r="AT1524" s="2">
        <v>0</v>
      </c>
      <c r="AU1524" s="2">
        <v>162</v>
      </c>
      <c r="AV1524" s="2">
        <v>9.1</v>
      </c>
      <c r="AW1524" s="2">
        <v>9.1999999999999993</v>
      </c>
      <c r="AX1524" s="2">
        <v>18.3</v>
      </c>
      <c r="AY1524" s="2">
        <v>0.34</v>
      </c>
      <c r="AZ1524" s="2">
        <v>7.3</v>
      </c>
      <c r="BA1524" s="2">
        <v>0.9</v>
      </c>
      <c r="BB1524" s="2">
        <v>7.5</v>
      </c>
      <c r="BC1524" s="2">
        <v>2.9</v>
      </c>
      <c r="BD1524" s="2">
        <f>+AN1524*EXP(-0.0495*Y1524)</f>
        <v>2.2186025254775243</v>
      </c>
      <c r="BE1524" s="2">
        <f>+AO1524*EXP(-0.024*Y1524)</f>
        <v>10.492470966314865</v>
      </c>
    </row>
    <row r="1525" spans="1:57" x14ac:dyDescent="0.2">
      <c r="A1525" s="2" t="s">
        <v>808</v>
      </c>
      <c r="B1525" s="2" t="s">
        <v>19</v>
      </c>
      <c r="C1525" s="2" t="s">
        <v>20</v>
      </c>
      <c r="D1525" s="2" t="s">
        <v>21</v>
      </c>
      <c r="E1525" s="2" t="s">
        <v>321</v>
      </c>
      <c r="F1525" s="2">
        <v>6</v>
      </c>
      <c r="G1525" s="2">
        <v>204</v>
      </c>
      <c r="H1525" s="2">
        <v>3</v>
      </c>
      <c r="I1525" s="2">
        <v>4</v>
      </c>
      <c r="J1525" s="2">
        <v>2</v>
      </c>
      <c r="K1525" s="2" t="s">
        <v>61</v>
      </c>
      <c r="L1525" s="6" t="s">
        <v>75</v>
      </c>
      <c r="M1525" s="5">
        <v>2000000000</v>
      </c>
      <c r="N1525" s="2">
        <v>0</v>
      </c>
      <c r="O1525" s="2">
        <v>4.7112528390000001</v>
      </c>
      <c r="P1525" s="2">
        <v>-74.025033640000004</v>
      </c>
      <c r="Q1525" s="2" t="s">
        <v>809</v>
      </c>
      <c r="R1525" s="2">
        <v>9803921.5690000001</v>
      </c>
      <c r="S1525" s="2">
        <v>0</v>
      </c>
      <c r="T1525" s="2" t="s">
        <v>55</v>
      </c>
      <c r="U1525" s="2" t="s">
        <v>56</v>
      </c>
      <c r="V1525" s="2" t="s">
        <v>28</v>
      </c>
      <c r="W1525" s="2" t="s">
        <v>55</v>
      </c>
      <c r="X1525" s="2" t="s">
        <v>57</v>
      </c>
      <c r="Y1525" s="2">
        <v>0.60560925640005103</v>
      </c>
      <c r="Z1525" s="2">
        <v>4.71035</v>
      </c>
      <c r="AA1525" s="2">
        <v>-74.030416666666696</v>
      </c>
      <c r="AB1525" s="2">
        <v>2570</v>
      </c>
      <c r="AC1525" s="2" t="s">
        <v>31</v>
      </c>
      <c r="AD1525" s="2" t="s">
        <v>58</v>
      </c>
      <c r="AE1525" s="2" t="s">
        <v>33</v>
      </c>
      <c r="AF1525" s="2" t="s">
        <v>34</v>
      </c>
      <c r="AG1525" s="2" t="s">
        <v>59</v>
      </c>
      <c r="AH1525" s="2">
        <v>3.0735841084319002</v>
      </c>
      <c r="AI1525" s="2">
        <v>6.7221756050779805E-2</v>
      </c>
      <c r="AJ1525" s="2">
        <v>0.86056265669686904</v>
      </c>
      <c r="AK1525" s="2">
        <v>0.53567781429343597</v>
      </c>
      <c r="AL1525" s="2">
        <v>0.66078024660277301</v>
      </c>
      <c r="AM1525" s="2">
        <v>15.5</v>
      </c>
      <c r="AN1525" s="2">
        <v>2.4</v>
      </c>
      <c r="AO1525" s="2">
        <v>10.9</v>
      </c>
      <c r="AP1525" s="2">
        <v>564</v>
      </c>
      <c r="AQ1525" s="2">
        <v>68</v>
      </c>
      <c r="AR1525" s="2">
        <v>1.5</v>
      </c>
      <c r="AS1525" s="2">
        <v>135</v>
      </c>
      <c r="AT1525" s="2">
        <v>0</v>
      </c>
      <c r="AU1525" s="2">
        <v>162</v>
      </c>
      <c r="AV1525" s="2">
        <v>9.1</v>
      </c>
      <c r="AW1525" s="2">
        <v>9.1999999999999993</v>
      </c>
      <c r="AX1525" s="2">
        <v>18.3</v>
      </c>
      <c r="AY1525" s="2">
        <v>0.34</v>
      </c>
      <c r="AZ1525" s="2">
        <v>7.3</v>
      </c>
      <c r="BA1525" s="2">
        <v>0.9</v>
      </c>
      <c r="BB1525" s="2">
        <v>7.5</v>
      </c>
      <c r="BC1525" s="2">
        <v>2.9</v>
      </c>
      <c r="BD1525" s="2">
        <f>+AN1525*EXP(-0.0495*Y1525)</f>
        <v>2.3291213167168525</v>
      </c>
      <c r="BE1525" s="2">
        <f>+AO1525*EXP(-0.024*Y1525)</f>
        <v>10.742718401697681</v>
      </c>
    </row>
    <row r="1526" spans="1:57" x14ac:dyDescent="0.2">
      <c r="A1526" s="2" t="s">
        <v>1836</v>
      </c>
      <c r="B1526" s="2" t="s">
        <v>19</v>
      </c>
      <c r="C1526" s="2" t="s">
        <v>20</v>
      </c>
      <c r="D1526" s="2" t="s">
        <v>21</v>
      </c>
      <c r="E1526" s="2" t="s">
        <v>161</v>
      </c>
      <c r="F1526" s="2">
        <v>5</v>
      </c>
      <c r="G1526" s="2">
        <v>203</v>
      </c>
      <c r="H1526" s="2">
        <v>3</v>
      </c>
      <c r="I1526" s="2">
        <v>3</v>
      </c>
      <c r="J1526" s="2">
        <v>4</v>
      </c>
      <c r="K1526" s="2" t="s">
        <v>61</v>
      </c>
      <c r="L1526" s="6" t="s">
        <v>113</v>
      </c>
      <c r="M1526" s="5">
        <v>1190000000</v>
      </c>
      <c r="N1526" s="2">
        <v>0</v>
      </c>
      <c r="O1526" s="2">
        <v>4.6936590499999999</v>
      </c>
      <c r="P1526" s="2">
        <v>-74.044407710000002</v>
      </c>
      <c r="Q1526" s="2" t="s">
        <v>1837</v>
      </c>
      <c r="R1526" s="2">
        <v>5862068.966</v>
      </c>
      <c r="S1526" s="2">
        <v>0</v>
      </c>
      <c r="T1526" s="2" t="s">
        <v>55</v>
      </c>
      <c r="U1526" s="2" t="s">
        <v>56</v>
      </c>
      <c r="V1526" s="2" t="s">
        <v>28</v>
      </c>
      <c r="W1526" s="2" t="s">
        <v>55</v>
      </c>
      <c r="X1526" s="2" t="s">
        <v>57</v>
      </c>
      <c r="Y1526" s="2">
        <v>2.4210946157621902</v>
      </c>
      <c r="Z1526" s="2">
        <v>4.71035</v>
      </c>
      <c r="AA1526" s="2">
        <v>-74.030416666666696</v>
      </c>
      <c r="AB1526" s="2">
        <v>2570</v>
      </c>
      <c r="AC1526" s="2" t="s">
        <v>31</v>
      </c>
      <c r="AD1526" s="2" t="s">
        <v>58</v>
      </c>
      <c r="AE1526" s="2" t="s">
        <v>33</v>
      </c>
      <c r="AF1526" s="2" t="s">
        <v>34</v>
      </c>
      <c r="AG1526" s="2" t="s">
        <v>59</v>
      </c>
      <c r="AH1526" s="2">
        <v>1.3056517174763</v>
      </c>
      <c r="AI1526" s="2">
        <v>1.88732964378977</v>
      </c>
      <c r="AJ1526" s="2">
        <v>0.60485148313578296</v>
      </c>
      <c r="AK1526" s="2">
        <v>0.16382757599011899</v>
      </c>
      <c r="AL1526" s="2">
        <v>0.12437949151493601</v>
      </c>
      <c r="AM1526" s="2">
        <v>15.5</v>
      </c>
      <c r="AN1526" s="2">
        <v>2.4</v>
      </c>
      <c r="AO1526" s="2">
        <v>10.9</v>
      </c>
      <c r="AP1526" s="2">
        <v>564</v>
      </c>
      <c r="AQ1526" s="2">
        <v>68</v>
      </c>
      <c r="AR1526" s="2">
        <v>1.5</v>
      </c>
      <c r="AS1526" s="2">
        <v>135</v>
      </c>
      <c r="AT1526" s="2">
        <v>0</v>
      </c>
      <c r="AU1526" s="2">
        <v>162</v>
      </c>
      <c r="AV1526" s="2">
        <v>9.1</v>
      </c>
      <c r="AW1526" s="2">
        <v>9.1999999999999993</v>
      </c>
      <c r="AX1526" s="2">
        <v>18.3</v>
      </c>
      <c r="AY1526" s="2">
        <v>0.34</v>
      </c>
      <c r="AZ1526" s="2">
        <v>7.3</v>
      </c>
      <c r="BA1526" s="2">
        <v>0.9</v>
      </c>
      <c r="BB1526" s="2">
        <v>7.5</v>
      </c>
      <c r="BC1526" s="2">
        <v>2.9</v>
      </c>
      <c r="BD1526" s="2">
        <f>+AN1526*EXP(-0.0495*Y1526)</f>
        <v>2.1289407464163763</v>
      </c>
      <c r="BE1526" s="2">
        <f>+AO1526*EXP(-0.024*Y1526)</f>
        <v>10.284691406823775</v>
      </c>
    </row>
    <row r="1527" spans="1:57" x14ac:dyDescent="0.2">
      <c r="A1527" s="2" t="s">
        <v>2801</v>
      </c>
      <c r="B1527" s="2" t="s">
        <v>19</v>
      </c>
      <c r="C1527" s="2" t="s">
        <v>1907</v>
      </c>
      <c r="D1527" s="2" t="s">
        <v>21</v>
      </c>
      <c r="E1527" s="2" t="s">
        <v>1230</v>
      </c>
      <c r="F1527" s="2">
        <v>5</v>
      </c>
      <c r="G1527" s="2">
        <v>201.59</v>
      </c>
      <c r="H1527" s="2">
        <v>4</v>
      </c>
      <c r="I1527" s="2">
        <v>2</v>
      </c>
      <c r="J1527" s="2">
        <v>4</v>
      </c>
      <c r="K1527" s="2" t="s">
        <v>61</v>
      </c>
      <c r="L1527" s="6" t="s">
        <v>113</v>
      </c>
      <c r="M1527" s="5">
        <v>1800000000</v>
      </c>
      <c r="N1527" s="2">
        <v>0</v>
      </c>
      <c r="O1527" s="2">
        <v>4.7039499999999999</v>
      </c>
      <c r="P1527" s="2">
        <v>-74.05744</v>
      </c>
      <c r="Q1527" s="2" t="s">
        <v>2802</v>
      </c>
      <c r="R1527" s="2">
        <v>8929014.3359999992</v>
      </c>
      <c r="S1527" s="2">
        <v>0</v>
      </c>
      <c r="T1527" s="2" t="s">
        <v>55</v>
      </c>
      <c r="U1527" s="2" t="s">
        <v>56</v>
      </c>
      <c r="V1527" s="2" t="s">
        <v>28</v>
      </c>
      <c r="W1527" s="2" t="s">
        <v>55</v>
      </c>
      <c r="X1527" s="2" t="s">
        <v>57</v>
      </c>
      <c r="Y1527" s="2">
        <v>3.0815654751667401</v>
      </c>
      <c r="Z1527" s="2">
        <v>4.71035</v>
      </c>
      <c r="AA1527" s="2">
        <v>-74.030416666666696</v>
      </c>
      <c r="AB1527" s="2">
        <v>2570</v>
      </c>
      <c r="AC1527" s="2" t="s">
        <v>31</v>
      </c>
      <c r="AD1527" s="2" t="s">
        <v>58</v>
      </c>
      <c r="AE1527" s="2" t="s">
        <v>33</v>
      </c>
      <c r="AF1527" s="2" t="s">
        <v>34</v>
      </c>
      <c r="AG1527" s="2" t="s">
        <v>72</v>
      </c>
      <c r="AH1527" s="2">
        <v>0.36450806413144599</v>
      </c>
      <c r="AI1527" s="2">
        <v>3.5386647716579902</v>
      </c>
      <c r="AJ1527" s="2">
        <v>1.4474307633736201</v>
      </c>
      <c r="AK1527" s="2">
        <v>2.39300630774999E-2</v>
      </c>
      <c r="AL1527" s="2">
        <v>6.1143842476335697E-2</v>
      </c>
      <c r="AM1527" s="2">
        <v>15.5</v>
      </c>
      <c r="AN1527" s="2">
        <v>2.4</v>
      </c>
      <c r="AO1527" s="2">
        <v>10.9</v>
      </c>
      <c r="AP1527" s="2">
        <v>564</v>
      </c>
      <c r="AQ1527" s="2">
        <v>68</v>
      </c>
      <c r="AR1527" s="2">
        <v>1.5</v>
      </c>
      <c r="AS1527" s="2">
        <v>135</v>
      </c>
      <c r="AT1527" s="2">
        <v>0</v>
      </c>
      <c r="AU1527" s="2">
        <v>162</v>
      </c>
      <c r="AV1527" s="2">
        <v>9.1</v>
      </c>
      <c r="AW1527" s="2">
        <v>9.1999999999999993</v>
      </c>
      <c r="AX1527" s="2">
        <v>18.3</v>
      </c>
      <c r="AY1527" s="2">
        <v>0.34</v>
      </c>
      <c r="AZ1527" s="2">
        <v>7.3</v>
      </c>
      <c r="BA1527" s="2">
        <v>0.9</v>
      </c>
      <c r="BB1527" s="2">
        <v>7.5</v>
      </c>
      <c r="BC1527" s="2">
        <v>2.9</v>
      </c>
      <c r="BD1527" s="2">
        <f>+AN1527*EXP(-0.0495*Y1527)</f>
        <v>2.0604640951451056</v>
      </c>
      <c r="BE1527" s="2">
        <f>+AO1527*EXP(-0.024*Y1527)</f>
        <v>10.122950956355</v>
      </c>
    </row>
    <row r="1528" spans="1:57" x14ac:dyDescent="0.2">
      <c r="A1528" s="2" t="s">
        <v>2853</v>
      </c>
      <c r="B1528" s="2" t="s">
        <v>19</v>
      </c>
      <c r="C1528" s="2" t="s">
        <v>1907</v>
      </c>
      <c r="D1528" s="2" t="s">
        <v>21</v>
      </c>
      <c r="E1528" s="2" t="s">
        <v>513</v>
      </c>
      <c r="F1528" s="2">
        <v>5</v>
      </c>
      <c r="G1528" s="2">
        <v>201.1</v>
      </c>
      <c r="H1528" s="2">
        <v>3</v>
      </c>
      <c r="I1528" s="2">
        <v>4</v>
      </c>
      <c r="J1528" s="2">
        <v>2</v>
      </c>
      <c r="K1528" s="2" t="s">
        <v>61</v>
      </c>
      <c r="L1528" s="6" t="s">
        <v>113</v>
      </c>
      <c r="M1528" s="5">
        <v>2100000000</v>
      </c>
      <c r="N1528" s="2">
        <v>0</v>
      </c>
      <c r="O1528" s="2">
        <v>4.693403</v>
      </c>
      <c r="P1528" s="2">
        <v>-74.030276999999998</v>
      </c>
      <c r="Q1528" s="2" t="s">
        <v>2854</v>
      </c>
      <c r="R1528" s="2">
        <v>10442565.890000001</v>
      </c>
      <c r="S1528" s="2">
        <v>0</v>
      </c>
      <c r="T1528" s="2" t="s">
        <v>55</v>
      </c>
      <c r="U1528" s="2" t="s">
        <v>56</v>
      </c>
      <c r="V1528" s="2" t="s">
        <v>28</v>
      </c>
      <c r="W1528" s="2" t="s">
        <v>55</v>
      </c>
      <c r="X1528" s="2" t="s">
        <v>57</v>
      </c>
      <c r="Y1528" s="2">
        <v>1.8865950458481799</v>
      </c>
      <c r="Z1528" s="2">
        <v>4.71035</v>
      </c>
      <c r="AA1528" s="2">
        <v>-74.030416666666696</v>
      </c>
      <c r="AB1528" s="2">
        <v>2570</v>
      </c>
      <c r="AC1528" s="2" t="s">
        <v>31</v>
      </c>
      <c r="AD1528" s="2" t="s">
        <v>58</v>
      </c>
      <c r="AE1528" s="2" t="s">
        <v>33</v>
      </c>
      <c r="AF1528" s="2" t="s">
        <v>34</v>
      </c>
      <c r="AG1528" s="2" t="s">
        <v>59</v>
      </c>
      <c r="AH1528" s="2">
        <v>2.8241436979761301</v>
      </c>
      <c r="AI1528" s="2">
        <v>0.45183210114398697</v>
      </c>
      <c r="AJ1528" s="2">
        <v>0.13240485757058701</v>
      </c>
      <c r="AK1528" s="2">
        <v>0.18523501209330601</v>
      </c>
      <c r="AL1528" s="2">
        <v>0.52090197139611705</v>
      </c>
      <c r="AM1528" s="2">
        <v>15.5</v>
      </c>
      <c r="AN1528" s="2">
        <v>2.4</v>
      </c>
      <c r="AO1528" s="2">
        <v>10.9</v>
      </c>
      <c r="AP1528" s="2">
        <v>564</v>
      </c>
      <c r="AQ1528" s="2">
        <v>68</v>
      </c>
      <c r="AR1528" s="2">
        <v>1.5</v>
      </c>
      <c r="AS1528" s="2">
        <v>135</v>
      </c>
      <c r="AT1528" s="2">
        <v>0</v>
      </c>
      <c r="AU1528" s="2">
        <v>162</v>
      </c>
      <c r="AV1528" s="2">
        <v>9.1</v>
      </c>
      <c r="AW1528" s="2">
        <v>9.1999999999999993</v>
      </c>
      <c r="AX1528" s="2">
        <v>18.3</v>
      </c>
      <c r="AY1528" s="2">
        <v>0.34</v>
      </c>
      <c r="AZ1528" s="2">
        <v>7.3</v>
      </c>
      <c r="BA1528" s="2">
        <v>0.9</v>
      </c>
      <c r="BB1528" s="2">
        <v>7.5</v>
      </c>
      <c r="BC1528" s="2">
        <v>2.9</v>
      </c>
      <c r="BD1528" s="2">
        <f>+AN1528*EXP(-0.0495*Y1528)</f>
        <v>2.1860194398129664</v>
      </c>
      <c r="BE1528" s="2">
        <f>+AO1528*EXP(-0.024*Y1528)</f>
        <v>10.417473162682235</v>
      </c>
    </row>
    <row r="1529" spans="1:57" x14ac:dyDescent="0.2">
      <c r="A1529" s="2" t="s">
        <v>914</v>
      </c>
      <c r="B1529" s="2" t="s">
        <v>19</v>
      </c>
      <c r="C1529" s="2" t="s">
        <v>20</v>
      </c>
      <c r="D1529" s="2" t="s">
        <v>21</v>
      </c>
      <c r="E1529" s="2" t="s">
        <v>130</v>
      </c>
      <c r="F1529" s="2">
        <v>6</v>
      </c>
      <c r="G1529" s="2">
        <v>200</v>
      </c>
      <c r="H1529" s="2">
        <v>3</v>
      </c>
      <c r="I1529" s="2">
        <v>4</v>
      </c>
      <c r="J1529" s="2">
        <v>1</v>
      </c>
      <c r="K1529" s="2" t="s">
        <v>61</v>
      </c>
      <c r="L1529" s="6" t="s">
        <v>66</v>
      </c>
      <c r="M1529" s="5">
        <v>1250000000</v>
      </c>
      <c r="N1529" s="2">
        <v>0</v>
      </c>
      <c r="O1529" s="2">
        <v>4.6792509999999998</v>
      </c>
      <c r="P1529" s="2">
        <v>-74.046000000000006</v>
      </c>
      <c r="Q1529" s="2" t="s">
        <v>915</v>
      </c>
      <c r="R1529" s="2">
        <v>6250000</v>
      </c>
      <c r="S1529" s="2">
        <v>0</v>
      </c>
      <c r="T1529" s="2" t="s">
        <v>55</v>
      </c>
      <c r="U1529" s="2" t="s">
        <v>56</v>
      </c>
      <c r="V1529" s="2" t="s">
        <v>28</v>
      </c>
      <c r="W1529" s="2" t="s">
        <v>55</v>
      </c>
      <c r="X1529" s="2" t="s">
        <v>57</v>
      </c>
      <c r="Y1529" s="2">
        <v>3.86963148290925</v>
      </c>
      <c r="Z1529" s="2">
        <v>4.71035</v>
      </c>
      <c r="AA1529" s="2">
        <v>-74.030416666666696</v>
      </c>
      <c r="AB1529" s="2">
        <v>2570</v>
      </c>
      <c r="AC1529" s="2" t="s">
        <v>31</v>
      </c>
      <c r="AD1529" s="2" t="s">
        <v>58</v>
      </c>
      <c r="AE1529" s="2" t="s">
        <v>33</v>
      </c>
      <c r="AF1529" s="2" t="s">
        <v>34</v>
      </c>
      <c r="AG1529" s="2" t="s">
        <v>81</v>
      </c>
      <c r="AH1529" s="2">
        <v>1.3986187321575201</v>
      </c>
      <c r="AI1529" s="2">
        <v>0.92342432282646403</v>
      </c>
      <c r="AJ1529" s="2">
        <v>0.82652476163703703</v>
      </c>
      <c r="AK1529" s="2">
        <v>6.0306343421051997E-2</v>
      </c>
      <c r="AL1529" s="2">
        <v>1.1013523874014399</v>
      </c>
      <c r="AM1529" s="2">
        <v>15.5</v>
      </c>
      <c r="AN1529" s="2">
        <v>2.4</v>
      </c>
      <c r="AO1529" s="2">
        <v>10.9</v>
      </c>
      <c r="AP1529" s="2">
        <v>564</v>
      </c>
      <c r="AQ1529" s="2">
        <v>68</v>
      </c>
      <c r="AR1529" s="2">
        <v>1.5</v>
      </c>
      <c r="AS1529" s="2">
        <v>135</v>
      </c>
      <c r="AT1529" s="2">
        <v>0</v>
      </c>
      <c r="AU1529" s="2">
        <v>162</v>
      </c>
      <c r="AV1529" s="2">
        <v>9.1</v>
      </c>
      <c r="AW1529" s="2">
        <v>9.1999999999999993</v>
      </c>
      <c r="AX1529" s="2">
        <v>18.3</v>
      </c>
      <c r="AY1529" s="2">
        <v>0.34</v>
      </c>
      <c r="AZ1529" s="2">
        <v>7.3</v>
      </c>
      <c r="BA1529" s="2">
        <v>0.9</v>
      </c>
      <c r="BB1529" s="2">
        <v>7.5</v>
      </c>
      <c r="BC1529" s="2">
        <v>2.9</v>
      </c>
      <c r="BD1529" s="2">
        <f>+AN1529*EXP(-0.0495*Y1529)</f>
        <v>1.9816344400255108</v>
      </c>
      <c r="BE1529" s="2">
        <f>+AO1529*EXP(-0.024*Y1529)</f>
        <v>9.9332889195327603</v>
      </c>
    </row>
    <row r="1530" spans="1:57" x14ac:dyDescent="0.2">
      <c r="A1530" s="2" t="s">
        <v>1525</v>
      </c>
      <c r="B1530" s="2" t="s">
        <v>19</v>
      </c>
      <c r="C1530" s="2" t="s">
        <v>20</v>
      </c>
      <c r="D1530" s="2" t="s">
        <v>21</v>
      </c>
      <c r="E1530" s="2" t="s">
        <v>161</v>
      </c>
      <c r="F1530" s="2">
        <v>6</v>
      </c>
      <c r="G1530" s="2">
        <v>200</v>
      </c>
      <c r="H1530" s="2">
        <v>3</v>
      </c>
      <c r="I1530" s="2">
        <v>5</v>
      </c>
      <c r="J1530" s="2">
        <v>2</v>
      </c>
      <c r="K1530" s="2" t="s">
        <v>61</v>
      </c>
      <c r="L1530" s="6" t="s">
        <v>113</v>
      </c>
      <c r="M1530" s="5">
        <v>1350000000</v>
      </c>
      <c r="N1530" s="2">
        <v>0</v>
      </c>
      <c r="O1530" s="2">
        <v>4.6950867000000001</v>
      </c>
      <c r="P1530" s="2">
        <v>-74.044561700000003</v>
      </c>
      <c r="Q1530" s="2" t="s">
        <v>1526</v>
      </c>
      <c r="R1530" s="2">
        <v>6750000</v>
      </c>
      <c r="S1530" s="2">
        <v>0</v>
      </c>
      <c r="T1530" s="2" t="s">
        <v>55</v>
      </c>
      <c r="U1530" s="2" t="s">
        <v>56</v>
      </c>
      <c r="V1530" s="2" t="s">
        <v>28</v>
      </c>
      <c r="W1530" s="2" t="s">
        <v>55</v>
      </c>
      <c r="X1530" s="2" t="s">
        <v>57</v>
      </c>
      <c r="Y1530" s="2">
        <v>2.3129431373940399</v>
      </c>
      <c r="Z1530" s="2">
        <v>4.71035</v>
      </c>
      <c r="AA1530" s="2">
        <v>-74.030416666666696</v>
      </c>
      <c r="AB1530" s="2">
        <v>2570</v>
      </c>
      <c r="AC1530" s="2" t="s">
        <v>31</v>
      </c>
      <c r="AD1530" s="2" t="s">
        <v>58</v>
      </c>
      <c r="AE1530" s="2" t="s">
        <v>33</v>
      </c>
      <c r="AF1530" s="2" t="s">
        <v>34</v>
      </c>
      <c r="AG1530" s="2" t="s">
        <v>59</v>
      </c>
      <c r="AH1530" s="2">
        <v>1.2380762153927001</v>
      </c>
      <c r="AI1530" s="2">
        <v>2.0199058334003999</v>
      </c>
      <c r="AJ1530" s="2">
        <v>0.61900829313802797</v>
      </c>
      <c r="AK1530" s="2">
        <v>6.1077206888256299E-3</v>
      </c>
      <c r="AL1530" s="2">
        <v>0.26188877961818202</v>
      </c>
      <c r="AM1530" s="2">
        <v>15.5</v>
      </c>
      <c r="AN1530" s="2">
        <v>2.4</v>
      </c>
      <c r="AO1530" s="2">
        <v>10.9</v>
      </c>
      <c r="AP1530" s="2">
        <v>564</v>
      </c>
      <c r="AQ1530" s="2">
        <v>68</v>
      </c>
      <c r="AR1530" s="2">
        <v>1.5</v>
      </c>
      <c r="AS1530" s="2">
        <v>135</v>
      </c>
      <c r="AT1530" s="2">
        <v>0</v>
      </c>
      <c r="AU1530" s="2">
        <v>162</v>
      </c>
      <c r="AV1530" s="2">
        <v>9.1</v>
      </c>
      <c r="AW1530" s="2">
        <v>9.1999999999999993</v>
      </c>
      <c r="AX1530" s="2">
        <v>18.3</v>
      </c>
      <c r="AY1530" s="2">
        <v>0.34</v>
      </c>
      <c r="AZ1530" s="2">
        <v>7.3</v>
      </c>
      <c r="BA1530" s="2">
        <v>0.9</v>
      </c>
      <c r="BB1530" s="2">
        <v>7.5</v>
      </c>
      <c r="BC1530" s="2">
        <v>2.9</v>
      </c>
      <c r="BD1530" s="2">
        <f>+AN1530*EXP(-0.0495*Y1530)</f>
        <v>2.1403685889997925</v>
      </c>
      <c r="BE1530" s="2">
        <f>+AO1530*EXP(-0.024*Y1530)</f>
        <v>10.311421392390864</v>
      </c>
    </row>
    <row r="1531" spans="1:57" x14ac:dyDescent="0.2">
      <c r="A1531" s="2" t="s">
        <v>2328</v>
      </c>
      <c r="B1531" s="2" t="s">
        <v>19</v>
      </c>
      <c r="C1531" s="2" t="s">
        <v>1907</v>
      </c>
      <c r="D1531" s="2" t="s">
        <v>21</v>
      </c>
      <c r="E1531" s="2" t="s">
        <v>2329</v>
      </c>
      <c r="F1531" s="2">
        <v>5</v>
      </c>
      <c r="G1531" s="2">
        <v>200</v>
      </c>
      <c r="H1531" s="2">
        <v>4</v>
      </c>
      <c r="I1531" s="2">
        <v>5</v>
      </c>
      <c r="J1531" s="2">
        <v>2</v>
      </c>
      <c r="K1531" s="2" t="s">
        <v>61</v>
      </c>
      <c r="L1531" s="6" t="s">
        <v>66</v>
      </c>
      <c r="M1531" s="5">
        <v>1550000000</v>
      </c>
      <c r="N1531" s="2">
        <v>0</v>
      </c>
      <c r="O1531" s="2">
        <v>4.7154479030000003</v>
      </c>
      <c r="P1531" s="2">
        <v>-74.05001068</v>
      </c>
      <c r="Q1531" s="2" t="s">
        <v>2330</v>
      </c>
      <c r="R1531" s="2">
        <v>7750000</v>
      </c>
      <c r="S1531" s="2">
        <v>0</v>
      </c>
      <c r="T1531" s="2" t="s">
        <v>55</v>
      </c>
      <c r="U1531" s="2" t="s">
        <v>56</v>
      </c>
      <c r="V1531" s="2" t="s">
        <v>28</v>
      </c>
      <c r="W1531" s="2" t="s">
        <v>55</v>
      </c>
      <c r="X1531" s="2" t="s">
        <v>57</v>
      </c>
      <c r="Y1531" s="2">
        <v>2.24667497565797</v>
      </c>
      <c r="Z1531" s="2">
        <v>4.71035</v>
      </c>
      <c r="AA1531" s="2">
        <v>-74.030416666666696</v>
      </c>
      <c r="AB1531" s="2">
        <v>2570</v>
      </c>
      <c r="AC1531" s="2" t="s">
        <v>31</v>
      </c>
      <c r="AD1531" s="2" t="s">
        <v>58</v>
      </c>
      <c r="AE1531" s="2" t="s">
        <v>33</v>
      </c>
      <c r="AF1531" s="2" t="s">
        <v>34</v>
      </c>
      <c r="AG1531" s="2" t="s">
        <v>59</v>
      </c>
      <c r="AH1531" s="2">
        <v>0.299082023803935</v>
      </c>
      <c r="AI1531" s="2">
        <v>2.8256026783408901</v>
      </c>
      <c r="AJ1531" s="2">
        <v>1.9801483343544699</v>
      </c>
      <c r="AK1531" s="2">
        <v>0.460285390511811</v>
      </c>
      <c r="AL1531" s="2">
        <v>0.31443799475387002</v>
      </c>
      <c r="AM1531" s="2">
        <v>15.5</v>
      </c>
      <c r="AN1531" s="2">
        <v>2.4</v>
      </c>
      <c r="AO1531" s="2">
        <v>10.9</v>
      </c>
      <c r="AP1531" s="2">
        <v>564</v>
      </c>
      <c r="AQ1531" s="2">
        <v>68</v>
      </c>
      <c r="AR1531" s="2">
        <v>1.5</v>
      </c>
      <c r="AS1531" s="2">
        <v>135</v>
      </c>
      <c r="AT1531" s="2">
        <v>0</v>
      </c>
      <c r="AU1531" s="2">
        <v>162</v>
      </c>
      <c r="AV1531" s="2">
        <v>9.1</v>
      </c>
      <c r="AW1531" s="2">
        <v>9.1999999999999993</v>
      </c>
      <c r="AX1531" s="2">
        <v>18.3</v>
      </c>
      <c r="AY1531" s="2">
        <v>0.34</v>
      </c>
      <c r="AZ1531" s="2">
        <v>7.3</v>
      </c>
      <c r="BA1531" s="2">
        <v>0.9</v>
      </c>
      <c r="BB1531" s="2">
        <v>7.5</v>
      </c>
      <c r="BC1531" s="2">
        <v>2.9</v>
      </c>
      <c r="BD1531" s="2">
        <f>+AN1531*EXP(-0.0495*Y1531)</f>
        <v>2.1474011124413863</v>
      </c>
      <c r="BE1531" s="2">
        <f>+AO1531*EXP(-0.024*Y1531)</f>
        <v>10.327834095180371</v>
      </c>
    </row>
    <row r="1532" spans="1:57" x14ac:dyDescent="0.2">
      <c r="A1532" s="2" t="s">
        <v>1321</v>
      </c>
      <c r="B1532" s="2" t="s">
        <v>19</v>
      </c>
      <c r="C1532" s="2" t="s">
        <v>20</v>
      </c>
      <c r="D1532" s="2" t="s">
        <v>21</v>
      </c>
      <c r="E1532" s="2" t="s">
        <v>511</v>
      </c>
      <c r="F1532" s="2">
        <v>5</v>
      </c>
      <c r="G1532" s="2">
        <v>200</v>
      </c>
      <c r="H1532" s="2">
        <v>3</v>
      </c>
      <c r="I1532" s="2">
        <v>3</v>
      </c>
      <c r="J1532" s="2">
        <v>3</v>
      </c>
      <c r="K1532" s="2" t="s">
        <v>61</v>
      </c>
      <c r="L1532" s="6" t="s">
        <v>113</v>
      </c>
      <c r="M1532" s="5">
        <v>1600000000</v>
      </c>
      <c r="N1532" s="2">
        <v>0</v>
      </c>
      <c r="O1532" s="2">
        <v>4.7141590679999998</v>
      </c>
      <c r="P1532" s="2">
        <v>-74.031322009999997</v>
      </c>
      <c r="Q1532" s="2" t="s">
        <v>1322</v>
      </c>
      <c r="R1532" s="2">
        <v>8000000</v>
      </c>
      <c r="S1532" s="2">
        <v>0</v>
      </c>
      <c r="T1532" s="2" t="s">
        <v>55</v>
      </c>
      <c r="U1532" s="2" t="s">
        <v>56</v>
      </c>
      <c r="V1532" s="2" t="s">
        <v>28</v>
      </c>
      <c r="W1532" s="2" t="s">
        <v>55</v>
      </c>
      <c r="X1532" s="2" t="s">
        <v>57</v>
      </c>
      <c r="Y1532" s="2">
        <v>0.43575735439390001</v>
      </c>
      <c r="Z1532" s="2">
        <v>4.71035</v>
      </c>
      <c r="AA1532" s="2">
        <v>-74.030416666666696</v>
      </c>
      <c r="AB1532" s="2">
        <v>2570</v>
      </c>
      <c r="AC1532" s="2" t="s">
        <v>31</v>
      </c>
      <c r="AD1532" s="2" t="s">
        <v>58</v>
      </c>
      <c r="AE1532" s="2" t="s">
        <v>33</v>
      </c>
      <c r="AF1532" s="2" t="s">
        <v>34</v>
      </c>
      <c r="AG1532" s="2" t="s">
        <v>59</v>
      </c>
      <c r="AH1532" s="2">
        <v>2.3549855402814401</v>
      </c>
      <c r="AI1532" s="2">
        <v>0.75565550825374495</v>
      </c>
      <c r="AJ1532" s="2">
        <v>0.41073716788892001</v>
      </c>
      <c r="AK1532" s="2">
        <v>7.6925389830023005E-2</v>
      </c>
      <c r="AL1532" s="2">
        <v>0.31142912930715599</v>
      </c>
      <c r="AM1532" s="2">
        <v>15.5</v>
      </c>
      <c r="AN1532" s="2">
        <v>2.4</v>
      </c>
      <c r="AO1532" s="2">
        <v>10.9</v>
      </c>
      <c r="AP1532" s="2">
        <v>564</v>
      </c>
      <c r="AQ1532" s="2">
        <v>68</v>
      </c>
      <c r="AR1532" s="2">
        <v>1.5</v>
      </c>
      <c r="AS1532" s="2">
        <v>135</v>
      </c>
      <c r="AT1532" s="2">
        <v>0</v>
      </c>
      <c r="AU1532" s="2">
        <v>162</v>
      </c>
      <c r="AV1532" s="2">
        <v>9.1</v>
      </c>
      <c r="AW1532" s="2">
        <v>9.1999999999999993</v>
      </c>
      <c r="AX1532" s="2">
        <v>18.3</v>
      </c>
      <c r="AY1532" s="2">
        <v>0.34</v>
      </c>
      <c r="AZ1532" s="2">
        <v>7.3</v>
      </c>
      <c r="BA1532" s="2">
        <v>0.9</v>
      </c>
      <c r="BB1532" s="2">
        <v>7.5</v>
      </c>
      <c r="BC1532" s="2">
        <v>2.9</v>
      </c>
      <c r="BD1532" s="2">
        <f>+AN1532*EXP(-0.0495*Y1532)</f>
        <v>2.3487863508653652</v>
      </c>
      <c r="BE1532" s="2">
        <f>+AO1532*EXP(-0.024*Y1532)</f>
        <v>10.786599888857873</v>
      </c>
    </row>
    <row r="1533" spans="1:57" x14ac:dyDescent="0.2">
      <c r="A1533" s="2" t="s">
        <v>1774</v>
      </c>
      <c r="B1533" s="2" t="s">
        <v>19</v>
      </c>
      <c r="C1533" s="2" t="s">
        <v>20</v>
      </c>
      <c r="D1533" s="2" t="s">
        <v>21</v>
      </c>
      <c r="E1533" s="2" t="s">
        <v>1775</v>
      </c>
      <c r="F1533" s="2">
        <v>5</v>
      </c>
      <c r="G1533" s="2">
        <v>199</v>
      </c>
      <c r="H1533" s="2">
        <v>3</v>
      </c>
      <c r="I1533" s="2">
        <v>4</v>
      </c>
      <c r="J1533" s="2">
        <v>4</v>
      </c>
      <c r="K1533" s="2" t="s">
        <v>61</v>
      </c>
      <c r="L1533" s="6" t="s">
        <v>84</v>
      </c>
      <c r="M1533" s="5">
        <v>2200000000</v>
      </c>
      <c r="N1533" s="2">
        <v>0</v>
      </c>
      <c r="O1533" s="2">
        <v>4.7056126589999998</v>
      </c>
      <c r="P1533" s="2">
        <v>-74.027030940000003</v>
      </c>
      <c r="Q1533" s="2" t="s">
        <v>1776</v>
      </c>
      <c r="R1533" s="2">
        <v>11055276.380000001</v>
      </c>
      <c r="S1533" s="2">
        <v>0</v>
      </c>
      <c r="T1533" s="2" t="s">
        <v>55</v>
      </c>
      <c r="U1533" s="2" t="s">
        <v>56</v>
      </c>
      <c r="V1533" s="2" t="s">
        <v>28</v>
      </c>
      <c r="W1533" s="2" t="s">
        <v>55</v>
      </c>
      <c r="X1533" s="2" t="s">
        <v>57</v>
      </c>
      <c r="Y1533" s="2">
        <v>0.647457749807126</v>
      </c>
      <c r="Z1533" s="2">
        <v>4.71035</v>
      </c>
      <c r="AA1533" s="2">
        <v>-74.030416666666696</v>
      </c>
      <c r="AB1533" s="2">
        <v>2570</v>
      </c>
      <c r="AC1533" s="2" t="s">
        <v>31</v>
      </c>
      <c r="AD1533" s="2" t="s">
        <v>58</v>
      </c>
      <c r="AE1533" s="2" t="s">
        <v>33</v>
      </c>
      <c r="AF1533" s="2" t="s">
        <v>34</v>
      </c>
      <c r="AG1533" s="2" t="s">
        <v>59</v>
      </c>
      <c r="AH1533" s="2">
        <v>2.9980468715366499</v>
      </c>
      <c r="AI1533" s="2">
        <v>0.332947711444251</v>
      </c>
      <c r="AJ1533" s="2">
        <v>0.76585516078716098</v>
      </c>
      <c r="AK1533" s="2">
        <v>0.34426606992471198</v>
      </c>
      <c r="AL1533" s="2">
        <v>2.3251852403442599E-2</v>
      </c>
      <c r="AM1533" s="2">
        <v>15.5</v>
      </c>
      <c r="AN1533" s="2">
        <v>2.4</v>
      </c>
      <c r="AO1533" s="2">
        <v>10.9</v>
      </c>
      <c r="AP1533" s="2">
        <v>564</v>
      </c>
      <c r="AQ1533" s="2">
        <v>68</v>
      </c>
      <c r="AR1533" s="2">
        <v>1.5</v>
      </c>
      <c r="AS1533" s="2">
        <v>135</v>
      </c>
      <c r="AT1533" s="2">
        <v>0</v>
      </c>
      <c r="AU1533" s="2">
        <v>162</v>
      </c>
      <c r="AV1533" s="2">
        <v>9.1</v>
      </c>
      <c r="AW1533" s="2">
        <v>9.1999999999999993</v>
      </c>
      <c r="AX1533" s="2">
        <v>18.3</v>
      </c>
      <c r="AY1533" s="2">
        <v>0.34</v>
      </c>
      <c r="AZ1533" s="2">
        <v>7.3</v>
      </c>
      <c r="BA1533" s="2">
        <v>0.9</v>
      </c>
      <c r="BB1533" s="2">
        <v>7.5</v>
      </c>
      <c r="BC1533" s="2">
        <v>2.9</v>
      </c>
      <c r="BD1533" s="2">
        <f>+AN1533*EXP(-0.0495*Y1533)</f>
        <v>2.3243015347362679</v>
      </c>
      <c r="BE1533" s="2">
        <f>+AO1533*EXP(-0.024*Y1533)</f>
        <v>10.731934220300174</v>
      </c>
    </row>
    <row r="1534" spans="1:57" x14ac:dyDescent="0.2">
      <c r="A1534" s="2" t="s">
        <v>188</v>
      </c>
      <c r="B1534" s="2" t="s">
        <v>19</v>
      </c>
      <c r="C1534" s="2" t="s">
        <v>20</v>
      </c>
      <c r="D1534" s="2" t="s">
        <v>21</v>
      </c>
      <c r="E1534" s="2" t="s">
        <v>180</v>
      </c>
      <c r="F1534" s="2">
        <v>6</v>
      </c>
      <c r="G1534" s="2">
        <v>198</v>
      </c>
      <c r="H1534" s="2">
        <v>4</v>
      </c>
      <c r="I1534" s="2">
        <v>5</v>
      </c>
      <c r="J1534" s="2">
        <v>3</v>
      </c>
      <c r="K1534" s="2" t="s">
        <v>61</v>
      </c>
      <c r="L1534" s="6" t="s">
        <v>66</v>
      </c>
      <c r="M1534" s="5">
        <v>1100000000</v>
      </c>
      <c r="N1534" s="2">
        <v>0</v>
      </c>
      <c r="O1534" s="2">
        <v>4.6799244880000002</v>
      </c>
      <c r="P1534" s="2">
        <v>-74.052223209999994</v>
      </c>
      <c r="Q1534" s="2" t="s">
        <v>189</v>
      </c>
      <c r="R1534" s="2">
        <v>5555555.5559999999</v>
      </c>
      <c r="S1534" s="2">
        <v>0</v>
      </c>
      <c r="T1534" s="2" t="s">
        <v>55</v>
      </c>
      <c r="U1534" s="2" t="s">
        <v>56</v>
      </c>
      <c r="V1534" s="2" t="s">
        <v>28</v>
      </c>
      <c r="W1534" s="2" t="s">
        <v>55</v>
      </c>
      <c r="X1534" s="2" t="s">
        <v>57</v>
      </c>
      <c r="Y1534" s="2">
        <v>4.1622937435219001</v>
      </c>
      <c r="Z1534" s="2">
        <v>4.71035</v>
      </c>
      <c r="AA1534" s="2">
        <v>-74.030416666666696</v>
      </c>
      <c r="AB1534" s="2">
        <v>2570</v>
      </c>
      <c r="AC1534" s="2" t="s">
        <v>31</v>
      </c>
      <c r="AD1534" s="2" t="s">
        <v>58</v>
      </c>
      <c r="AE1534" s="2" t="s">
        <v>33</v>
      </c>
      <c r="AF1534" s="2" t="s">
        <v>34</v>
      </c>
      <c r="AG1534" s="2" t="s">
        <v>81</v>
      </c>
      <c r="AH1534" s="2">
        <v>0.75384723586034097</v>
      </c>
      <c r="AI1534" s="2">
        <v>1.5538914833403701</v>
      </c>
      <c r="AJ1534" s="2">
        <v>0.64806250572072099</v>
      </c>
      <c r="AK1534" s="2">
        <v>4.3455130515512599E-2</v>
      </c>
      <c r="AL1534" s="2">
        <v>0.72994036556174802</v>
      </c>
      <c r="AM1534" s="2">
        <v>15.5</v>
      </c>
      <c r="AN1534" s="2">
        <v>2.4</v>
      </c>
      <c r="AO1534" s="2">
        <v>10.9</v>
      </c>
      <c r="AP1534" s="2">
        <v>564</v>
      </c>
      <c r="AQ1534" s="2">
        <v>68</v>
      </c>
      <c r="AR1534" s="2">
        <v>1.5</v>
      </c>
      <c r="AS1534" s="2">
        <v>135</v>
      </c>
      <c r="AT1534" s="2">
        <v>0</v>
      </c>
      <c r="AU1534" s="2">
        <v>162</v>
      </c>
      <c r="AV1534" s="2">
        <v>9.1</v>
      </c>
      <c r="AW1534" s="2">
        <v>9.1999999999999993</v>
      </c>
      <c r="AX1534" s="2">
        <v>18.3</v>
      </c>
      <c r="AY1534" s="2">
        <v>0.34</v>
      </c>
      <c r="AZ1534" s="2">
        <v>7.3</v>
      </c>
      <c r="BA1534" s="2">
        <v>0.9</v>
      </c>
      <c r="BB1534" s="2">
        <v>7.5</v>
      </c>
      <c r="BC1534" s="2">
        <v>2.9</v>
      </c>
      <c r="BD1534" s="2">
        <f>+AN1534*EXP(-0.0495*Y1534)</f>
        <v>1.9531338732758916</v>
      </c>
      <c r="BE1534" s="2">
        <f>+AO1534*EXP(-0.024*Y1534)</f>
        <v>9.8637630057324923</v>
      </c>
    </row>
    <row r="1535" spans="1:57" x14ac:dyDescent="0.2">
      <c r="A1535" s="2" t="s">
        <v>2596</v>
      </c>
      <c r="B1535" s="2" t="s">
        <v>19</v>
      </c>
      <c r="C1535" s="2" t="s">
        <v>1907</v>
      </c>
      <c r="D1535" s="2" t="s">
        <v>21</v>
      </c>
      <c r="E1535" s="2" t="s">
        <v>825</v>
      </c>
      <c r="F1535" s="2">
        <v>6</v>
      </c>
      <c r="G1535" s="2">
        <v>197</v>
      </c>
      <c r="H1535" s="2">
        <v>3</v>
      </c>
      <c r="I1535" s="2">
        <v>4</v>
      </c>
      <c r="J1535" s="2">
        <v>3</v>
      </c>
      <c r="K1535" s="2" t="s">
        <v>61</v>
      </c>
      <c r="L1535" s="6" t="s">
        <v>84</v>
      </c>
      <c r="M1535" s="5">
        <v>1600000000</v>
      </c>
      <c r="N1535" s="2">
        <v>0</v>
      </c>
      <c r="O1535" s="2">
        <v>4.7235083580000001</v>
      </c>
      <c r="P1535" s="2">
        <v>-74.023399350000005</v>
      </c>
      <c r="Q1535" s="2" t="s">
        <v>2597</v>
      </c>
      <c r="R1535" s="2">
        <v>8121827.4110000003</v>
      </c>
      <c r="S1535" s="2">
        <v>0</v>
      </c>
      <c r="T1535" s="2" t="s">
        <v>55</v>
      </c>
      <c r="U1535" s="2" t="s">
        <v>56</v>
      </c>
      <c r="V1535" s="2" t="s">
        <v>28</v>
      </c>
      <c r="W1535" s="2" t="s">
        <v>55</v>
      </c>
      <c r="X1535" s="2" t="s">
        <v>57</v>
      </c>
      <c r="Y1535" s="2">
        <v>1.6588177689502099</v>
      </c>
      <c r="Z1535" s="2">
        <v>4.71035</v>
      </c>
      <c r="AA1535" s="2">
        <v>-74.030416666666696</v>
      </c>
      <c r="AB1535" s="2">
        <v>2570</v>
      </c>
      <c r="AC1535" s="2" t="s">
        <v>31</v>
      </c>
      <c r="AD1535" s="2" t="s">
        <v>58</v>
      </c>
      <c r="AE1535" s="2" t="s">
        <v>33</v>
      </c>
      <c r="AF1535" s="2" t="s">
        <v>34</v>
      </c>
      <c r="AG1535" s="2" t="s">
        <v>59</v>
      </c>
      <c r="AH1535" s="2">
        <v>3.0277083773419</v>
      </c>
      <c r="AI1535" s="2">
        <v>0.189153186174707</v>
      </c>
      <c r="AJ1535" s="2">
        <v>1.75268946591068</v>
      </c>
      <c r="AK1535" s="2">
        <v>0.373253674365912</v>
      </c>
      <c r="AL1535" s="2">
        <v>0.56544281887685399</v>
      </c>
      <c r="AM1535" s="2">
        <v>15.5</v>
      </c>
      <c r="AN1535" s="2">
        <v>2.4</v>
      </c>
      <c r="AO1535" s="2">
        <v>10.9</v>
      </c>
      <c r="AP1535" s="2">
        <v>564</v>
      </c>
      <c r="AQ1535" s="2">
        <v>68</v>
      </c>
      <c r="AR1535" s="2">
        <v>1.5</v>
      </c>
      <c r="AS1535" s="2">
        <v>135</v>
      </c>
      <c r="AT1535" s="2">
        <v>0</v>
      </c>
      <c r="AU1535" s="2">
        <v>162</v>
      </c>
      <c r="AV1535" s="2">
        <v>9.1</v>
      </c>
      <c r="AW1535" s="2">
        <v>9.1999999999999993</v>
      </c>
      <c r="AX1535" s="2">
        <v>18.3</v>
      </c>
      <c r="AY1535" s="2">
        <v>0.34</v>
      </c>
      <c r="AZ1535" s="2">
        <v>7.3</v>
      </c>
      <c r="BA1535" s="2">
        <v>0.9</v>
      </c>
      <c r="BB1535" s="2">
        <v>7.5</v>
      </c>
      <c r="BC1535" s="2">
        <v>2.9</v>
      </c>
      <c r="BD1535" s="2">
        <f>+AN1535*EXP(-0.0495*Y1535)</f>
        <v>2.2108062274209268</v>
      </c>
      <c r="BE1535" s="2">
        <f>+AO1535*EXP(-0.024*Y1535)</f>
        <v>10.474577834289995</v>
      </c>
    </row>
    <row r="1536" spans="1:57" x14ac:dyDescent="0.2">
      <c r="A1536" s="2" t="s">
        <v>2560</v>
      </c>
      <c r="B1536" s="2" t="s">
        <v>19</v>
      </c>
      <c r="C1536" s="2" t="s">
        <v>1907</v>
      </c>
      <c r="D1536" s="2" t="s">
        <v>21</v>
      </c>
      <c r="E1536" s="2" t="s">
        <v>723</v>
      </c>
      <c r="F1536" s="2">
        <v>4</v>
      </c>
      <c r="G1536" s="2">
        <v>197</v>
      </c>
      <c r="H1536" s="2">
        <v>4</v>
      </c>
      <c r="I1536" s="2">
        <v>4</v>
      </c>
      <c r="J1536" s="2">
        <v>2</v>
      </c>
      <c r="K1536" s="2" t="s">
        <v>61</v>
      </c>
      <c r="L1536" s="6" t="s">
        <v>113</v>
      </c>
      <c r="M1536" s="5">
        <v>849000000</v>
      </c>
      <c r="N1536" s="2">
        <v>0</v>
      </c>
      <c r="O1536" s="2">
        <v>4.7222229999999996</v>
      </c>
      <c r="P1536" s="2">
        <v>-74.037636000000006</v>
      </c>
      <c r="Q1536" s="2" t="s">
        <v>2561</v>
      </c>
      <c r="R1536" s="2">
        <v>4309644.67</v>
      </c>
      <c r="S1536" s="2">
        <v>0</v>
      </c>
      <c r="T1536" s="2" t="s">
        <v>55</v>
      </c>
      <c r="U1536" s="2" t="s">
        <v>56</v>
      </c>
      <c r="V1536" s="2" t="s">
        <v>28</v>
      </c>
      <c r="W1536" s="2" t="s">
        <v>55</v>
      </c>
      <c r="X1536" s="2" t="s">
        <v>57</v>
      </c>
      <c r="Y1536" s="2">
        <v>1.5454359359652099</v>
      </c>
      <c r="Z1536" s="2">
        <v>4.71035</v>
      </c>
      <c r="AA1536" s="2">
        <v>-74.030416666666696</v>
      </c>
      <c r="AB1536" s="2">
        <v>2570</v>
      </c>
      <c r="AC1536" s="2" t="s">
        <v>31</v>
      </c>
      <c r="AD1536" s="2" t="s">
        <v>58</v>
      </c>
      <c r="AE1536" s="2" t="s">
        <v>33</v>
      </c>
      <c r="AF1536" s="2" t="s">
        <v>34</v>
      </c>
      <c r="AG1536" s="2" t="s">
        <v>59</v>
      </c>
      <c r="AH1536" s="2">
        <v>1.51551722839083</v>
      </c>
      <c r="AI1536" s="2">
        <v>1.58546315639707</v>
      </c>
      <c r="AJ1536" s="2">
        <v>1.2063108493146599</v>
      </c>
      <c r="AK1536" s="2">
        <v>0.29465694545107302</v>
      </c>
      <c r="AL1536" s="2">
        <v>7.7174952689478002E-3</v>
      </c>
      <c r="AM1536" s="2">
        <v>15.5</v>
      </c>
      <c r="AN1536" s="2">
        <v>2.4</v>
      </c>
      <c r="AO1536" s="2">
        <v>10.9</v>
      </c>
      <c r="AP1536" s="2">
        <v>564</v>
      </c>
      <c r="AQ1536" s="2">
        <v>68</v>
      </c>
      <c r="AR1536" s="2">
        <v>1.5</v>
      </c>
      <c r="AS1536" s="2">
        <v>135</v>
      </c>
      <c r="AT1536" s="2">
        <v>0</v>
      </c>
      <c r="AU1536" s="2">
        <v>162</v>
      </c>
      <c r="AV1536" s="2">
        <v>9.1</v>
      </c>
      <c r="AW1536" s="2">
        <v>9.1999999999999993</v>
      </c>
      <c r="AX1536" s="2">
        <v>18.3</v>
      </c>
      <c r="AY1536" s="2">
        <v>0.34</v>
      </c>
      <c r="AZ1536" s="2">
        <v>7.3</v>
      </c>
      <c r="BA1536" s="2">
        <v>0.9</v>
      </c>
      <c r="BB1536" s="2">
        <v>7.5</v>
      </c>
      <c r="BC1536" s="2">
        <v>2.9</v>
      </c>
      <c r="BD1536" s="2">
        <f>+AN1536*EXP(-0.0495*Y1536)</f>
        <v>2.2232490422819322</v>
      </c>
      <c r="BE1536" s="2">
        <f>+AO1536*EXP(-0.024*Y1536)</f>
        <v>10.503119694249012</v>
      </c>
    </row>
    <row r="1537" spans="1:57" x14ac:dyDescent="0.2">
      <c r="A1537" s="2" t="s">
        <v>1239</v>
      </c>
      <c r="B1537" s="2" t="s">
        <v>19</v>
      </c>
      <c r="C1537" s="2" t="s">
        <v>20</v>
      </c>
      <c r="D1537" s="2" t="s">
        <v>21</v>
      </c>
      <c r="E1537" s="2" t="s">
        <v>164</v>
      </c>
      <c r="F1537" s="2">
        <v>6</v>
      </c>
      <c r="G1537" s="2">
        <v>196.08</v>
      </c>
      <c r="H1537" s="2">
        <v>3</v>
      </c>
      <c r="I1537" s="2">
        <v>3</v>
      </c>
      <c r="J1537" s="2">
        <v>2</v>
      </c>
      <c r="K1537" s="2" t="s">
        <v>61</v>
      </c>
      <c r="L1537" s="6" t="s">
        <v>113</v>
      </c>
      <c r="M1537" s="5">
        <v>1350000000</v>
      </c>
      <c r="N1537" s="2">
        <v>0</v>
      </c>
      <c r="O1537" s="2">
        <v>4.6950900000000004</v>
      </c>
      <c r="P1537" s="2">
        <v>-74.038399999999996</v>
      </c>
      <c r="Q1537" s="2" t="s">
        <v>1240</v>
      </c>
      <c r="R1537" s="2">
        <v>6884944.9199999999</v>
      </c>
      <c r="S1537" s="2">
        <v>0</v>
      </c>
      <c r="T1537" s="2" t="s">
        <v>55</v>
      </c>
      <c r="U1537" s="2" t="s">
        <v>56</v>
      </c>
      <c r="V1537" s="2" t="s">
        <v>28</v>
      </c>
      <c r="W1537" s="2" t="s">
        <v>55</v>
      </c>
      <c r="X1537" s="2" t="s">
        <v>57</v>
      </c>
      <c r="Y1537" s="2">
        <v>1.91577193592424</v>
      </c>
      <c r="Z1537" s="2">
        <v>4.71035</v>
      </c>
      <c r="AA1537" s="2">
        <v>-74.030416666666696</v>
      </c>
      <c r="AB1537" s="2">
        <v>2570</v>
      </c>
      <c r="AC1537" s="2" t="s">
        <v>31</v>
      </c>
      <c r="AD1537" s="2" t="s">
        <v>58</v>
      </c>
      <c r="AE1537" s="2" t="s">
        <v>33</v>
      </c>
      <c r="AF1537" s="2" t="s">
        <v>34</v>
      </c>
      <c r="AG1537" s="2" t="s">
        <v>59</v>
      </c>
      <c r="AH1537" s="2">
        <v>1.9046151594366101</v>
      </c>
      <c r="AI1537" s="2">
        <v>1.3576842137724401</v>
      </c>
      <c r="AJ1537" s="2">
        <v>0.95353670107735</v>
      </c>
      <c r="AK1537" s="2">
        <v>9.8842513169400903E-2</v>
      </c>
      <c r="AL1537" s="2">
        <v>0.19387123273919901</v>
      </c>
      <c r="AM1537" s="2">
        <v>15.5</v>
      </c>
      <c r="AN1537" s="2">
        <v>2.4</v>
      </c>
      <c r="AO1537" s="2">
        <v>10.9</v>
      </c>
      <c r="AP1537" s="2">
        <v>564</v>
      </c>
      <c r="AQ1537" s="2">
        <v>68</v>
      </c>
      <c r="AR1537" s="2">
        <v>1.5</v>
      </c>
      <c r="AS1537" s="2">
        <v>135</v>
      </c>
      <c r="AT1537" s="2">
        <v>0</v>
      </c>
      <c r="AU1537" s="2">
        <v>162</v>
      </c>
      <c r="AV1537" s="2">
        <v>9.1</v>
      </c>
      <c r="AW1537" s="2">
        <v>9.1999999999999993</v>
      </c>
      <c r="AX1537" s="2">
        <v>18.3</v>
      </c>
      <c r="AY1537" s="2">
        <v>0.34</v>
      </c>
      <c r="AZ1537" s="2">
        <v>7.3</v>
      </c>
      <c r="BA1537" s="2">
        <v>0.9</v>
      </c>
      <c r="BB1537" s="2">
        <v>7.5</v>
      </c>
      <c r="BC1537" s="2">
        <v>2.9</v>
      </c>
      <c r="BD1537" s="2">
        <f>+AN1537*EXP(-0.0495*Y1537)</f>
        <v>2.1828645467775218</v>
      </c>
      <c r="BE1537" s="2">
        <f>+AO1537*EXP(-0.024*Y1537)</f>
        <v>10.410180928892544</v>
      </c>
    </row>
    <row r="1538" spans="1:57" x14ac:dyDescent="0.2">
      <c r="A1538" s="2" t="s">
        <v>2919</v>
      </c>
      <c r="B1538" s="2" t="s">
        <v>19</v>
      </c>
      <c r="C1538" s="2" t="s">
        <v>1907</v>
      </c>
      <c r="D1538" s="2" t="s">
        <v>21</v>
      </c>
      <c r="E1538" s="2" t="s">
        <v>295</v>
      </c>
      <c r="F1538" s="2">
        <v>5</v>
      </c>
      <c r="G1538" s="2">
        <v>196</v>
      </c>
      <c r="H1538" s="2">
        <v>4</v>
      </c>
      <c r="I1538" s="2">
        <v>4</v>
      </c>
      <c r="J1538" s="2">
        <v>3</v>
      </c>
      <c r="K1538" s="2" t="s">
        <v>61</v>
      </c>
      <c r="L1538" s="6" t="s">
        <v>113</v>
      </c>
      <c r="M1538" s="5">
        <v>1200000000</v>
      </c>
      <c r="N1538" s="2">
        <v>0</v>
      </c>
      <c r="O1538" s="2">
        <v>4.696991444</v>
      </c>
      <c r="P1538" s="2">
        <v>-74.062255859999993</v>
      </c>
      <c r="Q1538" s="2" t="s">
        <v>2920</v>
      </c>
      <c r="R1538" s="2">
        <v>6122448.9800000004</v>
      </c>
      <c r="S1538" s="2">
        <v>0</v>
      </c>
      <c r="T1538" s="2" t="s">
        <v>55</v>
      </c>
      <c r="U1538" s="2" t="s">
        <v>56</v>
      </c>
      <c r="V1538" s="2" t="s">
        <v>28</v>
      </c>
      <c r="W1538" s="2" t="s">
        <v>55</v>
      </c>
      <c r="X1538" s="2" t="s">
        <v>57</v>
      </c>
      <c r="Y1538" s="2">
        <v>3.8326388976007499</v>
      </c>
      <c r="Z1538" s="2">
        <v>4.71035</v>
      </c>
      <c r="AA1538" s="2">
        <v>-74.030416666666696</v>
      </c>
      <c r="AB1538" s="2">
        <v>2570</v>
      </c>
      <c r="AC1538" s="2" t="s">
        <v>31</v>
      </c>
      <c r="AD1538" s="2" t="s">
        <v>58</v>
      </c>
      <c r="AE1538" s="2" t="s">
        <v>33</v>
      </c>
      <c r="AF1538" s="2" t="s">
        <v>34</v>
      </c>
      <c r="AG1538" s="2" t="s">
        <v>72</v>
      </c>
      <c r="AH1538" s="2">
        <v>0.67753088212774704</v>
      </c>
      <c r="AI1538" s="2">
        <v>3.5238778367468</v>
      </c>
      <c r="AJ1538" s="2">
        <v>0.82068310187710503</v>
      </c>
      <c r="AK1538" s="2">
        <v>0.29212939656505998</v>
      </c>
      <c r="AL1538" s="2">
        <v>1.86969385631599E-2</v>
      </c>
      <c r="AM1538" s="2">
        <v>15.5</v>
      </c>
      <c r="AN1538" s="2">
        <v>2.4</v>
      </c>
      <c r="AO1538" s="2">
        <v>10.9</v>
      </c>
      <c r="AP1538" s="2">
        <v>564</v>
      </c>
      <c r="AQ1538" s="2">
        <v>68</v>
      </c>
      <c r="AR1538" s="2">
        <v>1.5</v>
      </c>
      <c r="AS1538" s="2">
        <v>135</v>
      </c>
      <c r="AT1538" s="2">
        <v>0</v>
      </c>
      <c r="AU1538" s="2">
        <v>162</v>
      </c>
      <c r="AV1538" s="2">
        <v>9.1</v>
      </c>
      <c r="AW1538" s="2">
        <v>9.1999999999999993</v>
      </c>
      <c r="AX1538" s="2">
        <v>18.3</v>
      </c>
      <c r="AY1538" s="2">
        <v>0.34</v>
      </c>
      <c r="AZ1538" s="2">
        <v>7.3</v>
      </c>
      <c r="BA1538" s="2">
        <v>0.9</v>
      </c>
      <c r="BB1538" s="2">
        <v>7.5</v>
      </c>
      <c r="BC1538" s="2">
        <v>2.9</v>
      </c>
      <c r="BD1538" s="2">
        <f>+AN1538*EXP(-0.0495*Y1538)</f>
        <v>1.9852664004750422</v>
      </c>
      <c r="BE1538" s="2">
        <f>+AO1538*EXP(-0.024*Y1538)</f>
        <v>9.9421118284457428</v>
      </c>
    </row>
    <row r="1539" spans="1:57" x14ac:dyDescent="0.2">
      <c r="A1539" s="2" t="s">
        <v>2690</v>
      </c>
      <c r="B1539" s="2" t="s">
        <v>19</v>
      </c>
      <c r="C1539" s="2" t="s">
        <v>1907</v>
      </c>
      <c r="D1539" s="2" t="s">
        <v>21</v>
      </c>
      <c r="E1539" s="2" t="s">
        <v>156</v>
      </c>
      <c r="F1539" s="2">
        <v>5</v>
      </c>
      <c r="G1539" s="2">
        <v>195</v>
      </c>
      <c r="H1539" s="2">
        <v>4</v>
      </c>
      <c r="I1539" s="2">
        <v>4</v>
      </c>
      <c r="J1539" s="2">
        <v>2</v>
      </c>
      <c r="K1539" s="2" t="s">
        <v>61</v>
      </c>
      <c r="L1539" s="6" t="s">
        <v>62</v>
      </c>
      <c r="M1539" s="5">
        <v>1250000000</v>
      </c>
      <c r="N1539" s="2">
        <v>0</v>
      </c>
      <c r="O1539" s="2">
        <v>4.7178415200000003</v>
      </c>
      <c r="P1539" s="2">
        <v>-74.030208810000005</v>
      </c>
      <c r="Q1539" s="2" t="s">
        <v>2691</v>
      </c>
      <c r="R1539" s="2">
        <v>6410256.4100000001</v>
      </c>
      <c r="S1539" s="2">
        <v>0</v>
      </c>
      <c r="T1539" s="2" t="s">
        <v>55</v>
      </c>
      <c r="U1539" s="2" t="s">
        <v>56</v>
      </c>
      <c r="V1539" s="2" t="s">
        <v>28</v>
      </c>
      <c r="W1539" s="2" t="s">
        <v>55</v>
      </c>
      <c r="X1539" s="2" t="s">
        <v>57</v>
      </c>
      <c r="Y1539" s="2">
        <v>0.834270958369836</v>
      </c>
      <c r="Z1539" s="2">
        <v>4.71035</v>
      </c>
      <c r="AA1539" s="2">
        <v>-74.030416666666696</v>
      </c>
      <c r="AB1539" s="2">
        <v>2570</v>
      </c>
      <c r="AC1539" s="2" t="s">
        <v>31</v>
      </c>
      <c r="AD1539" s="2" t="s">
        <v>58</v>
      </c>
      <c r="AE1539" s="2" t="s">
        <v>33</v>
      </c>
      <c r="AF1539" s="2" t="s">
        <v>34</v>
      </c>
      <c r="AG1539" s="2" t="s">
        <v>59</v>
      </c>
      <c r="AH1539" s="2">
        <v>2.38445336369786</v>
      </c>
      <c r="AI1539" s="2">
        <v>0.762419835340991</v>
      </c>
      <c r="AJ1539" s="2">
        <v>0.83474033497585898</v>
      </c>
      <c r="AK1539" s="2">
        <v>0.175439341743339</v>
      </c>
      <c r="AL1539" s="2">
        <v>0.111574250905557</v>
      </c>
      <c r="AM1539" s="2">
        <v>15.5</v>
      </c>
      <c r="AN1539" s="2">
        <v>2.4</v>
      </c>
      <c r="AO1539" s="2">
        <v>10.9</v>
      </c>
      <c r="AP1539" s="2">
        <v>564</v>
      </c>
      <c r="AQ1539" s="2">
        <v>68</v>
      </c>
      <c r="AR1539" s="2">
        <v>1.5</v>
      </c>
      <c r="AS1539" s="2">
        <v>135</v>
      </c>
      <c r="AT1539" s="2">
        <v>0</v>
      </c>
      <c r="AU1539" s="2">
        <v>162</v>
      </c>
      <c r="AV1539" s="2">
        <v>9.1</v>
      </c>
      <c r="AW1539" s="2">
        <v>9.1999999999999993</v>
      </c>
      <c r="AX1539" s="2">
        <v>18.3</v>
      </c>
      <c r="AY1539" s="2">
        <v>0.34</v>
      </c>
      <c r="AZ1539" s="2">
        <v>7.3</v>
      </c>
      <c r="BA1539" s="2">
        <v>0.9</v>
      </c>
      <c r="BB1539" s="2">
        <v>7.5</v>
      </c>
      <c r="BC1539" s="2">
        <v>2.9</v>
      </c>
      <c r="BD1539" s="2">
        <f>+AN1539*EXP(-0.0495*Y1539)</f>
        <v>2.3029072003568678</v>
      </c>
      <c r="BE1539" s="2">
        <f>+AO1539*EXP(-0.024*Y1539)</f>
        <v>10.683925115962278</v>
      </c>
    </row>
    <row r="1540" spans="1:57" x14ac:dyDescent="0.2">
      <c r="A1540" s="2" t="s">
        <v>3118</v>
      </c>
      <c r="B1540" s="2" t="s">
        <v>19</v>
      </c>
      <c r="C1540" s="2" t="s">
        <v>1907</v>
      </c>
      <c r="D1540" s="2" t="s">
        <v>21</v>
      </c>
      <c r="E1540" s="2" t="s">
        <v>2034</v>
      </c>
      <c r="F1540" s="2">
        <v>4</v>
      </c>
      <c r="G1540" s="2">
        <v>195</v>
      </c>
      <c r="H1540" s="2">
        <v>3</v>
      </c>
      <c r="I1540" s="2">
        <v>3</v>
      </c>
      <c r="J1540" s="2">
        <v>2</v>
      </c>
      <c r="K1540" s="2" t="s">
        <v>61</v>
      </c>
      <c r="L1540" s="6" t="s">
        <v>75</v>
      </c>
      <c r="M1540" s="5">
        <v>1310000000</v>
      </c>
      <c r="N1540" s="2">
        <v>0</v>
      </c>
      <c r="O1540" s="2">
        <v>4.7177065000000002</v>
      </c>
      <c r="P1540" s="2">
        <v>-74.029704600000002</v>
      </c>
      <c r="Q1540" s="2" t="s">
        <v>3119</v>
      </c>
      <c r="R1540" s="2">
        <v>6717948.7180000003</v>
      </c>
      <c r="S1540" s="2">
        <v>0</v>
      </c>
      <c r="T1540" s="2" t="s">
        <v>55</v>
      </c>
      <c r="U1540" s="2" t="s">
        <v>56</v>
      </c>
      <c r="V1540" s="2" t="s">
        <v>28</v>
      </c>
      <c r="W1540" s="2" t="s">
        <v>55</v>
      </c>
      <c r="X1540" s="2" t="s">
        <v>57</v>
      </c>
      <c r="Y1540" s="2">
        <v>0.82272338891044505</v>
      </c>
      <c r="Z1540" s="2">
        <v>4.71035</v>
      </c>
      <c r="AA1540" s="2">
        <v>-74.030416666666696</v>
      </c>
      <c r="AB1540" s="2">
        <v>2570</v>
      </c>
      <c r="AC1540" s="2" t="s">
        <v>31</v>
      </c>
      <c r="AD1540" s="2" t="s">
        <v>58</v>
      </c>
      <c r="AE1540" s="2" t="s">
        <v>33</v>
      </c>
      <c r="AF1540" s="2" t="s">
        <v>34</v>
      </c>
      <c r="AG1540" s="2" t="s">
        <v>59</v>
      </c>
      <c r="AH1540" s="2">
        <v>2.4419942097345699</v>
      </c>
      <c r="AI1540" s="2">
        <v>0.71272932713551296</v>
      </c>
      <c r="AJ1540" s="2">
        <v>0.84177165498676698</v>
      </c>
      <c r="AK1540" s="2">
        <v>0.14218170243821701</v>
      </c>
      <c r="AL1540" s="2">
        <v>0.11922237894734899</v>
      </c>
      <c r="AM1540" s="2">
        <v>15.5</v>
      </c>
      <c r="AN1540" s="2">
        <v>2.4</v>
      </c>
      <c r="AO1540" s="2">
        <v>10.9</v>
      </c>
      <c r="AP1540" s="2">
        <v>564</v>
      </c>
      <c r="AQ1540" s="2">
        <v>68</v>
      </c>
      <c r="AR1540" s="2">
        <v>1.5</v>
      </c>
      <c r="AS1540" s="2">
        <v>135</v>
      </c>
      <c r="AT1540" s="2">
        <v>0</v>
      </c>
      <c r="AU1540" s="2">
        <v>162</v>
      </c>
      <c r="AV1540" s="2">
        <v>9.1</v>
      </c>
      <c r="AW1540" s="2">
        <v>9.1999999999999993</v>
      </c>
      <c r="AX1540" s="2">
        <v>18.3</v>
      </c>
      <c r="AY1540" s="2">
        <v>0.34</v>
      </c>
      <c r="AZ1540" s="2">
        <v>7.3</v>
      </c>
      <c r="BA1540" s="2">
        <v>0.9</v>
      </c>
      <c r="BB1540" s="2">
        <v>7.5</v>
      </c>
      <c r="BC1540" s="2">
        <v>2.9</v>
      </c>
      <c r="BD1540" s="2">
        <f>+AN1540*EXP(-0.0495*Y1540)</f>
        <v>2.3042239291975108</v>
      </c>
      <c r="BE1540" s="2">
        <f>+AO1540*EXP(-0.024*Y1540)</f>
        <v>10.686886487120006</v>
      </c>
    </row>
    <row r="1541" spans="1:57" x14ac:dyDescent="0.2">
      <c r="A1541" s="2" t="s">
        <v>1092</v>
      </c>
      <c r="B1541" s="2" t="s">
        <v>19</v>
      </c>
      <c r="C1541" s="2" t="s">
        <v>20</v>
      </c>
      <c r="D1541" s="2" t="s">
        <v>21</v>
      </c>
      <c r="E1541" s="2" t="s">
        <v>1093</v>
      </c>
      <c r="F1541" s="2">
        <v>5</v>
      </c>
      <c r="G1541" s="2">
        <v>193.56</v>
      </c>
      <c r="H1541" s="2">
        <v>5</v>
      </c>
      <c r="I1541" s="2">
        <v>5</v>
      </c>
      <c r="J1541" s="2">
        <v>3</v>
      </c>
      <c r="K1541" s="2" t="s">
        <v>61</v>
      </c>
      <c r="L1541" s="6" t="s">
        <v>113</v>
      </c>
      <c r="M1541" s="5">
        <v>950000000</v>
      </c>
      <c r="N1541" s="2">
        <v>0</v>
      </c>
      <c r="O1541" s="2">
        <v>4.7054669999999996</v>
      </c>
      <c r="P1541" s="2">
        <v>-74.061438999999993</v>
      </c>
      <c r="Q1541" s="2" t="s">
        <v>1094</v>
      </c>
      <c r="R1541" s="2">
        <v>4908038.8509999998</v>
      </c>
      <c r="S1541" s="2">
        <v>0</v>
      </c>
      <c r="T1541" s="2" t="s">
        <v>55</v>
      </c>
      <c r="U1541" s="2" t="s">
        <v>56</v>
      </c>
      <c r="V1541" s="2" t="s">
        <v>28</v>
      </c>
      <c r="W1541" s="2" t="s">
        <v>55</v>
      </c>
      <c r="X1541" s="2" t="s">
        <v>57</v>
      </c>
      <c r="Y1541" s="2">
        <v>3.4843992229176002</v>
      </c>
      <c r="Z1541" s="2">
        <v>4.71035</v>
      </c>
      <c r="AA1541" s="2">
        <v>-74.030416666666696</v>
      </c>
      <c r="AB1541" s="2">
        <v>2570</v>
      </c>
      <c r="AC1541" s="2" t="s">
        <v>31</v>
      </c>
      <c r="AD1541" s="2" t="s">
        <v>58</v>
      </c>
      <c r="AE1541" s="2" t="s">
        <v>33</v>
      </c>
      <c r="AF1541" s="2" t="s">
        <v>34</v>
      </c>
      <c r="AG1541" s="2" t="s">
        <v>72</v>
      </c>
      <c r="AH1541" s="2">
        <v>0.80505758278155104</v>
      </c>
      <c r="AI1541" s="2">
        <v>3.99286261016581</v>
      </c>
      <c r="AJ1541" s="2">
        <v>1.238663490185</v>
      </c>
      <c r="AK1541" s="2">
        <v>0.37158754669343202</v>
      </c>
      <c r="AL1541" s="2">
        <v>0.107832569451496</v>
      </c>
      <c r="AM1541" s="2">
        <v>15.5</v>
      </c>
      <c r="AN1541" s="2">
        <v>2.4</v>
      </c>
      <c r="AO1541" s="2">
        <v>10.9</v>
      </c>
      <c r="AP1541" s="2">
        <v>564</v>
      </c>
      <c r="AQ1541" s="2">
        <v>68</v>
      </c>
      <c r="AR1541" s="2">
        <v>1.5</v>
      </c>
      <c r="AS1541" s="2">
        <v>135</v>
      </c>
      <c r="AT1541" s="2">
        <v>0</v>
      </c>
      <c r="AU1541" s="2">
        <v>162</v>
      </c>
      <c r="AV1541" s="2">
        <v>9.1</v>
      </c>
      <c r="AW1541" s="2">
        <v>9.1999999999999993</v>
      </c>
      <c r="AX1541" s="2">
        <v>18.3</v>
      </c>
      <c r="AY1541" s="2">
        <v>0.34</v>
      </c>
      <c r="AZ1541" s="2">
        <v>7.3</v>
      </c>
      <c r="BA1541" s="2">
        <v>0.9</v>
      </c>
      <c r="BB1541" s="2">
        <v>7.5</v>
      </c>
      <c r="BC1541" s="2">
        <v>2.9</v>
      </c>
      <c r="BD1541" s="2">
        <f>+AN1541*EXP(-0.0495*Y1541)</f>
        <v>2.0197848095637818</v>
      </c>
      <c r="BE1541" s="2">
        <f>+AO1541*EXP(-0.024*Y1541)</f>
        <v>10.025553743084512</v>
      </c>
    </row>
    <row r="1542" spans="1:57" x14ac:dyDescent="0.2">
      <c r="A1542" s="2" t="s">
        <v>1636</v>
      </c>
      <c r="B1542" s="2" t="s">
        <v>19</v>
      </c>
      <c r="C1542" s="2" t="s">
        <v>20</v>
      </c>
      <c r="D1542" s="2" t="s">
        <v>21</v>
      </c>
      <c r="E1542" s="2" t="s">
        <v>1637</v>
      </c>
      <c r="F1542" s="2">
        <v>5</v>
      </c>
      <c r="G1542" s="2">
        <v>193</v>
      </c>
      <c r="H1542" s="2">
        <v>3</v>
      </c>
      <c r="I1542" s="2">
        <v>4</v>
      </c>
      <c r="J1542" s="2">
        <v>3</v>
      </c>
      <c r="K1542" s="2" t="s">
        <v>61</v>
      </c>
      <c r="L1542" s="6" t="s">
        <v>113</v>
      </c>
      <c r="M1542" s="5">
        <v>1390000000</v>
      </c>
      <c r="N1542" s="2">
        <v>0</v>
      </c>
      <c r="O1542" s="2">
        <v>4.7079930220000001</v>
      </c>
      <c r="P1542" s="2">
        <v>-74.049240569999995</v>
      </c>
      <c r="Q1542" s="2" t="s">
        <v>1638</v>
      </c>
      <c r="R1542" s="2">
        <v>7202072.5389999999</v>
      </c>
      <c r="S1542" s="2">
        <v>0</v>
      </c>
      <c r="T1542" s="2" t="s">
        <v>55</v>
      </c>
      <c r="U1542" s="2" t="s">
        <v>56</v>
      </c>
      <c r="V1542" s="2" t="s">
        <v>28</v>
      </c>
      <c r="W1542" s="2" t="s">
        <v>55</v>
      </c>
      <c r="X1542" s="2" t="s">
        <v>57</v>
      </c>
      <c r="Y1542" s="2">
        <v>2.10481109120688</v>
      </c>
      <c r="Z1542" s="2">
        <v>4.71035</v>
      </c>
      <c r="AA1542" s="2">
        <v>-74.030416666666696</v>
      </c>
      <c r="AB1542" s="2">
        <v>2570</v>
      </c>
      <c r="AC1542" s="2" t="s">
        <v>31</v>
      </c>
      <c r="AD1542" s="2" t="s">
        <v>58</v>
      </c>
      <c r="AE1542" s="2" t="s">
        <v>33</v>
      </c>
      <c r="AF1542" s="2" t="s">
        <v>34</v>
      </c>
      <c r="AG1542" s="2" t="s">
        <v>59</v>
      </c>
      <c r="AH1542" s="2">
        <v>0.66542135816079095</v>
      </c>
      <c r="AI1542" s="2">
        <v>2.68299398595006</v>
      </c>
      <c r="AJ1542" s="2">
        <v>1.62589225701949</v>
      </c>
      <c r="AK1542" s="2">
        <v>9.7044373611101797E-2</v>
      </c>
      <c r="AL1542" s="2">
        <v>0.22756006372319601</v>
      </c>
      <c r="AM1542" s="2">
        <v>15.5</v>
      </c>
      <c r="AN1542" s="2">
        <v>2.4</v>
      </c>
      <c r="AO1542" s="2">
        <v>10.9</v>
      </c>
      <c r="AP1542" s="2">
        <v>564</v>
      </c>
      <c r="AQ1542" s="2">
        <v>68</v>
      </c>
      <c r="AR1542" s="2">
        <v>1.5</v>
      </c>
      <c r="AS1542" s="2">
        <v>135</v>
      </c>
      <c r="AT1542" s="2">
        <v>0</v>
      </c>
      <c r="AU1542" s="2">
        <v>162</v>
      </c>
      <c r="AV1542" s="2">
        <v>9.1</v>
      </c>
      <c r="AW1542" s="2">
        <v>9.1999999999999993</v>
      </c>
      <c r="AX1542" s="2">
        <v>18.3</v>
      </c>
      <c r="AY1542" s="2">
        <v>0.34</v>
      </c>
      <c r="AZ1542" s="2">
        <v>7.3</v>
      </c>
      <c r="BA1542" s="2">
        <v>0.9</v>
      </c>
      <c r="BB1542" s="2">
        <v>7.5</v>
      </c>
      <c r="BC1542" s="2">
        <v>2.9</v>
      </c>
      <c r="BD1542" s="2">
        <f>+AN1542*EXP(-0.0495*Y1542)</f>
        <v>2.1625337969283511</v>
      </c>
      <c r="BE1542" s="2">
        <f>+AO1542*EXP(-0.024*Y1542)</f>
        <v>10.363057544282684</v>
      </c>
    </row>
    <row r="1543" spans="1:57" x14ac:dyDescent="0.2">
      <c r="A1543" s="2" t="s">
        <v>146</v>
      </c>
      <c r="B1543" s="2" t="s">
        <v>19</v>
      </c>
      <c r="C1543" s="2" t="s">
        <v>20</v>
      </c>
      <c r="D1543" s="2" t="s">
        <v>21</v>
      </c>
      <c r="E1543" s="2" t="s">
        <v>147</v>
      </c>
      <c r="F1543" s="2">
        <v>6</v>
      </c>
      <c r="G1543" s="2">
        <v>192.3</v>
      </c>
      <c r="H1543" s="2">
        <v>3</v>
      </c>
      <c r="I1543" s="2">
        <v>3</v>
      </c>
      <c r="J1543" s="2">
        <v>2</v>
      </c>
      <c r="K1543" s="2" t="s">
        <v>61</v>
      </c>
      <c r="L1543" s="6" t="s">
        <v>113</v>
      </c>
      <c r="M1543" s="5">
        <v>980000000</v>
      </c>
      <c r="N1543" s="2">
        <v>0</v>
      </c>
      <c r="O1543" s="2">
        <v>4.678855896</v>
      </c>
      <c r="P1543" s="2">
        <v>-74.045677190000006</v>
      </c>
      <c r="Q1543" s="2" t="s">
        <v>148</v>
      </c>
      <c r="R1543" s="2">
        <v>5096203.8480000002</v>
      </c>
      <c r="S1543" s="2">
        <v>0</v>
      </c>
      <c r="T1543" s="2" t="s">
        <v>55</v>
      </c>
      <c r="U1543" s="2" t="s">
        <v>56</v>
      </c>
      <c r="V1543" s="2" t="s">
        <v>28</v>
      </c>
      <c r="W1543" s="2" t="s">
        <v>55</v>
      </c>
      <c r="X1543" s="2" t="s">
        <v>57</v>
      </c>
      <c r="Y1543" s="2">
        <v>3.89332208174836</v>
      </c>
      <c r="Z1543" s="2">
        <v>4.71035</v>
      </c>
      <c r="AA1543" s="2">
        <v>-74.030416666666696</v>
      </c>
      <c r="AB1543" s="2">
        <v>2570</v>
      </c>
      <c r="AC1543" s="2" t="s">
        <v>31</v>
      </c>
      <c r="AD1543" s="2" t="s">
        <v>58</v>
      </c>
      <c r="AE1543" s="2" t="s">
        <v>33</v>
      </c>
      <c r="AF1543" s="2" t="s">
        <v>34</v>
      </c>
      <c r="AG1543" s="2" t="s">
        <v>81</v>
      </c>
      <c r="AH1543" s="2">
        <v>1.4483208044748399</v>
      </c>
      <c r="AI1543" s="2">
        <v>0.86867148796271798</v>
      </c>
      <c r="AJ1543" s="2">
        <v>0.81434729858094901</v>
      </c>
      <c r="AK1543" s="2">
        <v>4.4903368541760497E-2</v>
      </c>
      <c r="AL1543" s="2">
        <v>1.12331169893623</v>
      </c>
      <c r="AM1543" s="2">
        <v>15.5</v>
      </c>
      <c r="AN1543" s="2">
        <v>2.4</v>
      </c>
      <c r="AO1543" s="2">
        <v>10.9</v>
      </c>
      <c r="AP1543" s="2">
        <v>564</v>
      </c>
      <c r="AQ1543" s="2">
        <v>68</v>
      </c>
      <c r="AR1543" s="2">
        <v>1.5</v>
      </c>
      <c r="AS1543" s="2">
        <v>135</v>
      </c>
      <c r="AT1543" s="2">
        <v>0</v>
      </c>
      <c r="AU1543" s="2">
        <v>162</v>
      </c>
      <c r="AV1543" s="2">
        <v>9.1</v>
      </c>
      <c r="AW1543" s="2">
        <v>9.1999999999999993</v>
      </c>
      <c r="AX1543" s="2">
        <v>18.3</v>
      </c>
      <c r="AY1543" s="2">
        <v>0.34</v>
      </c>
      <c r="AZ1543" s="2">
        <v>7.3</v>
      </c>
      <c r="BA1543" s="2">
        <v>0.9</v>
      </c>
      <c r="BB1543" s="2">
        <v>7.5</v>
      </c>
      <c r="BC1543" s="2">
        <v>2.9</v>
      </c>
      <c r="BD1543" s="2">
        <f>+AN1543*EXP(-0.0495*Y1543)</f>
        <v>1.9793119697793209</v>
      </c>
      <c r="BE1543" s="2">
        <f>+AO1543*EXP(-0.024*Y1543)</f>
        <v>9.9276427113188159</v>
      </c>
    </row>
    <row r="1544" spans="1:57" x14ac:dyDescent="0.2">
      <c r="A1544" s="2" t="s">
        <v>861</v>
      </c>
      <c r="B1544" s="2" t="s">
        <v>19</v>
      </c>
      <c r="C1544" s="2" t="s">
        <v>20</v>
      </c>
      <c r="D1544" s="2" t="s">
        <v>21</v>
      </c>
      <c r="E1544" s="2" t="s">
        <v>419</v>
      </c>
      <c r="F1544" s="2">
        <v>6</v>
      </c>
      <c r="G1544" s="2">
        <v>190</v>
      </c>
      <c r="H1544" s="2">
        <v>3</v>
      </c>
      <c r="I1544" s="2">
        <v>3</v>
      </c>
      <c r="J1544" s="2">
        <v>2</v>
      </c>
      <c r="K1544" s="2" t="s">
        <v>61</v>
      </c>
      <c r="L1544" s="6" t="s">
        <v>113</v>
      </c>
      <c r="M1544" s="5">
        <v>1490000000</v>
      </c>
      <c r="N1544" s="2">
        <v>0</v>
      </c>
      <c r="O1544" s="2">
        <v>4.6873793600000004</v>
      </c>
      <c r="P1544" s="2">
        <v>-74.055862430000005</v>
      </c>
      <c r="Q1544" s="2" t="s">
        <v>862</v>
      </c>
      <c r="R1544" s="2">
        <v>7842105.2630000003</v>
      </c>
      <c r="S1544" s="2">
        <v>0</v>
      </c>
      <c r="T1544" s="2" t="s">
        <v>55</v>
      </c>
      <c r="U1544" s="2" t="s">
        <v>56</v>
      </c>
      <c r="V1544" s="2" t="s">
        <v>28</v>
      </c>
      <c r="W1544" s="2" t="s">
        <v>55</v>
      </c>
      <c r="X1544" s="2" t="s">
        <v>57</v>
      </c>
      <c r="Y1544" s="2">
        <v>3.8090011172943701</v>
      </c>
      <c r="Z1544" s="2">
        <v>4.71035</v>
      </c>
      <c r="AA1544" s="2">
        <v>-74.030416666666696</v>
      </c>
      <c r="AB1544" s="2">
        <v>2570</v>
      </c>
      <c r="AC1544" s="2" t="s">
        <v>31</v>
      </c>
      <c r="AD1544" s="2" t="s">
        <v>58</v>
      </c>
      <c r="AE1544" s="2" t="s">
        <v>33</v>
      </c>
      <c r="AF1544" s="2" t="s">
        <v>34</v>
      </c>
      <c r="AG1544" s="2" t="s">
        <v>59</v>
      </c>
      <c r="AH1544" s="2">
        <v>0.430985632570484</v>
      </c>
      <c r="AI1544" s="2">
        <v>2.3381068346647802</v>
      </c>
      <c r="AJ1544" s="2">
        <v>0.38306878776409597</v>
      </c>
      <c r="AK1544" s="2">
        <v>0.10631300514610199</v>
      </c>
      <c r="AL1544" s="2">
        <v>0.489924257274163</v>
      </c>
      <c r="AM1544" s="2">
        <v>15.5</v>
      </c>
      <c r="AN1544" s="2">
        <v>2.4</v>
      </c>
      <c r="AO1544" s="2">
        <v>10.9</v>
      </c>
      <c r="AP1544" s="2">
        <v>564</v>
      </c>
      <c r="AQ1544" s="2">
        <v>68</v>
      </c>
      <c r="AR1544" s="2">
        <v>1.5</v>
      </c>
      <c r="AS1544" s="2">
        <v>135</v>
      </c>
      <c r="AT1544" s="2">
        <v>0</v>
      </c>
      <c r="AU1544" s="2">
        <v>162</v>
      </c>
      <c r="AV1544" s="2">
        <v>9.1</v>
      </c>
      <c r="AW1544" s="2">
        <v>9.1999999999999993</v>
      </c>
      <c r="AX1544" s="2">
        <v>18.3</v>
      </c>
      <c r="AY1544" s="2">
        <v>0.34</v>
      </c>
      <c r="AZ1544" s="2">
        <v>7.3</v>
      </c>
      <c r="BA1544" s="2">
        <v>0.9</v>
      </c>
      <c r="BB1544" s="2">
        <v>7.5</v>
      </c>
      <c r="BC1544" s="2">
        <v>2.9</v>
      </c>
      <c r="BD1544" s="2">
        <f>+AN1544*EXP(-0.0495*Y1544)</f>
        <v>1.9875906608893987</v>
      </c>
      <c r="BE1544" s="2">
        <f>+AO1544*EXP(-0.024*Y1544)</f>
        <v>9.9477536555420389</v>
      </c>
    </row>
    <row r="1545" spans="1:57" x14ac:dyDescent="0.2">
      <c r="A1545" s="2" t="s">
        <v>1993</v>
      </c>
      <c r="B1545" s="2" t="s">
        <v>19</v>
      </c>
      <c r="C1545" s="2" t="s">
        <v>1907</v>
      </c>
      <c r="D1545" s="2" t="s">
        <v>21</v>
      </c>
      <c r="E1545" s="2" t="s">
        <v>1994</v>
      </c>
      <c r="F1545" s="2">
        <v>5</v>
      </c>
      <c r="G1545" s="2">
        <v>189</v>
      </c>
      <c r="H1545" s="2">
        <v>3</v>
      </c>
      <c r="I1545" s="2">
        <v>5</v>
      </c>
      <c r="J1545" s="2">
        <v>2</v>
      </c>
      <c r="K1545" s="2" t="s">
        <v>61</v>
      </c>
      <c r="L1545" s="6" t="s">
        <v>75</v>
      </c>
      <c r="M1545" s="5">
        <v>1600000000</v>
      </c>
      <c r="N1545" s="2">
        <v>0</v>
      </c>
      <c r="O1545" s="2">
        <v>4.7145671839999999</v>
      </c>
      <c r="P1545" s="2">
        <v>-74.049453740000004</v>
      </c>
      <c r="Q1545" s="2" t="s">
        <v>1995</v>
      </c>
      <c r="R1545" s="2">
        <v>8465608.466</v>
      </c>
      <c r="S1545" s="2">
        <v>0</v>
      </c>
      <c r="T1545" s="2" t="s">
        <v>55</v>
      </c>
      <c r="U1545" s="2" t="s">
        <v>56</v>
      </c>
      <c r="V1545" s="2" t="s">
        <v>28</v>
      </c>
      <c r="W1545" s="2" t="s">
        <v>55</v>
      </c>
      <c r="X1545" s="2" t="s">
        <v>57</v>
      </c>
      <c r="Y1545" s="2">
        <v>2.1635787771880799</v>
      </c>
      <c r="Z1545" s="2">
        <v>4.71035</v>
      </c>
      <c r="AA1545" s="2">
        <v>-74.030416666666696</v>
      </c>
      <c r="AB1545" s="2">
        <v>2570</v>
      </c>
      <c r="AC1545" s="2" t="s">
        <v>31</v>
      </c>
      <c r="AD1545" s="2" t="s">
        <v>58</v>
      </c>
      <c r="AE1545" s="2" t="s">
        <v>33</v>
      </c>
      <c r="AF1545" s="2" t="s">
        <v>34</v>
      </c>
      <c r="AG1545" s="2" t="s">
        <v>59</v>
      </c>
      <c r="AH1545" s="2">
        <v>0.34421935897906603</v>
      </c>
      <c r="AI1545" s="2">
        <v>2.7548991771445701</v>
      </c>
      <c r="AJ1545" s="2">
        <v>1.8965945578674099</v>
      </c>
      <c r="AK1545" s="2">
        <v>0.50036685659735303</v>
      </c>
      <c r="AL1545" s="2">
        <v>0.39294586325247299</v>
      </c>
      <c r="AM1545" s="2">
        <v>15.5</v>
      </c>
      <c r="AN1545" s="2">
        <v>2.4</v>
      </c>
      <c r="AO1545" s="2">
        <v>10.9</v>
      </c>
      <c r="AP1545" s="2">
        <v>564</v>
      </c>
      <c r="AQ1545" s="2">
        <v>68</v>
      </c>
      <c r="AR1545" s="2">
        <v>1.5</v>
      </c>
      <c r="AS1545" s="2">
        <v>135</v>
      </c>
      <c r="AT1545" s="2">
        <v>0</v>
      </c>
      <c r="AU1545" s="2">
        <v>162</v>
      </c>
      <c r="AV1545" s="2">
        <v>9.1</v>
      </c>
      <c r="AW1545" s="2">
        <v>9.1999999999999993</v>
      </c>
      <c r="AX1545" s="2">
        <v>18.3</v>
      </c>
      <c r="AY1545" s="2">
        <v>0.34</v>
      </c>
      <c r="AZ1545" s="2">
        <v>7.3</v>
      </c>
      <c r="BA1545" s="2">
        <v>0.9</v>
      </c>
      <c r="BB1545" s="2">
        <v>7.5</v>
      </c>
      <c r="BC1545" s="2">
        <v>2.9</v>
      </c>
      <c r="BD1545" s="2">
        <f>+AN1545*EXP(-0.0495*Y1545)</f>
        <v>2.156252126248031</v>
      </c>
      <c r="BE1545" s="2">
        <f>+AO1545*EXP(-0.024*Y1545)</f>
        <v>10.34845153716125</v>
      </c>
    </row>
    <row r="1546" spans="1:57" x14ac:dyDescent="0.2">
      <c r="A1546" s="2" t="s">
        <v>553</v>
      </c>
      <c r="B1546" s="2" t="s">
        <v>19</v>
      </c>
      <c r="C1546" s="2" t="s">
        <v>20</v>
      </c>
      <c r="D1546" s="2" t="s">
        <v>21</v>
      </c>
      <c r="E1546" s="2" t="s">
        <v>164</v>
      </c>
      <c r="F1546" s="2">
        <v>6</v>
      </c>
      <c r="G1546" s="2">
        <v>189</v>
      </c>
      <c r="H1546" s="2">
        <v>3</v>
      </c>
      <c r="I1546" s="2">
        <v>5</v>
      </c>
      <c r="J1546" s="2">
        <v>3</v>
      </c>
      <c r="K1546" s="2" t="s">
        <v>61</v>
      </c>
      <c r="L1546" s="6" t="s">
        <v>75</v>
      </c>
      <c r="M1546" s="5">
        <v>1450000000</v>
      </c>
      <c r="N1546" s="2">
        <v>0</v>
      </c>
      <c r="O1546" s="2">
        <v>4.7005734439999998</v>
      </c>
      <c r="P1546" s="2">
        <v>-74.034774780000006</v>
      </c>
      <c r="Q1546" s="2" t="s">
        <v>554</v>
      </c>
      <c r="R1546" s="2">
        <v>7671957.6720000003</v>
      </c>
      <c r="S1546" s="2">
        <v>0</v>
      </c>
      <c r="T1546" s="2" t="s">
        <v>55</v>
      </c>
      <c r="U1546" s="2" t="s">
        <v>56</v>
      </c>
      <c r="V1546" s="2" t="s">
        <v>28</v>
      </c>
      <c r="W1546" s="2" t="s">
        <v>55</v>
      </c>
      <c r="X1546" s="2" t="s">
        <v>57</v>
      </c>
      <c r="Y1546" s="2">
        <v>1.1908916495089099</v>
      </c>
      <c r="Z1546" s="2">
        <v>4.71035</v>
      </c>
      <c r="AA1546" s="2">
        <v>-74.030416666666696</v>
      </c>
      <c r="AB1546" s="2">
        <v>2570</v>
      </c>
      <c r="AC1546" s="2" t="s">
        <v>31</v>
      </c>
      <c r="AD1546" s="2" t="s">
        <v>58</v>
      </c>
      <c r="AE1546" s="2" t="s">
        <v>33</v>
      </c>
      <c r="AF1546" s="2" t="s">
        <v>34</v>
      </c>
      <c r="AG1546" s="2" t="s">
        <v>59</v>
      </c>
      <c r="AH1546" s="2">
        <v>2.2029169306801202</v>
      </c>
      <c r="AI1546" s="2">
        <v>0.998905072743698</v>
      </c>
      <c r="AJ1546" s="2">
        <v>0.26960720846591302</v>
      </c>
      <c r="AK1546" s="2">
        <v>0.27675786341664499</v>
      </c>
      <c r="AL1546" s="2">
        <v>0.31895635328172001</v>
      </c>
      <c r="AM1546" s="2">
        <v>15.5</v>
      </c>
      <c r="AN1546" s="2">
        <v>2.4</v>
      </c>
      <c r="AO1546" s="2">
        <v>10.9</v>
      </c>
      <c r="AP1546" s="2">
        <v>564</v>
      </c>
      <c r="AQ1546" s="2">
        <v>68</v>
      </c>
      <c r="AR1546" s="2">
        <v>1.5</v>
      </c>
      <c r="AS1546" s="2">
        <v>135</v>
      </c>
      <c r="AT1546" s="2">
        <v>0</v>
      </c>
      <c r="AU1546" s="2">
        <v>162</v>
      </c>
      <c r="AV1546" s="2">
        <v>9.1</v>
      </c>
      <c r="AW1546" s="2">
        <v>9.1999999999999993</v>
      </c>
      <c r="AX1546" s="2">
        <v>18.3</v>
      </c>
      <c r="AY1546" s="2">
        <v>0.34</v>
      </c>
      <c r="AZ1546" s="2">
        <v>7.3</v>
      </c>
      <c r="BA1546" s="2">
        <v>0.9</v>
      </c>
      <c r="BB1546" s="2">
        <v>7.5</v>
      </c>
      <c r="BC1546" s="2">
        <v>2.9</v>
      </c>
      <c r="BD1546" s="2">
        <f>+AN1546*EXP(-0.0495*Y1546)</f>
        <v>2.2626113270405881</v>
      </c>
      <c r="BE1546" s="2">
        <f>+AO1546*EXP(-0.024*Y1546)</f>
        <v>10.592872715621263</v>
      </c>
    </row>
    <row r="1547" spans="1:57" x14ac:dyDescent="0.2">
      <c r="A1547" s="2" t="s">
        <v>1153</v>
      </c>
      <c r="B1547" s="2" t="s">
        <v>19</v>
      </c>
      <c r="C1547" s="2" t="s">
        <v>20</v>
      </c>
      <c r="D1547" s="2" t="s">
        <v>21</v>
      </c>
      <c r="E1547" s="2" t="s">
        <v>141</v>
      </c>
      <c r="F1547" s="2">
        <v>6</v>
      </c>
      <c r="G1547" s="2">
        <v>188.25</v>
      </c>
      <c r="H1547" s="2">
        <v>4</v>
      </c>
      <c r="I1547" s="2">
        <v>4</v>
      </c>
      <c r="J1547" s="2">
        <v>3</v>
      </c>
      <c r="K1547" s="2" t="s">
        <v>61</v>
      </c>
      <c r="L1547" s="6" t="s">
        <v>113</v>
      </c>
      <c r="M1547" s="5">
        <v>1000000000</v>
      </c>
      <c r="N1547" s="2">
        <v>0</v>
      </c>
      <c r="O1547" s="2">
        <v>4.6855538000000001</v>
      </c>
      <c r="P1547" s="2">
        <v>-74.043851200000006</v>
      </c>
      <c r="Q1547" s="2" t="s">
        <v>1154</v>
      </c>
      <c r="R1547" s="2">
        <v>5312084.9929999998</v>
      </c>
      <c r="S1547" s="2">
        <v>0</v>
      </c>
      <c r="T1547" s="2" t="s">
        <v>55</v>
      </c>
      <c r="U1547" s="2" t="s">
        <v>56</v>
      </c>
      <c r="V1547" s="2" t="s">
        <v>28</v>
      </c>
      <c r="W1547" s="2" t="s">
        <v>55</v>
      </c>
      <c r="X1547" s="2" t="s">
        <v>57</v>
      </c>
      <c r="Y1547" s="2">
        <v>3.13701307111997</v>
      </c>
      <c r="Z1547" s="2">
        <v>4.71035</v>
      </c>
      <c r="AA1547" s="2">
        <v>-74.030416666666696</v>
      </c>
      <c r="AB1547" s="2">
        <v>2570</v>
      </c>
      <c r="AC1547" s="2" t="s">
        <v>31</v>
      </c>
      <c r="AD1547" s="2" t="s">
        <v>58</v>
      </c>
      <c r="AE1547" s="2" t="s">
        <v>33</v>
      </c>
      <c r="AF1547" s="2" t="s">
        <v>34</v>
      </c>
      <c r="AG1547" s="2" t="s">
        <v>59</v>
      </c>
      <c r="AH1547" s="2">
        <v>1.54711091063062</v>
      </c>
      <c r="AI1547" s="2">
        <v>1.1427009334751299</v>
      </c>
      <c r="AJ1547" s="2">
        <v>0.61804651590043302</v>
      </c>
      <c r="AK1547" s="2">
        <v>6.5193065854640603E-2</v>
      </c>
      <c r="AL1547" s="2">
        <v>0.36795388278637398</v>
      </c>
      <c r="AM1547" s="2">
        <v>15.5</v>
      </c>
      <c r="AN1547" s="2">
        <v>2.4</v>
      </c>
      <c r="AO1547" s="2">
        <v>10.9</v>
      </c>
      <c r="AP1547" s="2">
        <v>564</v>
      </c>
      <c r="AQ1547" s="2">
        <v>68</v>
      </c>
      <c r="AR1547" s="2">
        <v>1.5</v>
      </c>
      <c r="AS1547" s="2">
        <v>135</v>
      </c>
      <c r="AT1547" s="2">
        <v>0</v>
      </c>
      <c r="AU1547" s="2">
        <v>162</v>
      </c>
      <c r="AV1547" s="2">
        <v>9.1</v>
      </c>
      <c r="AW1547" s="2">
        <v>9.1999999999999993</v>
      </c>
      <c r="AX1547" s="2">
        <v>18.3</v>
      </c>
      <c r="AY1547" s="2">
        <v>0.34</v>
      </c>
      <c r="AZ1547" s="2">
        <v>7.3</v>
      </c>
      <c r="BA1547" s="2">
        <v>0.9</v>
      </c>
      <c r="BB1547" s="2">
        <v>7.5</v>
      </c>
      <c r="BC1547" s="2">
        <v>2.9</v>
      </c>
      <c r="BD1547" s="2">
        <f>+AN1547*EXP(-0.0495*Y1547)</f>
        <v>2.0548165837874848</v>
      </c>
      <c r="BE1547" s="2">
        <f>+AO1547*EXP(-0.024*Y1547)</f>
        <v>10.109488876553602</v>
      </c>
    </row>
    <row r="1548" spans="1:57" x14ac:dyDescent="0.2">
      <c r="A1548" s="2" t="s">
        <v>2660</v>
      </c>
      <c r="B1548" s="2" t="s">
        <v>19</v>
      </c>
      <c r="C1548" s="2" t="s">
        <v>1907</v>
      </c>
      <c r="D1548" s="2" t="s">
        <v>21</v>
      </c>
      <c r="E1548" s="2" t="s">
        <v>933</v>
      </c>
      <c r="F1548" s="2">
        <v>5</v>
      </c>
      <c r="G1548" s="2">
        <v>187</v>
      </c>
      <c r="H1548" s="2">
        <v>5</v>
      </c>
      <c r="I1548" s="2">
        <v>5</v>
      </c>
      <c r="J1548" s="2">
        <v>2</v>
      </c>
      <c r="K1548" s="2" t="s">
        <v>61</v>
      </c>
      <c r="L1548" s="6" t="s">
        <v>113</v>
      </c>
      <c r="M1548" s="5">
        <v>1100000000</v>
      </c>
      <c r="N1548" s="2">
        <v>0</v>
      </c>
      <c r="O1548" s="2">
        <v>4.7080799999999998</v>
      </c>
      <c r="P1548" s="2">
        <v>-74.053169999999994</v>
      </c>
      <c r="Q1548" s="2" t="s">
        <v>2661</v>
      </c>
      <c r="R1548" s="2">
        <v>5882352.9409999996</v>
      </c>
      <c r="S1548" s="2">
        <v>0</v>
      </c>
      <c r="T1548" s="2" t="s">
        <v>55</v>
      </c>
      <c r="U1548" s="2" t="s">
        <v>56</v>
      </c>
      <c r="V1548" s="2" t="s">
        <v>28</v>
      </c>
      <c r="W1548" s="2" t="s">
        <v>55</v>
      </c>
      <c r="X1548" s="2" t="s">
        <v>57</v>
      </c>
      <c r="Y1548" s="2">
        <v>2.5369552566342102</v>
      </c>
      <c r="Z1548" s="2">
        <v>4.71035</v>
      </c>
      <c r="AA1548" s="2">
        <v>-74.030416666666696</v>
      </c>
      <c r="AB1548" s="2">
        <v>2570</v>
      </c>
      <c r="AC1548" s="2" t="s">
        <v>31</v>
      </c>
      <c r="AD1548" s="2" t="s">
        <v>58</v>
      </c>
      <c r="AE1548" s="2" t="s">
        <v>33</v>
      </c>
      <c r="AF1548" s="2" t="s">
        <v>34</v>
      </c>
      <c r="AG1548" s="2" t="s">
        <v>59</v>
      </c>
      <c r="AH1548" s="2">
        <v>0.39779447515973798</v>
      </c>
      <c r="AI1548" s="2">
        <v>3.1177885215125798</v>
      </c>
      <c r="AJ1548" s="2">
        <v>1.67503238009696</v>
      </c>
      <c r="AK1548" s="2">
        <v>0.14255365927090199</v>
      </c>
      <c r="AL1548" s="2">
        <v>0.29610314784504099</v>
      </c>
      <c r="AM1548" s="2">
        <v>15.5</v>
      </c>
      <c r="AN1548" s="2">
        <v>2.4</v>
      </c>
      <c r="AO1548" s="2">
        <v>10.9</v>
      </c>
      <c r="AP1548" s="2">
        <v>564</v>
      </c>
      <c r="AQ1548" s="2">
        <v>68</v>
      </c>
      <c r="AR1548" s="2">
        <v>1.5</v>
      </c>
      <c r="AS1548" s="2">
        <v>135</v>
      </c>
      <c r="AT1548" s="2">
        <v>0</v>
      </c>
      <c r="AU1548" s="2">
        <v>162</v>
      </c>
      <c r="AV1548" s="2">
        <v>9.1</v>
      </c>
      <c r="AW1548" s="2">
        <v>9.1999999999999993</v>
      </c>
      <c r="AX1548" s="2">
        <v>18.3</v>
      </c>
      <c r="AY1548" s="2">
        <v>0.34</v>
      </c>
      <c r="AZ1548" s="2">
        <v>7.3</v>
      </c>
      <c r="BA1548" s="2">
        <v>0.9</v>
      </c>
      <c r="BB1548" s="2">
        <v>7.5</v>
      </c>
      <c r="BC1548" s="2">
        <v>2.9</v>
      </c>
      <c r="BD1548" s="2">
        <f>+AN1548*EXP(-0.0495*Y1548)</f>
        <v>2.1167659997487291</v>
      </c>
      <c r="BE1548" s="2">
        <f>+AO1548*EXP(-0.024*Y1548)</f>
        <v>10.256132948339099</v>
      </c>
    </row>
    <row r="1549" spans="1:57" x14ac:dyDescent="0.2">
      <c r="A1549" s="2" t="s">
        <v>790</v>
      </c>
      <c r="B1549" s="2" t="s">
        <v>19</v>
      </c>
      <c r="C1549" s="2" t="s">
        <v>20</v>
      </c>
      <c r="D1549" s="2" t="s">
        <v>21</v>
      </c>
      <c r="E1549" s="2" t="s">
        <v>288</v>
      </c>
      <c r="F1549" s="2">
        <v>6</v>
      </c>
      <c r="G1549" s="2">
        <v>186.6</v>
      </c>
      <c r="H1549" s="2">
        <v>3</v>
      </c>
      <c r="I1549" s="2">
        <v>5</v>
      </c>
      <c r="J1549" s="2">
        <v>2</v>
      </c>
      <c r="K1549" s="2" t="s">
        <v>61</v>
      </c>
      <c r="L1549" s="6" t="s">
        <v>113</v>
      </c>
      <c r="M1549" s="5">
        <v>1100000000</v>
      </c>
      <c r="N1549" s="2">
        <v>0</v>
      </c>
      <c r="O1549" s="2">
        <v>4.7001276020000002</v>
      </c>
      <c r="P1549" s="2">
        <v>-74.047126770000006</v>
      </c>
      <c r="Q1549" s="2" t="s">
        <v>791</v>
      </c>
      <c r="R1549" s="2">
        <v>5894962.4869999997</v>
      </c>
      <c r="S1549" s="2">
        <v>0</v>
      </c>
      <c r="T1549" s="2" t="s">
        <v>55</v>
      </c>
      <c r="U1549" s="2" t="s">
        <v>56</v>
      </c>
      <c r="V1549" s="2" t="s">
        <v>28</v>
      </c>
      <c r="W1549" s="2" t="s">
        <v>55</v>
      </c>
      <c r="X1549" s="2" t="s">
        <v>57</v>
      </c>
      <c r="Y1549" s="2">
        <v>2.1752810930606099</v>
      </c>
      <c r="Z1549" s="2">
        <v>4.71035</v>
      </c>
      <c r="AA1549" s="2">
        <v>-74.030416666666696</v>
      </c>
      <c r="AB1549" s="2">
        <v>2570</v>
      </c>
      <c r="AC1549" s="2" t="s">
        <v>31</v>
      </c>
      <c r="AD1549" s="2" t="s">
        <v>58</v>
      </c>
      <c r="AE1549" s="2" t="s">
        <v>33</v>
      </c>
      <c r="AF1549" s="2" t="s">
        <v>34</v>
      </c>
      <c r="AG1549" s="2" t="s">
        <v>59</v>
      </c>
      <c r="AH1549" s="2">
        <v>0.931709478660386</v>
      </c>
      <c r="AI1549" s="2">
        <v>2.3598058264847799</v>
      </c>
      <c r="AJ1549" s="2">
        <v>0.81340873638619604</v>
      </c>
      <c r="AK1549" s="2">
        <v>9.6643863836440899E-2</v>
      </c>
      <c r="AL1549" s="2">
        <v>0.14279708313490699</v>
      </c>
      <c r="AM1549" s="2">
        <v>15.5</v>
      </c>
      <c r="AN1549" s="2">
        <v>2.4</v>
      </c>
      <c r="AO1549" s="2">
        <v>10.9</v>
      </c>
      <c r="AP1549" s="2">
        <v>564</v>
      </c>
      <c r="AQ1549" s="2">
        <v>68</v>
      </c>
      <c r="AR1549" s="2">
        <v>1.5</v>
      </c>
      <c r="AS1549" s="2">
        <v>135</v>
      </c>
      <c r="AT1549" s="2">
        <v>0</v>
      </c>
      <c r="AU1549" s="2">
        <v>162</v>
      </c>
      <c r="AV1549" s="2">
        <v>9.1</v>
      </c>
      <c r="AW1549" s="2">
        <v>9.1999999999999993</v>
      </c>
      <c r="AX1549" s="2">
        <v>18.3</v>
      </c>
      <c r="AY1549" s="2">
        <v>0.34</v>
      </c>
      <c r="AZ1549" s="2">
        <v>7.3</v>
      </c>
      <c r="BA1549" s="2">
        <v>0.9</v>
      </c>
      <c r="BB1549" s="2">
        <v>7.5</v>
      </c>
      <c r="BC1549" s="2">
        <v>2.9</v>
      </c>
      <c r="BD1549" s="2">
        <f>+AN1549*EXP(-0.0495*Y1549)</f>
        <v>2.1550034473383461</v>
      </c>
      <c r="BE1549" s="2">
        <f>+AO1549*EXP(-0.024*Y1549)</f>
        <v>10.345545524896927</v>
      </c>
    </row>
    <row r="1550" spans="1:57" x14ac:dyDescent="0.2">
      <c r="A1550" s="2" t="s">
        <v>1829</v>
      </c>
      <c r="B1550" s="2" t="s">
        <v>19</v>
      </c>
      <c r="C1550" s="2" t="s">
        <v>20</v>
      </c>
      <c r="D1550" s="2" t="s">
        <v>21</v>
      </c>
      <c r="E1550" s="2" t="s">
        <v>1830</v>
      </c>
      <c r="F1550" s="2">
        <v>5</v>
      </c>
      <c r="G1550" s="2">
        <v>185</v>
      </c>
      <c r="H1550" s="2">
        <v>3</v>
      </c>
      <c r="I1550" s="2">
        <v>4</v>
      </c>
      <c r="J1550" s="2">
        <v>2</v>
      </c>
      <c r="K1550" s="2" t="s">
        <v>61</v>
      </c>
      <c r="L1550" s="6" t="s">
        <v>75</v>
      </c>
      <c r="M1550" s="5">
        <v>2500000000</v>
      </c>
      <c r="N1550" s="2">
        <v>0</v>
      </c>
      <c r="O1550" s="2">
        <v>4.6874914170000004</v>
      </c>
      <c r="P1550" s="2">
        <v>-74.038162229999998</v>
      </c>
      <c r="Q1550" s="2" t="s">
        <v>1831</v>
      </c>
      <c r="R1550" s="2">
        <v>13513513.51</v>
      </c>
      <c r="S1550" s="2">
        <v>0</v>
      </c>
      <c r="T1550" s="2" t="s">
        <v>55</v>
      </c>
      <c r="U1550" s="2" t="s">
        <v>56</v>
      </c>
      <c r="V1550" s="2" t="s">
        <v>28</v>
      </c>
      <c r="W1550" s="2" t="s">
        <v>55</v>
      </c>
      <c r="X1550" s="2" t="s">
        <v>57</v>
      </c>
      <c r="Y1550" s="2">
        <v>2.6857911196949802</v>
      </c>
      <c r="Z1550" s="2">
        <v>4.71035</v>
      </c>
      <c r="AA1550" s="2">
        <v>-74.030416666666696</v>
      </c>
      <c r="AB1550" s="2">
        <v>2570</v>
      </c>
      <c r="AC1550" s="2" t="s">
        <v>31</v>
      </c>
      <c r="AD1550" s="2" t="s">
        <v>58</v>
      </c>
      <c r="AE1550" s="2" t="s">
        <v>33</v>
      </c>
      <c r="AF1550" s="2" t="s">
        <v>34</v>
      </c>
      <c r="AG1550" s="2" t="s">
        <v>59</v>
      </c>
      <c r="AH1550" s="2">
        <v>2.08818199744699</v>
      </c>
      <c r="AI1550" s="2">
        <v>0.99094004698294103</v>
      </c>
      <c r="AJ1550" s="2">
        <v>0.574388038822778</v>
      </c>
      <c r="AK1550" s="2">
        <v>0.12583445848917099</v>
      </c>
      <c r="AL1550" s="2">
        <v>0.102242064166517</v>
      </c>
      <c r="AM1550" s="2">
        <v>15.5</v>
      </c>
      <c r="AN1550" s="2">
        <v>2.4</v>
      </c>
      <c r="AO1550" s="2">
        <v>10.9</v>
      </c>
      <c r="AP1550" s="2">
        <v>564</v>
      </c>
      <c r="AQ1550" s="2">
        <v>68</v>
      </c>
      <c r="AR1550" s="2">
        <v>1.5</v>
      </c>
      <c r="AS1550" s="2">
        <v>135</v>
      </c>
      <c r="AT1550" s="2">
        <v>0</v>
      </c>
      <c r="AU1550" s="2">
        <v>162</v>
      </c>
      <c r="AV1550" s="2">
        <v>9.1</v>
      </c>
      <c r="AW1550" s="2">
        <v>9.1999999999999993</v>
      </c>
      <c r="AX1550" s="2">
        <v>18.3</v>
      </c>
      <c r="AY1550" s="2">
        <v>0.34</v>
      </c>
      <c r="AZ1550" s="2">
        <v>7.3</v>
      </c>
      <c r="BA1550" s="2">
        <v>0.9</v>
      </c>
      <c r="BB1550" s="2">
        <v>7.5</v>
      </c>
      <c r="BC1550" s="2">
        <v>2.9</v>
      </c>
      <c r="BD1550" s="2">
        <f>+AN1550*EXP(-0.0495*Y1550)</f>
        <v>2.1012282966965214</v>
      </c>
      <c r="BE1550" s="2">
        <f>+AO1550*EXP(-0.024*Y1550)</f>
        <v>10.219562773090589</v>
      </c>
    </row>
    <row r="1551" spans="1:57" x14ac:dyDescent="0.2">
      <c r="A1551" s="2" t="s">
        <v>1875</v>
      </c>
      <c r="B1551" s="2" t="s">
        <v>19</v>
      </c>
      <c r="C1551" s="2" t="s">
        <v>20</v>
      </c>
      <c r="D1551" s="2" t="s">
        <v>21</v>
      </c>
      <c r="E1551" s="2" t="s">
        <v>180</v>
      </c>
      <c r="F1551" s="2">
        <v>6</v>
      </c>
      <c r="G1551" s="2">
        <v>184</v>
      </c>
      <c r="H1551" s="2">
        <v>3</v>
      </c>
      <c r="I1551" s="2">
        <v>5</v>
      </c>
      <c r="J1551" s="2">
        <v>2</v>
      </c>
      <c r="K1551" s="2" t="s">
        <v>61</v>
      </c>
      <c r="L1551" s="6" t="s">
        <v>113</v>
      </c>
      <c r="M1551" s="5">
        <v>1200000000</v>
      </c>
      <c r="N1551" s="2">
        <v>0</v>
      </c>
      <c r="O1551" s="2">
        <v>4.6793932910000002</v>
      </c>
      <c r="P1551" s="2">
        <v>-74.050529479999994</v>
      </c>
      <c r="Q1551" s="2" t="s">
        <v>1876</v>
      </c>
      <c r="R1551" s="2">
        <v>6521739.1299999999</v>
      </c>
      <c r="S1551" s="2">
        <v>0</v>
      </c>
      <c r="T1551" s="2" t="s">
        <v>55</v>
      </c>
      <c r="U1551" s="2" t="s">
        <v>56</v>
      </c>
      <c r="V1551" s="2" t="s">
        <v>28</v>
      </c>
      <c r="W1551" s="2" t="s">
        <v>55</v>
      </c>
      <c r="X1551" s="2" t="s">
        <v>57</v>
      </c>
      <c r="Y1551" s="2">
        <v>4.1054607722179801</v>
      </c>
      <c r="Z1551" s="2">
        <v>4.71035</v>
      </c>
      <c r="AA1551" s="2">
        <v>-74.030416666666696</v>
      </c>
      <c r="AB1551" s="2">
        <v>2570</v>
      </c>
      <c r="AC1551" s="2" t="s">
        <v>31</v>
      </c>
      <c r="AD1551" s="2" t="s">
        <v>58</v>
      </c>
      <c r="AE1551" s="2" t="s">
        <v>33</v>
      </c>
      <c r="AF1551" s="2" t="s">
        <v>34</v>
      </c>
      <c r="AG1551" s="2" t="s">
        <v>81</v>
      </c>
      <c r="AH1551" s="2">
        <v>0.94224689271969997</v>
      </c>
      <c r="AI1551" s="2">
        <v>1.3595855958448699</v>
      </c>
      <c r="AJ1551" s="2">
        <v>0.73504490979140102</v>
      </c>
      <c r="AK1551" s="2">
        <v>6.6988360438581501E-2</v>
      </c>
      <c r="AL1551" s="2">
        <v>0.92221754752401197</v>
      </c>
      <c r="AM1551" s="2">
        <v>15.5</v>
      </c>
      <c r="AN1551" s="2">
        <v>2.4</v>
      </c>
      <c r="AO1551" s="2">
        <v>10.9</v>
      </c>
      <c r="AP1551" s="2">
        <v>564</v>
      </c>
      <c r="AQ1551" s="2">
        <v>68</v>
      </c>
      <c r="AR1551" s="2">
        <v>1.5</v>
      </c>
      <c r="AS1551" s="2">
        <v>135</v>
      </c>
      <c r="AT1551" s="2">
        <v>0</v>
      </c>
      <c r="AU1551" s="2">
        <v>162</v>
      </c>
      <c r="AV1551" s="2">
        <v>9.1</v>
      </c>
      <c r="AW1551" s="2">
        <v>9.1999999999999993</v>
      </c>
      <c r="AX1551" s="2">
        <v>18.3</v>
      </c>
      <c r="AY1551" s="2">
        <v>0.34</v>
      </c>
      <c r="AZ1551" s="2">
        <v>7.3</v>
      </c>
      <c r="BA1551" s="2">
        <v>0.9</v>
      </c>
      <c r="BB1551" s="2">
        <v>7.5</v>
      </c>
      <c r="BC1551" s="2">
        <v>2.9</v>
      </c>
      <c r="BD1551" s="2">
        <f>+AN1551*EXP(-0.0495*Y1551)</f>
        <v>1.9586362282156216</v>
      </c>
      <c r="BE1551" s="2">
        <f>+AO1551*EXP(-0.024*Y1551)</f>
        <v>9.8772262725711339</v>
      </c>
    </row>
    <row r="1552" spans="1:57" x14ac:dyDescent="0.2">
      <c r="A1552" s="2" t="s">
        <v>1622</v>
      </c>
      <c r="B1552" s="2" t="s">
        <v>19</v>
      </c>
      <c r="C1552" s="2" t="s">
        <v>20</v>
      </c>
      <c r="D1552" s="2" t="s">
        <v>21</v>
      </c>
      <c r="E1552" s="2" t="s">
        <v>933</v>
      </c>
      <c r="F1552" s="2">
        <v>5</v>
      </c>
      <c r="G1552" s="2">
        <v>184</v>
      </c>
      <c r="H1552" s="2">
        <v>3</v>
      </c>
      <c r="I1552" s="2">
        <v>4</v>
      </c>
      <c r="J1552" s="2">
        <v>2</v>
      </c>
      <c r="K1552" s="2" t="s">
        <v>61</v>
      </c>
      <c r="L1552" s="6" t="s">
        <v>75</v>
      </c>
      <c r="M1552" s="5">
        <v>1300000000</v>
      </c>
      <c r="N1552" s="2">
        <v>0</v>
      </c>
      <c r="O1552" s="2">
        <v>4.7161442999999998</v>
      </c>
      <c r="P1552" s="2">
        <v>-74.047890199999998</v>
      </c>
      <c r="Q1552" s="2" t="s">
        <v>1623</v>
      </c>
      <c r="R1552" s="2">
        <v>7065217.3909999998</v>
      </c>
      <c r="S1552" s="2">
        <v>0</v>
      </c>
      <c r="T1552" s="2" t="s">
        <v>55</v>
      </c>
      <c r="U1552" s="2" t="s">
        <v>56</v>
      </c>
      <c r="V1552" s="2" t="s">
        <v>28</v>
      </c>
      <c r="W1552" s="2" t="s">
        <v>55</v>
      </c>
      <c r="X1552" s="2" t="s">
        <v>57</v>
      </c>
      <c r="Y1552" s="2">
        <v>2.04305935642296</v>
      </c>
      <c r="Z1552" s="2">
        <v>4.71035</v>
      </c>
      <c r="AA1552" s="2">
        <v>-74.030416666666696</v>
      </c>
      <c r="AB1552" s="2">
        <v>2570</v>
      </c>
      <c r="AC1552" s="2" t="s">
        <v>31</v>
      </c>
      <c r="AD1552" s="2" t="s">
        <v>58</v>
      </c>
      <c r="AE1552" s="2" t="s">
        <v>33</v>
      </c>
      <c r="AF1552" s="2" t="s">
        <v>34</v>
      </c>
      <c r="AG1552" s="2" t="s">
        <v>59</v>
      </c>
      <c r="AH1552" s="2">
        <v>0.54644249007884105</v>
      </c>
      <c r="AI1552" s="2">
        <v>2.6025089855452999</v>
      </c>
      <c r="AJ1552" s="2">
        <v>1.7787145442589201</v>
      </c>
      <c r="AK1552" s="2">
        <v>0.25943684103380199</v>
      </c>
      <c r="AL1552" s="2">
        <v>0.55220896236614903</v>
      </c>
      <c r="AM1552" s="2">
        <v>15.5</v>
      </c>
      <c r="AN1552" s="2">
        <v>2.4</v>
      </c>
      <c r="AO1552" s="2">
        <v>10.9</v>
      </c>
      <c r="AP1552" s="2">
        <v>564</v>
      </c>
      <c r="AQ1552" s="2">
        <v>68</v>
      </c>
      <c r="AR1552" s="2">
        <v>1.5</v>
      </c>
      <c r="AS1552" s="2">
        <v>135</v>
      </c>
      <c r="AT1552" s="2">
        <v>0</v>
      </c>
      <c r="AU1552" s="2">
        <v>162</v>
      </c>
      <c r="AV1552" s="2">
        <v>9.1</v>
      </c>
      <c r="AW1552" s="2">
        <v>9.1999999999999993</v>
      </c>
      <c r="AX1552" s="2">
        <v>18.3</v>
      </c>
      <c r="AY1552" s="2">
        <v>0.34</v>
      </c>
      <c r="AZ1552" s="2">
        <v>7.3</v>
      </c>
      <c r="BA1552" s="2">
        <v>0.9</v>
      </c>
      <c r="BB1552" s="2">
        <v>7.5</v>
      </c>
      <c r="BC1552" s="2">
        <v>2.9</v>
      </c>
      <c r="BD1552" s="2">
        <f>+AN1552*EXP(-0.0495*Y1552)</f>
        <v>2.1691541505948178</v>
      </c>
      <c r="BE1552" s="2">
        <f>+AO1552*EXP(-0.024*Y1552)</f>
        <v>10.378427413607156</v>
      </c>
    </row>
    <row r="1553" spans="1:57" x14ac:dyDescent="0.2">
      <c r="A1553" s="2" t="s">
        <v>796</v>
      </c>
      <c r="B1553" s="2" t="s">
        <v>19</v>
      </c>
      <c r="C1553" s="2" t="s">
        <v>20</v>
      </c>
      <c r="D1553" s="2" t="s">
        <v>21</v>
      </c>
      <c r="E1553" s="2" t="s">
        <v>699</v>
      </c>
      <c r="F1553" s="2">
        <v>6</v>
      </c>
      <c r="G1553" s="2">
        <v>183.03</v>
      </c>
      <c r="H1553" s="2">
        <v>3</v>
      </c>
      <c r="I1553" s="2">
        <v>5</v>
      </c>
      <c r="J1553" s="2">
        <v>2</v>
      </c>
      <c r="K1553" s="2" t="s">
        <v>61</v>
      </c>
      <c r="L1553" s="6" t="s">
        <v>75</v>
      </c>
      <c r="M1553" s="5">
        <v>1750000000</v>
      </c>
      <c r="N1553" s="2">
        <v>0</v>
      </c>
      <c r="O1553" s="2">
        <v>4.6951099999999997</v>
      </c>
      <c r="P1553" s="2">
        <v>-74.04186</v>
      </c>
      <c r="Q1553" s="2" t="s">
        <v>797</v>
      </c>
      <c r="R1553" s="2">
        <v>9561274.1079999991</v>
      </c>
      <c r="S1553" s="2">
        <v>0</v>
      </c>
      <c r="T1553" s="2" t="s">
        <v>55</v>
      </c>
      <c r="U1553" s="2" t="s">
        <v>56</v>
      </c>
      <c r="V1553" s="2" t="s">
        <v>28</v>
      </c>
      <c r="W1553" s="2" t="s">
        <v>55</v>
      </c>
      <c r="X1553" s="2" t="s">
        <v>57</v>
      </c>
      <c r="Y1553" s="2">
        <v>2.1189549446688898</v>
      </c>
      <c r="Z1553" s="2">
        <v>4.71035</v>
      </c>
      <c r="AA1553" s="2">
        <v>-74.030416666666696</v>
      </c>
      <c r="AB1553" s="2">
        <v>2570</v>
      </c>
      <c r="AC1553" s="2" t="s">
        <v>31</v>
      </c>
      <c r="AD1553" s="2" t="s">
        <v>58</v>
      </c>
      <c r="AE1553" s="2" t="s">
        <v>33</v>
      </c>
      <c r="AF1553" s="2" t="s">
        <v>34</v>
      </c>
      <c r="AG1553" s="2" t="s">
        <v>59</v>
      </c>
      <c r="AH1553" s="2">
        <v>1.5279930675803901</v>
      </c>
      <c r="AI1553" s="2">
        <v>1.7281023629732899</v>
      </c>
      <c r="AJ1553" s="2">
        <v>0.90844540772508497</v>
      </c>
      <c r="AK1553" s="2">
        <v>5.0734887948505898E-2</v>
      </c>
      <c r="AL1553" s="2">
        <v>0.21422080790115799</v>
      </c>
      <c r="AM1553" s="2">
        <v>15.5</v>
      </c>
      <c r="AN1553" s="2">
        <v>2.4</v>
      </c>
      <c r="AO1553" s="2">
        <v>10.9</v>
      </c>
      <c r="AP1553" s="2">
        <v>564</v>
      </c>
      <c r="AQ1553" s="2">
        <v>68</v>
      </c>
      <c r="AR1553" s="2">
        <v>1.5</v>
      </c>
      <c r="AS1553" s="2">
        <v>135</v>
      </c>
      <c r="AT1553" s="2">
        <v>0</v>
      </c>
      <c r="AU1553" s="2">
        <v>162</v>
      </c>
      <c r="AV1553" s="2">
        <v>9.1</v>
      </c>
      <c r="AW1553" s="2">
        <v>9.1999999999999993</v>
      </c>
      <c r="AX1553" s="2">
        <v>18.3</v>
      </c>
      <c r="AY1553" s="2">
        <v>0.34</v>
      </c>
      <c r="AZ1553" s="2">
        <v>7.3</v>
      </c>
      <c r="BA1553" s="2">
        <v>0.9</v>
      </c>
      <c r="BB1553" s="2">
        <v>7.5</v>
      </c>
      <c r="BC1553" s="2">
        <v>2.9</v>
      </c>
      <c r="BD1553" s="2">
        <f>+AN1553*EXP(-0.0495*Y1553)</f>
        <v>2.1610202920323083</v>
      </c>
      <c r="BE1553" s="2">
        <f>+AO1553*EXP(-0.024*Y1553)</f>
        <v>10.359540375656476</v>
      </c>
    </row>
    <row r="1554" spans="1:57" x14ac:dyDescent="0.2">
      <c r="A1554" s="2" t="s">
        <v>2630</v>
      </c>
      <c r="B1554" s="2" t="s">
        <v>19</v>
      </c>
      <c r="C1554" s="2" t="s">
        <v>1907</v>
      </c>
      <c r="D1554" s="2" t="s">
        <v>21</v>
      </c>
      <c r="E1554" s="2" t="s">
        <v>186</v>
      </c>
      <c r="F1554" s="2">
        <v>5</v>
      </c>
      <c r="G1554" s="2">
        <v>183</v>
      </c>
      <c r="H1554" s="2">
        <v>4</v>
      </c>
      <c r="I1554" s="2">
        <v>4</v>
      </c>
      <c r="J1554" s="2">
        <v>2</v>
      </c>
      <c r="K1554" s="2" t="s">
        <v>61</v>
      </c>
      <c r="L1554" s="6" t="s">
        <v>62</v>
      </c>
      <c r="M1554" s="5">
        <v>1900000000</v>
      </c>
      <c r="N1554" s="2">
        <v>0</v>
      </c>
      <c r="O1554" s="2">
        <v>4.7054279360000004</v>
      </c>
      <c r="P1554" s="2">
        <v>-74.036227949999997</v>
      </c>
      <c r="Q1554" s="2" t="s">
        <v>2631</v>
      </c>
      <c r="R1554" s="2">
        <v>10382513.66</v>
      </c>
      <c r="S1554" s="2">
        <v>0</v>
      </c>
      <c r="T1554" s="2" t="s">
        <v>55</v>
      </c>
      <c r="U1554" s="2" t="s">
        <v>56</v>
      </c>
      <c r="V1554" s="2" t="s">
        <v>28</v>
      </c>
      <c r="W1554" s="2" t="s">
        <v>55</v>
      </c>
      <c r="X1554" s="2" t="s">
        <v>57</v>
      </c>
      <c r="Y1554" s="2">
        <v>0.84610306261512502</v>
      </c>
      <c r="Z1554" s="2">
        <v>4.71035</v>
      </c>
      <c r="AA1554" s="2">
        <v>-74.030416666666696</v>
      </c>
      <c r="AB1554" s="2">
        <v>2570</v>
      </c>
      <c r="AC1554" s="2" t="s">
        <v>31</v>
      </c>
      <c r="AD1554" s="2" t="s">
        <v>58</v>
      </c>
      <c r="AE1554" s="2" t="s">
        <v>33</v>
      </c>
      <c r="AF1554" s="2" t="s">
        <v>34</v>
      </c>
      <c r="AG1554" s="2" t="s">
        <v>59</v>
      </c>
      <c r="AH1554" s="2">
        <v>1.99736978059574</v>
      </c>
      <c r="AI1554" s="2">
        <v>1.2324120057124699</v>
      </c>
      <c r="AJ1554" s="2">
        <v>0.61552966610716697</v>
      </c>
      <c r="AK1554" s="2">
        <v>0.201455595340505</v>
      </c>
      <c r="AL1554" s="2">
        <v>0.23341279049630001</v>
      </c>
      <c r="AM1554" s="2">
        <v>15.5</v>
      </c>
      <c r="AN1554" s="2">
        <v>2.4</v>
      </c>
      <c r="AO1554" s="2">
        <v>10.9</v>
      </c>
      <c r="AP1554" s="2">
        <v>564</v>
      </c>
      <c r="AQ1554" s="2">
        <v>68</v>
      </c>
      <c r="AR1554" s="2">
        <v>1.5</v>
      </c>
      <c r="AS1554" s="2">
        <v>135</v>
      </c>
      <c r="AT1554" s="2">
        <v>0</v>
      </c>
      <c r="AU1554" s="2">
        <v>162</v>
      </c>
      <c r="AV1554" s="2">
        <v>9.1</v>
      </c>
      <c r="AW1554" s="2">
        <v>9.1999999999999993</v>
      </c>
      <c r="AX1554" s="2">
        <v>18.3</v>
      </c>
      <c r="AY1554" s="2">
        <v>0.34</v>
      </c>
      <c r="AZ1554" s="2">
        <v>7.3</v>
      </c>
      <c r="BA1554" s="2">
        <v>0.9</v>
      </c>
      <c r="BB1554" s="2">
        <v>7.5</v>
      </c>
      <c r="BC1554" s="2">
        <v>2.9</v>
      </c>
      <c r="BD1554" s="2">
        <f>+AN1554*EXP(-0.0495*Y1554)</f>
        <v>2.3015588074808968</v>
      </c>
      <c r="BE1554" s="2">
        <f>+AO1554*EXP(-0.024*Y1554)</f>
        <v>10.680891627116036</v>
      </c>
    </row>
    <row r="1555" spans="1:57" x14ac:dyDescent="0.2">
      <c r="A1555" s="2" t="s">
        <v>1724</v>
      </c>
      <c r="B1555" s="2" t="s">
        <v>19</v>
      </c>
      <c r="C1555" s="2" t="s">
        <v>20</v>
      </c>
      <c r="D1555" s="2" t="s">
        <v>21</v>
      </c>
      <c r="E1555" s="2" t="s">
        <v>1725</v>
      </c>
      <c r="F1555" s="2">
        <v>5</v>
      </c>
      <c r="G1555" s="2">
        <v>182</v>
      </c>
      <c r="H1555" s="2">
        <v>3</v>
      </c>
      <c r="I1555" s="2">
        <v>4</v>
      </c>
      <c r="J1555" s="2">
        <v>3</v>
      </c>
      <c r="K1555" s="2" t="s">
        <v>61</v>
      </c>
      <c r="L1555" s="6" t="s">
        <v>84</v>
      </c>
      <c r="M1555" s="5">
        <v>1650000000</v>
      </c>
      <c r="N1555" s="2">
        <v>0</v>
      </c>
      <c r="O1555" s="2">
        <v>4.6894863000000004</v>
      </c>
      <c r="P1555" s="2">
        <v>-74.037540000000007</v>
      </c>
      <c r="Q1555" s="2" t="s">
        <v>1726</v>
      </c>
      <c r="R1555" s="2">
        <v>9065934.0659999996</v>
      </c>
      <c r="S1555" s="2">
        <v>0</v>
      </c>
      <c r="T1555" s="2" t="s">
        <v>55</v>
      </c>
      <c r="U1555" s="2" t="s">
        <v>56</v>
      </c>
      <c r="V1555" s="2" t="s">
        <v>28</v>
      </c>
      <c r="W1555" s="2" t="s">
        <v>55</v>
      </c>
      <c r="X1555" s="2" t="s">
        <v>57</v>
      </c>
      <c r="Y1555" s="2">
        <v>2.4533138594237598</v>
      </c>
      <c r="Z1555" s="2">
        <v>4.71035</v>
      </c>
      <c r="AA1555" s="2">
        <v>-74.030416666666696</v>
      </c>
      <c r="AB1555" s="2">
        <v>2570</v>
      </c>
      <c r="AC1555" s="2" t="s">
        <v>31</v>
      </c>
      <c r="AD1555" s="2" t="s">
        <v>58</v>
      </c>
      <c r="AE1555" s="2" t="s">
        <v>33</v>
      </c>
      <c r="AF1555" s="2" t="s">
        <v>34</v>
      </c>
      <c r="AG1555" s="2" t="s">
        <v>59</v>
      </c>
      <c r="AH1555" s="2">
        <v>2.1028525174078898</v>
      </c>
      <c r="AI1555" s="2">
        <v>1.19489831728427</v>
      </c>
      <c r="AJ1555" s="2">
        <v>0.80467309583881497</v>
      </c>
      <c r="AK1555" s="2">
        <v>0.20515515514558999</v>
      </c>
      <c r="AL1555" s="2">
        <v>0.32969161856235402</v>
      </c>
      <c r="AM1555" s="2">
        <v>15.5</v>
      </c>
      <c r="AN1555" s="2">
        <v>2.4</v>
      </c>
      <c r="AO1555" s="2">
        <v>10.9</v>
      </c>
      <c r="AP1555" s="2">
        <v>564</v>
      </c>
      <c r="AQ1555" s="2">
        <v>68</v>
      </c>
      <c r="AR1555" s="2">
        <v>1.5</v>
      </c>
      <c r="AS1555" s="2">
        <v>135</v>
      </c>
      <c r="AT1555" s="2">
        <v>0</v>
      </c>
      <c r="AU1555" s="2">
        <v>162</v>
      </c>
      <c r="AV1555" s="2">
        <v>9.1</v>
      </c>
      <c r="AW1555" s="2">
        <v>9.1999999999999993</v>
      </c>
      <c r="AX1555" s="2">
        <v>18.3</v>
      </c>
      <c r="AY1555" s="2">
        <v>0.34</v>
      </c>
      <c r="AZ1555" s="2">
        <v>7.3</v>
      </c>
      <c r="BA1555" s="2">
        <v>0.9</v>
      </c>
      <c r="BB1555" s="2">
        <v>7.5</v>
      </c>
      <c r="BC1555" s="2">
        <v>2.9</v>
      </c>
      <c r="BD1555" s="2">
        <f>+AN1555*EXP(-0.0495*Y1555)</f>
        <v>2.1255481059140209</v>
      </c>
      <c r="BE1555" s="2">
        <f>+AO1555*EXP(-0.024*Y1555)</f>
        <v>10.276741721332046</v>
      </c>
    </row>
    <row r="1556" spans="1:57" x14ac:dyDescent="0.2">
      <c r="A1556" s="2" t="s">
        <v>2550</v>
      </c>
      <c r="B1556" s="2" t="s">
        <v>19</v>
      </c>
      <c r="C1556" s="2" t="s">
        <v>1907</v>
      </c>
      <c r="D1556" s="2" t="s">
        <v>21</v>
      </c>
      <c r="E1556" s="2" t="s">
        <v>952</v>
      </c>
      <c r="F1556" s="2">
        <v>5</v>
      </c>
      <c r="G1556" s="2">
        <v>180</v>
      </c>
      <c r="H1556" s="2">
        <v>3</v>
      </c>
      <c r="I1556" s="2">
        <v>2</v>
      </c>
      <c r="J1556" s="2">
        <v>2</v>
      </c>
      <c r="K1556" s="2" t="s">
        <v>61</v>
      </c>
      <c r="L1556" s="6" t="s">
        <v>75</v>
      </c>
      <c r="M1556" s="5">
        <v>950000000</v>
      </c>
      <c r="N1556" s="2">
        <v>0</v>
      </c>
      <c r="O1556" s="2">
        <v>4.6934315</v>
      </c>
      <c r="P1556" s="2">
        <v>-74.064894800000005</v>
      </c>
      <c r="Q1556" s="2" t="s">
        <v>2551</v>
      </c>
      <c r="R1556" s="2">
        <v>5277777.7779999999</v>
      </c>
      <c r="S1556" s="2">
        <v>0</v>
      </c>
      <c r="T1556" s="2" t="s">
        <v>55</v>
      </c>
      <c r="U1556" s="2" t="s">
        <v>56</v>
      </c>
      <c r="V1556" s="2" t="s">
        <v>28</v>
      </c>
      <c r="W1556" s="2" t="s">
        <v>55</v>
      </c>
      <c r="X1556" s="2" t="s">
        <v>57</v>
      </c>
      <c r="Y1556" s="2">
        <v>4.2636815119018499</v>
      </c>
      <c r="Z1556" s="2">
        <v>4.71035</v>
      </c>
      <c r="AA1556" s="2">
        <v>-74.030416666666696</v>
      </c>
      <c r="AB1556" s="2">
        <v>2570</v>
      </c>
      <c r="AC1556" s="2" t="s">
        <v>31</v>
      </c>
      <c r="AD1556" s="2" t="s">
        <v>58</v>
      </c>
      <c r="AE1556" s="2" t="s">
        <v>33</v>
      </c>
      <c r="AF1556" s="2" t="s">
        <v>34</v>
      </c>
      <c r="AG1556" s="2" t="s">
        <v>72</v>
      </c>
      <c r="AH1556" s="2">
        <v>0.25659012800557701</v>
      </c>
      <c r="AI1556" s="2">
        <v>3.5397348376648901</v>
      </c>
      <c r="AJ1556" s="2">
        <v>0.71352866630844802</v>
      </c>
      <c r="AK1556" s="2">
        <v>6.7767515152708999E-2</v>
      </c>
      <c r="AL1556" s="2">
        <v>0.23863103303887401</v>
      </c>
      <c r="AM1556" s="2">
        <v>15.5</v>
      </c>
      <c r="AN1556" s="2">
        <v>2.4</v>
      </c>
      <c r="AO1556" s="2">
        <v>10.9</v>
      </c>
      <c r="AP1556" s="2">
        <v>564</v>
      </c>
      <c r="AQ1556" s="2">
        <v>68</v>
      </c>
      <c r="AR1556" s="2">
        <v>1.5</v>
      </c>
      <c r="AS1556" s="2">
        <v>135</v>
      </c>
      <c r="AT1556" s="2">
        <v>0</v>
      </c>
      <c r="AU1556" s="2">
        <v>162</v>
      </c>
      <c r="AV1556" s="2">
        <v>9.1</v>
      </c>
      <c r="AW1556" s="2">
        <v>9.1999999999999993</v>
      </c>
      <c r="AX1556" s="2">
        <v>18.3</v>
      </c>
      <c r="AY1556" s="2">
        <v>0.34</v>
      </c>
      <c r="AZ1556" s="2">
        <v>7.3</v>
      </c>
      <c r="BA1556" s="2">
        <v>0.9</v>
      </c>
      <c r="BB1556" s="2">
        <v>7.5</v>
      </c>
      <c r="BC1556" s="2">
        <v>2.9</v>
      </c>
      <c r="BD1556" s="2">
        <f>+AN1556*EXP(-0.0495*Y1556)</f>
        <v>1.9433562469628594</v>
      </c>
      <c r="BE1556" s="2">
        <f>+AO1556*EXP(-0.024*Y1556)</f>
        <v>9.839790625578825</v>
      </c>
    </row>
    <row r="1557" spans="1:57" x14ac:dyDescent="0.2">
      <c r="A1557" s="2" t="s">
        <v>871</v>
      </c>
      <c r="B1557" s="2" t="s">
        <v>19</v>
      </c>
      <c r="C1557" s="2" t="s">
        <v>20</v>
      </c>
      <c r="D1557" s="2" t="s">
        <v>21</v>
      </c>
      <c r="E1557" s="2" t="s">
        <v>419</v>
      </c>
      <c r="F1557" s="2">
        <v>6</v>
      </c>
      <c r="G1557" s="2">
        <v>180</v>
      </c>
      <c r="H1557" s="2">
        <v>3</v>
      </c>
      <c r="I1557" s="2">
        <v>4</v>
      </c>
      <c r="J1557" s="2">
        <v>2</v>
      </c>
      <c r="K1557" s="2" t="s">
        <v>61</v>
      </c>
      <c r="L1557" s="6" t="s">
        <v>113</v>
      </c>
      <c r="M1557" s="5">
        <v>1520000000</v>
      </c>
      <c r="N1557" s="2">
        <v>0</v>
      </c>
      <c r="O1557" s="2">
        <v>4.6901211739999997</v>
      </c>
      <c r="P1557" s="2">
        <v>-74.05497742</v>
      </c>
      <c r="Q1557" s="2" t="s">
        <v>872</v>
      </c>
      <c r="R1557" s="2">
        <v>8444444.4440000001</v>
      </c>
      <c r="S1557" s="2">
        <v>0</v>
      </c>
      <c r="T1557" s="2" t="s">
        <v>55</v>
      </c>
      <c r="U1557" s="2" t="s">
        <v>56</v>
      </c>
      <c r="V1557" s="2" t="s">
        <v>28</v>
      </c>
      <c r="W1557" s="2" t="s">
        <v>55</v>
      </c>
      <c r="X1557" s="2" t="s">
        <v>57</v>
      </c>
      <c r="Y1557" s="2">
        <v>3.5349601187936801</v>
      </c>
      <c r="Z1557" s="2">
        <v>4.71035</v>
      </c>
      <c r="AA1557" s="2">
        <v>-74.030416666666696</v>
      </c>
      <c r="AB1557" s="2">
        <v>2570</v>
      </c>
      <c r="AC1557" s="2" t="s">
        <v>31</v>
      </c>
      <c r="AD1557" s="2" t="s">
        <v>58</v>
      </c>
      <c r="AE1557" s="2" t="s">
        <v>33</v>
      </c>
      <c r="AF1557" s="2" t="s">
        <v>34</v>
      </c>
      <c r="AG1557" s="2" t="s">
        <v>59</v>
      </c>
      <c r="AH1557" s="2">
        <v>0.34329016083779501</v>
      </c>
      <c r="AI1557" s="2">
        <v>2.4284900448852</v>
      </c>
      <c r="AJ1557" s="2">
        <v>0.51568988721089104</v>
      </c>
      <c r="AK1557" s="2">
        <v>0.118469795589019</v>
      </c>
      <c r="AL1557" s="2">
        <v>0.36713314649545697</v>
      </c>
      <c r="AM1557" s="2">
        <v>15.5</v>
      </c>
      <c r="AN1557" s="2">
        <v>2.4</v>
      </c>
      <c r="AO1557" s="2">
        <v>10.9</v>
      </c>
      <c r="AP1557" s="2">
        <v>564</v>
      </c>
      <c r="AQ1557" s="2">
        <v>68</v>
      </c>
      <c r="AR1557" s="2">
        <v>1.5</v>
      </c>
      <c r="AS1557" s="2">
        <v>135</v>
      </c>
      <c r="AT1557" s="2">
        <v>0</v>
      </c>
      <c r="AU1557" s="2">
        <v>162</v>
      </c>
      <c r="AV1557" s="2">
        <v>9.1</v>
      </c>
      <c r="AW1557" s="2">
        <v>9.1999999999999993</v>
      </c>
      <c r="AX1557" s="2">
        <v>18.3</v>
      </c>
      <c r="AY1557" s="2">
        <v>0.34</v>
      </c>
      <c r="AZ1557" s="2">
        <v>7.3</v>
      </c>
      <c r="BA1557" s="2">
        <v>0.9</v>
      </c>
      <c r="BB1557" s="2">
        <v>7.5</v>
      </c>
      <c r="BC1557" s="2">
        <v>2.9</v>
      </c>
      <c r="BD1557" s="2">
        <f>+AN1557*EXP(-0.0495*Y1557)</f>
        <v>2.0147360846757674</v>
      </c>
      <c r="BE1557" s="2">
        <f>+AO1557*EXP(-0.024*Y1557)</f>
        <v>10.013395497863968</v>
      </c>
    </row>
    <row r="1558" spans="1:57" x14ac:dyDescent="0.2">
      <c r="A1558" s="2" t="s">
        <v>1715</v>
      </c>
      <c r="B1558" s="2" t="s">
        <v>19</v>
      </c>
      <c r="C1558" s="2" t="s">
        <v>20</v>
      </c>
      <c r="D1558" s="2" t="s">
        <v>21</v>
      </c>
      <c r="E1558" s="2" t="s">
        <v>1658</v>
      </c>
      <c r="F1558" s="2">
        <v>6</v>
      </c>
      <c r="G1558" s="2">
        <v>178</v>
      </c>
      <c r="H1558" s="2">
        <v>3</v>
      </c>
      <c r="I1558" s="2">
        <v>3</v>
      </c>
      <c r="J1558" s="2">
        <v>2</v>
      </c>
      <c r="K1558" s="2" t="s">
        <v>61</v>
      </c>
      <c r="L1558" s="6" t="s">
        <v>113</v>
      </c>
      <c r="M1558" s="5">
        <v>1670000000</v>
      </c>
      <c r="N1558" s="2">
        <v>0</v>
      </c>
      <c r="O1558" s="2">
        <v>4.71937418</v>
      </c>
      <c r="P1558" s="2">
        <v>-74.023902890000002</v>
      </c>
      <c r="Q1558" s="2" t="s">
        <v>1716</v>
      </c>
      <c r="R1558" s="2">
        <v>9382022.4719999991</v>
      </c>
      <c r="S1558" s="2">
        <v>0</v>
      </c>
      <c r="T1558" s="2" t="s">
        <v>55</v>
      </c>
      <c r="U1558" s="2" t="s">
        <v>56</v>
      </c>
      <c r="V1558" s="2" t="s">
        <v>28</v>
      </c>
      <c r="W1558" s="2" t="s">
        <v>55</v>
      </c>
      <c r="X1558" s="2" t="s">
        <v>57</v>
      </c>
      <c r="Y1558" s="2">
        <v>1.2374924905759199</v>
      </c>
      <c r="Z1558" s="2">
        <v>4.71035</v>
      </c>
      <c r="AA1558" s="2">
        <v>-74.030416666666696</v>
      </c>
      <c r="AB1558" s="2">
        <v>2570</v>
      </c>
      <c r="AC1558" s="2" t="s">
        <v>31</v>
      </c>
      <c r="AD1558" s="2" t="s">
        <v>58</v>
      </c>
      <c r="AE1558" s="2" t="s">
        <v>33</v>
      </c>
      <c r="AF1558" s="2" t="s">
        <v>34</v>
      </c>
      <c r="AG1558" s="2" t="s">
        <v>59</v>
      </c>
      <c r="AH1558" s="2">
        <v>3.0616252579716701</v>
      </c>
      <c r="AI1558" s="2">
        <v>4.4300473066884401E-2</v>
      </c>
      <c r="AJ1558" s="2">
        <v>1.3705815384387401</v>
      </c>
      <c r="AK1558" s="2">
        <v>0.55176218090893003</v>
      </c>
      <c r="AL1558" s="2">
        <v>0.39703372475293702</v>
      </c>
      <c r="AM1558" s="2">
        <v>15.5</v>
      </c>
      <c r="AN1558" s="2">
        <v>2.4</v>
      </c>
      <c r="AO1558" s="2">
        <v>10.9</v>
      </c>
      <c r="AP1558" s="2">
        <v>564</v>
      </c>
      <c r="AQ1558" s="2">
        <v>68</v>
      </c>
      <c r="AR1558" s="2">
        <v>1.5</v>
      </c>
      <c r="AS1558" s="2">
        <v>135</v>
      </c>
      <c r="AT1558" s="2">
        <v>0</v>
      </c>
      <c r="AU1558" s="2">
        <v>162</v>
      </c>
      <c r="AV1558" s="2">
        <v>9.1</v>
      </c>
      <c r="AW1558" s="2">
        <v>9.1999999999999993</v>
      </c>
      <c r="AX1558" s="2">
        <v>18.3</v>
      </c>
      <c r="AY1558" s="2">
        <v>0.34</v>
      </c>
      <c r="AZ1558" s="2">
        <v>7.3</v>
      </c>
      <c r="BA1558" s="2">
        <v>0.9</v>
      </c>
      <c r="BB1558" s="2">
        <v>7.5</v>
      </c>
      <c r="BC1558" s="2">
        <v>2.9</v>
      </c>
      <c r="BD1558" s="2">
        <f>+AN1558*EXP(-0.0495*Y1558)</f>
        <v>2.2573980824095008</v>
      </c>
      <c r="BE1558" s="2">
        <f>+AO1558*EXP(-0.024*Y1558)</f>
        <v>10.581032055603375</v>
      </c>
    </row>
    <row r="1559" spans="1:57" x14ac:dyDescent="0.2">
      <c r="A1559" s="2" t="s">
        <v>2358</v>
      </c>
      <c r="B1559" s="2" t="s">
        <v>19</v>
      </c>
      <c r="C1559" s="2" t="s">
        <v>1907</v>
      </c>
      <c r="D1559" s="2" t="s">
        <v>21</v>
      </c>
      <c r="E1559" s="2" t="s">
        <v>2034</v>
      </c>
      <c r="F1559" s="2">
        <v>5</v>
      </c>
      <c r="G1559" s="2">
        <v>178</v>
      </c>
      <c r="H1559" s="2">
        <v>4</v>
      </c>
      <c r="I1559" s="2">
        <v>4</v>
      </c>
      <c r="J1559" s="2">
        <v>2</v>
      </c>
      <c r="K1559" s="2" t="s">
        <v>61</v>
      </c>
      <c r="L1559" s="6" t="s">
        <v>113</v>
      </c>
      <c r="M1559" s="5">
        <v>1400000000</v>
      </c>
      <c r="N1559" s="2">
        <v>0</v>
      </c>
      <c r="O1559" s="2">
        <v>4.7199557929999996</v>
      </c>
      <c r="P1559" s="2">
        <v>-74.031075329999993</v>
      </c>
      <c r="Q1559" s="2" t="s">
        <v>2359</v>
      </c>
      <c r="R1559" s="2">
        <v>7865168.5389999999</v>
      </c>
      <c r="S1559" s="2">
        <v>0</v>
      </c>
      <c r="T1559" s="2" t="s">
        <v>55</v>
      </c>
      <c r="U1559" s="2" t="s">
        <v>56</v>
      </c>
      <c r="V1559" s="2" t="s">
        <v>28</v>
      </c>
      <c r="W1559" s="2" t="s">
        <v>55</v>
      </c>
      <c r="X1559" s="2" t="s">
        <v>57</v>
      </c>
      <c r="Y1559" s="2">
        <v>1.0718059153549799</v>
      </c>
      <c r="Z1559" s="2">
        <v>4.71035</v>
      </c>
      <c r="AA1559" s="2">
        <v>-74.030416666666696</v>
      </c>
      <c r="AB1559" s="2">
        <v>2570</v>
      </c>
      <c r="AC1559" s="2" t="s">
        <v>31</v>
      </c>
      <c r="AD1559" s="2" t="s">
        <v>58</v>
      </c>
      <c r="AE1559" s="2" t="s">
        <v>33</v>
      </c>
      <c r="AF1559" s="2" t="s">
        <v>34</v>
      </c>
      <c r="AG1559" s="2" t="s">
        <v>59</v>
      </c>
      <c r="AH1559" s="2">
        <v>2.2639391392252799</v>
      </c>
      <c r="AI1559" s="2">
        <v>0.83432353169656603</v>
      </c>
      <c r="AJ1559" s="2">
        <v>1.0356259231906499</v>
      </c>
      <c r="AK1559" s="2">
        <v>0.29019842046636402</v>
      </c>
      <c r="AL1559" s="2">
        <v>0.17093615323688499</v>
      </c>
      <c r="AM1559" s="2">
        <v>15.5</v>
      </c>
      <c r="AN1559" s="2">
        <v>2.4</v>
      </c>
      <c r="AO1559" s="2">
        <v>10.9</v>
      </c>
      <c r="AP1559" s="2">
        <v>564</v>
      </c>
      <c r="AQ1559" s="2">
        <v>68</v>
      </c>
      <c r="AR1559" s="2">
        <v>1.5</v>
      </c>
      <c r="AS1559" s="2">
        <v>135</v>
      </c>
      <c r="AT1559" s="2">
        <v>0</v>
      </c>
      <c r="AU1559" s="2">
        <v>162</v>
      </c>
      <c r="AV1559" s="2">
        <v>9.1</v>
      </c>
      <c r="AW1559" s="2">
        <v>9.1999999999999993</v>
      </c>
      <c r="AX1559" s="2">
        <v>18.3</v>
      </c>
      <c r="AY1559" s="2">
        <v>0.34</v>
      </c>
      <c r="AZ1559" s="2">
        <v>7.3</v>
      </c>
      <c r="BA1559" s="2">
        <v>0.9</v>
      </c>
      <c r="BB1559" s="2">
        <v>7.5</v>
      </c>
      <c r="BC1559" s="2">
        <v>2.9</v>
      </c>
      <c r="BD1559" s="2">
        <f>+AN1559*EXP(-0.0495*Y1559)</f>
        <v>2.2759882291951348</v>
      </c>
      <c r="BE1559" s="2">
        <f>+AO1559*EXP(-0.024*Y1559)</f>
        <v>10.623191061352182</v>
      </c>
    </row>
    <row r="1560" spans="1:57" x14ac:dyDescent="0.2">
      <c r="A1560" s="2" t="s">
        <v>1303</v>
      </c>
      <c r="B1560" s="2" t="s">
        <v>19</v>
      </c>
      <c r="C1560" s="2" t="s">
        <v>20</v>
      </c>
      <c r="D1560" s="2" t="s">
        <v>21</v>
      </c>
      <c r="E1560" s="2" t="s">
        <v>1100</v>
      </c>
      <c r="F1560" s="2">
        <v>5</v>
      </c>
      <c r="G1560" s="2">
        <v>176</v>
      </c>
      <c r="H1560" s="2">
        <v>3</v>
      </c>
      <c r="I1560" s="2">
        <v>5</v>
      </c>
      <c r="J1560" s="2">
        <v>3</v>
      </c>
      <c r="K1560" s="2" t="s">
        <v>61</v>
      </c>
      <c r="L1560" s="6" t="s">
        <v>75</v>
      </c>
      <c r="M1560" s="5">
        <v>1650000000</v>
      </c>
      <c r="N1560" s="2">
        <v>0</v>
      </c>
      <c r="O1560" s="2">
        <v>4.7030682559999999</v>
      </c>
      <c r="P1560" s="2">
        <v>-74.027465820000003</v>
      </c>
      <c r="Q1560" s="2" t="s">
        <v>1304</v>
      </c>
      <c r="R1560" s="2">
        <v>9375000</v>
      </c>
      <c r="S1560" s="2">
        <v>0</v>
      </c>
      <c r="T1560" s="2" t="s">
        <v>55</v>
      </c>
      <c r="U1560" s="2" t="s">
        <v>56</v>
      </c>
      <c r="V1560" s="2" t="s">
        <v>28</v>
      </c>
      <c r="W1560" s="2" t="s">
        <v>55</v>
      </c>
      <c r="X1560" s="2" t="s">
        <v>57</v>
      </c>
      <c r="Y1560" s="2">
        <v>0.87421361137011</v>
      </c>
      <c r="Z1560" s="2">
        <v>4.71035</v>
      </c>
      <c r="AA1560" s="2">
        <v>-74.030416666666696</v>
      </c>
      <c r="AB1560" s="2">
        <v>2570</v>
      </c>
      <c r="AC1560" s="2" t="s">
        <v>31</v>
      </c>
      <c r="AD1560" s="2" t="s">
        <v>58</v>
      </c>
      <c r="AE1560" s="2" t="s">
        <v>33</v>
      </c>
      <c r="AF1560" s="2" t="s">
        <v>34</v>
      </c>
      <c r="AG1560" s="2" t="s">
        <v>59</v>
      </c>
      <c r="AH1560" s="2">
        <v>2.9720623531675199</v>
      </c>
      <c r="AI1560" s="2">
        <v>0.22824599128300699</v>
      </c>
      <c r="AJ1560" s="2">
        <v>0.58642443954355605</v>
      </c>
      <c r="AK1560" s="2">
        <v>0.16972509078113401</v>
      </c>
      <c r="AL1560" s="2">
        <v>2.1793330463850499E-2</v>
      </c>
      <c r="AM1560" s="2">
        <v>15.5</v>
      </c>
      <c r="AN1560" s="2">
        <v>2.4</v>
      </c>
      <c r="AO1560" s="2">
        <v>10.9</v>
      </c>
      <c r="AP1560" s="2">
        <v>564</v>
      </c>
      <c r="AQ1560" s="2">
        <v>68</v>
      </c>
      <c r="AR1560" s="2">
        <v>1.5</v>
      </c>
      <c r="AS1560" s="2">
        <v>135</v>
      </c>
      <c r="AT1560" s="2">
        <v>0</v>
      </c>
      <c r="AU1560" s="2">
        <v>162</v>
      </c>
      <c r="AV1560" s="2">
        <v>9.1</v>
      </c>
      <c r="AW1560" s="2">
        <v>9.1999999999999993</v>
      </c>
      <c r="AX1560" s="2">
        <v>18.3</v>
      </c>
      <c r="AY1560" s="2">
        <v>0.34</v>
      </c>
      <c r="AZ1560" s="2">
        <v>7.3</v>
      </c>
      <c r="BA1560" s="2">
        <v>0.9</v>
      </c>
      <c r="BB1560" s="2">
        <v>7.5</v>
      </c>
      <c r="BC1560" s="2">
        <v>2.9</v>
      </c>
      <c r="BD1560" s="2">
        <f>+AN1560*EXP(-0.0495*Y1560)</f>
        <v>2.2983584795678977</v>
      </c>
      <c r="BE1560" s="2">
        <f>+AO1560*EXP(-0.024*Y1560)</f>
        <v>10.673688159914315</v>
      </c>
    </row>
    <row r="1561" spans="1:57" x14ac:dyDescent="0.2">
      <c r="A1561" s="2" t="s">
        <v>127</v>
      </c>
      <c r="B1561" s="2" t="s">
        <v>19</v>
      </c>
      <c r="C1561" s="2" t="s">
        <v>20</v>
      </c>
      <c r="D1561" s="2" t="s">
        <v>21</v>
      </c>
      <c r="E1561" s="2" t="s">
        <v>128</v>
      </c>
      <c r="F1561" s="2">
        <v>5</v>
      </c>
      <c r="G1561" s="2">
        <v>175.99</v>
      </c>
      <c r="H1561" s="2">
        <v>4</v>
      </c>
      <c r="I1561" s="2">
        <v>5</v>
      </c>
      <c r="J1561" s="2">
        <v>2</v>
      </c>
      <c r="K1561" s="2" t="s">
        <v>61</v>
      </c>
      <c r="L1561" s="6" t="s">
        <v>113</v>
      </c>
      <c r="M1561" s="5">
        <v>1550000000</v>
      </c>
      <c r="N1561" s="2">
        <v>0</v>
      </c>
      <c r="O1561" s="2">
        <v>4.714545727</v>
      </c>
      <c r="P1561" s="2">
        <v>-74.047088619999997</v>
      </c>
      <c r="Q1561" s="2" t="s">
        <v>129</v>
      </c>
      <c r="R1561" s="2">
        <v>8807318.5979999993</v>
      </c>
      <c r="S1561" s="2">
        <v>0</v>
      </c>
      <c r="T1561" s="2" t="s">
        <v>55</v>
      </c>
      <c r="U1561" s="2" t="s">
        <v>56</v>
      </c>
      <c r="V1561" s="2" t="s">
        <v>28</v>
      </c>
      <c r="W1561" s="2" t="s">
        <v>55</v>
      </c>
      <c r="X1561" s="2" t="s">
        <v>57</v>
      </c>
      <c r="Y1561" s="2">
        <v>1.9076994810893999</v>
      </c>
      <c r="Z1561" s="2">
        <v>4.71035</v>
      </c>
      <c r="AA1561" s="2">
        <v>-74.030416666666696</v>
      </c>
      <c r="AB1561" s="2">
        <v>2570</v>
      </c>
      <c r="AC1561" s="2" t="s">
        <v>31</v>
      </c>
      <c r="AD1561" s="2" t="s">
        <v>58</v>
      </c>
      <c r="AE1561" s="2" t="s">
        <v>33</v>
      </c>
      <c r="AF1561" s="2" t="s">
        <v>34</v>
      </c>
      <c r="AG1561" s="2" t="s">
        <v>59</v>
      </c>
      <c r="AH1561" s="2">
        <v>0.60645266927407104</v>
      </c>
      <c r="AI1561" s="2">
        <v>2.49335557172193</v>
      </c>
      <c r="AJ1561" s="2">
        <v>1.6413905186854401</v>
      </c>
      <c r="AK1561" s="2">
        <v>0.396887341986287</v>
      </c>
      <c r="AL1561" s="2">
        <v>0.541113379845651</v>
      </c>
      <c r="AM1561" s="2">
        <v>15.5</v>
      </c>
      <c r="AN1561" s="2">
        <v>2.4</v>
      </c>
      <c r="AO1561" s="2">
        <v>10.9</v>
      </c>
      <c r="AP1561" s="2">
        <v>564</v>
      </c>
      <c r="AQ1561" s="2">
        <v>68</v>
      </c>
      <c r="AR1561" s="2">
        <v>1.5</v>
      </c>
      <c r="AS1561" s="2">
        <v>135</v>
      </c>
      <c r="AT1561" s="2">
        <v>0</v>
      </c>
      <c r="AU1561" s="2">
        <v>162</v>
      </c>
      <c r="AV1561" s="2">
        <v>9.1</v>
      </c>
      <c r="AW1561" s="2">
        <v>9.1999999999999993</v>
      </c>
      <c r="AX1561" s="2">
        <v>18.3</v>
      </c>
      <c r="AY1561" s="2">
        <v>0.34</v>
      </c>
      <c r="AZ1561" s="2">
        <v>7.3</v>
      </c>
      <c r="BA1561" s="2">
        <v>0.9</v>
      </c>
      <c r="BB1561" s="2">
        <v>7.5</v>
      </c>
      <c r="BC1561" s="2">
        <v>2.9</v>
      </c>
      <c r="BD1561" s="2">
        <f>+AN1561*EXP(-0.0495*Y1561)</f>
        <v>2.1837369643045426</v>
      </c>
      <c r="BE1561" s="2">
        <f>+AO1561*EXP(-0.024*Y1561)</f>
        <v>10.412197981445926</v>
      </c>
    </row>
    <row r="1562" spans="1:57" x14ac:dyDescent="0.2">
      <c r="A1562" s="2" t="s">
        <v>2823</v>
      </c>
      <c r="B1562" s="2" t="s">
        <v>19</v>
      </c>
      <c r="C1562" s="2" t="s">
        <v>1907</v>
      </c>
      <c r="D1562" s="2" t="s">
        <v>21</v>
      </c>
      <c r="E1562" s="2" t="s">
        <v>1093</v>
      </c>
      <c r="F1562" s="2">
        <v>5</v>
      </c>
      <c r="G1562" s="2">
        <v>175</v>
      </c>
      <c r="H1562" s="2">
        <v>3</v>
      </c>
      <c r="I1562" s="2">
        <v>3</v>
      </c>
      <c r="J1562" s="2">
        <v>1</v>
      </c>
      <c r="K1562" s="2" t="s">
        <v>61</v>
      </c>
      <c r="L1562" s="6" t="s">
        <v>113</v>
      </c>
      <c r="M1562" s="5">
        <v>950000000</v>
      </c>
      <c r="N1562" s="2">
        <v>0</v>
      </c>
      <c r="O1562" s="2">
        <v>4.7058777999999997</v>
      </c>
      <c r="P1562" s="2">
        <v>-74.058712799999995</v>
      </c>
      <c r="Q1562" s="2" t="s">
        <v>2824</v>
      </c>
      <c r="R1562" s="2">
        <v>5428571.4289999995</v>
      </c>
      <c r="S1562" s="2">
        <v>0</v>
      </c>
      <c r="T1562" s="2" t="s">
        <v>55</v>
      </c>
      <c r="U1562" s="2" t="s">
        <v>56</v>
      </c>
      <c r="V1562" s="2" t="s">
        <v>28</v>
      </c>
      <c r="W1562" s="2" t="s">
        <v>55</v>
      </c>
      <c r="X1562" s="2" t="s">
        <v>57</v>
      </c>
      <c r="Y1562" s="2">
        <v>3.1785127280559902</v>
      </c>
      <c r="Z1562" s="2">
        <v>4.71035</v>
      </c>
      <c r="AA1562" s="2">
        <v>-74.030416666666696</v>
      </c>
      <c r="AB1562" s="2">
        <v>2570</v>
      </c>
      <c r="AC1562" s="2" t="s">
        <v>31</v>
      </c>
      <c r="AD1562" s="2" t="s">
        <v>58</v>
      </c>
      <c r="AE1562" s="2" t="s">
        <v>33</v>
      </c>
      <c r="AF1562" s="2" t="s">
        <v>34</v>
      </c>
      <c r="AG1562" s="2" t="s">
        <v>72</v>
      </c>
      <c r="AH1562" s="2">
        <v>0.51604662815669</v>
      </c>
      <c r="AI1562" s="2">
        <v>3.6964996181565399</v>
      </c>
      <c r="AJ1562" s="2">
        <v>1.5007217555324901</v>
      </c>
      <c r="AK1562" s="2">
        <v>0.13740181863725101</v>
      </c>
      <c r="AL1562" s="2">
        <v>2.6446611202917698E-2</v>
      </c>
      <c r="AM1562" s="2">
        <v>15.5</v>
      </c>
      <c r="AN1562" s="2">
        <v>2.4</v>
      </c>
      <c r="AO1562" s="2">
        <v>10.9</v>
      </c>
      <c r="AP1562" s="2">
        <v>564</v>
      </c>
      <c r="AQ1562" s="2">
        <v>68</v>
      </c>
      <c r="AR1562" s="2">
        <v>1.5</v>
      </c>
      <c r="AS1562" s="2">
        <v>135</v>
      </c>
      <c r="AT1562" s="2">
        <v>0</v>
      </c>
      <c r="AU1562" s="2">
        <v>162</v>
      </c>
      <c r="AV1562" s="2">
        <v>9.1</v>
      </c>
      <c r="AW1562" s="2">
        <v>9.1999999999999993</v>
      </c>
      <c r="AX1562" s="2">
        <v>18.3</v>
      </c>
      <c r="AY1562" s="2">
        <v>0.34</v>
      </c>
      <c r="AZ1562" s="2">
        <v>7.3</v>
      </c>
      <c r="BA1562" s="2">
        <v>0.9</v>
      </c>
      <c r="BB1562" s="2">
        <v>7.5</v>
      </c>
      <c r="BC1562" s="2">
        <v>2.9</v>
      </c>
      <c r="BD1562" s="2">
        <f>+AN1562*EXP(-0.0495*Y1562)</f>
        <v>2.0505998442800557</v>
      </c>
      <c r="BE1562" s="2">
        <f>+AO1562*EXP(-0.024*Y1562)</f>
        <v>10.099424921509524</v>
      </c>
    </row>
    <row r="1563" spans="1:57" x14ac:dyDescent="0.2">
      <c r="A1563" s="2" t="s">
        <v>536</v>
      </c>
      <c r="B1563" s="2" t="s">
        <v>19</v>
      </c>
      <c r="C1563" s="2" t="s">
        <v>20</v>
      </c>
      <c r="D1563" s="2" t="s">
        <v>21</v>
      </c>
      <c r="E1563" s="2" t="s">
        <v>537</v>
      </c>
      <c r="F1563" s="2">
        <v>5</v>
      </c>
      <c r="G1563" s="2">
        <v>174</v>
      </c>
      <c r="H1563" s="2">
        <v>3</v>
      </c>
      <c r="I1563" s="2">
        <v>5</v>
      </c>
      <c r="J1563" s="2">
        <v>3</v>
      </c>
      <c r="K1563" s="2" t="s">
        <v>61</v>
      </c>
      <c r="L1563" s="6" t="s">
        <v>75</v>
      </c>
      <c r="M1563" s="5">
        <v>1450000000</v>
      </c>
      <c r="N1563" s="2">
        <v>0</v>
      </c>
      <c r="O1563" s="2">
        <v>4.7111382480000001</v>
      </c>
      <c r="P1563" s="2">
        <v>-74.048988339999994</v>
      </c>
      <c r="Q1563" s="2" t="s">
        <v>538</v>
      </c>
      <c r="R1563" s="2">
        <v>8333333.3329999996</v>
      </c>
      <c r="S1563" s="2">
        <v>0</v>
      </c>
      <c r="T1563" s="2" t="s">
        <v>55</v>
      </c>
      <c r="U1563" s="2" t="s">
        <v>56</v>
      </c>
      <c r="V1563" s="2" t="s">
        <v>28</v>
      </c>
      <c r="W1563" s="2" t="s">
        <v>55</v>
      </c>
      <c r="X1563" s="2" t="s">
        <v>57</v>
      </c>
      <c r="Y1563" s="2">
        <v>2.062273207079</v>
      </c>
      <c r="Z1563" s="2">
        <v>4.71035</v>
      </c>
      <c r="AA1563" s="2">
        <v>-74.030416666666696</v>
      </c>
      <c r="AB1563" s="2">
        <v>2570</v>
      </c>
      <c r="AC1563" s="2" t="s">
        <v>31</v>
      </c>
      <c r="AD1563" s="2" t="s">
        <v>58</v>
      </c>
      <c r="AE1563" s="2" t="s">
        <v>33</v>
      </c>
      <c r="AF1563" s="2" t="s">
        <v>34</v>
      </c>
      <c r="AG1563" s="2" t="s">
        <v>59</v>
      </c>
      <c r="AH1563" s="2">
        <v>0.54729814534271704</v>
      </c>
      <c r="AI1563" s="2">
        <v>2.66001095262884</v>
      </c>
      <c r="AJ1563" s="2">
        <v>1.79781295256944</v>
      </c>
      <c r="AK1563" s="2">
        <v>0.310107736050931</v>
      </c>
      <c r="AL1563" s="2">
        <v>0.17664103806607001</v>
      </c>
      <c r="AM1563" s="2">
        <v>15.5</v>
      </c>
      <c r="AN1563" s="2">
        <v>2.4</v>
      </c>
      <c r="AO1563" s="2">
        <v>10.9</v>
      </c>
      <c r="AP1563" s="2">
        <v>564</v>
      </c>
      <c r="AQ1563" s="2">
        <v>68</v>
      </c>
      <c r="AR1563" s="2">
        <v>1.5</v>
      </c>
      <c r="AS1563" s="2">
        <v>135</v>
      </c>
      <c r="AT1563" s="2">
        <v>0</v>
      </c>
      <c r="AU1563" s="2">
        <v>162</v>
      </c>
      <c r="AV1563" s="2">
        <v>9.1</v>
      </c>
      <c r="AW1563" s="2">
        <v>9.1999999999999993</v>
      </c>
      <c r="AX1563" s="2">
        <v>18.3</v>
      </c>
      <c r="AY1563" s="2">
        <v>0.34</v>
      </c>
      <c r="AZ1563" s="2">
        <v>7.3</v>
      </c>
      <c r="BA1563" s="2">
        <v>0.9</v>
      </c>
      <c r="BB1563" s="2">
        <v>7.5</v>
      </c>
      <c r="BC1563" s="2">
        <v>2.9</v>
      </c>
      <c r="BD1563" s="2">
        <f>+AN1563*EXP(-0.0495*Y1563)</f>
        <v>2.167092080060038</v>
      </c>
      <c r="BE1563" s="2">
        <f>+AO1563*EXP(-0.024*Y1563)</f>
        <v>10.373642687583208</v>
      </c>
    </row>
    <row r="1564" spans="1:57" x14ac:dyDescent="0.2">
      <c r="A1564" s="2" t="s">
        <v>1177</v>
      </c>
      <c r="B1564" s="2" t="s">
        <v>19</v>
      </c>
      <c r="C1564" s="2" t="s">
        <v>20</v>
      </c>
      <c r="D1564" s="2" t="s">
        <v>21</v>
      </c>
      <c r="E1564" s="2" t="s">
        <v>177</v>
      </c>
      <c r="F1564" s="2">
        <v>6</v>
      </c>
      <c r="G1564" s="2">
        <v>173</v>
      </c>
      <c r="H1564" s="2">
        <v>3</v>
      </c>
      <c r="I1564" s="2">
        <v>4</v>
      </c>
      <c r="J1564" s="2">
        <v>2</v>
      </c>
      <c r="K1564" s="2" t="s">
        <v>61</v>
      </c>
      <c r="L1564" s="6" t="s">
        <v>75</v>
      </c>
      <c r="M1564" s="5">
        <v>1380000000</v>
      </c>
      <c r="N1564" s="2">
        <v>0</v>
      </c>
      <c r="O1564" s="2">
        <v>4.6901688579999998</v>
      </c>
      <c r="P1564" s="2">
        <v>-74.040039059999998</v>
      </c>
      <c r="Q1564" s="2" t="s">
        <v>1178</v>
      </c>
      <c r="R1564" s="2">
        <v>7976878.6129999999</v>
      </c>
      <c r="S1564" s="2">
        <v>0</v>
      </c>
      <c r="T1564" s="2" t="s">
        <v>55</v>
      </c>
      <c r="U1564" s="2" t="s">
        <v>56</v>
      </c>
      <c r="V1564" s="2" t="s">
        <v>28</v>
      </c>
      <c r="W1564" s="2" t="s">
        <v>55</v>
      </c>
      <c r="X1564" s="2" t="s">
        <v>57</v>
      </c>
      <c r="Y1564" s="2">
        <v>2.4873050049348402</v>
      </c>
      <c r="Z1564" s="2">
        <v>4.71035</v>
      </c>
      <c r="AA1564" s="2">
        <v>-74.030416666666696</v>
      </c>
      <c r="AB1564" s="2">
        <v>2570</v>
      </c>
      <c r="AC1564" s="2" t="s">
        <v>31</v>
      </c>
      <c r="AD1564" s="2" t="s">
        <v>58</v>
      </c>
      <c r="AE1564" s="2" t="s">
        <v>33</v>
      </c>
      <c r="AF1564" s="2" t="s">
        <v>34</v>
      </c>
      <c r="AG1564" s="2" t="s">
        <v>59</v>
      </c>
      <c r="AH1564" s="2">
        <v>1.8167660553437199</v>
      </c>
      <c r="AI1564" s="2">
        <v>1.33410455358225</v>
      </c>
      <c r="AJ1564" s="2">
        <v>0.86218412597440897</v>
      </c>
      <c r="AK1564" s="2">
        <v>0.152776441107938</v>
      </c>
      <c r="AL1564" s="2">
        <v>0.289301248376716</v>
      </c>
      <c r="AM1564" s="2">
        <v>15.5</v>
      </c>
      <c r="AN1564" s="2">
        <v>2.4</v>
      </c>
      <c r="AO1564" s="2">
        <v>10.9</v>
      </c>
      <c r="AP1564" s="2">
        <v>564</v>
      </c>
      <c r="AQ1564" s="2">
        <v>68</v>
      </c>
      <c r="AR1564" s="2">
        <v>1.5</v>
      </c>
      <c r="AS1564" s="2">
        <v>135</v>
      </c>
      <c r="AT1564" s="2">
        <v>0</v>
      </c>
      <c r="AU1564" s="2">
        <v>162</v>
      </c>
      <c r="AV1564" s="2">
        <v>9.1</v>
      </c>
      <c r="AW1564" s="2">
        <v>9.1999999999999993</v>
      </c>
      <c r="AX1564" s="2">
        <v>18.3</v>
      </c>
      <c r="AY1564" s="2">
        <v>0.34</v>
      </c>
      <c r="AZ1564" s="2">
        <v>7.3</v>
      </c>
      <c r="BA1564" s="2">
        <v>0.9</v>
      </c>
      <c r="BB1564" s="2">
        <v>7.5</v>
      </c>
      <c r="BC1564" s="2">
        <v>2.9</v>
      </c>
      <c r="BD1564" s="2">
        <f>+AN1564*EXP(-0.0495*Y1564)</f>
        <v>2.1219747471149057</v>
      </c>
      <c r="BE1564" s="2">
        <f>+AO1564*EXP(-0.024*Y1564)</f>
        <v>10.268361502678076</v>
      </c>
    </row>
    <row r="1565" spans="1:57" x14ac:dyDescent="0.2">
      <c r="A1565" s="2" t="s">
        <v>1428</v>
      </c>
      <c r="B1565" s="2" t="s">
        <v>19</v>
      </c>
      <c r="C1565" s="2" t="s">
        <v>20</v>
      </c>
      <c r="D1565" s="2" t="s">
        <v>21</v>
      </c>
      <c r="E1565" s="2" t="s">
        <v>1429</v>
      </c>
      <c r="F1565" s="2">
        <v>5</v>
      </c>
      <c r="G1565" s="2">
        <v>172.75</v>
      </c>
      <c r="H1565" s="2">
        <v>3</v>
      </c>
      <c r="I1565" s="2">
        <v>3</v>
      </c>
      <c r="J1565" s="2">
        <v>3</v>
      </c>
      <c r="K1565" s="2" t="s">
        <v>61</v>
      </c>
      <c r="L1565" s="6" t="s">
        <v>75</v>
      </c>
      <c r="M1565" s="5">
        <v>1345000000</v>
      </c>
      <c r="N1565" s="2">
        <v>0</v>
      </c>
      <c r="O1565" s="2">
        <v>4.7075233460000003</v>
      </c>
      <c r="P1565" s="2">
        <v>-74.031303410000007</v>
      </c>
      <c r="Q1565" s="2" t="s">
        <v>1430</v>
      </c>
      <c r="R1565" s="2">
        <v>7785817.6560000004</v>
      </c>
      <c r="S1565" s="2">
        <v>0</v>
      </c>
      <c r="T1565" s="2" t="s">
        <v>55</v>
      </c>
      <c r="U1565" s="2" t="s">
        <v>56</v>
      </c>
      <c r="V1565" s="2" t="s">
        <v>28</v>
      </c>
      <c r="W1565" s="2" t="s">
        <v>55</v>
      </c>
      <c r="X1565" s="2" t="s">
        <v>57</v>
      </c>
      <c r="Y1565" s="2">
        <v>0.32968216356650798</v>
      </c>
      <c r="Z1565" s="2">
        <v>4.71035</v>
      </c>
      <c r="AA1565" s="2">
        <v>-74.030416666666696</v>
      </c>
      <c r="AB1565" s="2">
        <v>2570</v>
      </c>
      <c r="AC1565" s="2" t="s">
        <v>31</v>
      </c>
      <c r="AD1565" s="2" t="s">
        <v>58</v>
      </c>
      <c r="AE1565" s="2" t="s">
        <v>33</v>
      </c>
      <c r="AF1565" s="2" t="s">
        <v>34</v>
      </c>
      <c r="AG1565" s="2" t="s">
        <v>59</v>
      </c>
      <c r="AH1565" s="2">
        <v>2.4815757305847699</v>
      </c>
      <c r="AI1565" s="2">
        <v>0.71583310218612906</v>
      </c>
      <c r="AJ1565" s="2">
        <v>0.39146078845420001</v>
      </c>
      <c r="AK1565" s="2">
        <v>0.26066235298446799</v>
      </c>
      <c r="AL1565" s="2">
        <v>0.18934711133479501</v>
      </c>
      <c r="AM1565" s="2">
        <v>15.5</v>
      </c>
      <c r="AN1565" s="2">
        <v>2.4</v>
      </c>
      <c r="AO1565" s="2">
        <v>10.9</v>
      </c>
      <c r="AP1565" s="2">
        <v>564</v>
      </c>
      <c r="AQ1565" s="2">
        <v>68</v>
      </c>
      <c r="AR1565" s="2">
        <v>1.5</v>
      </c>
      <c r="AS1565" s="2">
        <v>135</v>
      </c>
      <c r="AT1565" s="2">
        <v>0</v>
      </c>
      <c r="AU1565" s="2">
        <v>162</v>
      </c>
      <c r="AV1565" s="2">
        <v>9.1</v>
      </c>
      <c r="AW1565" s="2">
        <v>9.1999999999999993</v>
      </c>
      <c r="AX1565" s="2">
        <v>18.3</v>
      </c>
      <c r="AY1565" s="2">
        <v>0.34</v>
      </c>
      <c r="AZ1565" s="2">
        <v>7.3</v>
      </c>
      <c r="BA1565" s="2">
        <v>0.9</v>
      </c>
      <c r="BB1565" s="2">
        <v>7.5</v>
      </c>
      <c r="BC1565" s="2">
        <v>2.9</v>
      </c>
      <c r="BD1565" s="2">
        <f>+AN1565*EXP(-0.0495*Y1565)</f>
        <v>2.3611516097630938</v>
      </c>
      <c r="BE1565" s="2">
        <f>+AO1565*EXP(-0.024*Y1565)</f>
        <v>10.814095448566766</v>
      </c>
    </row>
    <row r="1566" spans="1:57" x14ac:dyDescent="0.2">
      <c r="A1566" s="2" t="s">
        <v>1113</v>
      </c>
      <c r="B1566" s="2" t="s">
        <v>19</v>
      </c>
      <c r="C1566" s="2" t="s">
        <v>20</v>
      </c>
      <c r="D1566" s="2" t="s">
        <v>21</v>
      </c>
      <c r="E1566" s="2" t="s">
        <v>164</v>
      </c>
      <c r="F1566" s="2">
        <v>6</v>
      </c>
      <c r="G1566" s="2">
        <v>172.03</v>
      </c>
      <c r="H1566" s="2">
        <v>3</v>
      </c>
      <c r="I1566" s="2">
        <v>2</v>
      </c>
      <c r="J1566" s="2">
        <v>2</v>
      </c>
      <c r="K1566" s="2" t="s">
        <v>61</v>
      </c>
      <c r="L1566" s="6" t="s">
        <v>113</v>
      </c>
      <c r="M1566" s="5">
        <v>1295000000</v>
      </c>
      <c r="N1566" s="2">
        <v>0</v>
      </c>
      <c r="O1566" s="2">
        <v>4.6973779999999996</v>
      </c>
      <c r="P1566" s="2">
        <v>-74.047814000000002</v>
      </c>
      <c r="Q1566" s="2" t="s">
        <v>1114</v>
      </c>
      <c r="R1566" s="2">
        <v>7527756.7869999995</v>
      </c>
      <c r="S1566" s="2">
        <v>0</v>
      </c>
      <c r="T1566" s="2" t="s">
        <v>55</v>
      </c>
      <c r="U1566" s="2" t="s">
        <v>56</v>
      </c>
      <c r="V1566" s="2" t="s">
        <v>28</v>
      </c>
      <c r="W1566" s="2" t="s">
        <v>55</v>
      </c>
      <c r="X1566" s="2" t="s">
        <v>57</v>
      </c>
      <c r="Y1566" s="2">
        <v>2.4105350158050101</v>
      </c>
      <c r="Z1566" s="2">
        <v>4.71035</v>
      </c>
      <c r="AA1566" s="2">
        <v>-74.030416666666696</v>
      </c>
      <c r="AB1566" s="2">
        <v>2570</v>
      </c>
      <c r="AC1566" s="2" t="s">
        <v>31</v>
      </c>
      <c r="AD1566" s="2" t="s">
        <v>58</v>
      </c>
      <c r="AE1566" s="2" t="s">
        <v>33</v>
      </c>
      <c r="AF1566" s="2" t="s">
        <v>34</v>
      </c>
      <c r="AG1566" s="2" t="s">
        <v>59</v>
      </c>
      <c r="AH1566" s="2">
        <v>0.83511886415605296</v>
      </c>
      <c r="AI1566" s="2">
        <v>2.4303709749791</v>
      </c>
      <c r="AJ1566" s="2">
        <v>0.50473149063835598</v>
      </c>
      <c r="AK1566" s="2">
        <v>0.121187271065527</v>
      </c>
      <c r="AL1566" s="2">
        <v>0.34675636735381599</v>
      </c>
      <c r="AM1566" s="2">
        <v>15.5</v>
      </c>
      <c r="AN1566" s="2">
        <v>2.4</v>
      </c>
      <c r="AO1566" s="2">
        <v>10.9</v>
      </c>
      <c r="AP1566" s="2">
        <v>564</v>
      </c>
      <c r="AQ1566" s="2">
        <v>68</v>
      </c>
      <c r="AR1566" s="2">
        <v>1.5</v>
      </c>
      <c r="AS1566" s="2">
        <v>135</v>
      </c>
      <c r="AT1566" s="2">
        <v>0</v>
      </c>
      <c r="AU1566" s="2">
        <v>162</v>
      </c>
      <c r="AV1566" s="2">
        <v>9.1</v>
      </c>
      <c r="AW1566" s="2">
        <v>9.1999999999999993</v>
      </c>
      <c r="AX1566" s="2">
        <v>18.3</v>
      </c>
      <c r="AY1566" s="2">
        <v>0.34</v>
      </c>
      <c r="AZ1566" s="2">
        <v>7.3</v>
      </c>
      <c r="BA1566" s="2">
        <v>0.9</v>
      </c>
      <c r="BB1566" s="2">
        <v>7.5</v>
      </c>
      <c r="BC1566" s="2">
        <v>2.9</v>
      </c>
      <c r="BD1566" s="2">
        <f>+AN1566*EXP(-0.0495*Y1566)</f>
        <v>2.1300538350462848</v>
      </c>
      <c r="BE1566" s="2">
        <f>+AO1566*EXP(-0.024*Y1566)</f>
        <v>10.287298190575484</v>
      </c>
    </row>
    <row r="1567" spans="1:57" x14ac:dyDescent="0.2">
      <c r="A1567" s="2" t="s">
        <v>1954</v>
      </c>
      <c r="B1567" s="2" t="s">
        <v>19</v>
      </c>
      <c r="C1567" s="2" t="s">
        <v>1907</v>
      </c>
      <c r="D1567" s="2" t="s">
        <v>21</v>
      </c>
      <c r="E1567" s="2" t="s">
        <v>1093</v>
      </c>
      <c r="F1567" s="2">
        <v>5</v>
      </c>
      <c r="G1567" s="2">
        <v>172</v>
      </c>
      <c r="H1567" s="2">
        <v>3</v>
      </c>
      <c r="I1567" s="2">
        <v>3</v>
      </c>
      <c r="J1567" s="2">
        <v>2</v>
      </c>
      <c r="K1567" s="2" t="s">
        <v>61</v>
      </c>
      <c r="L1567" s="6" t="s">
        <v>113</v>
      </c>
      <c r="M1567" s="5">
        <v>920000000</v>
      </c>
      <c r="N1567" s="2">
        <v>0</v>
      </c>
      <c r="O1567" s="2">
        <v>4.7059493059999999</v>
      </c>
      <c r="P1567" s="2">
        <v>-74.06032562</v>
      </c>
      <c r="Q1567" s="2" t="s">
        <v>1955</v>
      </c>
      <c r="R1567" s="2">
        <v>5348837.2089999998</v>
      </c>
      <c r="S1567" s="2">
        <v>0</v>
      </c>
      <c r="T1567" s="2" t="s">
        <v>55</v>
      </c>
      <c r="U1567" s="2" t="s">
        <v>56</v>
      </c>
      <c r="V1567" s="2" t="s">
        <v>28</v>
      </c>
      <c r="W1567" s="2" t="s">
        <v>55</v>
      </c>
      <c r="X1567" s="2" t="s">
        <v>57</v>
      </c>
      <c r="Y1567" s="2">
        <v>3.3541818568095598</v>
      </c>
      <c r="Z1567" s="2">
        <v>4.71035</v>
      </c>
      <c r="AA1567" s="2">
        <v>-74.030416666666696</v>
      </c>
      <c r="AB1567" s="2">
        <v>2570</v>
      </c>
      <c r="AC1567" s="2" t="s">
        <v>31</v>
      </c>
      <c r="AD1567" s="2" t="s">
        <v>58</v>
      </c>
      <c r="AE1567" s="2" t="s">
        <v>33</v>
      </c>
      <c r="AF1567" s="2" t="s">
        <v>34</v>
      </c>
      <c r="AG1567" s="2" t="s">
        <v>72</v>
      </c>
      <c r="AH1567" s="2">
        <v>0.69171153032202404</v>
      </c>
      <c r="AI1567" s="2">
        <v>3.8751490958515298</v>
      </c>
      <c r="AJ1567" s="2">
        <v>1.3660555038773201</v>
      </c>
      <c r="AK1567" s="2">
        <v>0.23819826744692499</v>
      </c>
      <c r="AL1567" s="2">
        <v>0.20412251479287399</v>
      </c>
      <c r="AM1567" s="2">
        <v>15.5</v>
      </c>
      <c r="AN1567" s="2">
        <v>2.4</v>
      </c>
      <c r="AO1567" s="2">
        <v>10.9</v>
      </c>
      <c r="AP1567" s="2">
        <v>564</v>
      </c>
      <c r="AQ1567" s="2">
        <v>68</v>
      </c>
      <c r="AR1567" s="2">
        <v>1.5</v>
      </c>
      <c r="AS1567" s="2">
        <v>135</v>
      </c>
      <c r="AT1567" s="2">
        <v>0</v>
      </c>
      <c r="AU1567" s="2">
        <v>162</v>
      </c>
      <c r="AV1567" s="2">
        <v>9.1</v>
      </c>
      <c r="AW1567" s="2">
        <v>9.1999999999999993</v>
      </c>
      <c r="AX1567" s="2">
        <v>18.3</v>
      </c>
      <c r="AY1567" s="2">
        <v>0.34</v>
      </c>
      <c r="AZ1567" s="2">
        <v>7.3</v>
      </c>
      <c r="BA1567" s="2">
        <v>0.9</v>
      </c>
      <c r="BB1567" s="2">
        <v>7.5</v>
      </c>
      <c r="BC1567" s="2">
        <v>2.9</v>
      </c>
      <c r="BD1567" s="2">
        <f>+AN1567*EXP(-0.0495*Y1567)</f>
        <v>2.0328459060576627</v>
      </c>
      <c r="BE1567" s="2">
        <f>+AO1567*EXP(-0.024*Y1567)</f>
        <v>10.056934782671645</v>
      </c>
    </row>
    <row r="1568" spans="1:57" x14ac:dyDescent="0.2">
      <c r="A1568" s="2" t="s">
        <v>1927</v>
      </c>
      <c r="B1568" s="2" t="s">
        <v>19</v>
      </c>
      <c r="C1568" s="2" t="s">
        <v>1907</v>
      </c>
      <c r="D1568" s="2" t="s">
        <v>21</v>
      </c>
      <c r="E1568" s="2" t="s">
        <v>933</v>
      </c>
      <c r="F1568" s="2">
        <v>5</v>
      </c>
      <c r="G1568" s="2">
        <v>172</v>
      </c>
      <c r="H1568" s="2">
        <v>4</v>
      </c>
      <c r="I1568" s="2">
        <v>3</v>
      </c>
      <c r="J1568" s="2">
        <v>2</v>
      </c>
      <c r="K1568" s="2" t="s">
        <v>61</v>
      </c>
      <c r="L1568" s="6" t="s">
        <v>113</v>
      </c>
      <c r="M1568" s="5">
        <v>605000000</v>
      </c>
      <c r="N1568" s="2">
        <v>0</v>
      </c>
      <c r="O1568" s="2">
        <v>4.7079019549999996</v>
      </c>
      <c r="P1568" s="2">
        <v>-74.048919679999997</v>
      </c>
      <c r="Q1568" s="2" t="s">
        <v>1928</v>
      </c>
      <c r="R1568" s="2">
        <v>3517441.86</v>
      </c>
      <c r="S1568" s="2">
        <v>0</v>
      </c>
      <c r="T1568" s="2" t="s">
        <v>55</v>
      </c>
      <c r="U1568" s="2" t="s">
        <v>56</v>
      </c>
      <c r="V1568" s="2" t="s">
        <v>28</v>
      </c>
      <c r="W1568" s="2" t="s">
        <v>55</v>
      </c>
      <c r="X1568" s="2" t="s">
        <v>57</v>
      </c>
      <c r="Y1568" s="2">
        <v>2.0708026299757698</v>
      </c>
      <c r="Z1568" s="2">
        <v>4.71035</v>
      </c>
      <c r="AA1568" s="2">
        <v>-74.030416666666696</v>
      </c>
      <c r="AB1568" s="2">
        <v>2570</v>
      </c>
      <c r="AC1568" s="2" t="s">
        <v>31</v>
      </c>
      <c r="AD1568" s="2" t="s">
        <v>58</v>
      </c>
      <c r="AE1568" s="2" t="s">
        <v>33</v>
      </c>
      <c r="AF1568" s="2" t="s">
        <v>34</v>
      </c>
      <c r="AG1568" s="2" t="s">
        <v>59</v>
      </c>
      <c r="AH1568" s="2">
        <v>0.68994272973572601</v>
      </c>
      <c r="AI1568" s="2">
        <v>2.64799718364694</v>
      </c>
      <c r="AJ1568" s="2">
        <v>1.6177169466732499</v>
      </c>
      <c r="AK1568" s="2">
        <v>0.13068951829507999</v>
      </c>
      <c r="AL1568" s="2">
        <v>0.220777827249721</v>
      </c>
      <c r="AM1568" s="2">
        <v>15.5</v>
      </c>
      <c r="AN1568" s="2">
        <v>2.4</v>
      </c>
      <c r="AO1568" s="2">
        <v>10.9</v>
      </c>
      <c r="AP1568" s="2">
        <v>564</v>
      </c>
      <c r="AQ1568" s="2">
        <v>68</v>
      </c>
      <c r="AR1568" s="2">
        <v>1.5</v>
      </c>
      <c r="AS1568" s="2">
        <v>135</v>
      </c>
      <c r="AT1568" s="2">
        <v>0</v>
      </c>
      <c r="AU1568" s="2">
        <v>162</v>
      </c>
      <c r="AV1568" s="2">
        <v>9.1</v>
      </c>
      <c r="AW1568" s="2">
        <v>9.1999999999999993</v>
      </c>
      <c r="AX1568" s="2">
        <v>18.3</v>
      </c>
      <c r="AY1568" s="2">
        <v>0.34</v>
      </c>
      <c r="AZ1568" s="2">
        <v>7.3</v>
      </c>
      <c r="BA1568" s="2">
        <v>0.9</v>
      </c>
      <c r="BB1568" s="2">
        <v>7.5</v>
      </c>
      <c r="BC1568" s="2">
        <v>2.9</v>
      </c>
      <c r="BD1568" s="2">
        <f>+AN1568*EXP(-0.0495*Y1568)</f>
        <v>2.1661773129659525</v>
      </c>
      <c r="BE1568" s="2">
        <f>+AO1568*EXP(-0.024*Y1568)</f>
        <v>10.371519356468994</v>
      </c>
    </row>
    <row r="1569" spans="1:57" x14ac:dyDescent="0.2">
      <c r="A1569" s="2" t="s">
        <v>688</v>
      </c>
      <c r="B1569" s="2" t="s">
        <v>19</v>
      </c>
      <c r="C1569" s="2" t="s">
        <v>20</v>
      </c>
      <c r="D1569" s="2" t="s">
        <v>21</v>
      </c>
      <c r="E1569" s="2" t="s">
        <v>83</v>
      </c>
      <c r="F1569" s="2">
        <v>6</v>
      </c>
      <c r="G1569" s="2">
        <v>170.69</v>
      </c>
      <c r="H1569" s="2">
        <v>3</v>
      </c>
      <c r="I1569" s="2">
        <v>4</v>
      </c>
      <c r="J1569" s="2">
        <v>3</v>
      </c>
      <c r="K1569" s="2" t="s">
        <v>61</v>
      </c>
      <c r="L1569" s="6" t="s">
        <v>75</v>
      </c>
      <c r="M1569" s="5">
        <v>2400000000</v>
      </c>
      <c r="N1569" s="2">
        <v>0</v>
      </c>
      <c r="O1569" s="2">
        <v>4.6802520850000002</v>
      </c>
      <c r="P1569" s="2">
        <v>-74.052632340000002</v>
      </c>
      <c r="Q1569" s="2" t="s">
        <v>689</v>
      </c>
      <c r="R1569" s="2">
        <v>14060577.66</v>
      </c>
      <c r="S1569" s="2">
        <v>0</v>
      </c>
      <c r="T1569" s="2" t="s">
        <v>55</v>
      </c>
      <c r="U1569" s="2" t="s">
        <v>56</v>
      </c>
      <c r="V1569" s="2" t="s">
        <v>28</v>
      </c>
      <c r="W1569" s="2" t="s">
        <v>55</v>
      </c>
      <c r="X1569" s="2" t="s">
        <v>57</v>
      </c>
      <c r="Y1569" s="2">
        <v>4.1594087373240001</v>
      </c>
      <c r="Z1569" s="2">
        <v>4.71035</v>
      </c>
      <c r="AA1569" s="2">
        <v>-74.030416666666696</v>
      </c>
      <c r="AB1569" s="2">
        <v>2570</v>
      </c>
      <c r="AC1569" s="2" t="s">
        <v>31</v>
      </c>
      <c r="AD1569" s="2" t="s">
        <v>58</v>
      </c>
      <c r="AE1569" s="2" t="s">
        <v>33</v>
      </c>
      <c r="AF1569" s="2" t="s">
        <v>34</v>
      </c>
      <c r="AG1569" s="2" t="s">
        <v>81</v>
      </c>
      <c r="AH1569" s="2">
        <v>0.69586390547397303</v>
      </c>
      <c r="AI1569" s="2">
        <v>1.6105491491861501</v>
      </c>
      <c r="AJ1569" s="2">
        <v>0.60891720467093902</v>
      </c>
      <c r="AK1569" s="2">
        <v>5.3429907226483497E-2</v>
      </c>
      <c r="AL1569" s="2">
        <v>0.683230469633332</v>
      </c>
      <c r="AM1569" s="2">
        <v>15.5</v>
      </c>
      <c r="AN1569" s="2">
        <v>2.4</v>
      </c>
      <c r="AO1569" s="2">
        <v>10.9</v>
      </c>
      <c r="AP1569" s="2">
        <v>564</v>
      </c>
      <c r="AQ1569" s="2">
        <v>68</v>
      </c>
      <c r="AR1569" s="2">
        <v>1.5</v>
      </c>
      <c r="AS1569" s="2">
        <v>135</v>
      </c>
      <c r="AT1569" s="2">
        <v>0</v>
      </c>
      <c r="AU1569" s="2">
        <v>162</v>
      </c>
      <c r="AV1569" s="2">
        <v>9.1</v>
      </c>
      <c r="AW1569" s="2">
        <v>9.1999999999999993</v>
      </c>
      <c r="AX1569" s="2">
        <v>18.3</v>
      </c>
      <c r="AY1569" s="2">
        <v>0.34</v>
      </c>
      <c r="AZ1569" s="2">
        <v>7.3</v>
      </c>
      <c r="BA1569" s="2">
        <v>0.9</v>
      </c>
      <c r="BB1569" s="2">
        <v>7.5</v>
      </c>
      <c r="BC1569" s="2">
        <v>2.9</v>
      </c>
      <c r="BD1569" s="2">
        <f>+AN1569*EXP(-0.0495*Y1569)</f>
        <v>1.9534128159578357</v>
      </c>
      <c r="BE1569" s="2">
        <f>+AO1569*EXP(-0.024*Y1569)</f>
        <v>9.8644459977952028</v>
      </c>
    </row>
    <row r="1570" spans="1:57" x14ac:dyDescent="0.2">
      <c r="A1570" s="2" t="s">
        <v>1017</v>
      </c>
      <c r="B1570" s="2" t="s">
        <v>19</v>
      </c>
      <c r="C1570" s="2" t="s">
        <v>20</v>
      </c>
      <c r="D1570" s="2" t="s">
        <v>21</v>
      </c>
      <c r="E1570" s="2" t="s">
        <v>1018</v>
      </c>
      <c r="F1570" s="2">
        <v>6</v>
      </c>
      <c r="G1570" s="2">
        <v>170</v>
      </c>
      <c r="H1570" s="2">
        <v>4</v>
      </c>
      <c r="I1570" s="2">
        <v>4</v>
      </c>
      <c r="J1570" s="2">
        <v>3</v>
      </c>
      <c r="K1570" s="2" t="s">
        <v>61</v>
      </c>
      <c r="L1570" s="6" t="s">
        <v>75</v>
      </c>
      <c r="M1570" s="5">
        <v>1000000000</v>
      </c>
      <c r="N1570" s="2">
        <v>0</v>
      </c>
      <c r="O1570" s="2">
        <v>4.6825165750000002</v>
      </c>
      <c r="P1570" s="2">
        <v>-74.054481510000002</v>
      </c>
      <c r="Q1570" s="2" t="s">
        <v>1019</v>
      </c>
      <c r="R1570" s="2">
        <v>5882352.9409999996</v>
      </c>
      <c r="S1570" s="2">
        <v>0</v>
      </c>
      <c r="T1570" s="2" t="s">
        <v>55</v>
      </c>
      <c r="U1570" s="2" t="s">
        <v>56</v>
      </c>
      <c r="V1570" s="2" t="s">
        <v>28</v>
      </c>
      <c r="W1570" s="2" t="s">
        <v>55</v>
      </c>
      <c r="X1570" s="2" t="s">
        <v>57</v>
      </c>
      <c r="Y1570" s="2">
        <v>4.0900392252552003</v>
      </c>
      <c r="Z1570" s="2">
        <v>4.71035</v>
      </c>
      <c r="AA1570" s="2">
        <v>-74.030416666666696</v>
      </c>
      <c r="AB1570" s="2">
        <v>2570</v>
      </c>
      <c r="AC1570" s="2" t="s">
        <v>31</v>
      </c>
      <c r="AD1570" s="2" t="s">
        <v>58</v>
      </c>
      <c r="AE1570" s="2" t="s">
        <v>33</v>
      </c>
      <c r="AF1570" s="2" t="s">
        <v>34</v>
      </c>
      <c r="AG1570" s="2" t="s">
        <v>81</v>
      </c>
      <c r="AH1570" s="2">
        <v>0.39166781107722998</v>
      </c>
      <c r="AI1570" s="2">
        <v>1.90989007277797</v>
      </c>
      <c r="AJ1570" s="2">
        <v>0.403534228546096</v>
      </c>
      <c r="AK1570" s="2">
        <v>0.151105037929465</v>
      </c>
      <c r="AL1570" s="2">
        <v>0.43101363266512599</v>
      </c>
      <c r="AM1570" s="2">
        <v>15.5</v>
      </c>
      <c r="AN1570" s="2">
        <v>2.4</v>
      </c>
      <c r="AO1570" s="2">
        <v>10.9</v>
      </c>
      <c r="AP1570" s="2">
        <v>564</v>
      </c>
      <c r="AQ1570" s="2">
        <v>68</v>
      </c>
      <c r="AR1570" s="2">
        <v>1.5</v>
      </c>
      <c r="AS1570" s="2">
        <v>135</v>
      </c>
      <c r="AT1570" s="2">
        <v>0</v>
      </c>
      <c r="AU1570" s="2">
        <v>162</v>
      </c>
      <c r="AV1570" s="2">
        <v>9.1</v>
      </c>
      <c r="AW1570" s="2">
        <v>9.1999999999999993</v>
      </c>
      <c r="AX1570" s="2">
        <v>18.3</v>
      </c>
      <c r="AY1570" s="2">
        <v>0.34</v>
      </c>
      <c r="AZ1570" s="2">
        <v>7.3</v>
      </c>
      <c r="BA1570" s="2">
        <v>0.9</v>
      </c>
      <c r="BB1570" s="2">
        <v>7.5</v>
      </c>
      <c r="BC1570" s="2">
        <v>2.9</v>
      </c>
      <c r="BD1570" s="2">
        <f>+AN1570*EXP(-0.0495*Y1570)</f>
        <v>1.9601319564659969</v>
      </c>
      <c r="BE1570" s="2">
        <f>+AO1570*EXP(-0.024*Y1570)</f>
        <v>9.8808826797906484</v>
      </c>
    </row>
    <row r="1571" spans="1:57" x14ac:dyDescent="0.2">
      <c r="A1571" s="2" t="s">
        <v>792</v>
      </c>
      <c r="B1571" s="2" t="s">
        <v>19</v>
      </c>
      <c r="C1571" s="2" t="s">
        <v>20</v>
      </c>
      <c r="D1571" s="2" t="s">
        <v>21</v>
      </c>
      <c r="E1571" s="2" t="s">
        <v>419</v>
      </c>
      <c r="F1571" s="2">
        <v>6</v>
      </c>
      <c r="G1571" s="2">
        <v>170</v>
      </c>
      <c r="H1571" s="2">
        <v>3</v>
      </c>
      <c r="I1571" s="2">
        <v>3</v>
      </c>
      <c r="J1571" s="2">
        <v>2</v>
      </c>
      <c r="K1571" s="2" t="s">
        <v>61</v>
      </c>
      <c r="L1571" s="6" t="s">
        <v>75</v>
      </c>
      <c r="M1571" s="5">
        <v>1250000000</v>
      </c>
      <c r="N1571" s="2">
        <v>0</v>
      </c>
      <c r="O1571" s="2">
        <v>4.6908621789999998</v>
      </c>
      <c r="P1571" s="2">
        <v>-74.052093510000006</v>
      </c>
      <c r="Q1571" s="2" t="s">
        <v>793</v>
      </c>
      <c r="R1571" s="2">
        <v>7352941.176</v>
      </c>
      <c r="S1571" s="2">
        <v>0</v>
      </c>
      <c r="T1571" s="2" t="s">
        <v>55</v>
      </c>
      <c r="U1571" s="2" t="s">
        <v>56</v>
      </c>
      <c r="V1571" s="2" t="s">
        <v>28</v>
      </c>
      <c r="W1571" s="2" t="s">
        <v>55</v>
      </c>
      <c r="X1571" s="2" t="s">
        <v>57</v>
      </c>
      <c r="Y1571" s="2">
        <v>3.2388139726705498</v>
      </c>
      <c r="Z1571" s="2">
        <v>4.71035</v>
      </c>
      <c r="AA1571" s="2">
        <v>-74.030416666666696</v>
      </c>
      <c r="AB1571" s="2">
        <v>2570</v>
      </c>
      <c r="AC1571" s="2" t="s">
        <v>31</v>
      </c>
      <c r="AD1571" s="2" t="s">
        <v>58</v>
      </c>
      <c r="AE1571" s="2" t="s">
        <v>33</v>
      </c>
      <c r="AF1571" s="2" t="s">
        <v>34</v>
      </c>
      <c r="AG1571" s="2" t="s">
        <v>59</v>
      </c>
      <c r="AH1571" s="2">
        <v>0.51035354941356503</v>
      </c>
      <c r="AI1571" s="2">
        <v>2.2173199411842801</v>
      </c>
      <c r="AJ1571" s="2">
        <v>0.33632727024973502</v>
      </c>
      <c r="AK1571" s="2">
        <v>0.16718384613351001</v>
      </c>
      <c r="AL1571" s="2">
        <v>0.23192520077991299</v>
      </c>
      <c r="AM1571" s="2">
        <v>15.5</v>
      </c>
      <c r="AN1571" s="2">
        <v>2.4</v>
      </c>
      <c r="AO1571" s="2">
        <v>10.9</v>
      </c>
      <c r="AP1571" s="2">
        <v>564</v>
      </c>
      <c r="AQ1571" s="2">
        <v>68</v>
      </c>
      <c r="AR1571" s="2">
        <v>1.5</v>
      </c>
      <c r="AS1571" s="2">
        <v>135</v>
      </c>
      <c r="AT1571" s="2">
        <v>0</v>
      </c>
      <c r="AU1571" s="2">
        <v>162</v>
      </c>
      <c r="AV1571" s="2">
        <v>9.1</v>
      </c>
      <c r="AW1571" s="2">
        <v>9.1999999999999993</v>
      </c>
      <c r="AX1571" s="2">
        <v>18.3</v>
      </c>
      <c r="AY1571" s="2">
        <v>0.34</v>
      </c>
      <c r="AZ1571" s="2">
        <v>7.3</v>
      </c>
      <c r="BA1571" s="2">
        <v>0.9</v>
      </c>
      <c r="BB1571" s="2">
        <v>7.5</v>
      </c>
      <c r="BC1571" s="2">
        <v>2.9</v>
      </c>
      <c r="BD1571" s="2">
        <f>+AN1571*EXP(-0.0495*Y1571)</f>
        <v>2.044488111030208</v>
      </c>
      <c r="BE1571" s="2">
        <f>+AO1571*EXP(-0.024*Y1571)</f>
        <v>10.084819303478328</v>
      </c>
    </row>
    <row r="1572" spans="1:57" x14ac:dyDescent="0.2">
      <c r="A1572" s="2" t="s">
        <v>2266</v>
      </c>
      <c r="B1572" s="2" t="s">
        <v>19</v>
      </c>
      <c r="C1572" s="2" t="s">
        <v>1907</v>
      </c>
      <c r="D1572" s="2" t="s">
        <v>21</v>
      </c>
      <c r="E1572" s="2" t="s">
        <v>164</v>
      </c>
      <c r="F1572" s="2">
        <v>6</v>
      </c>
      <c r="G1572" s="2">
        <v>170</v>
      </c>
      <c r="H1572" s="2">
        <v>3</v>
      </c>
      <c r="I1572" s="2">
        <v>4</v>
      </c>
      <c r="J1572" s="2">
        <v>3</v>
      </c>
      <c r="K1572" s="2" t="s">
        <v>61</v>
      </c>
      <c r="L1572" s="6" t="s">
        <v>113</v>
      </c>
      <c r="M1572" s="5">
        <v>1400000000</v>
      </c>
      <c r="N1572" s="2">
        <v>0</v>
      </c>
      <c r="O1572" s="2">
        <v>4.6978926660000004</v>
      </c>
      <c r="P1572" s="2">
        <v>-74.036758419999998</v>
      </c>
      <c r="Q1572" s="2" t="s">
        <v>2267</v>
      </c>
      <c r="R1572" s="2">
        <v>8235294.1179999998</v>
      </c>
      <c r="S1572" s="2">
        <v>0</v>
      </c>
      <c r="T1572" s="2" t="s">
        <v>55</v>
      </c>
      <c r="U1572" s="2" t="s">
        <v>56</v>
      </c>
      <c r="V1572" s="2" t="s">
        <v>28</v>
      </c>
      <c r="W1572" s="2" t="s">
        <v>55</v>
      </c>
      <c r="X1572" s="2" t="s">
        <v>57</v>
      </c>
      <c r="Y1572" s="2">
        <v>1.5550201841344</v>
      </c>
      <c r="Z1572" s="2">
        <v>4.71035</v>
      </c>
      <c r="AA1572" s="2">
        <v>-74.030416666666696</v>
      </c>
      <c r="AB1572" s="2">
        <v>2570</v>
      </c>
      <c r="AC1572" s="2" t="s">
        <v>31</v>
      </c>
      <c r="AD1572" s="2" t="s">
        <v>58</v>
      </c>
      <c r="AE1572" s="2" t="s">
        <v>33</v>
      </c>
      <c r="AF1572" s="2" t="s">
        <v>34</v>
      </c>
      <c r="AG1572" s="2" t="s">
        <v>59</v>
      </c>
      <c r="AH1572" s="2">
        <v>2.0569861864782202</v>
      </c>
      <c r="AI1572" s="2">
        <v>1.20725410757068</v>
      </c>
      <c r="AJ1572" s="2">
        <v>0.60933952486295895</v>
      </c>
      <c r="AK1572" s="2">
        <v>0.154203483775531</v>
      </c>
      <c r="AL1572" s="2">
        <v>4.0494302008605702E-2</v>
      </c>
      <c r="AM1572" s="2">
        <v>15.5</v>
      </c>
      <c r="AN1572" s="2">
        <v>2.4</v>
      </c>
      <c r="AO1572" s="2">
        <v>10.9</v>
      </c>
      <c r="AP1572" s="2">
        <v>564</v>
      </c>
      <c r="AQ1572" s="2">
        <v>68</v>
      </c>
      <c r="AR1572" s="2">
        <v>1.5</v>
      </c>
      <c r="AS1572" s="2">
        <v>135</v>
      </c>
      <c r="AT1572" s="2">
        <v>0</v>
      </c>
      <c r="AU1572" s="2">
        <v>162</v>
      </c>
      <c r="AV1572" s="2">
        <v>9.1</v>
      </c>
      <c r="AW1572" s="2">
        <v>9.1999999999999993</v>
      </c>
      <c r="AX1572" s="2">
        <v>18.3</v>
      </c>
      <c r="AY1572" s="2">
        <v>0.34</v>
      </c>
      <c r="AZ1572" s="2">
        <v>7.3</v>
      </c>
      <c r="BA1572" s="2">
        <v>0.9</v>
      </c>
      <c r="BB1572" s="2">
        <v>7.5</v>
      </c>
      <c r="BC1572" s="2">
        <v>2.9</v>
      </c>
      <c r="BD1572" s="2">
        <f>+AN1572*EXP(-0.0495*Y1572)</f>
        <v>2.2221945379979462</v>
      </c>
      <c r="BE1572" s="2">
        <f>+AO1572*EXP(-0.024*Y1572)</f>
        <v>10.500704023951458</v>
      </c>
    </row>
    <row r="1573" spans="1:57" x14ac:dyDescent="0.2">
      <c r="A1573" s="2" t="s">
        <v>2684</v>
      </c>
      <c r="B1573" s="2" t="s">
        <v>19</v>
      </c>
      <c r="C1573" s="2" t="s">
        <v>1907</v>
      </c>
      <c r="D1573" s="2" t="s">
        <v>21</v>
      </c>
      <c r="E1573" s="2" t="s">
        <v>156</v>
      </c>
      <c r="F1573" s="2">
        <v>5</v>
      </c>
      <c r="G1573" s="2">
        <v>170</v>
      </c>
      <c r="H1573" s="2">
        <v>3</v>
      </c>
      <c r="I1573" s="2">
        <v>3</v>
      </c>
      <c r="J1573" s="2">
        <v>1</v>
      </c>
      <c r="K1573" s="2" t="s">
        <v>61</v>
      </c>
      <c r="L1573" s="6" t="s">
        <v>113</v>
      </c>
      <c r="M1573" s="5">
        <v>799000000</v>
      </c>
      <c r="N1573" s="2">
        <v>0</v>
      </c>
      <c r="O1573" s="2">
        <v>4.7179099999999998</v>
      </c>
      <c r="P1573" s="2">
        <v>-74.035049999999998</v>
      </c>
      <c r="Q1573" s="2" t="s">
        <v>2685</v>
      </c>
      <c r="R1573" s="2">
        <v>4700000</v>
      </c>
      <c r="S1573" s="2">
        <v>0</v>
      </c>
      <c r="T1573" s="2" t="s">
        <v>55</v>
      </c>
      <c r="U1573" s="2" t="s">
        <v>56</v>
      </c>
      <c r="V1573" s="2" t="s">
        <v>28</v>
      </c>
      <c r="W1573" s="2" t="s">
        <v>55</v>
      </c>
      <c r="X1573" s="2" t="s">
        <v>57</v>
      </c>
      <c r="Y1573" s="2">
        <v>0.986144799098854</v>
      </c>
      <c r="Z1573" s="2">
        <v>4.71035</v>
      </c>
      <c r="AA1573" s="2">
        <v>-74.030416666666696</v>
      </c>
      <c r="AB1573" s="2">
        <v>2570</v>
      </c>
      <c r="AC1573" s="2" t="s">
        <v>31</v>
      </c>
      <c r="AD1573" s="2" t="s">
        <v>58</v>
      </c>
      <c r="AE1573" s="2" t="s">
        <v>33</v>
      </c>
      <c r="AF1573" s="2" t="s">
        <v>34</v>
      </c>
      <c r="AG1573" s="2" t="s">
        <v>59</v>
      </c>
      <c r="AH1573" s="2">
        <v>1.8544268010560501</v>
      </c>
      <c r="AI1573" s="2">
        <v>1.2858758062631901</v>
      </c>
      <c r="AJ1573" s="2">
        <v>0.83125476314911695</v>
      </c>
      <c r="AK1573" s="2">
        <v>0.13091518624489101</v>
      </c>
      <c r="AL1573" s="2">
        <v>8.7358906596944702E-2</v>
      </c>
      <c r="AM1573" s="2">
        <v>15.5</v>
      </c>
      <c r="AN1573" s="2">
        <v>2.4</v>
      </c>
      <c r="AO1573" s="2">
        <v>10.9</v>
      </c>
      <c r="AP1573" s="2">
        <v>564</v>
      </c>
      <c r="AQ1573" s="2">
        <v>68</v>
      </c>
      <c r="AR1573" s="2">
        <v>1.5</v>
      </c>
      <c r="AS1573" s="2">
        <v>135</v>
      </c>
      <c r="AT1573" s="2">
        <v>0</v>
      </c>
      <c r="AU1573" s="2">
        <v>162</v>
      </c>
      <c r="AV1573" s="2">
        <v>9.1</v>
      </c>
      <c r="AW1573" s="2">
        <v>9.1999999999999993</v>
      </c>
      <c r="AX1573" s="2">
        <v>18.3</v>
      </c>
      <c r="AY1573" s="2">
        <v>0.34</v>
      </c>
      <c r="AZ1573" s="2">
        <v>7.3</v>
      </c>
      <c r="BA1573" s="2">
        <v>0.9</v>
      </c>
      <c r="BB1573" s="2">
        <v>7.5</v>
      </c>
      <c r="BC1573" s="2">
        <v>2.9</v>
      </c>
      <c r="BD1573" s="2">
        <f>+AN1573*EXP(-0.0495*Y1573)</f>
        <v>2.2856594214905548</v>
      </c>
      <c r="BE1573" s="2">
        <f>+AO1573*EXP(-0.024*Y1573)</f>
        <v>10.645053392380506</v>
      </c>
    </row>
    <row r="1574" spans="1:57" x14ac:dyDescent="0.2">
      <c r="A1574" s="2" t="s">
        <v>2336</v>
      </c>
      <c r="B1574" s="2" t="s">
        <v>19</v>
      </c>
      <c r="C1574" s="2" t="s">
        <v>1907</v>
      </c>
      <c r="D1574" s="2" t="s">
        <v>21</v>
      </c>
      <c r="E1574" s="2" t="s">
        <v>156</v>
      </c>
      <c r="F1574" s="2">
        <v>4</v>
      </c>
      <c r="G1574" s="2">
        <v>169.3</v>
      </c>
      <c r="H1574" s="2">
        <v>3</v>
      </c>
      <c r="I1574" s="2">
        <v>3</v>
      </c>
      <c r="J1574" s="2">
        <v>1</v>
      </c>
      <c r="K1574" s="2" t="s">
        <v>61</v>
      </c>
      <c r="L1574" s="6" t="s">
        <v>113</v>
      </c>
      <c r="M1574" s="5">
        <v>730000000</v>
      </c>
      <c r="N1574" s="2">
        <v>0</v>
      </c>
      <c r="O1574" s="2">
        <v>4.7282158079999999</v>
      </c>
      <c r="P1574" s="2">
        <v>-74.033108499999997</v>
      </c>
      <c r="Q1574" s="2" t="s">
        <v>2337</v>
      </c>
      <c r="R1574" s="2">
        <v>4311872.4160000002</v>
      </c>
      <c r="S1574" s="2">
        <v>0</v>
      </c>
      <c r="T1574" s="2" t="s">
        <v>55</v>
      </c>
      <c r="U1574" s="2" t="s">
        <v>56</v>
      </c>
      <c r="V1574" s="2" t="s">
        <v>28</v>
      </c>
      <c r="W1574" s="2" t="s">
        <v>55</v>
      </c>
      <c r="X1574" s="2" t="s">
        <v>57</v>
      </c>
      <c r="Y1574" s="2">
        <v>2.0111091912033898</v>
      </c>
      <c r="Z1574" s="2">
        <v>4.71035</v>
      </c>
      <c r="AA1574" s="2">
        <v>-74.030416666666696</v>
      </c>
      <c r="AB1574" s="2">
        <v>2570</v>
      </c>
      <c r="AC1574" s="2" t="s">
        <v>31</v>
      </c>
      <c r="AD1574" s="2" t="s">
        <v>58</v>
      </c>
      <c r="AE1574" s="2" t="s">
        <v>33</v>
      </c>
      <c r="AF1574" s="2" t="s">
        <v>34</v>
      </c>
      <c r="AG1574" s="2" t="s">
        <v>59</v>
      </c>
      <c r="AH1574" s="2">
        <v>1.8753249216236001</v>
      </c>
      <c r="AI1574" s="2">
        <v>1.2962749542168599</v>
      </c>
      <c r="AJ1574" s="2">
        <v>0.91939806495941201</v>
      </c>
      <c r="AK1574" s="2">
        <v>0.19400475681059401</v>
      </c>
      <c r="AL1574" s="2">
        <v>4.6996446224937503E-2</v>
      </c>
      <c r="AM1574" s="2">
        <v>15.5</v>
      </c>
      <c r="AN1574" s="2">
        <v>2.4</v>
      </c>
      <c r="AO1574" s="2">
        <v>10.9</v>
      </c>
      <c r="AP1574" s="2">
        <v>564</v>
      </c>
      <c r="AQ1574" s="2">
        <v>68</v>
      </c>
      <c r="AR1574" s="2">
        <v>1.5</v>
      </c>
      <c r="AS1574" s="2">
        <v>135</v>
      </c>
      <c r="AT1574" s="2">
        <v>0</v>
      </c>
      <c r="AU1574" s="2">
        <v>162</v>
      </c>
      <c r="AV1574" s="2">
        <v>9.1</v>
      </c>
      <c r="AW1574" s="2">
        <v>9.1999999999999993</v>
      </c>
      <c r="AX1574" s="2">
        <v>18.3</v>
      </c>
      <c r="AY1574" s="2">
        <v>0.34</v>
      </c>
      <c r="AZ1574" s="2">
        <v>7.3</v>
      </c>
      <c r="BA1574" s="2">
        <v>0.9</v>
      </c>
      <c r="BB1574" s="2">
        <v>7.5</v>
      </c>
      <c r="BC1574" s="2">
        <v>2.9</v>
      </c>
      <c r="BD1574" s="2">
        <f>+AN1574*EXP(-0.0495*Y1574)</f>
        <v>2.1725874540790371</v>
      </c>
      <c r="BE1574" s="2">
        <f>+AO1574*EXP(-0.024*Y1574)</f>
        <v>10.386388684878268</v>
      </c>
    </row>
    <row r="1575" spans="1:57" x14ac:dyDescent="0.2">
      <c r="A1575" s="2" t="s">
        <v>1720</v>
      </c>
      <c r="B1575" s="2" t="s">
        <v>19</v>
      </c>
      <c r="C1575" s="2" t="s">
        <v>20</v>
      </c>
      <c r="D1575" s="2" t="s">
        <v>21</v>
      </c>
      <c r="E1575" s="2" t="s">
        <v>419</v>
      </c>
      <c r="F1575" s="2">
        <v>6</v>
      </c>
      <c r="G1575" s="2">
        <v>169</v>
      </c>
      <c r="H1575" s="2">
        <v>3</v>
      </c>
      <c r="I1575" s="2">
        <v>3</v>
      </c>
      <c r="J1575" s="2">
        <v>3</v>
      </c>
      <c r="K1575" s="2" t="s">
        <v>61</v>
      </c>
      <c r="L1575" s="6" t="s">
        <v>113</v>
      </c>
      <c r="M1575" s="5">
        <v>950000000</v>
      </c>
      <c r="N1575" s="2">
        <v>0</v>
      </c>
      <c r="O1575" s="2">
        <v>4.6879628149999997</v>
      </c>
      <c r="P1575" s="2">
        <v>-74.054977539999996</v>
      </c>
      <c r="Q1575" s="2" t="s">
        <v>1721</v>
      </c>
      <c r="R1575" s="2">
        <v>5621301.7750000004</v>
      </c>
      <c r="S1575" s="2">
        <v>0</v>
      </c>
      <c r="T1575" s="2" t="s">
        <v>55</v>
      </c>
      <c r="U1575" s="2" t="s">
        <v>56</v>
      </c>
      <c r="V1575" s="2" t="s">
        <v>28</v>
      </c>
      <c r="W1575" s="2" t="s">
        <v>55</v>
      </c>
      <c r="X1575" s="2" t="s">
        <v>57</v>
      </c>
      <c r="Y1575" s="2">
        <v>3.6926772767266001</v>
      </c>
      <c r="Z1575" s="2">
        <v>4.71035</v>
      </c>
      <c r="AA1575" s="2">
        <v>-74.030416666666696</v>
      </c>
      <c r="AB1575" s="2">
        <v>2570</v>
      </c>
      <c r="AC1575" s="2" t="s">
        <v>31</v>
      </c>
      <c r="AD1575" s="2" t="s">
        <v>58</v>
      </c>
      <c r="AE1575" s="2" t="s">
        <v>33</v>
      </c>
      <c r="AF1575" s="2" t="s">
        <v>34</v>
      </c>
      <c r="AG1575" s="2" t="s">
        <v>59</v>
      </c>
      <c r="AH1575" s="2">
        <v>0.53727458193688804</v>
      </c>
      <c r="AI1575" s="2">
        <v>2.3040406064585399</v>
      </c>
      <c r="AJ1575" s="2">
        <v>0.34228696439304901</v>
      </c>
      <c r="AK1575" s="2">
        <v>0.114017699059835</v>
      </c>
      <c r="AL1575" s="2">
        <v>0.59866600222340804</v>
      </c>
      <c r="AM1575" s="2">
        <v>15.5</v>
      </c>
      <c r="AN1575" s="2">
        <v>2.4</v>
      </c>
      <c r="AO1575" s="2">
        <v>10.9</v>
      </c>
      <c r="AP1575" s="2">
        <v>564</v>
      </c>
      <c r="AQ1575" s="2">
        <v>68</v>
      </c>
      <c r="AR1575" s="2">
        <v>1.5</v>
      </c>
      <c r="AS1575" s="2">
        <v>135</v>
      </c>
      <c r="AT1575" s="2">
        <v>0</v>
      </c>
      <c r="AU1575" s="2">
        <v>162</v>
      </c>
      <c r="AV1575" s="2">
        <v>9.1</v>
      </c>
      <c r="AW1575" s="2">
        <v>9.1999999999999993</v>
      </c>
      <c r="AX1575" s="2">
        <v>18.3</v>
      </c>
      <c r="AY1575" s="2">
        <v>0.34</v>
      </c>
      <c r="AZ1575" s="2">
        <v>7.3</v>
      </c>
      <c r="BA1575" s="2">
        <v>0.9</v>
      </c>
      <c r="BB1575" s="2">
        <v>7.5</v>
      </c>
      <c r="BC1575" s="2">
        <v>2.9</v>
      </c>
      <c r="BD1575" s="2">
        <f>+AN1575*EXP(-0.0495*Y1575)</f>
        <v>1.9990682802848085</v>
      </c>
      <c r="BE1575" s="2">
        <f>+AO1575*EXP(-0.024*Y1575)</f>
        <v>9.9755643198440307</v>
      </c>
    </row>
    <row r="1576" spans="1:57" x14ac:dyDescent="0.2">
      <c r="A1576" s="2" t="s">
        <v>2384</v>
      </c>
      <c r="B1576" s="2" t="s">
        <v>19</v>
      </c>
      <c r="C1576" s="2" t="s">
        <v>1907</v>
      </c>
      <c r="D1576" s="2" t="s">
        <v>21</v>
      </c>
      <c r="E1576" s="2" t="s">
        <v>156</v>
      </c>
      <c r="F1576" s="2">
        <v>4</v>
      </c>
      <c r="G1576" s="2">
        <v>169</v>
      </c>
      <c r="H1576" s="2">
        <v>4</v>
      </c>
      <c r="I1576" s="2">
        <v>3</v>
      </c>
      <c r="J1576" s="2">
        <v>2</v>
      </c>
      <c r="K1576" s="2" t="s">
        <v>61</v>
      </c>
      <c r="L1576" s="6" t="s">
        <v>113</v>
      </c>
      <c r="M1576" s="5">
        <v>675000000</v>
      </c>
      <c r="N1576" s="2">
        <v>0</v>
      </c>
      <c r="O1576" s="2">
        <v>4.7239694999999999</v>
      </c>
      <c r="P1576" s="2">
        <v>-74.030885400000003</v>
      </c>
      <c r="Q1576" s="2" t="s">
        <v>2385</v>
      </c>
      <c r="R1576" s="2">
        <v>3994082.84</v>
      </c>
      <c r="S1576" s="2">
        <v>0</v>
      </c>
      <c r="T1576" s="2" t="s">
        <v>55</v>
      </c>
      <c r="U1576" s="2" t="s">
        <v>56</v>
      </c>
      <c r="V1576" s="2" t="s">
        <v>28</v>
      </c>
      <c r="W1576" s="2" t="s">
        <v>55</v>
      </c>
      <c r="X1576" s="2" t="s">
        <v>57</v>
      </c>
      <c r="Y1576" s="2">
        <v>1.5170073779915401</v>
      </c>
      <c r="Z1576" s="2">
        <v>4.71035</v>
      </c>
      <c r="AA1576" s="2">
        <v>-74.030416666666696</v>
      </c>
      <c r="AB1576" s="2">
        <v>2570</v>
      </c>
      <c r="AC1576" s="2" t="s">
        <v>31</v>
      </c>
      <c r="AD1576" s="2" t="s">
        <v>58</v>
      </c>
      <c r="AE1576" s="2" t="s">
        <v>33</v>
      </c>
      <c r="AF1576" s="2" t="s">
        <v>34</v>
      </c>
      <c r="AG1576" s="2" t="s">
        <v>59</v>
      </c>
      <c r="AH1576" s="2">
        <v>2.1982740411178598</v>
      </c>
      <c r="AI1576" s="2">
        <v>0.93578655914594899</v>
      </c>
      <c r="AJ1576" s="2">
        <v>1.4091109518984299</v>
      </c>
      <c r="AK1576" s="2">
        <v>0.15506161226226001</v>
      </c>
      <c r="AL1576" s="2">
        <v>0.21353444803955901</v>
      </c>
      <c r="AM1576" s="2">
        <v>15.5</v>
      </c>
      <c r="AN1576" s="2">
        <v>2.4</v>
      </c>
      <c r="AO1576" s="2">
        <v>10.9</v>
      </c>
      <c r="AP1576" s="2">
        <v>564</v>
      </c>
      <c r="AQ1576" s="2">
        <v>68</v>
      </c>
      <c r="AR1576" s="2">
        <v>1.5</v>
      </c>
      <c r="AS1576" s="2">
        <v>135</v>
      </c>
      <c r="AT1576" s="2">
        <v>0</v>
      </c>
      <c r="AU1576" s="2">
        <v>162</v>
      </c>
      <c r="AV1576" s="2">
        <v>9.1</v>
      </c>
      <c r="AW1576" s="2">
        <v>9.1999999999999993</v>
      </c>
      <c r="AX1576" s="2">
        <v>18.3</v>
      </c>
      <c r="AY1576" s="2">
        <v>0.34</v>
      </c>
      <c r="AZ1576" s="2">
        <v>7.3</v>
      </c>
      <c r="BA1576" s="2">
        <v>0.9</v>
      </c>
      <c r="BB1576" s="2">
        <v>7.5</v>
      </c>
      <c r="BC1576" s="2">
        <v>2.9</v>
      </c>
      <c r="BD1576" s="2">
        <f>+AN1576*EXP(-0.0495*Y1576)</f>
        <v>2.2263798309417848</v>
      </c>
      <c r="BE1576" s="2">
        <f>+AO1576*EXP(-0.024*Y1576)</f>
        <v>10.510288264607517</v>
      </c>
    </row>
    <row r="1577" spans="1:57" x14ac:dyDescent="0.2">
      <c r="A1577" s="2" t="s">
        <v>1163</v>
      </c>
      <c r="B1577" s="2" t="s">
        <v>19</v>
      </c>
      <c r="C1577" s="2" t="s">
        <v>20</v>
      </c>
      <c r="D1577" s="2" t="s">
        <v>21</v>
      </c>
      <c r="E1577" s="2" t="s">
        <v>1118</v>
      </c>
      <c r="F1577" s="2">
        <v>4</v>
      </c>
      <c r="G1577" s="2">
        <v>168.71</v>
      </c>
      <c r="H1577" s="2">
        <v>3</v>
      </c>
      <c r="I1577" s="2">
        <v>5</v>
      </c>
      <c r="J1577" s="2">
        <v>2</v>
      </c>
      <c r="K1577" s="2" t="s">
        <v>61</v>
      </c>
      <c r="L1577" s="6" t="s">
        <v>84</v>
      </c>
      <c r="M1577" s="5">
        <v>1430000000</v>
      </c>
      <c r="N1577" s="2">
        <v>0</v>
      </c>
      <c r="O1577" s="2">
        <v>4.7049746509999997</v>
      </c>
      <c r="P1577" s="2">
        <v>-74.027709959999996</v>
      </c>
      <c r="Q1577" s="2" t="s">
        <v>1164</v>
      </c>
      <c r="R1577" s="2">
        <v>8476083.2200000007</v>
      </c>
      <c r="S1577" s="2">
        <v>0</v>
      </c>
      <c r="T1577" s="2" t="s">
        <v>55</v>
      </c>
      <c r="U1577" s="2" t="s">
        <v>56</v>
      </c>
      <c r="V1577" s="2" t="s">
        <v>28</v>
      </c>
      <c r="W1577" s="2" t="s">
        <v>55</v>
      </c>
      <c r="X1577" s="2" t="s">
        <v>57</v>
      </c>
      <c r="Y1577" s="2">
        <v>0.66950404996637902</v>
      </c>
      <c r="Z1577" s="2">
        <v>4.71035</v>
      </c>
      <c r="AA1577" s="2">
        <v>-74.030416666666696</v>
      </c>
      <c r="AB1577" s="2">
        <v>2570</v>
      </c>
      <c r="AC1577" s="2" t="s">
        <v>31</v>
      </c>
      <c r="AD1577" s="2" t="s">
        <v>58</v>
      </c>
      <c r="AE1577" s="2" t="s">
        <v>33</v>
      </c>
      <c r="AF1577" s="2" t="s">
        <v>34</v>
      </c>
      <c r="AG1577" s="2" t="s">
        <v>59</v>
      </c>
      <c r="AH1577" s="2">
        <v>2.9401445382530502</v>
      </c>
      <c r="AI1577" s="2">
        <v>0.33840107815814102</v>
      </c>
      <c r="AJ1577" s="2">
        <v>0.66315981351752595</v>
      </c>
      <c r="AK1577" s="2">
        <v>0.24245311227857699</v>
      </c>
      <c r="AL1577" s="2">
        <v>5.4263039758925102E-2</v>
      </c>
      <c r="AM1577" s="2">
        <v>15.5</v>
      </c>
      <c r="AN1577" s="2">
        <v>2.4</v>
      </c>
      <c r="AO1577" s="2">
        <v>10.9</v>
      </c>
      <c r="AP1577" s="2">
        <v>564</v>
      </c>
      <c r="AQ1577" s="2">
        <v>68</v>
      </c>
      <c r="AR1577" s="2">
        <v>1.5</v>
      </c>
      <c r="AS1577" s="2">
        <v>135</v>
      </c>
      <c r="AT1577" s="2">
        <v>0</v>
      </c>
      <c r="AU1577" s="2">
        <v>162</v>
      </c>
      <c r="AV1577" s="2">
        <v>9.1</v>
      </c>
      <c r="AW1577" s="2">
        <v>9.1999999999999993</v>
      </c>
      <c r="AX1577" s="2">
        <v>18.3</v>
      </c>
      <c r="AY1577" s="2">
        <v>0.34</v>
      </c>
      <c r="AZ1577" s="2">
        <v>7.3</v>
      </c>
      <c r="BA1577" s="2">
        <v>0.9</v>
      </c>
      <c r="BB1577" s="2">
        <v>7.5</v>
      </c>
      <c r="BC1577" s="2">
        <v>2.9</v>
      </c>
      <c r="BD1577" s="2">
        <f>+AN1577*EXP(-0.0495*Y1577)</f>
        <v>2.3217664269189968</v>
      </c>
      <c r="BE1577" s="2">
        <f>+AO1577*EXP(-0.024*Y1577)</f>
        <v>10.726257335649608</v>
      </c>
    </row>
    <row r="1578" spans="1:57" x14ac:dyDescent="0.2">
      <c r="A1578" s="2" t="s">
        <v>1379</v>
      </c>
      <c r="B1578" s="2" t="s">
        <v>19</v>
      </c>
      <c r="C1578" s="2" t="s">
        <v>20</v>
      </c>
      <c r="D1578" s="2" t="s">
        <v>21</v>
      </c>
      <c r="E1578" s="2" t="s">
        <v>1380</v>
      </c>
      <c r="F1578" s="2">
        <v>6</v>
      </c>
      <c r="G1578" s="2">
        <v>168</v>
      </c>
      <c r="H1578" s="2">
        <v>3</v>
      </c>
      <c r="I1578" s="2">
        <v>3</v>
      </c>
      <c r="J1578" s="2">
        <v>2</v>
      </c>
      <c r="K1578" s="2" t="s">
        <v>61</v>
      </c>
      <c r="L1578" s="6" t="s">
        <v>75</v>
      </c>
      <c r="M1578" s="5">
        <v>1300000000</v>
      </c>
      <c r="N1578" s="2">
        <v>0</v>
      </c>
      <c r="O1578" s="2">
        <v>4.6981644630000003</v>
      </c>
      <c r="P1578" s="2">
        <v>-74.05092621</v>
      </c>
      <c r="Q1578" s="2" t="s">
        <v>1381</v>
      </c>
      <c r="R1578" s="2">
        <v>7738095.2379999999</v>
      </c>
      <c r="S1578" s="2">
        <v>0</v>
      </c>
      <c r="T1578" s="2" t="s">
        <v>55</v>
      </c>
      <c r="U1578" s="2" t="s">
        <v>56</v>
      </c>
      <c r="V1578" s="2" t="s">
        <v>28</v>
      </c>
      <c r="W1578" s="2" t="s">
        <v>55</v>
      </c>
      <c r="X1578" s="2" t="s">
        <v>57</v>
      </c>
      <c r="Y1578" s="2">
        <v>2.6490750912704599</v>
      </c>
      <c r="Z1578" s="2">
        <v>4.71035</v>
      </c>
      <c r="AA1578" s="2">
        <v>-74.030416666666696</v>
      </c>
      <c r="AB1578" s="2">
        <v>2570</v>
      </c>
      <c r="AC1578" s="2" t="s">
        <v>31</v>
      </c>
      <c r="AD1578" s="2" t="s">
        <v>58</v>
      </c>
      <c r="AE1578" s="2" t="s">
        <v>33</v>
      </c>
      <c r="AF1578" s="2" t="s">
        <v>34</v>
      </c>
      <c r="AG1578" s="2" t="s">
        <v>59</v>
      </c>
      <c r="AH1578" s="2">
        <v>0.485950192016955</v>
      </c>
      <c r="AI1578" s="2">
        <v>2.70338374317098</v>
      </c>
      <c r="AJ1578" s="2">
        <v>0.55136558605222397</v>
      </c>
      <c r="AK1578" s="2">
        <v>7.4202768215661699E-2</v>
      </c>
      <c r="AL1578" s="2">
        <v>0.344431958592337</v>
      </c>
      <c r="AM1578" s="2">
        <v>15.5</v>
      </c>
      <c r="AN1578" s="2">
        <v>2.4</v>
      </c>
      <c r="AO1578" s="2">
        <v>10.9</v>
      </c>
      <c r="AP1578" s="2">
        <v>564</v>
      </c>
      <c r="AQ1578" s="2">
        <v>68</v>
      </c>
      <c r="AR1578" s="2">
        <v>1.5</v>
      </c>
      <c r="AS1578" s="2">
        <v>135</v>
      </c>
      <c r="AT1578" s="2">
        <v>0</v>
      </c>
      <c r="AU1578" s="2">
        <v>162</v>
      </c>
      <c r="AV1578" s="2">
        <v>9.1</v>
      </c>
      <c r="AW1578" s="2">
        <v>9.1999999999999993</v>
      </c>
      <c r="AX1578" s="2">
        <v>18.3</v>
      </c>
      <c r="AY1578" s="2">
        <v>0.34</v>
      </c>
      <c r="AZ1578" s="2">
        <v>7.3</v>
      </c>
      <c r="BA1578" s="2">
        <v>0.9</v>
      </c>
      <c r="BB1578" s="2">
        <v>7.5</v>
      </c>
      <c r="BC1578" s="2">
        <v>2.9</v>
      </c>
      <c r="BD1578" s="2">
        <f>+AN1578*EXP(-0.0495*Y1578)</f>
        <v>2.1050506325984455</v>
      </c>
      <c r="BE1578" s="2">
        <f>+AO1578*EXP(-0.024*Y1578)</f>
        <v>10.228572064106555</v>
      </c>
    </row>
    <row r="1579" spans="1:57" x14ac:dyDescent="0.2">
      <c r="A1579" s="2" t="s">
        <v>1323</v>
      </c>
      <c r="B1579" s="2" t="s">
        <v>19</v>
      </c>
      <c r="C1579" s="2" t="s">
        <v>20</v>
      </c>
      <c r="D1579" s="2" t="s">
        <v>21</v>
      </c>
      <c r="E1579" s="2" t="s">
        <v>537</v>
      </c>
      <c r="F1579" s="2">
        <v>5</v>
      </c>
      <c r="G1579" s="2">
        <v>168</v>
      </c>
      <c r="H1579" s="2">
        <v>4</v>
      </c>
      <c r="I1579" s="2">
        <v>4</v>
      </c>
      <c r="J1579" s="2">
        <v>3</v>
      </c>
      <c r="K1579" s="2" t="s">
        <v>61</v>
      </c>
      <c r="L1579" s="6" t="s">
        <v>75</v>
      </c>
      <c r="M1579" s="5">
        <v>1760000000</v>
      </c>
      <c r="N1579" s="2">
        <v>0</v>
      </c>
      <c r="O1579" s="2">
        <v>4.7111377719999998</v>
      </c>
      <c r="P1579" s="2">
        <v>-74.048988339999994</v>
      </c>
      <c r="Q1579" s="2" t="s">
        <v>1324</v>
      </c>
      <c r="R1579" s="2">
        <v>10476190.48</v>
      </c>
      <c r="S1579" s="2">
        <v>0</v>
      </c>
      <c r="T1579" s="2" t="s">
        <v>55</v>
      </c>
      <c r="U1579" s="2" t="s">
        <v>56</v>
      </c>
      <c r="V1579" s="2" t="s">
        <v>28</v>
      </c>
      <c r="W1579" s="2" t="s">
        <v>55</v>
      </c>
      <c r="X1579" s="2" t="s">
        <v>57</v>
      </c>
      <c r="Y1579" s="2">
        <v>2.0622709538810602</v>
      </c>
      <c r="Z1579" s="2">
        <v>4.71035</v>
      </c>
      <c r="AA1579" s="2">
        <v>-74.030416666666696</v>
      </c>
      <c r="AB1579" s="2">
        <v>2570</v>
      </c>
      <c r="AC1579" s="2" t="s">
        <v>31</v>
      </c>
      <c r="AD1579" s="2" t="s">
        <v>58</v>
      </c>
      <c r="AE1579" s="2" t="s">
        <v>33</v>
      </c>
      <c r="AF1579" s="2" t="s">
        <v>34</v>
      </c>
      <c r="AG1579" s="2" t="s">
        <v>59</v>
      </c>
      <c r="AH1579" s="2">
        <v>0.54733447544535596</v>
      </c>
      <c r="AI1579" s="2">
        <v>2.6600067683248101</v>
      </c>
      <c r="AJ1579" s="2">
        <v>1.79781167158122</v>
      </c>
      <c r="AK1579" s="2">
        <v>0.31006017607719299</v>
      </c>
      <c r="AL1579" s="2">
        <v>0.17659563010361901</v>
      </c>
      <c r="AM1579" s="2">
        <v>15.5</v>
      </c>
      <c r="AN1579" s="2">
        <v>2.4</v>
      </c>
      <c r="AO1579" s="2">
        <v>10.9</v>
      </c>
      <c r="AP1579" s="2">
        <v>564</v>
      </c>
      <c r="AQ1579" s="2">
        <v>68</v>
      </c>
      <c r="AR1579" s="2">
        <v>1.5</v>
      </c>
      <c r="AS1579" s="2">
        <v>135</v>
      </c>
      <c r="AT1579" s="2">
        <v>0</v>
      </c>
      <c r="AU1579" s="2">
        <v>162</v>
      </c>
      <c r="AV1579" s="2">
        <v>9.1</v>
      </c>
      <c r="AW1579" s="2">
        <v>9.1999999999999993</v>
      </c>
      <c r="AX1579" s="2">
        <v>18.3</v>
      </c>
      <c r="AY1579" s="2">
        <v>0.34</v>
      </c>
      <c r="AZ1579" s="2">
        <v>7.3</v>
      </c>
      <c r="BA1579" s="2">
        <v>0.9</v>
      </c>
      <c r="BB1579" s="2">
        <v>7.5</v>
      </c>
      <c r="BC1579" s="2">
        <v>2.9</v>
      </c>
      <c r="BD1579" s="2">
        <f>+AN1579*EXP(-0.0495*Y1579)</f>
        <v>2.1670923217629783</v>
      </c>
      <c r="BE1579" s="2">
        <f>+AO1579*EXP(-0.024*Y1579)</f>
        <v>10.37364324855611</v>
      </c>
    </row>
    <row r="1580" spans="1:57" x14ac:dyDescent="0.2">
      <c r="A1580" s="2" t="s">
        <v>438</v>
      </c>
      <c r="B1580" s="2" t="s">
        <v>19</v>
      </c>
      <c r="C1580" s="2" t="s">
        <v>20</v>
      </c>
      <c r="D1580" s="2" t="s">
        <v>21</v>
      </c>
      <c r="E1580" s="2" t="s">
        <v>419</v>
      </c>
      <c r="F1580" s="2">
        <v>6</v>
      </c>
      <c r="G1580" s="2">
        <v>167</v>
      </c>
      <c r="H1580" s="2">
        <v>3</v>
      </c>
      <c r="I1580" s="2">
        <v>3</v>
      </c>
      <c r="J1580" s="2">
        <v>1</v>
      </c>
      <c r="K1580" s="2" t="s">
        <v>61</v>
      </c>
      <c r="L1580" s="6" t="s">
        <v>113</v>
      </c>
      <c r="M1580" s="5">
        <v>880000000</v>
      </c>
      <c r="N1580" s="2">
        <v>0</v>
      </c>
      <c r="O1580" s="2">
        <v>4.6874880790000004</v>
      </c>
      <c r="P1580" s="2">
        <v>-74.054534910000001</v>
      </c>
      <c r="Q1580" s="2" t="s">
        <v>439</v>
      </c>
      <c r="R1580" s="2">
        <v>5269461.0779999997</v>
      </c>
      <c r="S1580" s="2">
        <v>0</v>
      </c>
      <c r="T1580" s="2" t="s">
        <v>55</v>
      </c>
      <c r="U1580" s="2" t="s">
        <v>56</v>
      </c>
      <c r="V1580" s="2" t="s">
        <v>28</v>
      </c>
      <c r="W1580" s="2" t="s">
        <v>55</v>
      </c>
      <c r="X1580" s="2" t="s">
        <v>57</v>
      </c>
      <c r="Y1580" s="2">
        <v>3.69281074870857</v>
      </c>
      <c r="Z1580" s="2">
        <v>4.71035</v>
      </c>
      <c r="AA1580" s="2">
        <v>-74.030416666666696</v>
      </c>
      <c r="AB1580" s="2">
        <v>2570</v>
      </c>
      <c r="AC1580" s="2" t="s">
        <v>31</v>
      </c>
      <c r="AD1580" s="2" t="s">
        <v>58</v>
      </c>
      <c r="AE1580" s="2" t="s">
        <v>33</v>
      </c>
      <c r="AF1580" s="2" t="s">
        <v>34</v>
      </c>
      <c r="AG1580" s="2" t="s">
        <v>59</v>
      </c>
      <c r="AH1580" s="2">
        <v>0.52635650746811502</v>
      </c>
      <c r="AI1580" s="2">
        <v>2.2325653579127702</v>
      </c>
      <c r="AJ1580" s="2">
        <v>0.27047910090509297</v>
      </c>
      <c r="AK1580" s="2">
        <v>7.8194798553494593E-2</v>
      </c>
      <c r="AL1580" s="2">
        <v>0.59026169343788404</v>
      </c>
      <c r="AM1580" s="2">
        <v>15.5</v>
      </c>
      <c r="AN1580" s="2">
        <v>2.4</v>
      </c>
      <c r="AO1580" s="2">
        <v>10.9</v>
      </c>
      <c r="AP1580" s="2">
        <v>564</v>
      </c>
      <c r="AQ1580" s="2">
        <v>68</v>
      </c>
      <c r="AR1580" s="2">
        <v>1.5</v>
      </c>
      <c r="AS1580" s="2">
        <v>135</v>
      </c>
      <c r="AT1580" s="2">
        <v>0</v>
      </c>
      <c r="AU1580" s="2">
        <v>162</v>
      </c>
      <c r="AV1580" s="2">
        <v>9.1</v>
      </c>
      <c r="AW1580" s="2">
        <v>9.1999999999999993</v>
      </c>
      <c r="AX1580" s="2">
        <v>18.3</v>
      </c>
      <c r="AY1580" s="2">
        <v>0.34</v>
      </c>
      <c r="AZ1580" s="2">
        <v>7.3</v>
      </c>
      <c r="BA1580" s="2">
        <v>0.9</v>
      </c>
      <c r="BB1580" s="2">
        <v>7.5</v>
      </c>
      <c r="BC1580" s="2">
        <v>2.9</v>
      </c>
      <c r="BD1580" s="2">
        <f>+AN1580*EXP(-0.0495*Y1580)</f>
        <v>1.9990550727579683</v>
      </c>
      <c r="BE1580" s="2">
        <f>+AO1580*EXP(-0.024*Y1580)</f>
        <v>9.9755323648950274</v>
      </c>
    </row>
    <row r="1581" spans="1:57" x14ac:dyDescent="0.2">
      <c r="A1581" s="2" t="s">
        <v>1643</v>
      </c>
      <c r="B1581" s="2" t="s">
        <v>19</v>
      </c>
      <c r="C1581" s="2" t="s">
        <v>20</v>
      </c>
      <c r="D1581" s="2" t="s">
        <v>21</v>
      </c>
      <c r="E1581" s="2" t="s">
        <v>186</v>
      </c>
      <c r="F1581" s="2">
        <v>6</v>
      </c>
      <c r="G1581" s="2">
        <v>167</v>
      </c>
      <c r="H1581" s="2">
        <v>3</v>
      </c>
      <c r="I1581" s="2">
        <v>3</v>
      </c>
      <c r="J1581" s="2">
        <v>2</v>
      </c>
      <c r="K1581" s="2" t="s">
        <v>61</v>
      </c>
      <c r="L1581" s="6" t="s">
        <v>75</v>
      </c>
      <c r="M1581" s="5">
        <v>1350000000</v>
      </c>
      <c r="N1581" s="2">
        <v>0</v>
      </c>
      <c r="O1581" s="2">
        <v>4.7052300000000002</v>
      </c>
      <c r="P1581" s="2">
        <v>-74.044569999999993</v>
      </c>
      <c r="Q1581" s="2" t="s">
        <v>1644</v>
      </c>
      <c r="R1581" s="2">
        <v>8083832.335</v>
      </c>
      <c r="S1581" s="2">
        <v>0</v>
      </c>
      <c r="T1581" s="2" t="s">
        <v>55</v>
      </c>
      <c r="U1581" s="2" t="s">
        <v>56</v>
      </c>
      <c r="V1581" s="2" t="s">
        <v>28</v>
      </c>
      <c r="W1581" s="2" t="s">
        <v>55</v>
      </c>
      <c r="X1581" s="2" t="s">
        <v>57</v>
      </c>
      <c r="Y1581" s="2">
        <v>1.6704671233866</v>
      </c>
      <c r="Z1581" s="2">
        <v>4.71035</v>
      </c>
      <c r="AA1581" s="2">
        <v>-74.030416666666696</v>
      </c>
      <c r="AB1581" s="2">
        <v>2570</v>
      </c>
      <c r="AC1581" s="2" t="s">
        <v>31</v>
      </c>
      <c r="AD1581" s="2" t="s">
        <v>58</v>
      </c>
      <c r="AE1581" s="2" t="s">
        <v>33</v>
      </c>
      <c r="AF1581" s="2" t="s">
        <v>34</v>
      </c>
      <c r="AG1581" s="2" t="s">
        <v>59</v>
      </c>
      <c r="AH1581" s="2">
        <v>1.0725190863846299</v>
      </c>
      <c r="AI1581" s="2">
        <v>2.1320884538753999</v>
      </c>
      <c r="AJ1581" s="2">
        <v>1.40962425513856</v>
      </c>
      <c r="AK1581" s="2">
        <v>0.151773865502349</v>
      </c>
      <c r="AL1581" s="2">
        <v>0.42843138808178399</v>
      </c>
      <c r="AM1581" s="2">
        <v>15.5</v>
      </c>
      <c r="AN1581" s="2">
        <v>2.4</v>
      </c>
      <c r="AO1581" s="2">
        <v>10.9</v>
      </c>
      <c r="AP1581" s="2">
        <v>564</v>
      </c>
      <c r="AQ1581" s="2">
        <v>68</v>
      </c>
      <c r="AR1581" s="2">
        <v>1.5</v>
      </c>
      <c r="AS1581" s="2">
        <v>135</v>
      </c>
      <c r="AT1581" s="2">
        <v>0</v>
      </c>
      <c r="AU1581" s="2">
        <v>162</v>
      </c>
      <c r="AV1581" s="2">
        <v>9.1</v>
      </c>
      <c r="AW1581" s="2">
        <v>9.1999999999999993</v>
      </c>
      <c r="AX1581" s="2">
        <v>18.3</v>
      </c>
      <c r="AY1581" s="2">
        <v>0.34</v>
      </c>
      <c r="AZ1581" s="2">
        <v>7.3</v>
      </c>
      <c r="BA1581" s="2">
        <v>0.9</v>
      </c>
      <c r="BB1581" s="2">
        <v>7.5</v>
      </c>
      <c r="BC1581" s="2">
        <v>2.9</v>
      </c>
      <c r="BD1581" s="2">
        <f>+AN1581*EXP(-0.0495*Y1581)</f>
        <v>2.2095317488818313</v>
      </c>
      <c r="BE1581" s="2">
        <f>+AO1581*EXP(-0.024*Y1581)</f>
        <v>10.47164971396329</v>
      </c>
    </row>
    <row r="1582" spans="1:57" x14ac:dyDescent="0.2">
      <c r="A1582" s="2" t="s">
        <v>1549</v>
      </c>
      <c r="B1582" s="2" t="s">
        <v>19</v>
      </c>
      <c r="C1582" s="2" t="s">
        <v>20</v>
      </c>
      <c r="D1582" s="2" t="s">
        <v>21</v>
      </c>
      <c r="E1582" s="2" t="s">
        <v>288</v>
      </c>
      <c r="F1582" s="2">
        <v>6</v>
      </c>
      <c r="G1582" s="2">
        <v>165.4</v>
      </c>
      <c r="H1582" s="2">
        <v>3</v>
      </c>
      <c r="I1582" s="2">
        <v>3</v>
      </c>
      <c r="J1582" s="2">
        <v>2</v>
      </c>
      <c r="K1582" s="2" t="s">
        <v>61</v>
      </c>
      <c r="L1582" s="6" t="s">
        <v>75</v>
      </c>
      <c r="M1582" s="5">
        <v>1580000000</v>
      </c>
      <c r="N1582" s="2">
        <v>0</v>
      </c>
      <c r="O1582" s="2">
        <v>4.7022342679999998</v>
      </c>
      <c r="P1582" s="2">
        <v>-74.046035770000003</v>
      </c>
      <c r="Q1582" s="2" t="s">
        <v>1550</v>
      </c>
      <c r="R1582" s="2">
        <v>9552599.7579999994</v>
      </c>
      <c r="S1582" s="2">
        <v>0</v>
      </c>
      <c r="T1582" s="2" t="s">
        <v>55</v>
      </c>
      <c r="U1582" s="2" t="s">
        <v>56</v>
      </c>
      <c r="V1582" s="2" t="s">
        <v>28</v>
      </c>
      <c r="W1582" s="2" t="s">
        <v>55</v>
      </c>
      <c r="X1582" s="2" t="s">
        <v>57</v>
      </c>
      <c r="Y1582" s="2">
        <v>1.95421742554672</v>
      </c>
      <c r="Z1582" s="2">
        <v>4.71035</v>
      </c>
      <c r="AA1582" s="2">
        <v>-74.030416666666696</v>
      </c>
      <c r="AB1582" s="2">
        <v>2570</v>
      </c>
      <c r="AC1582" s="2" t="s">
        <v>31</v>
      </c>
      <c r="AD1582" s="2" t="s">
        <v>58</v>
      </c>
      <c r="AE1582" s="2" t="s">
        <v>33</v>
      </c>
      <c r="AF1582" s="2" t="s">
        <v>34</v>
      </c>
      <c r="AG1582" s="2" t="s">
        <v>59</v>
      </c>
      <c r="AH1582" s="2">
        <v>0.94612520408614498</v>
      </c>
      <c r="AI1582" s="2">
        <v>2.2606120531348899</v>
      </c>
      <c r="AJ1582" s="2">
        <v>1.0748034964586</v>
      </c>
      <c r="AK1582" s="2">
        <v>8.42126418341477E-2</v>
      </c>
      <c r="AL1582" s="2">
        <v>0.106998331846606</v>
      </c>
      <c r="AM1582" s="2">
        <v>15.5</v>
      </c>
      <c r="AN1582" s="2">
        <v>2.4</v>
      </c>
      <c r="AO1582" s="2">
        <v>10.9</v>
      </c>
      <c r="AP1582" s="2">
        <v>564</v>
      </c>
      <c r="AQ1582" s="2">
        <v>68</v>
      </c>
      <c r="AR1582" s="2">
        <v>1.5</v>
      </c>
      <c r="AS1582" s="2">
        <v>135</v>
      </c>
      <c r="AT1582" s="2">
        <v>0</v>
      </c>
      <c r="AU1582" s="2">
        <v>162</v>
      </c>
      <c r="AV1582" s="2">
        <v>9.1</v>
      </c>
      <c r="AW1582" s="2">
        <v>9.1999999999999993</v>
      </c>
      <c r="AX1582" s="2">
        <v>18.3</v>
      </c>
      <c r="AY1582" s="2">
        <v>0.34</v>
      </c>
      <c r="AZ1582" s="2">
        <v>7.3</v>
      </c>
      <c r="BA1582" s="2">
        <v>0.9</v>
      </c>
      <c r="BB1582" s="2">
        <v>7.5</v>
      </c>
      <c r="BC1582" s="2">
        <v>2.9</v>
      </c>
      <c r="BD1582" s="2">
        <f>+AN1582*EXP(-0.0495*Y1582)</f>
        <v>2.1787143928429855</v>
      </c>
      <c r="BE1582" s="2">
        <f>+AO1582*EXP(-0.024*Y1582)</f>
        <v>10.400579970867209</v>
      </c>
    </row>
    <row r="1583" spans="1:57" x14ac:dyDescent="0.2">
      <c r="A1583" s="2" t="s">
        <v>325</v>
      </c>
      <c r="B1583" s="2" t="s">
        <v>19</v>
      </c>
      <c r="C1583" s="2" t="s">
        <v>20</v>
      </c>
      <c r="D1583" s="2" t="s">
        <v>21</v>
      </c>
      <c r="E1583" s="2" t="s">
        <v>326</v>
      </c>
      <c r="F1583" s="2">
        <v>6</v>
      </c>
      <c r="G1583" s="2">
        <v>164.05</v>
      </c>
      <c r="H1583" s="2">
        <v>3</v>
      </c>
      <c r="I1583" s="2">
        <v>2</v>
      </c>
      <c r="J1583" s="2">
        <v>4</v>
      </c>
      <c r="K1583" s="2" t="s">
        <v>61</v>
      </c>
      <c r="L1583" s="6" t="s">
        <v>113</v>
      </c>
      <c r="M1583" s="5">
        <v>1155000000</v>
      </c>
      <c r="N1583" s="2">
        <v>0</v>
      </c>
      <c r="O1583" s="2">
        <v>4.6891369999999997</v>
      </c>
      <c r="P1583" s="2">
        <v>-74.043005899999997</v>
      </c>
      <c r="Q1583" s="2" t="s">
        <v>327</v>
      </c>
      <c r="R1583" s="2">
        <v>7040536.4220000003</v>
      </c>
      <c r="S1583" s="2">
        <v>0</v>
      </c>
      <c r="T1583" s="2" t="s">
        <v>55</v>
      </c>
      <c r="U1583" s="2" t="s">
        <v>56</v>
      </c>
      <c r="V1583" s="2" t="s">
        <v>28</v>
      </c>
      <c r="W1583" s="2" t="s">
        <v>55</v>
      </c>
      <c r="X1583" s="2" t="s">
        <v>57</v>
      </c>
      <c r="Y1583" s="2">
        <v>2.7435595781936</v>
      </c>
      <c r="Z1583" s="2">
        <v>4.71035</v>
      </c>
      <c r="AA1583" s="2">
        <v>-74.030416666666696</v>
      </c>
      <c r="AB1583" s="2">
        <v>2570</v>
      </c>
      <c r="AC1583" s="2" t="s">
        <v>31</v>
      </c>
      <c r="AD1583" s="2" t="s">
        <v>58</v>
      </c>
      <c r="AE1583" s="2" t="s">
        <v>33</v>
      </c>
      <c r="AF1583" s="2" t="s">
        <v>34</v>
      </c>
      <c r="AG1583" s="2" t="s">
        <v>59</v>
      </c>
      <c r="AH1583" s="2">
        <v>1.5215556755117099</v>
      </c>
      <c r="AI1583" s="2">
        <v>1.37996449921632</v>
      </c>
      <c r="AJ1583" s="2">
        <v>0.85269684518358102</v>
      </c>
      <c r="AK1583" s="2">
        <v>0.15482689729106999</v>
      </c>
      <c r="AL1583" s="2">
        <v>6.3984885124611004E-3</v>
      </c>
      <c r="AM1583" s="2">
        <v>15.5</v>
      </c>
      <c r="AN1583" s="2">
        <v>2.4</v>
      </c>
      <c r="AO1583" s="2">
        <v>10.9</v>
      </c>
      <c r="AP1583" s="2">
        <v>564</v>
      </c>
      <c r="AQ1583" s="2">
        <v>68</v>
      </c>
      <c r="AR1583" s="2">
        <v>1.5</v>
      </c>
      <c r="AS1583" s="2">
        <v>135</v>
      </c>
      <c r="AT1583" s="2">
        <v>0</v>
      </c>
      <c r="AU1583" s="2">
        <v>162</v>
      </c>
      <c r="AV1583" s="2">
        <v>9.1</v>
      </c>
      <c r="AW1583" s="2">
        <v>9.1999999999999993</v>
      </c>
      <c r="AX1583" s="2">
        <v>18.3</v>
      </c>
      <c r="AY1583" s="2">
        <v>0.34</v>
      </c>
      <c r="AZ1583" s="2">
        <v>7.3</v>
      </c>
      <c r="BA1583" s="2">
        <v>0.9</v>
      </c>
      <c r="BB1583" s="2">
        <v>7.5</v>
      </c>
      <c r="BC1583" s="2">
        <v>2.9</v>
      </c>
      <c r="BD1583" s="2">
        <f>+AN1583*EXP(-0.0495*Y1583)</f>
        <v>2.0952283357223989</v>
      </c>
      <c r="BE1583" s="2">
        <f>+AO1583*EXP(-0.024*Y1583)</f>
        <v>10.205403749387983</v>
      </c>
    </row>
    <row r="1584" spans="1:57" x14ac:dyDescent="0.2">
      <c r="A1584" s="2" t="s">
        <v>199</v>
      </c>
      <c r="B1584" s="2" t="s">
        <v>19</v>
      </c>
      <c r="C1584" s="2" t="s">
        <v>20</v>
      </c>
      <c r="D1584" s="2" t="s">
        <v>21</v>
      </c>
      <c r="E1584" s="2" t="s">
        <v>147</v>
      </c>
      <c r="F1584" s="2">
        <v>6</v>
      </c>
      <c r="G1584" s="2">
        <v>164</v>
      </c>
      <c r="H1584" s="2">
        <v>3</v>
      </c>
      <c r="I1584" s="2">
        <v>4</v>
      </c>
      <c r="J1584" s="2">
        <v>2</v>
      </c>
      <c r="K1584" s="2" t="s">
        <v>61</v>
      </c>
      <c r="L1584" s="6" t="s">
        <v>84</v>
      </c>
      <c r="M1584" s="5">
        <v>2100000000</v>
      </c>
      <c r="N1584" s="2">
        <v>0</v>
      </c>
      <c r="O1584" s="2">
        <v>4.6790895460000002</v>
      </c>
      <c r="P1584" s="2">
        <v>-74.042472840000002</v>
      </c>
      <c r="Q1584" s="2" t="s">
        <v>200</v>
      </c>
      <c r="R1584" s="2">
        <v>12804878.050000001</v>
      </c>
      <c r="S1584" s="2">
        <v>0</v>
      </c>
      <c r="T1584" s="2" t="s">
        <v>55</v>
      </c>
      <c r="U1584" s="2" t="s">
        <v>56</v>
      </c>
      <c r="V1584" s="2" t="s">
        <v>28</v>
      </c>
      <c r="W1584" s="2" t="s">
        <v>55</v>
      </c>
      <c r="X1584" s="2" t="s">
        <v>57</v>
      </c>
      <c r="Y1584" s="2">
        <v>3.7281121927329499</v>
      </c>
      <c r="Z1584" s="2">
        <v>4.71035</v>
      </c>
      <c r="AA1584" s="2">
        <v>-74.030416666666696</v>
      </c>
      <c r="AB1584" s="2">
        <v>2570</v>
      </c>
      <c r="AC1584" s="2" t="s">
        <v>31</v>
      </c>
      <c r="AD1584" s="2" t="s">
        <v>58</v>
      </c>
      <c r="AE1584" s="2" t="s">
        <v>33</v>
      </c>
      <c r="AF1584" s="2" t="s">
        <v>34</v>
      </c>
      <c r="AG1584" s="2" t="s">
        <v>81</v>
      </c>
      <c r="AH1584" s="2">
        <v>1.77305697017486</v>
      </c>
      <c r="AI1584" s="2">
        <v>0.625637225004127</v>
      </c>
      <c r="AJ1584" s="2">
        <v>0.51263436416497599</v>
      </c>
      <c r="AK1584" s="2">
        <v>0.157404651282081</v>
      </c>
      <c r="AL1584" s="2">
        <v>0.93393194809634394</v>
      </c>
      <c r="AM1584" s="2">
        <v>15.5</v>
      </c>
      <c r="AN1584" s="2">
        <v>2.4</v>
      </c>
      <c r="AO1584" s="2">
        <v>10.9</v>
      </c>
      <c r="AP1584" s="2">
        <v>564</v>
      </c>
      <c r="AQ1584" s="2">
        <v>68</v>
      </c>
      <c r="AR1584" s="2">
        <v>1.5</v>
      </c>
      <c r="AS1584" s="2">
        <v>135</v>
      </c>
      <c r="AT1584" s="2">
        <v>0</v>
      </c>
      <c r="AU1584" s="2">
        <v>162</v>
      </c>
      <c r="AV1584" s="2">
        <v>9.1</v>
      </c>
      <c r="AW1584" s="2">
        <v>9.1999999999999993</v>
      </c>
      <c r="AX1584" s="2">
        <v>18.3</v>
      </c>
      <c r="AY1584" s="2">
        <v>0.34</v>
      </c>
      <c r="AZ1584" s="2">
        <v>7.3</v>
      </c>
      <c r="BA1584" s="2">
        <v>0.9</v>
      </c>
      <c r="BB1584" s="2">
        <v>7.5</v>
      </c>
      <c r="BC1584" s="2">
        <v>2.9</v>
      </c>
      <c r="BD1584" s="2">
        <f>+AN1584*EXP(-0.0495*Y1584)</f>
        <v>1.995564931247924</v>
      </c>
      <c r="BE1584" s="2">
        <f>+AO1584*EXP(-0.024*Y1584)</f>
        <v>9.9670843273980143</v>
      </c>
    </row>
    <row r="1585" spans="1:57" x14ac:dyDescent="0.2">
      <c r="A1585" s="2" t="s">
        <v>1328</v>
      </c>
      <c r="B1585" s="2" t="s">
        <v>19</v>
      </c>
      <c r="C1585" s="2" t="s">
        <v>20</v>
      </c>
      <c r="D1585" s="2" t="s">
        <v>21</v>
      </c>
      <c r="E1585" s="2" t="s">
        <v>419</v>
      </c>
      <c r="F1585" s="2">
        <v>6</v>
      </c>
      <c r="G1585" s="2">
        <v>164</v>
      </c>
      <c r="H1585" s="2">
        <v>3</v>
      </c>
      <c r="I1585" s="2">
        <v>5</v>
      </c>
      <c r="J1585" s="2">
        <v>3</v>
      </c>
      <c r="K1585" s="2" t="s">
        <v>61</v>
      </c>
      <c r="L1585" s="6" t="s">
        <v>113</v>
      </c>
      <c r="M1585" s="5">
        <v>995000000</v>
      </c>
      <c r="N1585" s="2">
        <v>0</v>
      </c>
      <c r="O1585" s="2">
        <v>4.6909670830000003</v>
      </c>
      <c r="P1585" s="2">
        <v>-74.054092409999996</v>
      </c>
      <c r="Q1585" s="2" t="s">
        <v>1329</v>
      </c>
      <c r="R1585" s="2">
        <v>6067073.1710000001</v>
      </c>
      <c r="S1585" s="2">
        <v>0</v>
      </c>
      <c r="T1585" s="2" t="s">
        <v>55</v>
      </c>
      <c r="U1585" s="2" t="s">
        <v>56</v>
      </c>
      <c r="V1585" s="2" t="s">
        <v>28</v>
      </c>
      <c r="W1585" s="2" t="s">
        <v>55</v>
      </c>
      <c r="X1585" s="2" t="s">
        <v>57</v>
      </c>
      <c r="Y1585" s="2">
        <v>3.3993002995377202</v>
      </c>
      <c r="Z1585" s="2">
        <v>4.71035</v>
      </c>
      <c r="AA1585" s="2">
        <v>-74.030416666666696</v>
      </c>
      <c r="AB1585" s="2">
        <v>2570</v>
      </c>
      <c r="AC1585" s="2" t="s">
        <v>31</v>
      </c>
      <c r="AD1585" s="2" t="s">
        <v>58</v>
      </c>
      <c r="AE1585" s="2" t="s">
        <v>33</v>
      </c>
      <c r="AF1585" s="2" t="s">
        <v>34</v>
      </c>
      <c r="AG1585" s="2" t="s">
        <v>59</v>
      </c>
      <c r="AH1585" s="2">
        <v>0.32142779162507201</v>
      </c>
      <c r="AI1585" s="2">
        <v>2.40026520413261</v>
      </c>
      <c r="AJ1585" s="2">
        <v>0.48392689249353799</v>
      </c>
      <c r="AK1585" s="2">
        <v>6.2769506525338206E-2</v>
      </c>
      <c r="AL1585" s="2">
        <v>0.25873299376519798</v>
      </c>
      <c r="AM1585" s="2">
        <v>15.5</v>
      </c>
      <c r="AN1585" s="2">
        <v>2.4</v>
      </c>
      <c r="AO1585" s="2">
        <v>10.9</v>
      </c>
      <c r="AP1585" s="2">
        <v>564</v>
      </c>
      <c r="AQ1585" s="2">
        <v>68</v>
      </c>
      <c r="AR1585" s="2">
        <v>1.5</v>
      </c>
      <c r="AS1585" s="2">
        <v>135</v>
      </c>
      <c r="AT1585" s="2">
        <v>0</v>
      </c>
      <c r="AU1585" s="2">
        <v>162</v>
      </c>
      <c r="AV1585" s="2">
        <v>9.1</v>
      </c>
      <c r="AW1585" s="2">
        <v>9.1999999999999993</v>
      </c>
      <c r="AX1585" s="2">
        <v>18.3</v>
      </c>
      <c r="AY1585" s="2">
        <v>0.34</v>
      </c>
      <c r="AZ1585" s="2">
        <v>7.3</v>
      </c>
      <c r="BA1585" s="2">
        <v>0.9</v>
      </c>
      <c r="BB1585" s="2">
        <v>7.5</v>
      </c>
      <c r="BC1585" s="2">
        <v>2.9</v>
      </c>
      <c r="BD1585" s="2">
        <f>+AN1585*EXP(-0.0495*Y1585)</f>
        <v>2.0283108894530471</v>
      </c>
      <c r="BE1585" s="2">
        <f>+AO1585*EXP(-0.024*Y1585)</f>
        <v>10.046050598999868</v>
      </c>
    </row>
    <row r="1586" spans="1:57" x14ac:dyDescent="0.2">
      <c r="A1586" s="2" t="s">
        <v>1441</v>
      </c>
      <c r="B1586" s="2" t="s">
        <v>19</v>
      </c>
      <c r="C1586" s="2" t="s">
        <v>20</v>
      </c>
      <c r="D1586" s="2" t="s">
        <v>21</v>
      </c>
      <c r="E1586" s="2" t="s">
        <v>141</v>
      </c>
      <c r="F1586" s="2">
        <v>6</v>
      </c>
      <c r="G1586" s="2">
        <v>164</v>
      </c>
      <c r="H1586" s="2">
        <v>2</v>
      </c>
      <c r="I1586" s="2">
        <v>3</v>
      </c>
      <c r="J1586" s="2">
        <v>2</v>
      </c>
      <c r="K1586" s="2" t="s">
        <v>61</v>
      </c>
      <c r="L1586" s="6" t="s">
        <v>113</v>
      </c>
      <c r="M1586" s="5">
        <v>970000000</v>
      </c>
      <c r="N1586" s="2">
        <v>0</v>
      </c>
      <c r="O1586" s="2">
        <v>4.6860599519999999</v>
      </c>
      <c r="P1586" s="2">
        <v>-74.043495179999994</v>
      </c>
      <c r="Q1586" s="2" t="s">
        <v>1442</v>
      </c>
      <c r="R1586" s="2">
        <v>5914634.1459999997</v>
      </c>
      <c r="S1586" s="2">
        <v>0</v>
      </c>
      <c r="T1586" s="2" t="s">
        <v>55</v>
      </c>
      <c r="U1586" s="2" t="s">
        <v>56</v>
      </c>
      <c r="V1586" s="2" t="s">
        <v>28</v>
      </c>
      <c r="W1586" s="2" t="s">
        <v>55</v>
      </c>
      <c r="X1586" s="2" t="s">
        <v>57</v>
      </c>
      <c r="Y1586" s="2">
        <v>3.06867762550629</v>
      </c>
      <c r="Z1586" s="2">
        <v>4.71035</v>
      </c>
      <c r="AA1586" s="2">
        <v>-74.030416666666696</v>
      </c>
      <c r="AB1586" s="2">
        <v>2570</v>
      </c>
      <c r="AC1586" s="2" t="s">
        <v>31</v>
      </c>
      <c r="AD1586" s="2" t="s">
        <v>58</v>
      </c>
      <c r="AE1586" s="2" t="s">
        <v>33</v>
      </c>
      <c r="AF1586" s="2" t="s">
        <v>34</v>
      </c>
      <c r="AG1586" s="2" t="s">
        <v>59</v>
      </c>
      <c r="AH1586" s="2">
        <v>1.5935536689513199</v>
      </c>
      <c r="AI1586" s="2">
        <v>1.15229402362426</v>
      </c>
      <c r="AJ1586" s="2">
        <v>0.62065574316313399</v>
      </c>
      <c r="AK1586" s="2">
        <v>0.111593395607677</v>
      </c>
      <c r="AL1586" s="2">
        <v>0.30025589754862397</v>
      </c>
      <c r="AM1586" s="2">
        <v>15.5</v>
      </c>
      <c r="AN1586" s="2">
        <v>2.4</v>
      </c>
      <c r="AO1586" s="2">
        <v>10.9</v>
      </c>
      <c r="AP1586" s="2">
        <v>564</v>
      </c>
      <c r="AQ1586" s="2">
        <v>68</v>
      </c>
      <c r="AR1586" s="2">
        <v>1.5</v>
      </c>
      <c r="AS1586" s="2">
        <v>135</v>
      </c>
      <c r="AT1586" s="2">
        <v>0</v>
      </c>
      <c r="AU1586" s="2">
        <v>162</v>
      </c>
      <c r="AV1586" s="2">
        <v>9.1</v>
      </c>
      <c r="AW1586" s="2">
        <v>9.1999999999999993</v>
      </c>
      <c r="AX1586" s="2">
        <v>18.3</v>
      </c>
      <c r="AY1586" s="2">
        <v>0.34</v>
      </c>
      <c r="AZ1586" s="2">
        <v>7.3</v>
      </c>
      <c r="BA1586" s="2">
        <v>0.9</v>
      </c>
      <c r="BB1586" s="2">
        <v>7.5</v>
      </c>
      <c r="BC1586" s="2">
        <v>2.9</v>
      </c>
      <c r="BD1586" s="2">
        <f>+AN1586*EXP(-0.0495*Y1586)</f>
        <v>2.0617789846151369</v>
      </c>
      <c r="BE1586" s="2">
        <f>+AO1586*EXP(-0.024*Y1586)</f>
        <v>10.126082554325894</v>
      </c>
    </row>
    <row r="1587" spans="1:57" x14ac:dyDescent="0.2">
      <c r="A1587" s="2" t="s">
        <v>853</v>
      </c>
      <c r="B1587" s="2" t="s">
        <v>19</v>
      </c>
      <c r="C1587" s="2" t="s">
        <v>20</v>
      </c>
      <c r="D1587" s="2" t="s">
        <v>21</v>
      </c>
      <c r="E1587" s="2" t="s">
        <v>147</v>
      </c>
      <c r="F1587" s="2">
        <v>6</v>
      </c>
      <c r="G1587" s="2">
        <v>163.69999999999999</v>
      </c>
      <c r="H1587" s="2">
        <v>2</v>
      </c>
      <c r="I1587" s="2">
        <v>2</v>
      </c>
      <c r="J1587" s="2">
        <v>2</v>
      </c>
      <c r="K1587" s="2" t="s">
        <v>61</v>
      </c>
      <c r="L1587" s="6" t="s">
        <v>113</v>
      </c>
      <c r="M1587" s="5">
        <v>949000000</v>
      </c>
      <c r="N1587" s="2">
        <v>0</v>
      </c>
      <c r="O1587" s="2">
        <v>4.6787996290000002</v>
      </c>
      <c r="P1587" s="2">
        <v>-74.045089719999993</v>
      </c>
      <c r="Q1587" s="2" t="s">
        <v>854</v>
      </c>
      <c r="R1587" s="2">
        <v>5797189.9819999998</v>
      </c>
      <c r="S1587" s="2">
        <v>0</v>
      </c>
      <c r="T1587" s="2" t="s">
        <v>55</v>
      </c>
      <c r="U1587" s="2" t="s">
        <v>56</v>
      </c>
      <c r="V1587" s="2" t="s">
        <v>28</v>
      </c>
      <c r="W1587" s="2" t="s">
        <v>55</v>
      </c>
      <c r="X1587" s="2" t="s">
        <v>57</v>
      </c>
      <c r="Y1587" s="2">
        <v>3.87110584947902</v>
      </c>
      <c r="Z1587" s="2">
        <v>4.71035</v>
      </c>
      <c r="AA1587" s="2">
        <v>-74.030416666666696</v>
      </c>
      <c r="AB1587" s="2">
        <v>2570</v>
      </c>
      <c r="AC1587" s="2" t="s">
        <v>31</v>
      </c>
      <c r="AD1587" s="2" t="s">
        <v>58</v>
      </c>
      <c r="AE1587" s="2" t="s">
        <v>33</v>
      </c>
      <c r="AF1587" s="2" t="s">
        <v>34</v>
      </c>
      <c r="AG1587" s="2" t="s">
        <v>81</v>
      </c>
      <c r="AH1587" s="2">
        <v>1.5108823832071001</v>
      </c>
      <c r="AI1587" s="2">
        <v>0.81305170012705996</v>
      </c>
      <c r="AJ1587" s="2">
        <v>0.761166553135323</v>
      </c>
      <c r="AK1587" s="2">
        <v>4.1034676523858699E-2</v>
      </c>
      <c r="AL1587" s="2">
        <v>1.09464715677672</v>
      </c>
      <c r="AM1587" s="2">
        <v>15.5</v>
      </c>
      <c r="AN1587" s="2">
        <v>2.4</v>
      </c>
      <c r="AO1587" s="2">
        <v>10.9</v>
      </c>
      <c r="AP1587" s="2">
        <v>564</v>
      </c>
      <c r="AQ1587" s="2">
        <v>68</v>
      </c>
      <c r="AR1587" s="2">
        <v>1.5</v>
      </c>
      <c r="AS1587" s="2">
        <v>135</v>
      </c>
      <c r="AT1587" s="2">
        <v>0</v>
      </c>
      <c r="AU1587" s="2">
        <v>162</v>
      </c>
      <c r="AV1587" s="2">
        <v>9.1</v>
      </c>
      <c r="AW1587" s="2">
        <v>9.1999999999999993</v>
      </c>
      <c r="AX1587" s="2">
        <v>18.3</v>
      </c>
      <c r="AY1587" s="2">
        <v>0.34</v>
      </c>
      <c r="AZ1587" s="2">
        <v>7.3</v>
      </c>
      <c r="BA1587" s="2">
        <v>0.9</v>
      </c>
      <c r="BB1587" s="2">
        <v>7.5</v>
      </c>
      <c r="BC1587" s="2">
        <v>2.9</v>
      </c>
      <c r="BD1587" s="2">
        <f>+AN1587*EXP(-0.0495*Y1587)</f>
        <v>1.981489823351912</v>
      </c>
      <c r="BE1587" s="2">
        <f>+AO1587*EXP(-0.024*Y1587)</f>
        <v>9.9329374383326812</v>
      </c>
    </row>
    <row r="1588" spans="1:57" x14ac:dyDescent="0.2">
      <c r="A1588" s="2" t="s">
        <v>1850</v>
      </c>
      <c r="B1588" s="2" t="s">
        <v>19</v>
      </c>
      <c r="C1588" s="2" t="s">
        <v>20</v>
      </c>
      <c r="D1588" s="2" t="s">
        <v>21</v>
      </c>
      <c r="E1588" s="2" t="s">
        <v>842</v>
      </c>
      <c r="F1588" s="2">
        <v>5</v>
      </c>
      <c r="G1588" s="2">
        <v>162.77000000000001</v>
      </c>
      <c r="H1588" s="2">
        <v>4</v>
      </c>
      <c r="I1588" s="2">
        <v>4</v>
      </c>
      <c r="J1588" s="2">
        <v>2</v>
      </c>
      <c r="K1588" s="2" t="s">
        <v>61</v>
      </c>
      <c r="L1588" s="6" t="s">
        <v>66</v>
      </c>
      <c r="M1588" s="5">
        <v>1320000000</v>
      </c>
      <c r="N1588" s="2">
        <v>0</v>
      </c>
      <c r="O1588" s="2">
        <v>4.6822600000000003</v>
      </c>
      <c r="P1588" s="2">
        <v>-74.049909999999997</v>
      </c>
      <c r="Q1588" s="2" t="s">
        <v>1851</v>
      </c>
      <c r="R1588" s="2">
        <v>8109602.5070000002</v>
      </c>
      <c r="S1588" s="2">
        <v>0</v>
      </c>
      <c r="T1588" s="2" t="s">
        <v>55</v>
      </c>
      <c r="U1588" s="2" t="s">
        <v>56</v>
      </c>
      <c r="V1588" s="2" t="s">
        <v>28</v>
      </c>
      <c r="W1588" s="2" t="s">
        <v>55</v>
      </c>
      <c r="X1588" s="2" t="s">
        <v>57</v>
      </c>
      <c r="Y1588" s="2">
        <v>3.8019980646344398</v>
      </c>
      <c r="Z1588" s="2">
        <v>4.71035</v>
      </c>
      <c r="AA1588" s="2">
        <v>-74.030416666666696</v>
      </c>
      <c r="AB1588" s="2">
        <v>2570</v>
      </c>
      <c r="AC1588" s="2" t="s">
        <v>31</v>
      </c>
      <c r="AD1588" s="2" t="s">
        <v>58</v>
      </c>
      <c r="AE1588" s="2" t="s">
        <v>33</v>
      </c>
      <c r="AF1588" s="2" t="s">
        <v>34</v>
      </c>
      <c r="AG1588" s="2" t="s">
        <v>81</v>
      </c>
      <c r="AH1588" s="2">
        <v>0.88503830826218099</v>
      </c>
      <c r="AI1588" s="2">
        <v>1.46979389046702</v>
      </c>
      <c r="AJ1588" s="2">
        <v>0.43589740319661002</v>
      </c>
      <c r="AK1588" s="2">
        <v>2.5984067135450799E-2</v>
      </c>
      <c r="AL1588" s="2">
        <v>0.93244340520944702</v>
      </c>
      <c r="AM1588" s="2">
        <v>15.5</v>
      </c>
      <c r="AN1588" s="2">
        <v>2.4</v>
      </c>
      <c r="AO1588" s="2">
        <v>10.9</v>
      </c>
      <c r="AP1588" s="2">
        <v>564</v>
      </c>
      <c r="AQ1588" s="2">
        <v>68</v>
      </c>
      <c r="AR1588" s="2">
        <v>1.5</v>
      </c>
      <c r="AS1588" s="2">
        <v>135</v>
      </c>
      <c r="AT1588" s="2">
        <v>0</v>
      </c>
      <c r="AU1588" s="2">
        <v>162</v>
      </c>
      <c r="AV1588" s="2">
        <v>9.1</v>
      </c>
      <c r="AW1588" s="2">
        <v>9.1999999999999993</v>
      </c>
      <c r="AX1588" s="2">
        <v>18.3</v>
      </c>
      <c r="AY1588" s="2">
        <v>0.34</v>
      </c>
      <c r="AZ1588" s="2">
        <v>7.3</v>
      </c>
      <c r="BA1588" s="2">
        <v>0.9</v>
      </c>
      <c r="BB1588" s="2">
        <v>7.5</v>
      </c>
      <c r="BC1588" s="2">
        <v>2.9</v>
      </c>
      <c r="BD1588" s="2">
        <f>+AN1588*EXP(-0.0495*Y1588)</f>
        <v>1.9882797808267898</v>
      </c>
      <c r="BE1588" s="2">
        <f>+AO1588*EXP(-0.024*Y1588)</f>
        <v>9.9494257474798236</v>
      </c>
    </row>
    <row r="1589" spans="1:57" x14ac:dyDescent="0.2">
      <c r="A1589" s="2" t="s">
        <v>647</v>
      </c>
      <c r="B1589" s="2" t="s">
        <v>19</v>
      </c>
      <c r="C1589" s="2" t="s">
        <v>20</v>
      </c>
      <c r="D1589" s="2" t="s">
        <v>21</v>
      </c>
      <c r="E1589" s="2" t="s">
        <v>288</v>
      </c>
      <c r="F1589" s="2">
        <v>5</v>
      </c>
      <c r="G1589" s="2">
        <v>162</v>
      </c>
      <c r="H1589" s="2">
        <v>3</v>
      </c>
      <c r="I1589" s="2">
        <v>4</v>
      </c>
      <c r="J1589" s="2">
        <v>2</v>
      </c>
      <c r="K1589" s="2" t="s">
        <v>61</v>
      </c>
      <c r="L1589" s="6" t="s">
        <v>75</v>
      </c>
      <c r="M1589" s="5">
        <v>1490000000</v>
      </c>
      <c r="N1589" s="2">
        <v>0</v>
      </c>
      <c r="O1589" s="2">
        <v>4.7026691439999997</v>
      </c>
      <c r="P1589" s="2">
        <v>-74.048385620000005</v>
      </c>
      <c r="Q1589" s="2" t="s">
        <v>648</v>
      </c>
      <c r="R1589" s="2">
        <v>9197530.8640000001</v>
      </c>
      <c r="S1589" s="2">
        <v>0</v>
      </c>
      <c r="T1589" s="2" t="s">
        <v>55</v>
      </c>
      <c r="U1589" s="2" t="s">
        <v>56</v>
      </c>
      <c r="V1589" s="2" t="s">
        <v>28</v>
      </c>
      <c r="W1589" s="2" t="s">
        <v>55</v>
      </c>
      <c r="X1589" s="2" t="s">
        <v>57</v>
      </c>
      <c r="Y1589" s="2">
        <v>2.1691739640049499</v>
      </c>
      <c r="Z1589" s="2">
        <v>4.71035</v>
      </c>
      <c r="AA1589" s="2">
        <v>-74.030416666666696</v>
      </c>
      <c r="AB1589" s="2">
        <v>2570</v>
      </c>
      <c r="AC1589" s="2" t="s">
        <v>31</v>
      </c>
      <c r="AD1589" s="2" t="s">
        <v>58</v>
      </c>
      <c r="AE1589" s="2" t="s">
        <v>33</v>
      </c>
      <c r="AF1589" s="2" t="s">
        <v>34</v>
      </c>
      <c r="AG1589" s="2" t="s">
        <v>59</v>
      </c>
      <c r="AH1589" s="2">
        <v>0.68311009301529801</v>
      </c>
      <c r="AI1589" s="2">
        <v>2.52524529288105</v>
      </c>
      <c r="AJ1589" s="2">
        <v>1.04878825287018</v>
      </c>
      <c r="AK1589" s="2">
        <v>0.126878314026171</v>
      </c>
      <c r="AL1589" s="2">
        <v>0.111069097199565</v>
      </c>
      <c r="AM1589" s="2">
        <v>15.5</v>
      </c>
      <c r="AN1589" s="2">
        <v>2.4</v>
      </c>
      <c r="AO1589" s="2">
        <v>10.9</v>
      </c>
      <c r="AP1589" s="2">
        <v>564</v>
      </c>
      <c r="AQ1589" s="2">
        <v>68</v>
      </c>
      <c r="AR1589" s="2">
        <v>1.5</v>
      </c>
      <c r="AS1589" s="2">
        <v>135</v>
      </c>
      <c r="AT1589" s="2">
        <v>0</v>
      </c>
      <c r="AU1589" s="2">
        <v>162</v>
      </c>
      <c r="AV1589" s="2">
        <v>9.1</v>
      </c>
      <c r="AW1589" s="2">
        <v>9.1999999999999993</v>
      </c>
      <c r="AX1589" s="2">
        <v>18.3</v>
      </c>
      <c r="AY1589" s="2">
        <v>0.34</v>
      </c>
      <c r="AZ1589" s="2">
        <v>7.3</v>
      </c>
      <c r="BA1589" s="2">
        <v>0.9</v>
      </c>
      <c r="BB1589" s="2">
        <v>7.5</v>
      </c>
      <c r="BC1589" s="2">
        <v>2.9</v>
      </c>
      <c r="BD1589" s="2">
        <f>+AN1589*EXP(-0.0495*Y1589)</f>
        <v>2.1556550095842888</v>
      </c>
      <c r="BE1589" s="2">
        <f>+AO1589*EXP(-0.024*Y1589)</f>
        <v>10.347061993989604</v>
      </c>
    </row>
    <row r="1590" spans="1:57" x14ac:dyDescent="0.2">
      <c r="A1590" s="2" t="s">
        <v>771</v>
      </c>
      <c r="B1590" s="2" t="s">
        <v>19</v>
      </c>
      <c r="C1590" s="2" t="s">
        <v>20</v>
      </c>
      <c r="D1590" s="2" t="s">
        <v>21</v>
      </c>
      <c r="E1590" s="2" t="s">
        <v>180</v>
      </c>
      <c r="F1590" s="2">
        <v>6</v>
      </c>
      <c r="G1590" s="2">
        <v>160</v>
      </c>
      <c r="H1590" s="2">
        <v>2</v>
      </c>
      <c r="I1590" s="2">
        <v>4</v>
      </c>
      <c r="J1590" s="2">
        <v>3</v>
      </c>
      <c r="K1590" s="2" t="s">
        <v>61</v>
      </c>
      <c r="L1590" s="6" t="s">
        <v>113</v>
      </c>
      <c r="M1590" s="5">
        <v>1399000000</v>
      </c>
      <c r="N1590" s="2">
        <v>0</v>
      </c>
      <c r="O1590" s="2">
        <v>4.6763535000000003</v>
      </c>
      <c r="P1590" s="2">
        <v>-74.04289</v>
      </c>
      <c r="Q1590" s="2" t="s">
        <v>772</v>
      </c>
      <c r="R1590" s="2">
        <v>8743750</v>
      </c>
      <c r="S1590" s="2">
        <v>0</v>
      </c>
      <c r="T1590" s="2" t="s">
        <v>55</v>
      </c>
      <c r="U1590" s="2" t="s">
        <v>56</v>
      </c>
      <c r="V1590" s="2" t="s">
        <v>28</v>
      </c>
      <c r="W1590" s="2" t="s">
        <v>55</v>
      </c>
      <c r="X1590" s="2" t="s">
        <v>57</v>
      </c>
      <c r="Y1590" s="2">
        <v>4.0295570983899802</v>
      </c>
      <c r="Z1590" s="2">
        <v>4.71035</v>
      </c>
      <c r="AA1590" s="2">
        <v>-74.030416666666696</v>
      </c>
      <c r="AB1590" s="2">
        <v>2570</v>
      </c>
      <c r="AC1590" s="2" t="s">
        <v>31</v>
      </c>
      <c r="AD1590" s="2" t="s">
        <v>58</v>
      </c>
      <c r="AE1590" s="2" t="s">
        <v>33</v>
      </c>
      <c r="AF1590" s="2" t="s">
        <v>34</v>
      </c>
      <c r="AG1590" s="2" t="s">
        <v>81</v>
      </c>
      <c r="AH1590" s="2">
        <v>1.78889496371135</v>
      </c>
      <c r="AI1590" s="2">
        <v>0.45791764425746401</v>
      </c>
      <c r="AJ1590" s="2">
        <v>0.78183964663374705</v>
      </c>
      <c r="AK1590" s="2">
        <v>0.19191404622767799</v>
      </c>
      <c r="AL1590" s="2">
        <v>1.2252318511139499</v>
      </c>
      <c r="AM1590" s="2">
        <v>15.5</v>
      </c>
      <c r="AN1590" s="2">
        <v>2.4</v>
      </c>
      <c r="AO1590" s="2">
        <v>10.9</v>
      </c>
      <c r="AP1590" s="2">
        <v>564</v>
      </c>
      <c r="AQ1590" s="2">
        <v>68</v>
      </c>
      <c r="AR1590" s="2">
        <v>1.5</v>
      </c>
      <c r="AS1590" s="2">
        <v>135</v>
      </c>
      <c r="AT1590" s="2">
        <v>0</v>
      </c>
      <c r="AU1590" s="2">
        <v>162</v>
      </c>
      <c r="AV1590" s="2">
        <v>9.1</v>
      </c>
      <c r="AW1590" s="2">
        <v>9.1999999999999993</v>
      </c>
      <c r="AX1590" s="2">
        <v>18.3</v>
      </c>
      <c r="AY1590" s="2">
        <v>0.34</v>
      </c>
      <c r="AZ1590" s="2">
        <v>7.3</v>
      </c>
      <c r="BA1590" s="2">
        <v>0.9</v>
      </c>
      <c r="BB1590" s="2">
        <v>7.5</v>
      </c>
      <c r="BC1590" s="2">
        <v>2.9</v>
      </c>
      <c r="BD1590" s="2">
        <f>+AN1590*EXP(-0.0495*Y1590)</f>
        <v>1.9660091208036059</v>
      </c>
      <c r="BE1590" s="2">
        <f>+AO1590*EXP(-0.024*Y1590)</f>
        <v>9.8952358978229462</v>
      </c>
    </row>
    <row r="1591" spans="1:57" x14ac:dyDescent="0.2">
      <c r="A1591" s="2" t="s">
        <v>2413</v>
      </c>
      <c r="B1591" s="2" t="s">
        <v>19</v>
      </c>
      <c r="C1591" s="2" t="s">
        <v>1907</v>
      </c>
      <c r="D1591" s="2" t="s">
        <v>21</v>
      </c>
      <c r="E1591" s="2" t="s">
        <v>156</v>
      </c>
      <c r="F1591" s="2">
        <v>4</v>
      </c>
      <c r="G1591" s="2">
        <v>160</v>
      </c>
      <c r="H1591" s="2">
        <v>4</v>
      </c>
      <c r="I1591" s="2">
        <v>3</v>
      </c>
      <c r="J1591" s="2">
        <v>2</v>
      </c>
      <c r="K1591" s="2" t="s">
        <v>61</v>
      </c>
      <c r="L1591" s="6" t="s">
        <v>113</v>
      </c>
      <c r="M1591" s="5">
        <v>880000000</v>
      </c>
      <c r="N1591" s="2">
        <v>0</v>
      </c>
      <c r="O1591" s="2">
        <v>4.73238</v>
      </c>
      <c r="P1591" s="2">
        <v>-74.037360000000007</v>
      </c>
      <c r="Q1591" s="2" t="s">
        <v>2414</v>
      </c>
      <c r="R1591" s="2">
        <v>5500000</v>
      </c>
      <c r="S1591" s="2">
        <v>0</v>
      </c>
      <c r="T1591" s="2" t="s">
        <v>55</v>
      </c>
      <c r="U1591" s="2" t="s">
        <v>56</v>
      </c>
      <c r="V1591" s="2" t="s">
        <v>28</v>
      </c>
      <c r="W1591" s="2" t="s">
        <v>55</v>
      </c>
      <c r="X1591" s="2" t="s">
        <v>57</v>
      </c>
      <c r="Y1591" s="2">
        <v>2.5705021679841602</v>
      </c>
      <c r="Z1591" s="2">
        <v>4.71035</v>
      </c>
      <c r="AA1591" s="2">
        <v>-74.030416666666696</v>
      </c>
      <c r="AB1591" s="2">
        <v>2570</v>
      </c>
      <c r="AC1591" s="2" t="s">
        <v>31</v>
      </c>
      <c r="AD1591" s="2" t="s">
        <v>58</v>
      </c>
      <c r="AE1591" s="2" t="s">
        <v>33</v>
      </c>
      <c r="AF1591" s="2" t="s">
        <v>34</v>
      </c>
      <c r="AG1591" s="2" t="s">
        <v>59</v>
      </c>
      <c r="AH1591" s="2">
        <v>1.3380810345385501</v>
      </c>
      <c r="AI1591" s="2">
        <v>1.70374396279438</v>
      </c>
      <c r="AJ1591" s="2">
        <v>0.294950222195272</v>
      </c>
      <c r="AK1591" s="2">
        <v>0.498191786947973</v>
      </c>
      <c r="AL1591" s="2">
        <v>0.16696746298732801</v>
      </c>
      <c r="AM1591" s="2">
        <v>15.5</v>
      </c>
      <c r="AN1591" s="2">
        <v>2.4</v>
      </c>
      <c r="AO1591" s="2">
        <v>10.9</v>
      </c>
      <c r="AP1591" s="2">
        <v>564</v>
      </c>
      <c r="AQ1591" s="2">
        <v>68</v>
      </c>
      <c r="AR1591" s="2">
        <v>1.5</v>
      </c>
      <c r="AS1591" s="2">
        <v>135</v>
      </c>
      <c r="AT1591" s="2">
        <v>0</v>
      </c>
      <c r="AU1591" s="2">
        <v>162</v>
      </c>
      <c r="AV1591" s="2">
        <v>9.1</v>
      </c>
      <c r="AW1591" s="2">
        <v>9.1999999999999993</v>
      </c>
      <c r="AX1591" s="2">
        <v>18.3</v>
      </c>
      <c r="AY1591" s="2">
        <v>0.34</v>
      </c>
      <c r="AZ1591" s="2">
        <v>7.3</v>
      </c>
      <c r="BA1591" s="2">
        <v>0.9</v>
      </c>
      <c r="BB1591" s="2">
        <v>7.5</v>
      </c>
      <c r="BC1591" s="2">
        <v>2.9</v>
      </c>
      <c r="BD1591" s="2">
        <f>+AN1591*EXP(-0.0495*Y1591)</f>
        <v>2.1132538740383535</v>
      </c>
      <c r="BE1591" s="2">
        <f>+AO1591*EXP(-0.024*Y1591)</f>
        <v>10.247878793614273</v>
      </c>
    </row>
    <row r="1592" spans="1:57" x14ac:dyDescent="0.2">
      <c r="A1592" s="2" t="s">
        <v>2655</v>
      </c>
      <c r="B1592" s="2" t="s">
        <v>19</v>
      </c>
      <c r="C1592" s="2" t="s">
        <v>1907</v>
      </c>
      <c r="D1592" s="2" t="s">
        <v>21</v>
      </c>
      <c r="E1592" s="2" t="s">
        <v>537</v>
      </c>
      <c r="F1592" s="2">
        <v>5</v>
      </c>
      <c r="G1592" s="2">
        <v>160</v>
      </c>
      <c r="H1592" s="2">
        <v>4</v>
      </c>
      <c r="I1592" s="2">
        <v>3</v>
      </c>
      <c r="J1592" s="2">
        <v>2</v>
      </c>
      <c r="K1592" s="2" t="s">
        <v>61</v>
      </c>
      <c r="L1592" s="6" t="s">
        <v>113</v>
      </c>
      <c r="M1592" s="5">
        <v>1500000000</v>
      </c>
      <c r="N1592" s="2">
        <v>0</v>
      </c>
      <c r="O1592" s="2">
        <v>4.7124280000000001</v>
      </c>
      <c r="P1592" s="2">
        <v>-74.050094999999999</v>
      </c>
      <c r="Q1592" s="2" t="s">
        <v>2656</v>
      </c>
      <c r="R1592" s="2">
        <v>9375000</v>
      </c>
      <c r="S1592" s="2">
        <v>0</v>
      </c>
      <c r="T1592" s="2" t="s">
        <v>55</v>
      </c>
      <c r="U1592" s="2" t="s">
        <v>56</v>
      </c>
      <c r="V1592" s="2" t="s">
        <v>28</v>
      </c>
      <c r="W1592" s="2" t="s">
        <v>55</v>
      </c>
      <c r="X1592" s="2" t="s">
        <v>57</v>
      </c>
      <c r="Y1592" s="2">
        <v>2.1954010568834099</v>
      </c>
      <c r="Z1592" s="2">
        <v>4.71035</v>
      </c>
      <c r="AA1592" s="2">
        <v>-74.030416666666696</v>
      </c>
      <c r="AB1592" s="2">
        <v>2570</v>
      </c>
      <c r="AC1592" s="2" t="s">
        <v>31</v>
      </c>
      <c r="AD1592" s="2" t="s">
        <v>58</v>
      </c>
      <c r="AE1592" s="2" t="s">
        <v>33</v>
      </c>
      <c r="AF1592" s="2" t="s">
        <v>34</v>
      </c>
      <c r="AG1592" s="2" t="s">
        <v>59</v>
      </c>
      <c r="AH1592" s="2">
        <v>0.360589168870944</v>
      </c>
      <c r="AI1592" s="2">
        <v>2.7967944607119999</v>
      </c>
      <c r="AJ1592" s="2">
        <v>1.92900181968534</v>
      </c>
      <c r="AK1592" s="2">
        <v>0.42302562230102497</v>
      </c>
      <c r="AL1592" s="2">
        <v>0.34750866669997998</v>
      </c>
      <c r="AM1592" s="2">
        <v>15.5</v>
      </c>
      <c r="AN1592" s="2">
        <v>2.4</v>
      </c>
      <c r="AO1592" s="2">
        <v>10.9</v>
      </c>
      <c r="AP1592" s="2">
        <v>564</v>
      </c>
      <c r="AQ1592" s="2">
        <v>68</v>
      </c>
      <c r="AR1592" s="2">
        <v>1.5</v>
      </c>
      <c r="AS1592" s="2">
        <v>135</v>
      </c>
      <c r="AT1592" s="2">
        <v>0</v>
      </c>
      <c r="AU1592" s="2">
        <v>162</v>
      </c>
      <c r="AV1592" s="2">
        <v>9.1</v>
      </c>
      <c r="AW1592" s="2">
        <v>9.1999999999999993</v>
      </c>
      <c r="AX1592" s="2">
        <v>18.3</v>
      </c>
      <c r="AY1592" s="2">
        <v>0.34</v>
      </c>
      <c r="AZ1592" s="2">
        <v>7.3</v>
      </c>
      <c r="BA1592" s="2">
        <v>0.9</v>
      </c>
      <c r="BB1592" s="2">
        <v>7.5</v>
      </c>
      <c r="BC1592" s="2">
        <v>2.9</v>
      </c>
      <c r="BD1592" s="2">
        <f>+AN1592*EXP(-0.0495*Y1592)</f>
        <v>2.15285826547573</v>
      </c>
      <c r="BE1592" s="2">
        <f>+AO1592*EXP(-0.024*Y1592)</f>
        <v>10.340551082809391</v>
      </c>
    </row>
    <row r="1593" spans="1:57" x14ac:dyDescent="0.2">
      <c r="A1593" s="2" t="s">
        <v>1117</v>
      </c>
      <c r="B1593" s="2" t="s">
        <v>19</v>
      </c>
      <c r="C1593" s="2" t="s">
        <v>20</v>
      </c>
      <c r="D1593" s="2" t="s">
        <v>21</v>
      </c>
      <c r="E1593" s="2" t="s">
        <v>1118</v>
      </c>
      <c r="F1593" s="2">
        <v>6</v>
      </c>
      <c r="G1593" s="2">
        <v>160</v>
      </c>
      <c r="H1593" s="2">
        <v>3</v>
      </c>
      <c r="I1593" s="2">
        <v>3</v>
      </c>
      <c r="J1593" s="2">
        <v>2</v>
      </c>
      <c r="K1593" s="2" t="s">
        <v>61</v>
      </c>
      <c r="L1593" s="6" t="s">
        <v>75</v>
      </c>
      <c r="M1593" s="5">
        <v>1400000000</v>
      </c>
      <c r="N1593" s="2">
        <v>0</v>
      </c>
      <c r="O1593" s="2">
        <v>4.702375108</v>
      </c>
      <c r="P1593" s="2">
        <v>-74.026930329999999</v>
      </c>
      <c r="Q1593" s="2" t="s">
        <v>1119</v>
      </c>
      <c r="R1593" s="2">
        <v>8750000</v>
      </c>
      <c r="S1593" s="2">
        <v>0</v>
      </c>
      <c r="T1593" s="2" t="s">
        <v>55</v>
      </c>
      <c r="U1593" s="2" t="s">
        <v>56</v>
      </c>
      <c r="V1593" s="2" t="s">
        <v>28</v>
      </c>
      <c r="W1593" s="2" t="s">
        <v>55</v>
      </c>
      <c r="X1593" s="2" t="s">
        <v>57</v>
      </c>
      <c r="Y1593" s="2">
        <v>0.96836197693777004</v>
      </c>
      <c r="Z1593" s="2">
        <v>4.71035</v>
      </c>
      <c r="AA1593" s="2">
        <v>-74.030416666666696</v>
      </c>
      <c r="AB1593" s="2">
        <v>2570</v>
      </c>
      <c r="AC1593" s="2" t="s">
        <v>31</v>
      </c>
      <c r="AD1593" s="2" t="s">
        <v>58</v>
      </c>
      <c r="AE1593" s="2" t="s">
        <v>33</v>
      </c>
      <c r="AF1593" s="2" t="s">
        <v>34</v>
      </c>
      <c r="AG1593" s="2" t="s">
        <v>59</v>
      </c>
      <c r="AH1593" s="2">
        <v>3.036688773466</v>
      </c>
      <c r="AI1593" s="2">
        <v>0.151435285889676</v>
      </c>
      <c r="AJ1593" s="2">
        <v>0.624282018383152</v>
      </c>
      <c r="AK1593" s="2">
        <v>0.24588387018528299</v>
      </c>
      <c r="AL1593" s="2">
        <v>8.4348937929146703E-2</v>
      </c>
      <c r="AM1593" s="2">
        <v>15.5</v>
      </c>
      <c r="AN1593" s="2">
        <v>2.4</v>
      </c>
      <c r="AO1593" s="2">
        <v>10.9</v>
      </c>
      <c r="AP1593" s="2">
        <v>564</v>
      </c>
      <c r="AQ1593" s="2">
        <v>68</v>
      </c>
      <c r="AR1593" s="2">
        <v>1.5</v>
      </c>
      <c r="AS1593" s="2">
        <v>135</v>
      </c>
      <c r="AT1593" s="2">
        <v>0</v>
      </c>
      <c r="AU1593" s="2">
        <v>162</v>
      </c>
      <c r="AV1593" s="2">
        <v>9.1</v>
      </c>
      <c r="AW1593" s="2">
        <v>9.1999999999999993</v>
      </c>
      <c r="AX1593" s="2">
        <v>18.3</v>
      </c>
      <c r="AY1593" s="2">
        <v>0.34</v>
      </c>
      <c r="AZ1593" s="2">
        <v>7.3</v>
      </c>
      <c r="BA1593" s="2">
        <v>0.9</v>
      </c>
      <c r="BB1593" s="2">
        <v>7.5</v>
      </c>
      <c r="BC1593" s="2">
        <v>2.9</v>
      </c>
      <c r="BD1593" s="2">
        <f>+AN1593*EXP(-0.0495*Y1593)</f>
        <v>2.2876722582732221</v>
      </c>
      <c r="BE1593" s="2">
        <f>+AO1593*EXP(-0.024*Y1593)</f>
        <v>10.649597540197727</v>
      </c>
    </row>
    <row r="1594" spans="1:57" x14ac:dyDescent="0.2">
      <c r="A1594" s="2" t="s">
        <v>336</v>
      </c>
      <c r="B1594" s="2" t="s">
        <v>19</v>
      </c>
      <c r="C1594" s="2" t="s">
        <v>20</v>
      </c>
      <c r="D1594" s="2" t="s">
        <v>21</v>
      </c>
      <c r="E1594" s="2" t="s">
        <v>144</v>
      </c>
      <c r="F1594" s="2">
        <v>5</v>
      </c>
      <c r="G1594" s="2">
        <v>160</v>
      </c>
      <c r="H1594" s="2">
        <v>3</v>
      </c>
      <c r="I1594" s="2">
        <v>4</v>
      </c>
      <c r="J1594" s="2">
        <v>2</v>
      </c>
      <c r="K1594" s="2" t="s">
        <v>61</v>
      </c>
      <c r="L1594" s="6" t="s">
        <v>84</v>
      </c>
      <c r="M1594" s="5">
        <v>2200000000</v>
      </c>
      <c r="N1594" s="2">
        <v>0</v>
      </c>
      <c r="O1594" s="2">
        <v>4.7020969389999996</v>
      </c>
      <c r="P1594" s="2">
        <v>-74.031555179999998</v>
      </c>
      <c r="Q1594" s="2" t="s">
        <v>337</v>
      </c>
      <c r="R1594" s="2">
        <v>13750000</v>
      </c>
      <c r="S1594" s="2">
        <v>0</v>
      </c>
      <c r="T1594" s="2" t="s">
        <v>55</v>
      </c>
      <c r="U1594" s="2" t="s">
        <v>56</v>
      </c>
      <c r="V1594" s="2" t="s">
        <v>28</v>
      </c>
      <c r="W1594" s="2" t="s">
        <v>55</v>
      </c>
      <c r="X1594" s="2" t="s">
        <v>57</v>
      </c>
      <c r="Y1594" s="2">
        <v>0.92736888314837695</v>
      </c>
      <c r="Z1594" s="2">
        <v>4.71035</v>
      </c>
      <c r="AA1594" s="2">
        <v>-74.030416666666696</v>
      </c>
      <c r="AB1594" s="2">
        <v>2570</v>
      </c>
      <c r="AC1594" s="2" t="s">
        <v>31</v>
      </c>
      <c r="AD1594" s="2" t="s">
        <v>58</v>
      </c>
      <c r="AE1594" s="2" t="s">
        <v>33</v>
      </c>
      <c r="AF1594" s="2" t="s">
        <v>34</v>
      </c>
      <c r="AG1594" s="2" t="s">
        <v>59</v>
      </c>
      <c r="AH1594" s="2">
        <v>2.5292316846776401</v>
      </c>
      <c r="AI1594" s="2">
        <v>0.66400563320664996</v>
      </c>
      <c r="AJ1594" s="2">
        <v>0.13143679995624699</v>
      </c>
      <c r="AK1594" s="2">
        <v>0.10401013084091</v>
      </c>
      <c r="AL1594" s="2">
        <v>0.394966241450109</v>
      </c>
      <c r="AM1594" s="2">
        <v>15.5</v>
      </c>
      <c r="AN1594" s="2">
        <v>2.4</v>
      </c>
      <c r="AO1594" s="2">
        <v>10.9</v>
      </c>
      <c r="AP1594" s="2">
        <v>564</v>
      </c>
      <c r="AQ1594" s="2">
        <v>68</v>
      </c>
      <c r="AR1594" s="2">
        <v>1.5</v>
      </c>
      <c r="AS1594" s="2">
        <v>135</v>
      </c>
      <c r="AT1594" s="2">
        <v>0</v>
      </c>
      <c r="AU1594" s="2">
        <v>162</v>
      </c>
      <c r="AV1594" s="2">
        <v>9.1</v>
      </c>
      <c r="AW1594" s="2">
        <v>9.1999999999999993</v>
      </c>
      <c r="AX1594" s="2">
        <v>18.3</v>
      </c>
      <c r="AY1594" s="2">
        <v>0.34</v>
      </c>
      <c r="AZ1594" s="2">
        <v>7.3</v>
      </c>
      <c r="BA1594" s="2">
        <v>0.9</v>
      </c>
      <c r="BB1594" s="2">
        <v>7.5</v>
      </c>
      <c r="BC1594" s="2">
        <v>2.9</v>
      </c>
      <c r="BD1594" s="2">
        <f>+AN1594*EXP(-0.0495*Y1594)</f>
        <v>2.2923190199764001</v>
      </c>
      <c r="BE1594" s="2">
        <f>+AO1594*EXP(-0.024*Y1594)</f>
        <v>10.660080134738797</v>
      </c>
    </row>
    <row r="1595" spans="1:57" x14ac:dyDescent="0.2">
      <c r="A1595" s="2" t="s">
        <v>389</v>
      </c>
      <c r="B1595" s="2" t="s">
        <v>19</v>
      </c>
      <c r="C1595" s="2" t="s">
        <v>20</v>
      </c>
      <c r="D1595" s="2" t="s">
        <v>21</v>
      </c>
      <c r="E1595" s="2" t="s">
        <v>390</v>
      </c>
      <c r="F1595" s="2">
        <v>6</v>
      </c>
      <c r="G1595" s="2">
        <v>160</v>
      </c>
      <c r="H1595" s="2">
        <v>3</v>
      </c>
      <c r="I1595" s="2">
        <v>4</v>
      </c>
      <c r="J1595" s="2">
        <v>2</v>
      </c>
      <c r="K1595" s="2" t="s">
        <v>61</v>
      </c>
      <c r="L1595" s="6" t="s">
        <v>75</v>
      </c>
      <c r="M1595" s="5">
        <v>1400000000</v>
      </c>
      <c r="N1595" s="2">
        <v>0</v>
      </c>
      <c r="O1595" s="2">
        <v>4.703465939</v>
      </c>
      <c r="P1595" s="2">
        <v>-74.026229860000001</v>
      </c>
      <c r="Q1595" s="2" t="s">
        <v>391</v>
      </c>
      <c r="R1595" s="2">
        <v>8750000</v>
      </c>
      <c r="S1595" s="2">
        <v>0</v>
      </c>
      <c r="T1595" s="2" t="s">
        <v>55</v>
      </c>
      <c r="U1595" s="2" t="s">
        <v>56</v>
      </c>
      <c r="V1595" s="2" t="s">
        <v>28</v>
      </c>
      <c r="W1595" s="2" t="s">
        <v>55</v>
      </c>
      <c r="X1595" s="2" t="s">
        <v>57</v>
      </c>
      <c r="Y1595" s="2">
        <v>0.89611574593760301</v>
      </c>
      <c r="Z1595" s="2">
        <v>4.71035</v>
      </c>
      <c r="AA1595" s="2">
        <v>-74.030416666666696</v>
      </c>
      <c r="AB1595" s="2">
        <v>2570</v>
      </c>
      <c r="AC1595" s="2" t="s">
        <v>31</v>
      </c>
      <c r="AD1595" s="2" t="s">
        <v>58</v>
      </c>
      <c r="AE1595" s="2" t="s">
        <v>33</v>
      </c>
      <c r="AF1595" s="2" t="s">
        <v>34</v>
      </c>
      <c r="AG1595" s="2" t="s">
        <v>59</v>
      </c>
      <c r="AH1595" s="2">
        <v>3.1067311013610701</v>
      </c>
      <c r="AI1595" s="2">
        <v>0.116235779528559</v>
      </c>
      <c r="AJ1595" s="2">
        <v>0.73030796159544598</v>
      </c>
      <c r="AK1595" s="2">
        <v>0.30760982028975198</v>
      </c>
      <c r="AL1595" s="2">
        <v>3.8542121629751E-2</v>
      </c>
      <c r="AM1595" s="2">
        <v>15.5</v>
      </c>
      <c r="AN1595" s="2">
        <v>2.4</v>
      </c>
      <c r="AO1595" s="2">
        <v>10.9</v>
      </c>
      <c r="AP1595" s="2">
        <v>564</v>
      </c>
      <c r="AQ1595" s="2">
        <v>68</v>
      </c>
      <c r="AR1595" s="2">
        <v>1.5</v>
      </c>
      <c r="AS1595" s="2">
        <v>135</v>
      </c>
      <c r="AT1595" s="2">
        <v>0</v>
      </c>
      <c r="AU1595" s="2">
        <v>162</v>
      </c>
      <c r="AV1595" s="2">
        <v>9.1</v>
      </c>
      <c r="AW1595" s="2">
        <v>9.1999999999999993</v>
      </c>
      <c r="AX1595" s="2">
        <v>18.3</v>
      </c>
      <c r="AY1595" s="2">
        <v>0.34</v>
      </c>
      <c r="AZ1595" s="2">
        <v>7.3</v>
      </c>
      <c r="BA1595" s="2">
        <v>0.9</v>
      </c>
      <c r="BB1595" s="2">
        <v>7.5</v>
      </c>
      <c r="BC1595" s="2">
        <v>2.9</v>
      </c>
      <c r="BD1595" s="2">
        <f>+AN1595*EXP(-0.0495*Y1595)</f>
        <v>2.2958680514608596</v>
      </c>
      <c r="BE1595" s="2">
        <f>+AO1595*EXP(-0.024*Y1595)</f>
        <v>10.668078996969333</v>
      </c>
    </row>
    <row r="1596" spans="1:57" x14ac:dyDescent="0.2">
      <c r="A1596" s="2" t="s">
        <v>1807</v>
      </c>
      <c r="B1596" s="2" t="s">
        <v>19</v>
      </c>
      <c r="C1596" s="2" t="s">
        <v>20</v>
      </c>
      <c r="D1596" s="2" t="s">
        <v>21</v>
      </c>
      <c r="E1596" s="2" t="s">
        <v>1118</v>
      </c>
      <c r="F1596" s="2">
        <v>4</v>
      </c>
      <c r="G1596" s="2">
        <v>159</v>
      </c>
      <c r="H1596" s="2">
        <v>3</v>
      </c>
      <c r="I1596" s="2">
        <v>4</v>
      </c>
      <c r="J1596" s="2">
        <v>2</v>
      </c>
      <c r="K1596" s="2" t="s">
        <v>61</v>
      </c>
      <c r="L1596" s="6" t="s">
        <v>113</v>
      </c>
      <c r="M1596" s="5">
        <v>1238000000</v>
      </c>
      <c r="N1596" s="2">
        <v>0</v>
      </c>
      <c r="O1596" s="2">
        <v>4.7050029999999996</v>
      </c>
      <c r="P1596" s="2">
        <v>-74.026886000000005</v>
      </c>
      <c r="Q1596" s="2" t="s">
        <v>1808</v>
      </c>
      <c r="R1596" s="2">
        <v>7786163.5219999999</v>
      </c>
      <c r="S1596" s="2">
        <v>0</v>
      </c>
      <c r="T1596" s="2" t="s">
        <v>55</v>
      </c>
      <c r="U1596" s="2" t="s">
        <v>56</v>
      </c>
      <c r="V1596" s="2" t="s">
        <v>28</v>
      </c>
      <c r="W1596" s="2" t="s">
        <v>55</v>
      </c>
      <c r="X1596" s="2" t="s">
        <v>57</v>
      </c>
      <c r="Y1596" s="2">
        <v>0.71254953044635705</v>
      </c>
      <c r="Z1596" s="2">
        <v>4.71035</v>
      </c>
      <c r="AA1596" s="2">
        <v>-74.030416666666696</v>
      </c>
      <c r="AB1596" s="2">
        <v>2570</v>
      </c>
      <c r="AC1596" s="2" t="s">
        <v>31</v>
      </c>
      <c r="AD1596" s="2" t="s">
        <v>58</v>
      </c>
      <c r="AE1596" s="2" t="s">
        <v>33</v>
      </c>
      <c r="AF1596" s="2" t="s">
        <v>34</v>
      </c>
      <c r="AG1596" s="2" t="s">
        <v>59</v>
      </c>
      <c r="AH1596" s="2">
        <v>3.0315346890872301</v>
      </c>
      <c r="AI1596" s="2">
        <v>0.27106418578089198</v>
      </c>
      <c r="AJ1596" s="2">
        <v>0.739576811036457</v>
      </c>
      <c r="AK1596" s="2">
        <v>0.30712715733678703</v>
      </c>
      <c r="AL1596" s="2">
        <v>4.2832279568462701E-2</v>
      </c>
      <c r="AM1596" s="2">
        <v>15.5</v>
      </c>
      <c r="AN1596" s="2">
        <v>2.4</v>
      </c>
      <c r="AO1596" s="2">
        <v>10.9</v>
      </c>
      <c r="AP1596" s="2">
        <v>564</v>
      </c>
      <c r="AQ1596" s="2">
        <v>68</v>
      </c>
      <c r="AR1596" s="2">
        <v>1.5</v>
      </c>
      <c r="AS1596" s="2">
        <v>135</v>
      </c>
      <c r="AT1596" s="2">
        <v>0</v>
      </c>
      <c r="AU1596" s="2">
        <v>162</v>
      </c>
      <c r="AV1596" s="2">
        <v>9.1</v>
      </c>
      <c r="AW1596" s="2">
        <v>9.1999999999999993</v>
      </c>
      <c r="AX1596" s="2">
        <v>18.3</v>
      </c>
      <c r="AY1596" s="2">
        <v>0.34</v>
      </c>
      <c r="AZ1596" s="2">
        <v>7.3</v>
      </c>
      <c r="BA1596" s="2">
        <v>0.9</v>
      </c>
      <c r="BB1596" s="2">
        <v>7.5</v>
      </c>
      <c r="BC1596" s="2">
        <v>2.9</v>
      </c>
      <c r="BD1596" s="2">
        <f>+AN1596*EXP(-0.0495*Y1596)</f>
        <v>2.3168245869099269</v>
      </c>
      <c r="BE1596" s="2">
        <f>+AO1596*EXP(-0.024*Y1596)</f>
        <v>10.715181852010479</v>
      </c>
    </row>
    <row r="1597" spans="1:57" x14ac:dyDescent="0.2">
      <c r="A1597" s="2" t="s">
        <v>1684</v>
      </c>
      <c r="B1597" s="2" t="s">
        <v>19</v>
      </c>
      <c r="C1597" s="2" t="s">
        <v>20</v>
      </c>
      <c r="D1597" s="2" t="s">
        <v>21</v>
      </c>
      <c r="E1597" s="2" t="s">
        <v>161</v>
      </c>
      <c r="F1597" s="2">
        <v>6</v>
      </c>
      <c r="G1597" s="2">
        <v>158</v>
      </c>
      <c r="H1597" s="2">
        <v>3</v>
      </c>
      <c r="I1597" s="2">
        <v>4</v>
      </c>
      <c r="J1597" s="2">
        <v>3</v>
      </c>
      <c r="K1597" s="2" t="s">
        <v>61</v>
      </c>
      <c r="L1597" s="6" t="s">
        <v>113</v>
      </c>
      <c r="M1597" s="5">
        <v>1250000000</v>
      </c>
      <c r="N1597" s="2">
        <v>0</v>
      </c>
      <c r="O1597" s="2">
        <v>4.6973174320000002</v>
      </c>
      <c r="P1597" s="2">
        <v>-74.053280349999994</v>
      </c>
      <c r="Q1597" s="2" t="s">
        <v>1685</v>
      </c>
      <c r="R1597" s="2">
        <v>7911392.4050000003</v>
      </c>
      <c r="S1597" s="2">
        <v>0</v>
      </c>
      <c r="T1597" s="2" t="s">
        <v>55</v>
      </c>
      <c r="U1597" s="2" t="s">
        <v>56</v>
      </c>
      <c r="V1597" s="2" t="s">
        <v>28</v>
      </c>
      <c r="W1597" s="2" t="s">
        <v>55</v>
      </c>
      <c r="X1597" s="2" t="s">
        <v>57</v>
      </c>
      <c r="Y1597" s="2">
        <v>2.9221746702442402</v>
      </c>
      <c r="Z1597" s="2">
        <v>4.71035</v>
      </c>
      <c r="AA1597" s="2">
        <v>-74.030416666666696</v>
      </c>
      <c r="AB1597" s="2">
        <v>2570</v>
      </c>
      <c r="AC1597" s="2" t="s">
        <v>31</v>
      </c>
      <c r="AD1597" s="2" t="s">
        <v>58</v>
      </c>
      <c r="AE1597" s="2" t="s">
        <v>33</v>
      </c>
      <c r="AF1597" s="2" t="s">
        <v>34</v>
      </c>
      <c r="AG1597" s="2" t="s">
        <v>59</v>
      </c>
      <c r="AH1597" s="2">
        <v>0.242047304808338</v>
      </c>
      <c r="AI1597" s="2">
        <v>2.80083376338527</v>
      </c>
      <c r="AJ1597" s="2">
        <v>0.58513212073048204</v>
      </c>
      <c r="AK1597" s="2">
        <v>0.16812153951713299</v>
      </c>
      <c r="AL1597" s="2">
        <v>0.385324619867215</v>
      </c>
      <c r="AM1597" s="2">
        <v>15.5</v>
      </c>
      <c r="AN1597" s="2">
        <v>2.4</v>
      </c>
      <c r="AO1597" s="2">
        <v>10.9</v>
      </c>
      <c r="AP1597" s="2">
        <v>564</v>
      </c>
      <c r="AQ1597" s="2">
        <v>68</v>
      </c>
      <c r="AR1597" s="2">
        <v>1.5</v>
      </c>
      <c r="AS1597" s="2">
        <v>135</v>
      </c>
      <c r="AT1597" s="2">
        <v>0</v>
      </c>
      <c r="AU1597" s="2">
        <v>162</v>
      </c>
      <c r="AV1597" s="2">
        <v>9.1</v>
      </c>
      <c r="AW1597" s="2">
        <v>9.1999999999999993</v>
      </c>
      <c r="AX1597" s="2">
        <v>18.3</v>
      </c>
      <c r="AY1597" s="2">
        <v>0.34</v>
      </c>
      <c r="AZ1597" s="2">
        <v>7.3</v>
      </c>
      <c r="BA1597" s="2">
        <v>0.9</v>
      </c>
      <c r="BB1597" s="2">
        <v>7.5</v>
      </c>
      <c r="BC1597" s="2">
        <v>2.9</v>
      </c>
      <c r="BD1597" s="2">
        <f>+AN1597*EXP(-0.0495*Y1597)</f>
        <v>2.0767851377437889</v>
      </c>
      <c r="BE1597" s="2">
        <f>+AO1597*EXP(-0.024*Y1597)</f>
        <v>10.161749245355175</v>
      </c>
    </row>
    <row r="1598" spans="1:57" x14ac:dyDescent="0.2">
      <c r="A1598" s="2" t="s">
        <v>2225</v>
      </c>
      <c r="B1598" s="2" t="s">
        <v>19</v>
      </c>
      <c r="C1598" s="2" t="s">
        <v>1907</v>
      </c>
      <c r="D1598" s="2" t="s">
        <v>21</v>
      </c>
      <c r="E1598" s="2" t="s">
        <v>156</v>
      </c>
      <c r="F1598" s="2">
        <v>4</v>
      </c>
      <c r="G1598" s="2">
        <v>157</v>
      </c>
      <c r="H1598" s="2">
        <v>4</v>
      </c>
      <c r="I1598" s="2">
        <v>3</v>
      </c>
      <c r="J1598" s="2">
        <v>3</v>
      </c>
      <c r="K1598" s="2" t="s">
        <v>61</v>
      </c>
      <c r="L1598" s="6" t="s">
        <v>113</v>
      </c>
      <c r="M1598" s="5">
        <v>980000000</v>
      </c>
      <c r="N1598" s="2">
        <v>0</v>
      </c>
      <c r="O1598" s="2">
        <v>4.7378444000000002</v>
      </c>
      <c r="P1598" s="2">
        <v>-74.039456299999998</v>
      </c>
      <c r="Q1598" s="2" t="s">
        <v>2226</v>
      </c>
      <c r="R1598" s="2">
        <v>6242038.2170000002</v>
      </c>
      <c r="S1598" s="2">
        <v>0</v>
      </c>
      <c r="T1598" s="2" t="s">
        <v>55</v>
      </c>
      <c r="U1598" s="2" t="s">
        <v>56</v>
      </c>
      <c r="V1598" s="2" t="s">
        <v>28</v>
      </c>
      <c r="W1598" s="2" t="s">
        <v>55</v>
      </c>
      <c r="X1598" s="2" t="s">
        <v>57</v>
      </c>
      <c r="Y1598" s="2">
        <v>3.2207765405321398</v>
      </c>
      <c r="Z1598" s="2">
        <v>4.71035</v>
      </c>
      <c r="AA1598" s="2">
        <v>-74.030416666666696</v>
      </c>
      <c r="AB1598" s="2">
        <v>2570</v>
      </c>
      <c r="AC1598" s="2" t="s">
        <v>31</v>
      </c>
      <c r="AD1598" s="2" t="s">
        <v>58</v>
      </c>
      <c r="AE1598" s="2" t="s">
        <v>33</v>
      </c>
      <c r="AF1598" s="2" t="s">
        <v>34</v>
      </c>
      <c r="AG1598" s="2" t="s">
        <v>59</v>
      </c>
      <c r="AH1598" s="2">
        <v>1.0486880315653699</v>
      </c>
      <c r="AI1598" s="2">
        <v>2.0182892275339599</v>
      </c>
      <c r="AJ1598" s="2">
        <v>0.55115425503709004</v>
      </c>
      <c r="AK1598" s="2">
        <v>0.19710900650440499</v>
      </c>
      <c r="AL1598" s="2">
        <v>0.265172058573453</v>
      </c>
      <c r="AM1598" s="2">
        <v>15.5</v>
      </c>
      <c r="AN1598" s="2">
        <v>2.4</v>
      </c>
      <c r="AO1598" s="2">
        <v>10.9</v>
      </c>
      <c r="AP1598" s="2">
        <v>564</v>
      </c>
      <c r="AQ1598" s="2">
        <v>68</v>
      </c>
      <c r="AR1598" s="2">
        <v>1.5</v>
      </c>
      <c r="AS1598" s="2">
        <v>135</v>
      </c>
      <c r="AT1598" s="2">
        <v>0</v>
      </c>
      <c r="AU1598" s="2">
        <v>162</v>
      </c>
      <c r="AV1598" s="2">
        <v>9.1</v>
      </c>
      <c r="AW1598" s="2">
        <v>9.1999999999999993</v>
      </c>
      <c r="AX1598" s="2">
        <v>18.3</v>
      </c>
      <c r="AY1598" s="2">
        <v>0.34</v>
      </c>
      <c r="AZ1598" s="2">
        <v>7.3</v>
      </c>
      <c r="BA1598" s="2">
        <v>0.9</v>
      </c>
      <c r="BB1598" s="2">
        <v>7.5</v>
      </c>
      <c r="BC1598" s="2">
        <v>2.9</v>
      </c>
      <c r="BD1598" s="2">
        <f>+AN1598*EXP(-0.0495*Y1598)</f>
        <v>2.0463143533119816</v>
      </c>
      <c r="BE1598" s="2">
        <f>+AO1598*EXP(-0.024*Y1598)</f>
        <v>10.089185950418862</v>
      </c>
    </row>
    <row r="1599" spans="1:57" x14ac:dyDescent="0.2">
      <c r="A1599" s="2" t="s">
        <v>2338</v>
      </c>
      <c r="B1599" s="2" t="s">
        <v>19</v>
      </c>
      <c r="C1599" s="2" t="s">
        <v>1907</v>
      </c>
      <c r="D1599" s="2" t="s">
        <v>21</v>
      </c>
      <c r="E1599" s="2" t="s">
        <v>156</v>
      </c>
      <c r="F1599" s="2">
        <v>4</v>
      </c>
      <c r="G1599" s="2">
        <v>157</v>
      </c>
      <c r="H1599" s="2">
        <v>5</v>
      </c>
      <c r="I1599" s="2">
        <v>4</v>
      </c>
      <c r="J1599" s="2">
        <v>2</v>
      </c>
      <c r="K1599" s="2" t="s">
        <v>61</v>
      </c>
      <c r="L1599" s="6" t="s">
        <v>113</v>
      </c>
      <c r="M1599" s="5">
        <v>850000000</v>
      </c>
      <c r="N1599" s="2">
        <v>0</v>
      </c>
      <c r="O1599" s="2">
        <v>4.7310162289999997</v>
      </c>
      <c r="P1599" s="2">
        <v>-74.043151120000005</v>
      </c>
      <c r="Q1599" s="2" t="s">
        <v>2339</v>
      </c>
      <c r="R1599" s="2">
        <v>5414012.7390000001</v>
      </c>
      <c r="S1599" s="2">
        <v>0</v>
      </c>
      <c r="T1599" s="2" t="s">
        <v>55</v>
      </c>
      <c r="U1599" s="2" t="s">
        <v>56</v>
      </c>
      <c r="V1599" s="2" t="s">
        <v>28</v>
      </c>
      <c r="W1599" s="2" t="s">
        <v>55</v>
      </c>
      <c r="X1599" s="2" t="s">
        <v>57</v>
      </c>
      <c r="Y1599" s="2">
        <v>2.6997236496964598</v>
      </c>
      <c r="Z1599" s="2">
        <v>4.71035</v>
      </c>
      <c r="AA1599" s="2">
        <v>-74.030416666666696</v>
      </c>
      <c r="AB1599" s="2">
        <v>2570</v>
      </c>
      <c r="AC1599" s="2" t="s">
        <v>31</v>
      </c>
      <c r="AD1599" s="2" t="s">
        <v>58</v>
      </c>
      <c r="AE1599" s="2" t="s">
        <v>33</v>
      </c>
      <c r="AF1599" s="2" t="s">
        <v>34</v>
      </c>
      <c r="AG1599" s="2" t="s">
        <v>59</v>
      </c>
      <c r="AH1599" s="2">
        <v>0.73855232203062804</v>
      </c>
      <c r="AI1599" s="2">
        <v>2.35267750533469</v>
      </c>
      <c r="AJ1599" s="2">
        <v>0.40843017848827501</v>
      </c>
      <c r="AK1599" s="2">
        <v>0.113161168606706</v>
      </c>
      <c r="AL1599" s="2">
        <v>0.16985050022866399</v>
      </c>
      <c r="AM1599" s="2">
        <v>15.5</v>
      </c>
      <c r="AN1599" s="2">
        <v>2.4</v>
      </c>
      <c r="AO1599" s="2">
        <v>10.9</v>
      </c>
      <c r="AP1599" s="2">
        <v>564</v>
      </c>
      <c r="AQ1599" s="2">
        <v>68</v>
      </c>
      <c r="AR1599" s="2">
        <v>1.5</v>
      </c>
      <c r="AS1599" s="2">
        <v>135</v>
      </c>
      <c r="AT1599" s="2">
        <v>0</v>
      </c>
      <c r="AU1599" s="2">
        <v>162</v>
      </c>
      <c r="AV1599" s="2">
        <v>9.1</v>
      </c>
      <c r="AW1599" s="2">
        <v>9.1999999999999993</v>
      </c>
      <c r="AX1599" s="2">
        <v>18.3</v>
      </c>
      <c r="AY1599" s="2">
        <v>0.34</v>
      </c>
      <c r="AZ1599" s="2">
        <v>7.3</v>
      </c>
      <c r="BA1599" s="2">
        <v>0.9</v>
      </c>
      <c r="BB1599" s="2">
        <v>7.5</v>
      </c>
      <c r="BC1599" s="2">
        <v>2.9</v>
      </c>
      <c r="BD1599" s="2">
        <f>+AN1599*EXP(-0.0495*Y1599)</f>
        <v>2.0997796626855334</v>
      </c>
      <c r="BE1599" s="2">
        <f>+AO1599*EXP(-0.024*Y1599)</f>
        <v>10.216146119595436</v>
      </c>
    </row>
    <row r="1600" spans="1:57" x14ac:dyDescent="0.2">
      <c r="A1600" s="2" t="s">
        <v>1301</v>
      </c>
      <c r="B1600" s="2" t="s">
        <v>19</v>
      </c>
      <c r="C1600" s="2" t="s">
        <v>20</v>
      </c>
      <c r="D1600" s="2" t="s">
        <v>21</v>
      </c>
      <c r="E1600" s="2" t="s">
        <v>53</v>
      </c>
      <c r="F1600" s="2">
        <v>6</v>
      </c>
      <c r="G1600" s="2">
        <v>156</v>
      </c>
      <c r="H1600" s="2">
        <v>3</v>
      </c>
      <c r="I1600" s="2">
        <v>4</v>
      </c>
      <c r="J1600" s="2">
        <v>4</v>
      </c>
      <c r="K1600" s="2" t="s">
        <v>61</v>
      </c>
      <c r="L1600" s="6" t="s">
        <v>113</v>
      </c>
      <c r="M1600" s="5">
        <v>950000000</v>
      </c>
      <c r="N1600" s="2">
        <v>0</v>
      </c>
      <c r="O1600" s="2">
        <v>4.696643785</v>
      </c>
      <c r="P1600" s="2">
        <v>-74.035363200000006</v>
      </c>
      <c r="Q1600" s="2" t="s">
        <v>1302</v>
      </c>
      <c r="R1600" s="2">
        <v>6089743.5899999999</v>
      </c>
      <c r="S1600" s="2">
        <v>0</v>
      </c>
      <c r="T1600" s="2" t="s">
        <v>55</v>
      </c>
      <c r="U1600" s="2" t="s">
        <v>56</v>
      </c>
      <c r="V1600" s="2" t="s">
        <v>28</v>
      </c>
      <c r="W1600" s="2" t="s">
        <v>55</v>
      </c>
      <c r="X1600" s="2" t="s">
        <v>57</v>
      </c>
      <c r="Y1600" s="2">
        <v>1.6214630578817</v>
      </c>
      <c r="Z1600" s="2">
        <v>4.71035</v>
      </c>
      <c r="AA1600" s="2">
        <v>-74.030416666666696</v>
      </c>
      <c r="AB1600" s="2">
        <v>2570</v>
      </c>
      <c r="AC1600" s="2" t="s">
        <v>31</v>
      </c>
      <c r="AD1600" s="2" t="s">
        <v>58</v>
      </c>
      <c r="AE1600" s="2" t="s">
        <v>33</v>
      </c>
      <c r="AF1600" s="2" t="s">
        <v>34</v>
      </c>
      <c r="AG1600" s="2" t="s">
        <v>59</v>
      </c>
      <c r="AH1600" s="2">
        <v>2.21758874366102</v>
      </c>
      <c r="AI1600" s="2">
        <v>1.0574252430166899</v>
      </c>
      <c r="AJ1600" s="2">
        <v>0.60985758685188796</v>
      </c>
      <c r="AK1600" s="2">
        <v>5.7622933187699198E-2</v>
      </c>
      <c r="AL1600" s="2">
        <v>0.10067219364496501</v>
      </c>
      <c r="AM1600" s="2">
        <v>15.5</v>
      </c>
      <c r="AN1600" s="2">
        <v>2.4</v>
      </c>
      <c r="AO1600" s="2">
        <v>10.9</v>
      </c>
      <c r="AP1600" s="2">
        <v>564</v>
      </c>
      <c r="AQ1600" s="2">
        <v>68</v>
      </c>
      <c r="AR1600" s="2">
        <v>1.5</v>
      </c>
      <c r="AS1600" s="2">
        <v>135</v>
      </c>
      <c r="AT1600" s="2">
        <v>0</v>
      </c>
      <c r="AU1600" s="2">
        <v>162</v>
      </c>
      <c r="AV1600" s="2">
        <v>9.1</v>
      </c>
      <c r="AW1600" s="2">
        <v>9.1999999999999993</v>
      </c>
      <c r="AX1600" s="2">
        <v>18.3</v>
      </c>
      <c r="AY1600" s="2">
        <v>0.34</v>
      </c>
      <c r="AZ1600" s="2">
        <v>7.3</v>
      </c>
      <c r="BA1600" s="2">
        <v>0.9</v>
      </c>
      <c r="BB1600" s="2">
        <v>7.5</v>
      </c>
      <c r="BC1600" s="2">
        <v>2.9</v>
      </c>
      <c r="BD1600" s="2">
        <f>+AN1600*EXP(-0.0495*Y1600)</f>
        <v>2.2148979185213786</v>
      </c>
      <c r="BE1600" s="2">
        <f>+AO1600*EXP(-0.024*Y1600)</f>
        <v>10.483972640829704</v>
      </c>
    </row>
    <row r="1601" spans="1:57" x14ac:dyDescent="0.2">
      <c r="A1601" s="2" t="s">
        <v>1651</v>
      </c>
      <c r="B1601" s="2" t="s">
        <v>19</v>
      </c>
      <c r="C1601" s="2" t="s">
        <v>20</v>
      </c>
      <c r="D1601" s="2" t="s">
        <v>21</v>
      </c>
      <c r="E1601" s="2" t="s">
        <v>933</v>
      </c>
      <c r="F1601" s="2">
        <v>5</v>
      </c>
      <c r="G1601" s="2">
        <v>155</v>
      </c>
      <c r="H1601" s="2">
        <v>3</v>
      </c>
      <c r="I1601" s="2">
        <v>4</v>
      </c>
      <c r="J1601" s="2">
        <v>3</v>
      </c>
      <c r="K1601" s="2" t="s">
        <v>61</v>
      </c>
      <c r="L1601" s="6" t="s">
        <v>62</v>
      </c>
      <c r="M1601" s="5">
        <v>1580000000</v>
      </c>
      <c r="N1601" s="2">
        <v>0</v>
      </c>
      <c r="O1601" s="2">
        <v>4.7111162999999996</v>
      </c>
      <c r="P1601" s="2">
        <v>-74.050378600000002</v>
      </c>
      <c r="Q1601" s="2" t="s">
        <v>1652</v>
      </c>
      <c r="R1601" s="2">
        <v>10193548.390000001</v>
      </c>
      <c r="S1601" s="2">
        <v>0</v>
      </c>
      <c r="T1601" s="2" t="s">
        <v>55</v>
      </c>
      <c r="U1601" s="2" t="s">
        <v>56</v>
      </c>
      <c r="V1601" s="2" t="s">
        <v>28</v>
      </c>
      <c r="W1601" s="2" t="s">
        <v>55</v>
      </c>
      <c r="X1601" s="2" t="s">
        <v>57</v>
      </c>
      <c r="Y1601" s="2">
        <v>2.21628813858166</v>
      </c>
      <c r="Z1601" s="2">
        <v>4.71035</v>
      </c>
      <c r="AA1601" s="2">
        <v>-74.030416666666696</v>
      </c>
      <c r="AB1601" s="2">
        <v>2570</v>
      </c>
      <c r="AC1601" s="2" t="s">
        <v>31</v>
      </c>
      <c r="AD1601" s="2" t="s">
        <v>58</v>
      </c>
      <c r="AE1601" s="2" t="s">
        <v>33</v>
      </c>
      <c r="AF1601" s="2" t="s">
        <v>34</v>
      </c>
      <c r="AG1601" s="2" t="s">
        <v>59</v>
      </c>
      <c r="AH1601" s="2">
        <v>0.45067465650984501</v>
      </c>
      <c r="AI1601" s="2">
        <v>2.8135138685577799</v>
      </c>
      <c r="AJ1601" s="2">
        <v>1.95186399151884</v>
      </c>
      <c r="AK1601" s="2">
        <v>0.27879612378712898</v>
      </c>
      <c r="AL1601" s="2">
        <v>0.28586389698833697</v>
      </c>
      <c r="AM1601" s="2">
        <v>15.5</v>
      </c>
      <c r="AN1601" s="2">
        <v>2.4</v>
      </c>
      <c r="AO1601" s="2">
        <v>10.9</v>
      </c>
      <c r="AP1601" s="2">
        <v>564</v>
      </c>
      <c r="AQ1601" s="2">
        <v>68</v>
      </c>
      <c r="AR1601" s="2">
        <v>1.5</v>
      </c>
      <c r="AS1601" s="2">
        <v>135</v>
      </c>
      <c r="AT1601" s="2">
        <v>0</v>
      </c>
      <c r="AU1601" s="2">
        <v>162</v>
      </c>
      <c r="AV1601" s="2">
        <v>9.1</v>
      </c>
      <c r="AW1601" s="2">
        <v>9.1999999999999993</v>
      </c>
      <c r="AX1601" s="2">
        <v>18.3</v>
      </c>
      <c r="AY1601" s="2">
        <v>0.34</v>
      </c>
      <c r="AZ1601" s="2">
        <v>7.3</v>
      </c>
      <c r="BA1601" s="2">
        <v>0.9</v>
      </c>
      <c r="BB1601" s="2">
        <v>7.5</v>
      </c>
      <c r="BC1601" s="2">
        <v>2.9</v>
      </c>
      <c r="BD1601" s="2">
        <f>+AN1601*EXP(-0.0495*Y1601)</f>
        <v>2.1506335528902598</v>
      </c>
      <c r="BE1601" s="2">
        <f>+AO1601*EXP(-0.024*Y1601)</f>
        <v>10.335368767392742</v>
      </c>
    </row>
    <row r="1602" spans="1:57" x14ac:dyDescent="0.2">
      <c r="A1602" s="2" t="s">
        <v>2640</v>
      </c>
      <c r="B1602" s="2" t="s">
        <v>19</v>
      </c>
      <c r="C1602" s="2" t="s">
        <v>1907</v>
      </c>
      <c r="D1602" s="2" t="s">
        <v>21</v>
      </c>
      <c r="E1602" s="2" t="s">
        <v>283</v>
      </c>
      <c r="F1602" s="2">
        <v>4</v>
      </c>
      <c r="G1602" s="2">
        <v>155</v>
      </c>
      <c r="H1602" s="2">
        <v>3</v>
      </c>
      <c r="I1602" s="2">
        <v>3</v>
      </c>
      <c r="J1602" s="2">
        <v>1</v>
      </c>
      <c r="K1602" s="2" t="s">
        <v>61</v>
      </c>
      <c r="L1602" s="6" t="s">
        <v>113</v>
      </c>
      <c r="M1602" s="5">
        <v>730000000</v>
      </c>
      <c r="N1602" s="2">
        <v>0</v>
      </c>
      <c r="O1602" s="2">
        <v>4.7271100290000003</v>
      </c>
      <c r="P1602" s="2">
        <v>-74.027006990000004</v>
      </c>
      <c r="Q1602" s="2" t="s">
        <v>2641</v>
      </c>
      <c r="R1602" s="2">
        <v>4709677.4189999998</v>
      </c>
      <c r="S1602" s="2">
        <v>0</v>
      </c>
      <c r="T1602" s="2" t="s">
        <v>55</v>
      </c>
      <c r="U1602" s="2" t="s">
        <v>56</v>
      </c>
      <c r="V1602" s="2" t="s">
        <v>28</v>
      </c>
      <c r="W1602" s="2" t="s">
        <v>55</v>
      </c>
      <c r="X1602" s="2" t="s">
        <v>57</v>
      </c>
      <c r="Y1602" s="2">
        <v>1.9036797828979199</v>
      </c>
      <c r="Z1602" s="2">
        <v>4.71035</v>
      </c>
      <c r="AA1602" s="2">
        <v>-74.030416666666696</v>
      </c>
      <c r="AB1602" s="2">
        <v>2570</v>
      </c>
      <c r="AC1602" s="2" t="s">
        <v>31</v>
      </c>
      <c r="AD1602" s="2" t="s">
        <v>58</v>
      </c>
      <c r="AE1602" s="2" t="s">
        <v>33</v>
      </c>
      <c r="AF1602" s="2" t="s">
        <v>34</v>
      </c>
      <c r="AG1602" s="2" t="s">
        <v>59</v>
      </c>
      <c r="AH1602" s="2">
        <v>2.5626582534989302</v>
      </c>
      <c r="AI1602" s="2">
        <v>0.637470584855369</v>
      </c>
      <c r="AJ1602" s="2">
        <v>1.57276272666803</v>
      </c>
      <c r="AK1602" s="2">
        <v>0.28092653628713599</v>
      </c>
      <c r="AL1602" s="2">
        <v>0.34033695184888402</v>
      </c>
      <c r="AM1602" s="2">
        <v>15.5</v>
      </c>
      <c r="AN1602" s="2">
        <v>2.4</v>
      </c>
      <c r="AO1602" s="2">
        <v>10.9</v>
      </c>
      <c r="AP1602" s="2">
        <v>564</v>
      </c>
      <c r="AQ1602" s="2">
        <v>68</v>
      </c>
      <c r="AR1602" s="2">
        <v>1.5</v>
      </c>
      <c r="AS1602" s="2">
        <v>135</v>
      </c>
      <c r="AT1602" s="2">
        <v>0</v>
      </c>
      <c r="AU1602" s="2">
        <v>162</v>
      </c>
      <c r="AV1602" s="2">
        <v>9.1</v>
      </c>
      <c r="AW1602" s="2">
        <v>9.1999999999999993</v>
      </c>
      <c r="AX1602" s="2">
        <v>18.3</v>
      </c>
      <c r="AY1602" s="2">
        <v>0.34</v>
      </c>
      <c r="AZ1602" s="2">
        <v>7.3</v>
      </c>
      <c r="BA1602" s="2">
        <v>0.9</v>
      </c>
      <c r="BB1602" s="2">
        <v>7.5</v>
      </c>
      <c r="BC1602" s="2">
        <v>2.9</v>
      </c>
      <c r="BD1602" s="2">
        <f>+AN1602*EXP(-0.0495*Y1602)</f>
        <v>2.1841715167301974</v>
      </c>
      <c r="BE1602" s="2">
        <f>+AO1602*EXP(-0.024*Y1602)</f>
        <v>10.413202523342099</v>
      </c>
    </row>
    <row r="1603" spans="1:57" x14ac:dyDescent="0.2">
      <c r="A1603" s="2" t="s">
        <v>1618</v>
      </c>
      <c r="B1603" s="2" t="s">
        <v>19</v>
      </c>
      <c r="C1603" s="2" t="s">
        <v>20</v>
      </c>
      <c r="D1603" s="2" t="s">
        <v>21</v>
      </c>
      <c r="E1603" s="2" t="s">
        <v>53</v>
      </c>
      <c r="F1603" s="2">
        <v>6</v>
      </c>
      <c r="G1603" s="2">
        <v>152</v>
      </c>
      <c r="H1603" s="2">
        <v>3</v>
      </c>
      <c r="I1603" s="2">
        <v>4</v>
      </c>
      <c r="J1603" s="2">
        <v>2</v>
      </c>
      <c r="K1603" s="2" t="s">
        <v>61</v>
      </c>
      <c r="L1603" s="6" t="s">
        <v>113</v>
      </c>
      <c r="M1603" s="5">
        <v>900000000</v>
      </c>
      <c r="N1603" s="2">
        <v>0</v>
      </c>
      <c r="O1603" s="2">
        <v>4.6970831999999998</v>
      </c>
      <c r="P1603" s="2">
        <v>-74.041510200000005</v>
      </c>
      <c r="Q1603" s="2" t="s">
        <v>1619</v>
      </c>
      <c r="R1603" s="2">
        <v>5921052.6320000002</v>
      </c>
      <c r="S1603" s="2">
        <v>0</v>
      </c>
      <c r="T1603" s="2" t="s">
        <v>55</v>
      </c>
      <c r="U1603" s="2" t="s">
        <v>56</v>
      </c>
      <c r="V1603" s="2" t="s">
        <v>28</v>
      </c>
      <c r="W1603" s="2" t="s">
        <v>55</v>
      </c>
      <c r="X1603" s="2" t="s">
        <v>57</v>
      </c>
      <c r="Y1603" s="2">
        <v>1.9224682708315299</v>
      </c>
      <c r="Z1603" s="2">
        <v>4.71035</v>
      </c>
      <c r="AA1603" s="2">
        <v>-74.030416666666696</v>
      </c>
      <c r="AB1603" s="2">
        <v>2570</v>
      </c>
      <c r="AC1603" s="2" t="s">
        <v>31</v>
      </c>
      <c r="AD1603" s="2" t="s">
        <v>58</v>
      </c>
      <c r="AE1603" s="2" t="s">
        <v>33</v>
      </c>
      <c r="AF1603" s="2" t="s">
        <v>34</v>
      </c>
      <c r="AG1603" s="2" t="s">
        <v>59</v>
      </c>
      <c r="AH1603" s="2">
        <v>1.53430039856926</v>
      </c>
      <c r="AI1603" s="2">
        <v>1.73498713412734</v>
      </c>
      <c r="AJ1603" s="2">
        <v>1.01518832768144</v>
      </c>
      <c r="AK1603" s="2">
        <v>0.155561067805359</v>
      </c>
      <c r="AL1603" s="2">
        <v>0.174996950329707</v>
      </c>
      <c r="AM1603" s="2">
        <v>15.5</v>
      </c>
      <c r="AN1603" s="2">
        <v>2.4</v>
      </c>
      <c r="AO1603" s="2">
        <v>10.9</v>
      </c>
      <c r="AP1603" s="2">
        <v>564</v>
      </c>
      <c r="AQ1603" s="2">
        <v>68</v>
      </c>
      <c r="AR1603" s="2">
        <v>1.5</v>
      </c>
      <c r="AS1603" s="2">
        <v>135</v>
      </c>
      <c r="AT1603" s="2">
        <v>0</v>
      </c>
      <c r="AU1603" s="2">
        <v>162</v>
      </c>
      <c r="AV1603" s="2">
        <v>9.1</v>
      </c>
      <c r="AW1603" s="2">
        <v>9.1999999999999993</v>
      </c>
      <c r="AX1603" s="2">
        <v>18.3</v>
      </c>
      <c r="AY1603" s="2">
        <v>0.34</v>
      </c>
      <c r="AZ1603" s="2">
        <v>7.3</v>
      </c>
      <c r="BA1603" s="2">
        <v>0.9</v>
      </c>
      <c r="BB1603" s="2">
        <v>7.5</v>
      </c>
      <c r="BC1603" s="2">
        <v>2.9</v>
      </c>
      <c r="BD1603" s="2">
        <f>+AN1603*EXP(-0.0495*Y1603)</f>
        <v>2.1821411156743928</v>
      </c>
      <c r="BE1603" s="2">
        <f>+AO1603*EXP(-0.024*Y1603)</f>
        <v>10.408508021933601</v>
      </c>
    </row>
    <row r="1604" spans="1:57" x14ac:dyDescent="0.2">
      <c r="A1604" s="2" t="s">
        <v>949</v>
      </c>
      <c r="B1604" s="2" t="s">
        <v>19</v>
      </c>
      <c r="C1604" s="2" t="s">
        <v>20</v>
      </c>
      <c r="D1604" s="2" t="s">
        <v>21</v>
      </c>
      <c r="E1604" s="2" t="s">
        <v>144</v>
      </c>
      <c r="F1604" s="2">
        <v>6</v>
      </c>
      <c r="G1604" s="2">
        <v>150</v>
      </c>
      <c r="H1604" s="2">
        <v>3</v>
      </c>
      <c r="I1604" s="2">
        <v>2</v>
      </c>
      <c r="J1604" s="2">
        <v>2</v>
      </c>
      <c r="K1604" s="2" t="s">
        <v>61</v>
      </c>
      <c r="L1604" s="6" t="s">
        <v>113</v>
      </c>
      <c r="M1604" s="5">
        <v>1025000000</v>
      </c>
      <c r="N1604" s="2">
        <v>0</v>
      </c>
      <c r="O1604" s="2">
        <v>4.6928456870000002</v>
      </c>
      <c r="P1604" s="2">
        <v>-74.037470479999996</v>
      </c>
      <c r="Q1604" s="2" t="s">
        <v>950</v>
      </c>
      <c r="R1604" s="2">
        <v>6833333.3329999996</v>
      </c>
      <c r="S1604" s="2">
        <v>0</v>
      </c>
      <c r="T1604" s="2" t="s">
        <v>55</v>
      </c>
      <c r="U1604" s="2" t="s">
        <v>56</v>
      </c>
      <c r="V1604" s="2" t="s">
        <v>28</v>
      </c>
      <c r="W1604" s="2" t="s">
        <v>55</v>
      </c>
      <c r="X1604" s="2" t="s">
        <v>57</v>
      </c>
      <c r="Y1604" s="2">
        <v>2.0998496533811402</v>
      </c>
      <c r="Z1604" s="2">
        <v>4.71035</v>
      </c>
      <c r="AA1604" s="2">
        <v>-74.030416666666696</v>
      </c>
      <c r="AB1604" s="2">
        <v>2570</v>
      </c>
      <c r="AC1604" s="2" t="s">
        <v>31</v>
      </c>
      <c r="AD1604" s="2" t="s">
        <v>58</v>
      </c>
      <c r="AE1604" s="2" t="s">
        <v>33</v>
      </c>
      <c r="AF1604" s="2" t="s">
        <v>34</v>
      </c>
      <c r="AG1604" s="2" t="s">
        <v>59</v>
      </c>
      <c r="AH1604" s="2">
        <v>2.0621917962034901</v>
      </c>
      <c r="AI1604" s="2">
        <v>1.20291564132104</v>
      </c>
      <c r="AJ1604" s="2">
        <v>0.878820671833351</v>
      </c>
      <c r="AK1604" s="2">
        <v>0.14103318514624599</v>
      </c>
      <c r="AL1604" s="2">
        <v>0.429116959210532</v>
      </c>
      <c r="AM1604" s="2">
        <v>15.5</v>
      </c>
      <c r="AN1604" s="2">
        <v>2.4</v>
      </c>
      <c r="AO1604" s="2">
        <v>10.9</v>
      </c>
      <c r="AP1604" s="2">
        <v>564</v>
      </c>
      <c r="AQ1604" s="2">
        <v>68</v>
      </c>
      <c r="AR1604" s="2">
        <v>1.5</v>
      </c>
      <c r="AS1604" s="2">
        <v>135</v>
      </c>
      <c r="AT1604" s="2">
        <v>0</v>
      </c>
      <c r="AU1604" s="2">
        <v>162</v>
      </c>
      <c r="AV1604" s="2">
        <v>9.1</v>
      </c>
      <c r="AW1604" s="2">
        <v>9.1999999999999993</v>
      </c>
      <c r="AX1604" s="2">
        <v>18.3</v>
      </c>
      <c r="AY1604" s="2">
        <v>0.34</v>
      </c>
      <c r="AZ1604" s="2">
        <v>7.3</v>
      </c>
      <c r="BA1604" s="2">
        <v>0.9</v>
      </c>
      <c r="BB1604" s="2">
        <v>7.5</v>
      </c>
      <c r="BC1604" s="2">
        <v>2.9</v>
      </c>
      <c r="BD1604" s="2">
        <f>+AN1604*EXP(-0.0495*Y1604)</f>
        <v>2.1630649613608157</v>
      </c>
      <c r="BE1604" s="2">
        <f>+AO1604*EXP(-0.024*Y1604)</f>
        <v>10.364291593729714</v>
      </c>
    </row>
    <row r="1605" spans="1:57" x14ac:dyDescent="0.2">
      <c r="A1605" s="2" t="s">
        <v>2578</v>
      </c>
      <c r="B1605" s="2" t="s">
        <v>19</v>
      </c>
      <c r="C1605" s="2" t="s">
        <v>1907</v>
      </c>
      <c r="D1605" s="2" t="s">
        <v>21</v>
      </c>
      <c r="E1605" s="2" t="s">
        <v>723</v>
      </c>
      <c r="F1605" s="2">
        <v>4</v>
      </c>
      <c r="G1605" s="2">
        <v>150</v>
      </c>
      <c r="H1605" s="2">
        <v>3</v>
      </c>
      <c r="I1605" s="2">
        <v>4</v>
      </c>
      <c r="J1605" s="2">
        <v>2</v>
      </c>
      <c r="K1605" s="2" t="s">
        <v>61</v>
      </c>
      <c r="L1605" s="6" t="s">
        <v>113</v>
      </c>
      <c r="M1605" s="5">
        <v>895000000</v>
      </c>
      <c r="N1605" s="2">
        <v>0</v>
      </c>
      <c r="O1605" s="2">
        <v>4.7249206580000003</v>
      </c>
      <c r="P1605" s="2">
        <v>-74.04053854</v>
      </c>
      <c r="Q1605" s="2" t="s">
        <v>2579</v>
      </c>
      <c r="R1605" s="2">
        <v>5966666.6670000004</v>
      </c>
      <c r="S1605" s="2">
        <v>0</v>
      </c>
      <c r="T1605" s="2" t="s">
        <v>55</v>
      </c>
      <c r="U1605" s="2" t="s">
        <v>56</v>
      </c>
      <c r="V1605" s="2" t="s">
        <v>28</v>
      </c>
      <c r="W1605" s="2" t="s">
        <v>55</v>
      </c>
      <c r="X1605" s="2" t="s">
        <v>57</v>
      </c>
      <c r="Y1605" s="2">
        <v>1.97278546427581</v>
      </c>
      <c r="Z1605" s="2">
        <v>4.71035</v>
      </c>
      <c r="AA1605" s="2">
        <v>-74.030416666666696</v>
      </c>
      <c r="AB1605" s="2">
        <v>2570</v>
      </c>
      <c r="AC1605" s="2" t="s">
        <v>31</v>
      </c>
      <c r="AD1605" s="2" t="s">
        <v>58</v>
      </c>
      <c r="AE1605" s="2" t="s">
        <v>33</v>
      </c>
      <c r="AF1605" s="2" t="s">
        <v>34</v>
      </c>
      <c r="AG1605" s="2" t="s">
        <v>59</v>
      </c>
      <c r="AH1605" s="2">
        <v>1.12521633438381</v>
      </c>
      <c r="AI1605" s="2">
        <v>1.96852379686618</v>
      </c>
      <c r="AJ1605" s="2">
        <v>0.882282821931897</v>
      </c>
      <c r="AK1605" s="2">
        <v>0.338954254976711</v>
      </c>
      <c r="AL1605" s="2">
        <v>0.12048948171481901</v>
      </c>
      <c r="AM1605" s="2">
        <v>15.5</v>
      </c>
      <c r="AN1605" s="2">
        <v>2.4</v>
      </c>
      <c r="AO1605" s="2">
        <v>10.9</v>
      </c>
      <c r="AP1605" s="2">
        <v>564</v>
      </c>
      <c r="AQ1605" s="2">
        <v>68</v>
      </c>
      <c r="AR1605" s="2">
        <v>1.5</v>
      </c>
      <c r="AS1605" s="2">
        <v>135</v>
      </c>
      <c r="AT1605" s="2">
        <v>0</v>
      </c>
      <c r="AU1605" s="2">
        <v>162</v>
      </c>
      <c r="AV1605" s="2">
        <v>9.1</v>
      </c>
      <c r="AW1605" s="2">
        <v>9.1999999999999993</v>
      </c>
      <c r="AX1605" s="2">
        <v>18.3</v>
      </c>
      <c r="AY1605" s="2">
        <v>0.34</v>
      </c>
      <c r="AZ1605" s="2">
        <v>7.3</v>
      </c>
      <c r="BA1605" s="2">
        <v>0.9</v>
      </c>
      <c r="BB1605" s="2">
        <v>7.5</v>
      </c>
      <c r="BC1605" s="2">
        <v>2.9</v>
      </c>
      <c r="BD1605" s="2">
        <f>+AN1605*EXP(-0.0495*Y1605)</f>
        <v>2.176712817391139</v>
      </c>
      <c r="BE1605" s="2">
        <f>+AO1605*EXP(-0.024*Y1605)</f>
        <v>10.395946162511793</v>
      </c>
    </row>
    <row r="1606" spans="1:57" x14ac:dyDescent="0.2">
      <c r="A1606" s="2" t="s">
        <v>1655</v>
      </c>
      <c r="B1606" s="2" t="s">
        <v>19</v>
      </c>
      <c r="C1606" s="2" t="s">
        <v>20</v>
      </c>
      <c r="D1606" s="2" t="s">
        <v>21</v>
      </c>
      <c r="E1606" s="2" t="s">
        <v>164</v>
      </c>
      <c r="F1606" s="2">
        <v>6</v>
      </c>
      <c r="G1606" s="2">
        <v>150</v>
      </c>
      <c r="H1606" s="2">
        <v>3</v>
      </c>
      <c r="I1606" s="2">
        <v>4</v>
      </c>
      <c r="J1606" s="2">
        <v>2</v>
      </c>
      <c r="K1606" s="2" t="s">
        <v>61</v>
      </c>
      <c r="L1606" s="6" t="s">
        <v>113</v>
      </c>
      <c r="M1606" s="5">
        <v>1125000000</v>
      </c>
      <c r="N1606" s="2">
        <v>0</v>
      </c>
      <c r="O1606" s="2">
        <v>4.7012033459999998</v>
      </c>
      <c r="P1606" s="2">
        <v>-74.035324099999997</v>
      </c>
      <c r="Q1606" s="2" t="s">
        <v>1656</v>
      </c>
      <c r="R1606" s="2">
        <v>7500000</v>
      </c>
      <c r="S1606" s="2">
        <v>0</v>
      </c>
      <c r="T1606" s="2" t="s">
        <v>55</v>
      </c>
      <c r="U1606" s="2" t="s">
        <v>56</v>
      </c>
      <c r="V1606" s="2" t="s">
        <v>28</v>
      </c>
      <c r="W1606" s="2" t="s">
        <v>55</v>
      </c>
      <c r="X1606" s="2" t="s">
        <v>57</v>
      </c>
      <c r="Y1606" s="2">
        <v>1.1546256663888801</v>
      </c>
      <c r="Z1606" s="2">
        <v>4.71035</v>
      </c>
      <c r="AA1606" s="2">
        <v>-74.030416666666696</v>
      </c>
      <c r="AB1606" s="2">
        <v>2570</v>
      </c>
      <c r="AC1606" s="2" t="s">
        <v>31</v>
      </c>
      <c r="AD1606" s="2" t="s">
        <v>58</v>
      </c>
      <c r="AE1606" s="2" t="s">
        <v>33</v>
      </c>
      <c r="AF1606" s="2" t="s">
        <v>34</v>
      </c>
      <c r="AG1606" s="2" t="s">
        <v>59</v>
      </c>
      <c r="AH1606" s="2">
        <v>2.1298193140451498</v>
      </c>
      <c r="AI1606" s="2">
        <v>1.0691137148094201</v>
      </c>
      <c r="AJ1606" s="2">
        <v>0.31741942049969601</v>
      </c>
      <c r="AK1606" s="2">
        <v>0.29559357246463203</v>
      </c>
      <c r="AL1606" s="2">
        <v>0.357471424218059</v>
      </c>
      <c r="AM1606" s="2">
        <v>15.5</v>
      </c>
      <c r="AN1606" s="2">
        <v>2.4</v>
      </c>
      <c r="AO1606" s="2">
        <v>10.9</v>
      </c>
      <c r="AP1606" s="2">
        <v>564</v>
      </c>
      <c r="AQ1606" s="2">
        <v>68</v>
      </c>
      <c r="AR1606" s="2">
        <v>1.5</v>
      </c>
      <c r="AS1606" s="2">
        <v>135</v>
      </c>
      <c r="AT1606" s="2">
        <v>0</v>
      </c>
      <c r="AU1606" s="2">
        <v>162</v>
      </c>
      <c r="AV1606" s="2">
        <v>9.1</v>
      </c>
      <c r="AW1606" s="2">
        <v>9.1999999999999993</v>
      </c>
      <c r="AX1606" s="2">
        <v>18.3</v>
      </c>
      <c r="AY1606" s="2">
        <v>0.34</v>
      </c>
      <c r="AZ1606" s="2">
        <v>7.3</v>
      </c>
      <c r="BA1606" s="2">
        <v>0.9</v>
      </c>
      <c r="BB1606" s="2">
        <v>7.5</v>
      </c>
      <c r="BC1606" s="2">
        <v>2.9</v>
      </c>
      <c r="BD1606" s="2">
        <f>+AN1606*EXP(-0.0495*Y1606)</f>
        <v>2.26667673829076</v>
      </c>
      <c r="BE1606" s="2">
        <f>+AO1606*EXP(-0.024*Y1606)</f>
        <v>10.602096591828557</v>
      </c>
    </row>
    <row r="1607" spans="1:57" x14ac:dyDescent="0.2">
      <c r="A1607" s="2" t="s">
        <v>662</v>
      </c>
      <c r="B1607" s="2" t="s">
        <v>19</v>
      </c>
      <c r="C1607" s="2" t="s">
        <v>20</v>
      </c>
      <c r="D1607" s="2" t="s">
        <v>21</v>
      </c>
      <c r="E1607" s="2" t="s">
        <v>186</v>
      </c>
      <c r="F1607" s="2">
        <v>6</v>
      </c>
      <c r="G1607" s="2">
        <v>150</v>
      </c>
      <c r="H1607" s="2">
        <v>3</v>
      </c>
      <c r="I1607" s="2">
        <v>4</v>
      </c>
      <c r="J1607" s="2">
        <v>2</v>
      </c>
      <c r="K1607" s="2" t="s">
        <v>61</v>
      </c>
      <c r="L1607" s="6" t="s">
        <v>113</v>
      </c>
      <c r="M1607" s="5">
        <v>1125000000</v>
      </c>
      <c r="N1607" s="2">
        <v>0</v>
      </c>
      <c r="O1607" s="2">
        <v>4.7012033000000004</v>
      </c>
      <c r="P1607" s="2">
        <v>-74.0353207</v>
      </c>
      <c r="Q1607" s="2" t="s">
        <v>663</v>
      </c>
      <c r="R1607" s="2">
        <v>7500000</v>
      </c>
      <c r="S1607" s="2">
        <v>0</v>
      </c>
      <c r="T1607" s="2" t="s">
        <v>55</v>
      </c>
      <c r="U1607" s="2" t="s">
        <v>56</v>
      </c>
      <c r="V1607" s="2" t="s">
        <v>28</v>
      </c>
      <c r="W1607" s="2" t="s">
        <v>55</v>
      </c>
      <c r="X1607" s="2" t="s">
        <v>57</v>
      </c>
      <c r="Y1607" s="2">
        <v>1.1544523610977899</v>
      </c>
      <c r="Z1607" s="2">
        <v>4.71035</v>
      </c>
      <c r="AA1607" s="2">
        <v>-74.030416666666696</v>
      </c>
      <c r="AB1607" s="2">
        <v>2570</v>
      </c>
      <c r="AC1607" s="2" t="s">
        <v>31</v>
      </c>
      <c r="AD1607" s="2" t="s">
        <v>58</v>
      </c>
      <c r="AE1607" s="2" t="s">
        <v>33</v>
      </c>
      <c r="AF1607" s="2" t="s">
        <v>34</v>
      </c>
      <c r="AG1607" s="2" t="s">
        <v>59</v>
      </c>
      <c r="AH1607" s="2">
        <v>2.1301911608478701</v>
      </c>
      <c r="AI1607" s="2">
        <v>1.0687414095376699</v>
      </c>
      <c r="AJ1607" s="2">
        <v>0.31704305839472202</v>
      </c>
      <c r="AK1607" s="2">
        <v>0.29575974536560301</v>
      </c>
      <c r="AL1607" s="2">
        <v>0.35759417626896101</v>
      </c>
      <c r="AM1607" s="2">
        <v>15.5</v>
      </c>
      <c r="AN1607" s="2">
        <v>2.4</v>
      </c>
      <c r="AO1607" s="2">
        <v>10.9</v>
      </c>
      <c r="AP1607" s="2">
        <v>564</v>
      </c>
      <c r="AQ1607" s="2">
        <v>68</v>
      </c>
      <c r="AR1607" s="2">
        <v>1.5</v>
      </c>
      <c r="AS1607" s="2">
        <v>135</v>
      </c>
      <c r="AT1607" s="2">
        <v>0</v>
      </c>
      <c r="AU1607" s="2">
        <v>162</v>
      </c>
      <c r="AV1607" s="2">
        <v>9.1</v>
      </c>
      <c r="AW1607" s="2">
        <v>9.1999999999999993</v>
      </c>
      <c r="AX1607" s="2">
        <v>18.3</v>
      </c>
      <c r="AY1607" s="2">
        <v>0.34</v>
      </c>
      <c r="AZ1607" s="2">
        <v>7.3</v>
      </c>
      <c r="BA1607" s="2">
        <v>0.9</v>
      </c>
      <c r="BB1607" s="2">
        <v>7.5</v>
      </c>
      <c r="BC1607" s="2">
        <v>2.9</v>
      </c>
      <c r="BD1607" s="2">
        <f>+AN1607*EXP(-0.0495*Y1607)</f>
        <v>2.266696183314227</v>
      </c>
      <c r="BE1607" s="2">
        <f>+AO1607*EXP(-0.024*Y1607)</f>
        <v>10.602140689506729</v>
      </c>
    </row>
    <row r="1608" spans="1:57" x14ac:dyDescent="0.2">
      <c r="A1608" s="2" t="s">
        <v>740</v>
      </c>
      <c r="B1608" s="2" t="s">
        <v>19</v>
      </c>
      <c r="C1608" s="2" t="s">
        <v>20</v>
      </c>
      <c r="D1608" s="2" t="s">
        <v>21</v>
      </c>
      <c r="E1608" s="2" t="s">
        <v>161</v>
      </c>
      <c r="F1608" s="2">
        <v>6</v>
      </c>
      <c r="G1608" s="2">
        <v>149.84</v>
      </c>
      <c r="H1608" s="2">
        <v>3</v>
      </c>
      <c r="I1608" s="2">
        <v>4</v>
      </c>
      <c r="J1608" s="2">
        <v>2</v>
      </c>
      <c r="K1608" s="2" t="s">
        <v>23</v>
      </c>
      <c r="L1608" s="6" t="s">
        <v>24</v>
      </c>
      <c r="M1608" s="5">
        <v>2464118800</v>
      </c>
      <c r="N1608" s="2">
        <v>0</v>
      </c>
      <c r="O1608" s="2">
        <v>4.6971930000000004</v>
      </c>
      <c r="P1608" s="2">
        <v>-74.052099999999996</v>
      </c>
      <c r="Q1608" s="2" t="s">
        <v>741</v>
      </c>
      <c r="R1608" s="2">
        <v>16445000</v>
      </c>
      <c r="S1608" s="2">
        <v>0</v>
      </c>
      <c r="T1608" s="2" t="s">
        <v>55</v>
      </c>
      <c r="U1608" s="2" t="s">
        <v>56</v>
      </c>
      <c r="V1608" s="2" t="s">
        <v>28</v>
      </c>
      <c r="W1608" s="2" t="s">
        <v>55</v>
      </c>
      <c r="X1608" s="2" t="s">
        <v>57</v>
      </c>
      <c r="Y1608" s="2">
        <v>2.8164312341552802</v>
      </c>
      <c r="Z1608" s="2">
        <v>4.71035</v>
      </c>
      <c r="AA1608" s="2">
        <v>-74.030416666666696</v>
      </c>
      <c r="AB1608" s="2">
        <v>2570</v>
      </c>
      <c r="AC1608" s="2" t="s">
        <v>31</v>
      </c>
      <c r="AD1608" s="2" t="s">
        <v>58</v>
      </c>
      <c r="AE1608" s="2" t="s">
        <v>33</v>
      </c>
      <c r="AF1608" s="2" t="s">
        <v>34</v>
      </c>
      <c r="AG1608" s="2" t="s">
        <v>59</v>
      </c>
      <c r="AH1608" s="2">
        <v>0.3704520231708</v>
      </c>
      <c r="AI1608" s="2">
        <v>2.7029258595346799</v>
      </c>
      <c r="AJ1608" s="2">
        <v>0.497922585731226</v>
      </c>
      <c r="AK1608" s="2">
        <v>0.183439943781117</v>
      </c>
      <c r="AL1608" s="2">
        <v>0.29890318697298801</v>
      </c>
      <c r="AM1608" s="2">
        <v>15.5</v>
      </c>
      <c r="AN1608" s="2">
        <v>2.4</v>
      </c>
      <c r="AO1608" s="2">
        <v>10.9</v>
      </c>
      <c r="AP1608" s="2">
        <v>564</v>
      </c>
      <c r="AQ1608" s="2">
        <v>68</v>
      </c>
      <c r="AR1608" s="2">
        <v>1.5</v>
      </c>
      <c r="AS1608" s="2">
        <v>135</v>
      </c>
      <c r="AT1608" s="2">
        <v>0</v>
      </c>
      <c r="AU1608" s="2">
        <v>162</v>
      </c>
      <c r="AV1608" s="2">
        <v>9.1</v>
      </c>
      <c r="AW1608" s="2">
        <v>9.1999999999999993</v>
      </c>
      <c r="AX1608" s="2">
        <v>18.3</v>
      </c>
      <c r="AY1608" s="2">
        <v>0.34</v>
      </c>
      <c r="AZ1608" s="2">
        <v>7.3</v>
      </c>
      <c r="BA1608" s="2">
        <v>0.9</v>
      </c>
      <c r="BB1608" s="2">
        <v>7.5</v>
      </c>
      <c r="BC1608" s="2">
        <v>2.9</v>
      </c>
      <c r="BD1608" s="2">
        <f>+AN1608*EXP(-0.0495*Y1608)</f>
        <v>2.0876841538460198</v>
      </c>
      <c r="BE1608" s="2">
        <f>+AO1608*EXP(-0.024*Y1608)</f>
        <v>10.187570915927299</v>
      </c>
    </row>
    <row r="1609" spans="1:57" x14ac:dyDescent="0.2">
      <c r="A1609" s="2" t="s">
        <v>932</v>
      </c>
      <c r="B1609" s="2" t="s">
        <v>19</v>
      </c>
      <c r="C1609" s="2" t="s">
        <v>20</v>
      </c>
      <c r="D1609" s="2" t="s">
        <v>21</v>
      </c>
      <c r="E1609" s="2" t="s">
        <v>933</v>
      </c>
      <c r="F1609" s="2">
        <v>5</v>
      </c>
      <c r="G1609" s="2">
        <v>148.83000000000001</v>
      </c>
      <c r="H1609" s="2">
        <v>3</v>
      </c>
      <c r="I1609" s="2">
        <v>3</v>
      </c>
      <c r="J1609" s="2">
        <v>2</v>
      </c>
      <c r="K1609" s="2" t="s">
        <v>61</v>
      </c>
      <c r="L1609" s="6" t="s">
        <v>113</v>
      </c>
      <c r="M1609" s="5">
        <v>1090000000</v>
      </c>
      <c r="N1609" s="2">
        <v>0</v>
      </c>
      <c r="O1609" s="2">
        <v>4.7100999999999997</v>
      </c>
      <c r="P1609" s="2">
        <v>-74.052530000000004</v>
      </c>
      <c r="Q1609" s="2" t="s">
        <v>934</v>
      </c>
      <c r="R1609" s="2">
        <v>7323792.2460000003</v>
      </c>
      <c r="S1609" s="2">
        <v>0</v>
      </c>
      <c r="T1609" s="2" t="s">
        <v>55</v>
      </c>
      <c r="U1609" s="2" t="s">
        <v>56</v>
      </c>
      <c r="V1609" s="2" t="s">
        <v>28</v>
      </c>
      <c r="W1609" s="2" t="s">
        <v>55</v>
      </c>
      <c r="X1609" s="2" t="s">
        <v>57</v>
      </c>
      <c r="Y1609" s="2">
        <v>2.4534892531788701</v>
      </c>
      <c r="Z1609" s="2">
        <v>4.71035</v>
      </c>
      <c r="AA1609" s="2">
        <v>-74.030416666666696</v>
      </c>
      <c r="AB1609" s="2">
        <v>2570</v>
      </c>
      <c r="AC1609" s="2" t="s">
        <v>31</v>
      </c>
      <c r="AD1609" s="2" t="s">
        <v>58</v>
      </c>
      <c r="AE1609" s="2" t="s">
        <v>33</v>
      </c>
      <c r="AF1609" s="2" t="s">
        <v>34</v>
      </c>
      <c r="AG1609" s="2" t="s">
        <v>59</v>
      </c>
      <c r="AH1609" s="2">
        <v>0.49271932939232799</v>
      </c>
      <c r="AI1609" s="2">
        <v>3.0458061565085601</v>
      </c>
      <c r="AJ1609" s="2">
        <v>1.88094119544386</v>
      </c>
      <c r="AK1609" s="2">
        <v>0.20291019389276899</v>
      </c>
      <c r="AL1609" s="2">
        <v>0.13278104955210901</v>
      </c>
      <c r="AM1609" s="2">
        <v>15.5</v>
      </c>
      <c r="AN1609" s="2">
        <v>2.4</v>
      </c>
      <c r="AO1609" s="2">
        <v>10.9</v>
      </c>
      <c r="AP1609" s="2">
        <v>564</v>
      </c>
      <c r="AQ1609" s="2">
        <v>68</v>
      </c>
      <c r="AR1609" s="2">
        <v>1.5</v>
      </c>
      <c r="AS1609" s="2">
        <v>135</v>
      </c>
      <c r="AT1609" s="2">
        <v>0</v>
      </c>
      <c r="AU1609" s="2">
        <v>162</v>
      </c>
      <c r="AV1609" s="2">
        <v>9.1</v>
      </c>
      <c r="AW1609" s="2">
        <v>9.1999999999999993</v>
      </c>
      <c r="AX1609" s="2">
        <v>18.3</v>
      </c>
      <c r="AY1609" s="2">
        <v>0.34</v>
      </c>
      <c r="AZ1609" s="2">
        <v>7.3</v>
      </c>
      <c r="BA1609" s="2">
        <v>0.9</v>
      </c>
      <c r="BB1609" s="2">
        <v>7.5</v>
      </c>
      <c r="BC1609" s="2">
        <v>2.9</v>
      </c>
      <c r="BD1609" s="2">
        <f>+AN1609*EXP(-0.0495*Y1609)</f>
        <v>2.1255296520048632</v>
      </c>
      <c r="BE1609" s="2">
        <f>+AO1609*EXP(-0.024*Y1609)</f>
        <v>10.276698461991394</v>
      </c>
    </row>
    <row r="1610" spans="1:57" x14ac:dyDescent="0.2">
      <c r="A1610" s="2" t="s">
        <v>1270</v>
      </c>
      <c r="B1610" s="2" t="s">
        <v>19</v>
      </c>
      <c r="C1610" s="2" t="s">
        <v>20</v>
      </c>
      <c r="D1610" s="2" t="s">
        <v>21</v>
      </c>
      <c r="E1610" s="2" t="s">
        <v>164</v>
      </c>
      <c r="F1610" s="2">
        <v>6</v>
      </c>
      <c r="G1610" s="2">
        <v>148</v>
      </c>
      <c r="H1610" s="2">
        <v>3</v>
      </c>
      <c r="I1610" s="2">
        <v>3</v>
      </c>
      <c r="J1610" s="2">
        <v>1</v>
      </c>
      <c r="K1610" s="2" t="s">
        <v>61</v>
      </c>
      <c r="L1610" s="6" t="s">
        <v>113</v>
      </c>
      <c r="M1610" s="5">
        <v>890000000</v>
      </c>
      <c r="N1610" s="2">
        <v>0</v>
      </c>
      <c r="O1610" s="2">
        <v>4.6957165730000003</v>
      </c>
      <c r="P1610" s="2">
        <v>-74.039141670000006</v>
      </c>
      <c r="Q1610" s="2" t="s">
        <v>1271</v>
      </c>
      <c r="R1610" s="2">
        <v>6013513.5140000004</v>
      </c>
      <c r="S1610" s="2">
        <v>0</v>
      </c>
      <c r="T1610" s="2" t="s">
        <v>55</v>
      </c>
      <c r="U1610" s="2" t="s">
        <v>56</v>
      </c>
      <c r="V1610" s="2" t="s">
        <v>28</v>
      </c>
      <c r="W1610" s="2" t="s">
        <v>55</v>
      </c>
      <c r="X1610" s="2" t="s">
        <v>57</v>
      </c>
      <c r="Y1610" s="2">
        <v>1.89488895366578</v>
      </c>
      <c r="Z1610" s="2">
        <v>4.71035</v>
      </c>
      <c r="AA1610" s="2">
        <v>-74.030416666666696</v>
      </c>
      <c r="AB1610" s="2">
        <v>2570</v>
      </c>
      <c r="AC1610" s="2" t="s">
        <v>31</v>
      </c>
      <c r="AD1610" s="2" t="s">
        <v>58</v>
      </c>
      <c r="AE1610" s="2" t="s">
        <v>33</v>
      </c>
      <c r="AF1610" s="2" t="s">
        <v>34</v>
      </c>
      <c r="AG1610" s="2" t="s">
        <v>59</v>
      </c>
      <c r="AH1610" s="2">
        <v>1.81225996657118</v>
      </c>
      <c r="AI1610" s="2">
        <v>1.45745251723044</v>
      </c>
      <c r="AJ1610" s="2">
        <v>0.96616709000748302</v>
      </c>
      <c r="AK1610" s="2">
        <v>0.142666274262298</v>
      </c>
      <c r="AL1610" s="2">
        <v>9.5406069375160704E-2</v>
      </c>
      <c r="AM1610" s="2">
        <v>15.5</v>
      </c>
      <c r="AN1610" s="2">
        <v>2.4</v>
      </c>
      <c r="AO1610" s="2">
        <v>10.9</v>
      </c>
      <c r="AP1610" s="2">
        <v>564</v>
      </c>
      <c r="AQ1610" s="2">
        <v>68</v>
      </c>
      <c r="AR1610" s="2">
        <v>1.5</v>
      </c>
      <c r="AS1610" s="2">
        <v>135</v>
      </c>
      <c r="AT1610" s="2">
        <v>0</v>
      </c>
      <c r="AU1610" s="2">
        <v>162</v>
      </c>
      <c r="AV1610" s="2">
        <v>9.1</v>
      </c>
      <c r="AW1610" s="2">
        <v>9.1999999999999993</v>
      </c>
      <c r="AX1610" s="2">
        <v>18.3</v>
      </c>
      <c r="AY1610" s="2">
        <v>0.34</v>
      </c>
      <c r="AZ1610" s="2">
        <v>7.3</v>
      </c>
      <c r="BA1610" s="2">
        <v>0.9</v>
      </c>
      <c r="BB1610" s="2">
        <v>7.5</v>
      </c>
      <c r="BC1610" s="2">
        <v>2.9</v>
      </c>
      <c r="BD1610" s="2">
        <f>+AN1610*EXP(-0.0495*Y1610)</f>
        <v>2.1851221571503632</v>
      </c>
      <c r="BE1610" s="2">
        <f>+AO1610*EXP(-0.024*Y1610)</f>
        <v>10.415399731560752</v>
      </c>
    </row>
    <row r="1611" spans="1:57" x14ac:dyDescent="0.2">
      <c r="A1611" s="2" t="s">
        <v>160</v>
      </c>
      <c r="B1611" s="2" t="s">
        <v>19</v>
      </c>
      <c r="C1611" s="2" t="s">
        <v>20</v>
      </c>
      <c r="D1611" s="2" t="s">
        <v>21</v>
      </c>
      <c r="E1611" s="2" t="s">
        <v>161</v>
      </c>
      <c r="F1611" s="2">
        <v>6</v>
      </c>
      <c r="G1611" s="2">
        <v>147</v>
      </c>
      <c r="H1611" s="2">
        <v>3</v>
      </c>
      <c r="I1611" s="2">
        <v>5</v>
      </c>
      <c r="J1611" s="2">
        <v>3</v>
      </c>
      <c r="K1611" s="2" t="s">
        <v>61</v>
      </c>
      <c r="L1611" s="6" t="s">
        <v>75</v>
      </c>
      <c r="M1611" s="5">
        <v>1360000000</v>
      </c>
      <c r="N1611" s="2">
        <v>0</v>
      </c>
      <c r="O1611" s="2">
        <v>4.6964073180000003</v>
      </c>
      <c r="P1611" s="2">
        <v>-74.053649899999996</v>
      </c>
      <c r="Q1611" s="2" t="s">
        <v>162</v>
      </c>
      <c r="R1611" s="2">
        <v>9251700.6799999997</v>
      </c>
      <c r="S1611" s="2">
        <v>0</v>
      </c>
      <c r="T1611" s="2" t="s">
        <v>55</v>
      </c>
      <c r="U1611" s="2" t="s">
        <v>56</v>
      </c>
      <c r="V1611" s="2" t="s">
        <v>28</v>
      </c>
      <c r="W1611" s="2" t="s">
        <v>55</v>
      </c>
      <c r="X1611" s="2" t="s">
        <v>57</v>
      </c>
      <c r="Y1611" s="2">
        <v>3.0088244674237998</v>
      </c>
      <c r="Z1611" s="2">
        <v>4.71035</v>
      </c>
      <c r="AA1611" s="2">
        <v>-74.030416666666696</v>
      </c>
      <c r="AB1611" s="2">
        <v>2570</v>
      </c>
      <c r="AC1611" s="2" t="s">
        <v>31</v>
      </c>
      <c r="AD1611" s="2" t="s">
        <v>58</v>
      </c>
      <c r="AE1611" s="2" t="s">
        <v>33</v>
      </c>
      <c r="AF1611" s="2" t="s">
        <v>34</v>
      </c>
      <c r="AG1611" s="2" t="s">
        <v>59</v>
      </c>
      <c r="AH1611" s="2">
        <v>0.26447112127469402</v>
      </c>
      <c r="AI1611" s="2">
        <v>2.75695324445666</v>
      </c>
      <c r="AJ1611" s="2">
        <v>0.54395175384252603</v>
      </c>
      <c r="AK1611" s="2">
        <v>0.162208344406054</v>
      </c>
      <c r="AL1611" s="2">
        <v>0.30386091331731802</v>
      </c>
      <c r="AM1611" s="2">
        <v>15.5</v>
      </c>
      <c r="AN1611" s="2">
        <v>2.4</v>
      </c>
      <c r="AO1611" s="2">
        <v>10.9</v>
      </c>
      <c r="AP1611" s="2">
        <v>564</v>
      </c>
      <c r="AQ1611" s="2">
        <v>68</v>
      </c>
      <c r="AR1611" s="2">
        <v>1.5</v>
      </c>
      <c r="AS1611" s="2">
        <v>135</v>
      </c>
      <c r="AT1611" s="2">
        <v>0</v>
      </c>
      <c r="AU1611" s="2">
        <v>162</v>
      </c>
      <c r="AV1611" s="2">
        <v>9.1</v>
      </c>
      <c r="AW1611" s="2">
        <v>9.1999999999999993</v>
      </c>
      <c r="AX1611" s="2">
        <v>18.3</v>
      </c>
      <c r="AY1611" s="2">
        <v>0.34</v>
      </c>
      <c r="AZ1611" s="2">
        <v>7.3</v>
      </c>
      <c r="BA1611" s="2">
        <v>0.9</v>
      </c>
      <c r="BB1611" s="2">
        <v>7.5</v>
      </c>
      <c r="BC1611" s="2">
        <v>2.9</v>
      </c>
      <c r="BD1611" s="2">
        <f>+AN1611*EXP(-0.0495*Y1611)</f>
        <v>2.0678965396593587</v>
      </c>
      <c r="BE1611" s="2">
        <f>+AO1611*EXP(-0.024*Y1611)</f>
        <v>10.140638879204156</v>
      </c>
    </row>
    <row r="1612" spans="1:57" x14ac:dyDescent="0.2">
      <c r="A1612" s="2" t="s">
        <v>2815</v>
      </c>
      <c r="B1612" s="2" t="s">
        <v>19</v>
      </c>
      <c r="C1612" s="2" t="s">
        <v>1907</v>
      </c>
      <c r="D1612" s="2" t="s">
        <v>21</v>
      </c>
      <c r="E1612" s="2" t="s">
        <v>345</v>
      </c>
      <c r="F1612" s="2">
        <v>4</v>
      </c>
      <c r="G1612" s="2">
        <v>147</v>
      </c>
      <c r="H1612" s="2">
        <v>3</v>
      </c>
      <c r="I1612" s="2">
        <v>2</v>
      </c>
      <c r="J1612" s="2">
        <v>2</v>
      </c>
      <c r="K1612" s="2" t="s">
        <v>61</v>
      </c>
      <c r="L1612" s="6" t="s">
        <v>113</v>
      </c>
      <c r="M1612" s="5">
        <v>780000000</v>
      </c>
      <c r="N1612" s="2">
        <v>0</v>
      </c>
      <c r="O1612" s="2">
        <v>4.7248083540000003</v>
      </c>
      <c r="P1612" s="2">
        <v>-74.034437850000003</v>
      </c>
      <c r="Q1612" s="2" t="s">
        <v>2816</v>
      </c>
      <c r="R1612" s="2">
        <v>5306122.449</v>
      </c>
      <c r="S1612" s="2">
        <v>0</v>
      </c>
      <c r="T1612" s="2" t="s">
        <v>55</v>
      </c>
      <c r="U1612" s="2" t="s">
        <v>56</v>
      </c>
      <c r="V1612" s="2" t="s">
        <v>28</v>
      </c>
      <c r="W1612" s="2" t="s">
        <v>55</v>
      </c>
      <c r="X1612" s="2" t="s">
        <v>57</v>
      </c>
      <c r="Y1612" s="2">
        <v>1.67018022968599</v>
      </c>
      <c r="Z1612" s="2">
        <v>4.71035</v>
      </c>
      <c r="AA1612" s="2">
        <v>-74.030416666666696</v>
      </c>
      <c r="AB1612" s="2">
        <v>2570</v>
      </c>
      <c r="AC1612" s="2" t="s">
        <v>31</v>
      </c>
      <c r="AD1612" s="2" t="s">
        <v>58</v>
      </c>
      <c r="AE1612" s="2" t="s">
        <v>33</v>
      </c>
      <c r="AF1612" s="2" t="s">
        <v>34</v>
      </c>
      <c r="AG1612" s="2" t="s">
        <v>59</v>
      </c>
      <c r="AH1612" s="2">
        <v>1.79546491404762</v>
      </c>
      <c r="AI1612" s="2">
        <v>1.3294446099058399</v>
      </c>
      <c r="AJ1612" s="2">
        <v>1.08306120948206</v>
      </c>
      <c r="AK1612" s="2">
        <v>0.292802654705967</v>
      </c>
      <c r="AL1612" s="2">
        <v>0.11002026272146601</v>
      </c>
      <c r="AM1612" s="2">
        <v>15.5</v>
      </c>
      <c r="AN1612" s="2">
        <v>2.4</v>
      </c>
      <c r="AO1612" s="2">
        <v>10.9</v>
      </c>
      <c r="AP1612" s="2">
        <v>564</v>
      </c>
      <c r="AQ1612" s="2">
        <v>68</v>
      </c>
      <c r="AR1612" s="2">
        <v>1.5</v>
      </c>
      <c r="AS1612" s="2">
        <v>135</v>
      </c>
      <c r="AT1612" s="2">
        <v>0</v>
      </c>
      <c r="AU1612" s="2">
        <v>162</v>
      </c>
      <c r="AV1612" s="2">
        <v>9.1</v>
      </c>
      <c r="AW1612" s="2">
        <v>9.1999999999999993</v>
      </c>
      <c r="AX1612" s="2">
        <v>18.3</v>
      </c>
      <c r="AY1612" s="2">
        <v>0.34</v>
      </c>
      <c r="AZ1612" s="2">
        <v>7.3</v>
      </c>
      <c r="BA1612" s="2">
        <v>0.9</v>
      </c>
      <c r="BB1612" s="2">
        <v>7.5</v>
      </c>
      <c r="BC1612" s="2">
        <v>2.9</v>
      </c>
      <c r="BD1612" s="2">
        <f>+AN1612*EXP(-0.0495*Y1612)</f>
        <v>2.2095631271912688</v>
      </c>
      <c r="BE1612" s="2">
        <f>+AO1612*EXP(-0.024*Y1612)</f>
        <v>10.471721816219627</v>
      </c>
    </row>
    <row r="1613" spans="1:57" x14ac:dyDescent="0.2">
      <c r="A1613" s="2" t="s">
        <v>1319</v>
      </c>
      <c r="B1613" s="2" t="s">
        <v>19</v>
      </c>
      <c r="C1613" s="2" t="s">
        <v>20</v>
      </c>
      <c r="D1613" s="2" t="s">
        <v>21</v>
      </c>
      <c r="E1613" s="2" t="s">
        <v>419</v>
      </c>
      <c r="F1613" s="2">
        <v>6</v>
      </c>
      <c r="G1613" s="2">
        <v>146</v>
      </c>
      <c r="H1613" s="2">
        <v>3</v>
      </c>
      <c r="I1613" s="2">
        <v>3</v>
      </c>
      <c r="J1613" s="2">
        <v>4</v>
      </c>
      <c r="K1613" s="2" t="s">
        <v>61</v>
      </c>
      <c r="L1613" s="6" t="s">
        <v>113</v>
      </c>
      <c r="M1613" s="5">
        <v>1250000000</v>
      </c>
      <c r="N1613" s="2">
        <v>0</v>
      </c>
      <c r="O1613" s="2">
        <v>4.690810827</v>
      </c>
      <c r="P1613" s="2">
        <v>-74.054312530000004</v>
      </c>
      <c r="Q1613" s="2" t="s">
        <v>1320</v>
      </c>
      <c r="R1613" s="2">
        <v>8561643.8359999992</v>
      </c>
      <c r="S1613" s="2">
        <v>0</v>
      </c>
      <c r="T1613" s="2" t="s">
        <v>55</v>
      </c>
      <c r="U1613" s="2" t="s">
        <v>56</v>
      </c>
      <c r="V1613" s="2" t="s">
        <v>28</v>
      </c>
      <c r="W1613" s="2" t="s">
        <v>55</v>
      </c>
      <c r="X1613" s="2" t="s">
        <v>57</v>
      </c>
      <c r="Y1613" s="2">
        <v>3.42921292275734</v>
      </c>
      <c r="Z1613" s="2">
        <v>4.71035</v>
      </c>
      <c r="AA1613" s="2">
        <v>-74.030416666666696</v>
      </c>
      <c r="AB1613" s="2">
        <v>2570</v>
      </c>
      <c r="AC1613" s="2" t="s">
        <v>31</v>
      </c>
      <c r="AD1613" s="2" t="s">
        <v>58</v>
      </c>
      <c r="AE1613" s="2" t="s">
        <v>33</v>
      </c>
      <c r="AF1613" s="2" t="s">
        <v>34</v>
      </c>
      <c r="AG1613" s="2" t="s">
        <v>59</v>
      </c>
      <c r="AH1613" s="2">
        <v>0.31715975139848701</v>
      </c>
      <c r="AI1613" s="2">
        <v>2.4100533058167102</v>
      </c>
      <c r="AJ1613" s="2">
        <v>0.49210859530388001</v>
      </c>
      <c r="AK1613" s="2">
        <v>9.0771814761444899E-2</v>
      </c>
      <c r="AL1613" s="2">
        <v>0.279799838335204</v>
      </c>
      <c r="AM1613" s="2">
        <v>15.5</v>
      </c>
      <c r="AN1613" s="2">
        <v>2.4</v>
      </c>
      <c r="AO1613" s="2">
        <v>10.9</v>
      </c>
      <c r="AP1613" s="2">
        <v>564</v>
      </c>
      <c r="AQ1613" s="2">
        <v>68</v>
      </c>
      <c r="AR1613" s="2">
        <v>1.5</v>
      </c>
      <c r="AS1613" s="2">
        <v>135</v>
      </c>
      <c r="AT1613" s="2">
        <v>0</v>
      </c>
      <c r="AU1613" s="2">
        <v>162</v>
      </c>
      <c r="AV1613" s="2">
        <v>9.1</v>
      </c>
      <c r="AW1613" s="2">
        <v>9.1999999999999993</v>
      </c>
      <c r="AX1613" s="2">
        <v>18.3</v>
      </c>
      <c r="AY1613" s="2">
        <v>0.34</v>
      </c>
      <c r="AZ1613" s="2">
        <v>7.3</v>
      </c>
      <c r="BA1613" s="2">
        <v>0.9</v>
      </c>
      <c r="BB1613" s="2">
        <v>7.5</v>
      </c>
      <c r="BC1613" s="2">
        <v>2.9</v>
      </c>
      <c r="BD1613" s="2">
        <f>+AN1613*EXP(-0.0495*Y1613)</f>
        <v>2.0253098428677196</v>
      </c>
      <c r="BE1613" s="2">
        <f>+AO1613*EXP(-0.024*Y1613)</f>
        <v>10.03884109773673</v>
      </c>
    </row>
    <row r="1614" spans="1:57" x14ac:dyDescent="0.2">
      <c r="A1614" s="2" t="s">
        <v>1645</v>
      </c>
      <c r="B1614" s="2" t="s">
        <v>19</v>
      </c>
      <c r="C1614" s="2" t="s">
        <v>20</v>
      </c>
      <c r="D1614" s="2" t="s">
        <v>21</v>
      </c>
      <c r="E1614" s="2" t="s">
        <v>1646</v>
      </c>
      <c r="F1614" s="2">
        <v>5</v>
      </c>
      <c r="G1614" s="2">
        <v>146</v>
      </c>
      <c r="H1614" s="2">
        <v>3</v>
      </c>
      <c r="I1614" s="2">
        <v>5</v>
      </c>
      <c r="J1614" s="2">
        <v>3</v>
      </c>
      <c r="K1614" s="2" t="s">
        <v>61</v>
      </c>
      <c r="L1614" s="6" t="s">
        <v>75</v>
      </c>
      <c r="M1614" s="5">
        <v>1000000000</v>
      </c>
      <c r="N1614" s="2">
        <v>0</v>
      </c>
      <c r="O1614" s="2">
        <v>4.7157158849999998</v>
      </c>
      <c r="P1614" s="2">
        <v>-74.049995420000002</v>
      </c>
      <c r="Q1614" s="2" t="s">
        <v>1647</v>
      </c>
      <c r="R1614" s="2">
        <v>6849315.068</v>
      </c>
      <c r="S1614" s="2">
        <v>0</v>
      </c>
      <c r="T1614" s="2" t="s">
        <v>55</v>
      </c>
      <c r="U1614" s="2" t="s">
        <v>56</v>
      </c>
      <c r="V1614" s="2" t="s">
        <v>28</v>
      </c>
      <c r="W1614" s="2" t="s">
        <v>55</v>
      </c>
      <c r="X1614" s="2" t="s">
        <v>57</v>
      </c>
      <c r="Y1614" s="2">
        <v>2.2527622032452399</v>
      </c>
      <c r="Z1614" s="2">
        <v>4.71035</v>
      </c>
      <c r="AA1614" s="2">
        <v>-74.030416666666696</v>
      </c>
      <c r="AB1614" s="2">
        <v>2570</v>
      </c>
      <c r="AC1614" s="2" t="s">
        <v>31</v>
      </c>
      <c r="AD1614" s="2" t="s">
        <v>58</v>
      </c>
      <c r="AE1614" s="2" t="s">
        <v>33</v>
      </c>
      <c r="AF1614" s="2" t="s">
        <v>34</v>
      </c>
      <c r="AG1614" s="2" t="s">
        <v>59</v>
      </c>
      <c r="AH1614" s="2">
        <v>0.31162158306340498</v>
      </c>
      <c r="AI1614" s="2">
        <v>2.8273626660745399</v>
      </c>
      <c r="AJ1614" s="2">
        <v>1.98650593162055</v>
      </c>
      <c r="AK1614" s="2">
        <v>0.431826178094187</v>
      </c>
      <c r="AL1614" s="2">
        <v>0.31584046051578202</v>
      </c>
      <c r="AM1614" s="2">
        <v>15.5</v>
      </c>
      <c r="AN1614" s="2">
        <v>2.4</v>
      </c>
      <c r="AO1614" s="2">
        <v>10.9</v>
      </c>
      <c r="AP1614" s="2">
        <v>564</v>
      </c>
      <c r="AQ1614" s="2">
        <v>68</v>
      </c>
      <c r="AR1614" s="2">
        <v>1.5</v>
      </c>
      <c r="AS1614" s="2">
        <v>135</v>
      </c>
      <c r="AT1614" s="2">
        <v>0</v>
      </c>
      <c r="AU1614" s="2">
        <v>162</v>
      </c>
      <c r="AV1614" s="2">
        <v>9.1</v>
      </c>
      <c r="AW1614" s="2">
        <v>9.1999999999999993</v>
      </c>
      <c r="AX1614" s="2">
        <v>18.3</v>
      </c>
      <c r="AY1614" s="2">
        <v>0.34</v>
      </c>
      <c r="AZ1614" s="2">
        <v>7.3</v>
      </c>
      <c r="BA1614" s="2">
        <v>0.9</v>
      </c>
      <c r="BB1614" s="2">
        <v>7.5</v>
      </c>
      <c r="BC1614" s="2">
        <v>2.9</v>
      </c>
      <c r="BD1614" s="2">
        <f>+AN1614*EXP(-0.0495*Y1614)</f>
        <v>2.1467541598104587</v>
      </c>
      <c r="BE1614" s="2">
        <f>+AO1614*EXP(-0.024*Y1614)</f>
        <v>10.32632537635113</v>
      </c>
    </row>
    <row r="1615" spans="1:57" x14ac:dyDescent="0.2">
      <c r="A1615" s="2" t="s">
        <v>2876</v>
      </c>
      <c r="B1615" s="2" t="s">
        <v>19</v>
      </c>
      <c r="C1615" s="2" t="s">
        <v>1907</v>
      </c>
      <c r="D1615" s="2" t="s">
        <v>21</v>
      </c>
      <c r="E1615" s="2" t="s">
        <v>156</v>
      </c>
      <c r="F1615" s="2">
        <v>4</v>
      </c>
      <c r="G1615" s="2">
        <v>146</v>
      </c>
      <c r="H1615" s="2">
        <v>5</v>
      </c>
      <c r="I1615" s="2">
        <v>4</v>
      </c>
      <c r="J1615" s="2">
        <v>2</v>
      </c>
      <c r="K1615" s="2" t="s">
        <v>61</v>
      </c>
      <c r="L1615" s="6" t="s">
        <v>113</v>
      </c>
      <c r="M1615" s="5">
        <v>640000000</v>
      </c>
      <c r="N1615" s="2">
        <v>0</v>
      </c>
      <c r="O1615" s="2">
        <v>4.7207211999999998</v>
      </c>
      <c r="P1615" s="2">
        <v>-74.037086900000006</v>
      </c>
      <c r="Q1615" s="2" t="s">
        <v>2877</v>
      </c>
      <c r="R1615" s="2">
        <v>4383561.6440000003</v>
      </c>
      <c r="S1615" s="2">
        <v>0</v>
      </c>
      <c r="T1615" s="2" t="s">
        <v>55</v>
      </c>
      <c r="U1615" s="2" t="s">
        <v>56</v>
      </c>
      <c r="V1615" s="2" t="s">
        <v>28</v>
      </c>
      <c r="W1615" s="2" t="s">
        <v>55</v>
      </c>
      <c r="X1615" s="2" t="s">
        <v>57</v>
      </c>
      <c r="Y1615" s="2">
        <v>1.37132380489226</v>
      </c>
      <c r="Z1615" s="2">
        <v>4.71035</v>
      </c>
      <c r="AA1615" s="2">
        <v>-74.030416666666696</v>
      </c>
      <c r="AB1615" s="2">
        <v>2570</v>
      </c>
      <c r="AC1615" s="2" t="s">
        <v>31</v>
      </c>
      <c r="AD1615" s="2" t="s">
        <v>58</v>
      </c>
      <c r="AE1615" s="2" t="s">
        <v>33</v>
      </c>
      <c r="AF1615" s="2" t="s">
        <v>34</v>
      </c>
      <c r="AG1615" s="2" t="s">
        <v>59</v>
      </c>
      <c r="AH1615" s="2">
        <v>1.59424189441172</v>
      </c>
      <c r="AI1615" s="2">
        <v>1.5045061379451701</v>
      </c>
      <c r="AJ1615" s="2">
        <v>1.2018637919072599</v>
      </c>
      <c r="AK1615" s="2">
        <v>0.15251134001340499</v>
      </c>
      <c r="AL1615" s="2">
        <v>1.2105326406484899E-2</v>
      </c>
      <c r="AM1615" s="2">
        <v>15.5</v>
      </c>
      <c r="AN1615" s="2">
        <v>2.4</v>
      </c>
      <c r="AO1615" s="2">
        <v>10.9</v>
      </c>
      <c r="AP1615" s="2">
        <v>564</v>
      </c>
      <c r="AQ1615" s="2">
        <v>68</v>
      </c>
      <c r="AR1615" s="2">
        <v>1.5</v>
      </c>
      <c r="AS1615" s="2">
        <v>135</v>
      </c>
      <c r="AT1615" s="2">
        <v>0</v>
      </c>
      <c r="AU1615" s="2">
        <v>162</v>
      </c>
      <c r="AV1615" s="2">
        <v>9.1</v>
      </c>
      <c r="AW1615" s="2">
        <v>9.1999999999999993</v>
      </c>
      <c r="AX1615" s="2">
        <v>18.3</v>
      </c>
      <c r="AY1615" s="2">
        <v>0.34</v>
      </c>
      <c r="AZ1615" s="2">
        <v>7.3</v>
      </c>
      <c r="BA1615" s="2">
        <v>0.9</v>
      </c>
      <c r="BB1615" s="2">
        <v>7.5</v>
      </c>
      <c r="BC1615" s="2">
        <v>2.9</v>
      </c>
      <c r="BD1615" s="2">
        <f>+AN1615*EXP(-0.0495*Y1615)</f>
        <v>2.2424930349424272</v>
      </c>
      <c r="BE1615" s="2">
        <f>+AO1615*EXP(-0.024*Y1615)</f>
        <v>10.547100815280787</v>
      </c>
    </row>
    <row r="1616" spans="1:57" x14ac:dyDescent="0.2">
      <c r="A1616" s="2" t="s">
        <v>1732</v>
      </c>
      <c r="B1616" s="2" t="s">
        <v>19</v>
      </c>
      <c r="C1616" s="2" t="s">
        <v>20</v>
      </c>
      <c r="D1616" s="2" t="s">
        <v>21</v>
      </c>
      <c r="E1616" s="2" t="s">
        <v>1025</v>
      </c>
      <c r="F1616" s="2">
        <v>6</v>
      </c>
      <c r="G1616" s="2">
        <v>145</v>
      </c>
      <c r="H1616" s="2">
        <v>3</v>
      </c>
      <c r="I1616" s="2">
        <v>3</v>
      </c>
      <c r="J1616" s="2">
        <v>2</v>
      </c>
      <c r="K1616" s="2" t="s">
        <v>61</v>
      </c>
      <c r="L1616" s="6" t="s">
        <v>113</v>
      </c>
      <c r="M1616" s="5">
        <v>780000000</v>
      </c>
      <c r="N1616" s="2">
        <v>0</v>
      </c>
      <c r="O1616" s="2">
        <v>4.6851882930000004</v>
      </c>
      <c r="P1616" s="2">
        <v>-74.052490230000004</v>
      </c>
      <c r="Q1616" s="2" t="s">
        <v>1733</v>
      </c>
      <c r="R1616" s="2">
        <v>5379310.3449999997</v>
      </c>
      <c r="S1616" s="2">
        <v>0</v>
      </c>
      <c r="T1616" s="2" t="s">
        <v>55</v>
      </c>
      <c r="U1616" s="2" t="s">
        <v>56</v>
      </c>
      <c r="V1616" s="2" t="s">
        <v>28</v>
      </c>
      <c r="W1616" s="2" t="s">
        <v>55</v>
      </c>
      <c r="X1616" s="2" t="s">
        <v>57</v>
      </c>
      <c r="Y1616" s="2">
        <v>3.7206122785846301</v>
      </c>
      <c r="Z1616" s="2">
        <v>4.71035</v>
      </c>
      <c r="AA1616" s="2">
        <v>-74.030416666666696</v>
      </c>
      <c r="AB1616" s="2">
        <v>2570</v>
      </c>
      <c r="AC1616" s="2" t="s">
        <v>31</v>
      </c>
      <c r="AD1616" s="2" t="s">
        <v>58</v>
      </c>
      <c r="AE1616" s="2" t="s">
        <v>33</v>
      </c>
      <c r="AF1616" s="2" t="s">
        <v>34</v>
      </c>
      <c r="AG1616" s="2" t="s">
        <v>81</v>
      </c>
      <c r="AH1616" s="2">
        <v>0.59498923833050599</v>
      </c>
      <c r="AI1616" s="2">
        <v>1.8951852702930301</v>
      </c>
      <c r="AJ1616" s="2">
        <v>7.2277808935243895E-2</v>
      </c>
      <c r="AK1616" s="2">
        <v>3.6276334469928499E-2</v>
      </c>
      <c r="AL1616" s="2">
        <v>0.65727092623807104</v>
      </c>
      <c r="AM1616" s="2">
        <v>15.5</v>
      </c>
      <c r="AN1616" s="2">
        <v>2.4</v>
      </c>
      <c r="AO1616" s="2">
        <v>10.9</v>
      </c>
      <c r="AP1616" s="2">
        <v>564</v>
      </c>
      <c r="AQ1616" s="2">
        <v>68</v>
      </c>
      <c r="AR1616" s="2">
        <v>1.5</v>
      </c>
      <c r="AS1616" s="2">
        <v>135</v>
      </c>
      <c r="AT1616" s="2">
        <v>0</v>
      </c>
      <c r="AU1616" s="2">
        <v>162</v>
      </c>
      <c r="AV1616" s="2">
        <v>9.1</v>
      </c>
      <c r="AW1616" s="2">
        <v>9.1999999999999993</v>
      </c>
      <c r="AX1616" s="2">
        <v>18.3</v>
      </c>
      <c r="AY1616" s="2">
        <v>0.34</v>
      </c>
      <c r="AZ1616" s="2">
        <v>7.3</v>
      </c>
      <c r="BA1616" s="2">
        <v>0.9</v>
      </c>
      <c r="BB1616" s="2">
        <v>7.5</v>
      </c>
      <c r="BC1616" s="2">
        <v>2.9</v>
      </c>
      <c r="BD1616" s="2">
        <f>+AN1616*EXP(-0.0495*Y1616)</f>
        <v>1.9963059137829793</v>
      </c>
      <c r="BE1616" s="2">
        <f>+AO1616*EXP(-0.024*Y1616)</f>
        <v>9.9688785435131209</v>
      </c>
    </row>
    <row r="1617" spans="1:57" x14ac:dyDescent="0.2">
      <c r="A1617" s="2" t="s">
        <v>1682</v>
      </c>
      <c r="B1617" s="2" t="s">
        <v>19</v>
      </c>
      <c r="C1617" s="2" t="s">
        <v>20</v>
      </c>
      <c r="D1617" s="2" t="s">
        <v>21</v>
      </c>
      <c r="E1617" s="2" t="s">
        <v>161</v>
      </c>
      <c r="F1617" s="2">
        <v>6</v>
      </c>
      <c r="G1617" s="2">
        <v>145</v>
      </c>
      <c r="H1617" s="2">
        <v>2</v>
      </c>
      <c r="I1617" s="2">
        <v>3</v>
      </c>
      <c r="J1617" s="2">
        <v>2</v>
      </c>
      <c r="K1617" s="2" t="s">
        <v>61</v>
      </c>
      <c r="L1617" s="6" t="s">
        <v>113</v>
      </c>
      <c r="M1617" s="5">
        <v>780000000</v>
      </c>
      <c r="N1617" s="2">
        <v>0</v>
      </c>
      <c r="O1617" s="2">
        <v>4.6928086279999999</v>
      </c>
      <c r="P1617" s="2">
        <v>-74.046524050000002</v>
      </c>
      <c r="Q1617" s="2" t="s">
        <v>1683</v>
      </c>
      <c r="R1617" s="2">
        <v>5379310.3449999997</v>
      </c>
      <c r="S1617" s="2">
        <v>0</v>
      </c>
      <c r="T1617" s="2" t="s">
        <v>55</v>
      </c>
      <c r="U1617" s="2" t="s">
        <v>56</v>
      </c>
      <c r="V1617" s="2" t="s">
        <v>28</v>
      </c>
      <c r="W1617" s="2" t="s">
        <v>55</v>
      </c>
      <c r="X1617" s="2" t="s">
        <v>57</v>
      </c>
      <c r="Y1617" s="2">
        <v>2.6469809839376901</v>
      </c>
      <c r="Z1617" s="2">
        <v>4.71035</v>
      </c>
      <c r="AA1617" s="2">
        <v>-74.030416666666696</v>
      </c>
      <c r="AB1617" s="2">
        <v>2570</v>
      </c>
      <c r="AC1617" s="2" t="s">
        <v>31</v>
      </c>
      <c r="AD1617" s="2" t="s">
        <v>58</v>
      </c>
      <c r="AE1617" s="2" t="s">
        <v>33</v>
      </c>
      <c r="AF1617" s="2" t="s">
        <v>34</v>
      </c>
      <c r="AG1617" s="2" t="s">
        <v>59</v>
      </c>
      <c r="AH1617" s="2">
        <v>1.0710814209477799</v>
      </c>
      <c r="AI1617" s="2">
        <v>1.9368117598924499</v>
      </c>
      <c r="AJ1617" s="2">
        <v>0.37271373409379199</v>
      </c>
      <c r="AK1617" s="2">
        <v>4.01056489946299E-2</v>
      </c>
      <c r="AL1617" s="2">
        <v>5.6188932044123598E-2</v>
      </c>
      <c r="AM1617" s="2">
        <v>15.5</v>
      </c>
      <c r="AN1617" s="2">
        <v>2.4</v>
      </c>
      <c r="AO1617" s="2">
        <v>10.9</v>
      </c>
      <c r="AP1617" s="2">
        <v>564</v>
      </c>
      <c r="AQ1617" s="2">
        <v>68</v>
      </c>
      <c r="AR1617" s="2">
        <v>1.5</v>
      </c>
      <c r="AS1617" s="2">
        <v>135</v>
      </c>
      <c r="AT1617" s="2">
        <v>0</v>
      </c>
      <c r="AU1617" s="2">
        <v>162</v>
      </c>
      <c r="AV1617" s="2">
        <v>9.1</v>
      </c>
      <c r="AW1617" s="2">
        <v>9.1999999999999993</v>
      </c>
      <c r="AX1617" s="2">
        <v>18.3</v>
      </c>
      <c r="AY1617" s="2">
        <v>0.34</v>
      </c>
      <c r="AZ1617" s="2">
        <v>7.3</v>
      </c>
      <c r="BA1617" s="2">
        <v>0.9</v>
      </c>
      <c r="BB1617" s="2">
        <v>7.5</v>
      </c>
      <c r="BC1617" s="2">
        <v>2.9</v>
      </c>
      <c r="BD1617" s="2">
        <f>+AN1617*EXP(-0.0495*Y1617)</f>
        <v>2.1052688499055647</v>
      </c>
      <c r="BE1617" s="2">
        <f>+AO1617*EXP(-0.024*Y1617)</f>
        <v>10.229086150491387</v>
      </c>
    </row>
    <row r="1618" spans="1:57" x14ac:dyDescent="0.2">
      <c r="A1618" s="2" t="s">
        <v>1151</v>
      </c>
      <c r="B1618" s="2" t="s">
        <v>19</v>
      </c>
      <c r="C1618" s="2" t="s">
        <v>20</v>
      </c>
      <c r="D1618" s="2" t="s">
        <v>21</v>
      </c>
      <c r="E1618" s="2" t="s">
        <v>161</v>
      </c>
      <c r="F1618" s="2">
        <v>6</v>
      </c>
      <c r="G1618" s="2">
        <v>144</v>
      </c>
      <c r="H1618" s="2">
        <v>3</v>
      </c>
      <c r="I1618" s="2">
        <v>4</v>
      </c>
      <c r="J1618" s="2">
        <v>2</v>
      </c>
      <c r="K1618" s="2" t="s">
        <v>61</v>
      </c>
      <c r="L1618" s="6" t="s">
        <v>113</v>
      </c>
      <c r="M1618" s="5">
        <v>780000000</v>
      </c>
      <c r="N1618" s="2">
        <v>0</v>
      </c>
      <c r="O1618" s="2">
        <v>4.6941590309999999</v>
      </c>
      <c r="P1618" s="2">
        <v>-74.050178529999997</v>
      </c>
      <c r="Q1618" s="2" t="s">
        <v>1152</v>
      </c>
      <c r="R1618" s="2">
        <v>5416666.6670000004</v>
      </c>
      <c r="S1618" s="2">
        <v>0</v>
      </c>
      <c r="T1618" s="2" t="s">
        <v>55</v>
      </c>
      <c r="U1618" s="2" t="s">
        <v>56</v>
      </c>
      <c r="V1618" s="2" t="s">
        <v>28</v>
      </c>
      <c r="W1618" s="2" t="s">
        <v>55</v>
      </c>
      <c r="X1618" s="2" t="s">
        <v>57</v>
      </c>
      <c r="Y1618" s="2">
        <v>2.8382196281594201</v>
      </c>
      <c r="Z1618" s="2">
        <v>4.71035</v>
      </c>
      <c r="AA1618" s="2">
        <v>-74.030416666666696</v>
      </c>
      <c r="AB1618" s="2">
        <v>2570</v>
      </c>
      <c r="AC1618" s="2" t="s">
        <v>31</v>
      </c>
      <c r="AD1618" s="2" t="s">
        <v>58</v>
      </c>
      <c r="AE1618" s="2" t="s">
        <v>33</v>
      </c>
      <c r="AF1618" s="2" t="s">
        <v>34</v>
      </c>
      <c r="AG1618" s="2" t="s">
        <v>59</v>
      </c>
      <c r="AH1618" s="2">
        <v>0.67828104524654698</v>
      </c>
      <c r="AI1618" s="2">
        <v>2.31104982134431</v>
      </c>
      <c r="AJ1618" s="2">
        <v>0.102341981122957</v>
      </c>
      <c r="AK1618" s="2">
        <v>0.12302208049338501</v>
      </c>
      <c r="AL1618" s="2">
        <v>8.4862911882784997E-2</v>
      </c>
      <c r="AM1618" s="2">
        <v>15.5</v>
      </c>
      <c r="AN1618" s="2">
        <v>2.4</v>
      </c>
      <c r="AO1618" s="2">
        <v>10.9</v>
      </c>
      <c r="AP1618" s="2">
        <v>564</v>
      </c>
      <c r="AQ1618" s="2">
        <v>68</v>
      </c>
      <c r="AR1618" s="2">
        <v>1.5</v>
      </c>
      <c r="AS1618" s="2">
        <v>135</v>
      </c>
      <c r="AT1618" s="2">
        <v>0</v>
      </c>
      <c r="AU1618" s="2">
        <v>162</v>
      </c>
      <c r="AV1618" s="2">
        <v>9.1</v>
      </c>
      <c r="AW1618" s="2">
        <v>9.1999999999999993</v>
      </c>
      <c r="AX1618" s="2">
        <v>18.3</v>
      </c>
      <c r="AY1618" s="2">
        <v>0.34</v>
      </c>
      <c r="AZ1618" s="2">
        <v>7.3</v>
      </c>
      <c r="BA1618" s="2">
        <v>0.9</v>
      </c>
      <c r="BB1618" s="2">
        <v>7.5</v>
      </c>
      <c r="BC1618" s="2">
        <v>2.9</v>
      </c>
      <c r="BD1618" s="2">
        <f>+AN1618*EXP(-0.0495*Y1618)</f>
        <v>2.0854337470221789</v>
      </c>
      <c r="BE1618" s="2">
        <f>+AO1618*EXP(-0.024*Y1618)</f>
        <v>10.182245009146655</v>
      </c>
    </row>
    <row r="1619" spans="1:57" x14ac:dyDescent="0.2">
      <c r="A1619" s="2" t="s">
        <v>1003</v>
      </c>
      <c r="B1619" s="2" t="s">
        <v>19</v>
      </c>
      <c r="C1619" s="2" t="s">
        <v>20</v>
      </c>
      <c r="D1619" s="2" t="s">
        <v>21</v>
      </c>
      <c r="E1619" s="2" t="s">
        <v>161</v>
      </c>
      <c r="F1619" s="2">
        <v>6</v>
      </c>
      <c r="G1619" s="2">
        <v>144</v>
      </c>
      <c r="H1619" s="2">
        <v>3</v>
      </c>
      <c r="I1619" s="2">
        <v>3</v>
      </c>
      <c r="J1619" s="2">
        <v>2</v>
      </c>
      <c r="K1619" s="2" t="s">
        <v>61</v>
      </c>
      <c r="L1619" s="6" t="s">
        <v>113</v>
      </c>
      <c r="M1619" s="5">
        <v>780000000</v>
      </c>
      <c r="N1619" s="2">
        <v>0</v>
      </c>
      <c r="O1619" s="2">
        <v>4.694159</v>
      </c>
      <c r="P1619" s="2">
        <v>-74.050174999999996</v>
      </c>
      <c r="Q1619" s="2" t="s">
        <v>1004</v>
      </c>
      <c r="R1619" s="2">
        <v>5416666.6670000004</v>
      </c>
      <c r="S1619" s="2">
        <v>0</v>
      </c>
      <c r="T1619" s="2" t="s">
        <v>55</v>
      </c>
      <c r="U1619" s="2" t="s">
        <v>56</v>
      </c>
      <c r="V1619" s="2" t="s">
        <v>28</v>
      </c>
      <c r="W1619" s="2" t="s">
        <v>55</v>
      </c>
      <c r="X1619" s="2" t="s">
        <v>57</v>
      </c>
      <c r="Y1619" s="2">
        <v>2.8379192993067499</v>
      </c>
      <c r="Z1619" s="2">
        <v>4.71035</v>
      </c>
      <c r="AA1619" s="2">
        <v>-74.030416666666696</v>
      </c>
      <c r="AB1619" s="2">
        <v>2570</v>
      </c>
      <c r="AC1619" s="2" t="s">
        <v>31</v>
      </c>
      <c r="AD1619" s="2" t="s">
        <v>58</v>
      </c>
      <c r="AE1619" s="2" t="s">
        <v>33</v>
      </c>
      <c r="AF1619" s="2" t="s">
        <v>34</v>
      </c>
      <c r="AG1619" s="2" t="s">
        <v>59</v>
      </c>
      <c r="AH1619" s="2">
        <v>0.678664537175793</v>
      </c>
      <c r="AI1619" s="2">
        <v>2.3107821630590402</v>
      </c>
      <c r="AJ1619" s="2">
        <v>0.102200373978847</v>
      </c>
      <c r="AK1619" s="2">
        <v>0.12315641655453</v>
      </c>
      <c r="AL1619" s="2">
        <v>8.4706212959803406E-2</v>
      </c>
      <c r="AM1619" s="2">
        <v>15.5</v>
      </c>
      <c r="AN1619" s="2">
        <v>2.4</v>
      </c>
      <c r="AO1619" s="2">
        <v>10.9</v>
      </c>
      <c r="AP1619" s="2">
        <v>564</v>
      </c>
      <c r="AQ1619" s="2">
        <v>68</v>
      </c>
      <c r="AR1619" s="2">
        <v>1.5</v>
      </c>
      <c r="AS1619" s="2">
        <v>135</v>
      </c>
      <c r="AT1619" s="2">
        <v>0</v>
      </c>
      <c r="AU1619" s="2">
        <v>162</v>
      </c>
      <c r="AV1619" s="2">
        <v>9.1</v>
      </c>
      <c r="AW1619" s="2">
        <v>9.1999999999999993</v>
      </c>
      <c r="AX1619" s="2">
        <v>18.3</v>
      </c>
      <c r="AY1619" s="2">
        <v>0.34</v>
      </c>
      <c r="AZ1619" s="2">
        <v>7.3</v>
      </c>
      <c r="BA1619" s="2">
        <v>0.9</v>
      </c>
      <c r="BB1619" s="2">
        <v>7.5</v>
      </c>
      <c r="BC1619" s="2">
        <v>2.9</v>
      </c>
      <c r="BD1619" s="2">
        <f>+AN1619*EXP(-0.0495*Y1619)</f>
        <v>2.0854647498908929</v>
      </c>
      <c r="BE1619" s="2">
        <f>+AO1619*EXP(-0.024*Y1619)</f>
        <v>10.182318401938227</v>
      </c>
    </row>
    <row r="1620" spans="1:57" x14ac:dyDescent="0.2">
      <c r="A1620" s="2" t="s">
        <v>1755</v>
      </c>
      <c r="B1620" s="2" t="s">
        <v>19</v>
      </c>
      <c r="C1620" s="2" t="s">
        <v>20</v>
      </c>
      <c r="D1620" s="2" t="s">
        <v>21</v>
      </c>
      <c r="E1620" s="2" t="s">
        <v>161</v>
      </c>
      <c r="F1620" s="2">
        <v>6</v>
      </c>
      <c r="G1620" s="2">
        <v>144</v>
      </c>
      <c r="H1620" s="2">
        <v>3</v>
      </c>
      <c r="I1620" s="2">
        <v>3</v>
      </c>
      <c r="J1620" s="2">
        <v>2</v>
      </c>
      <c r="K1620" s="2" t="s">
        <v>61</v>
      </c>
      <c r="L1620" s="6" t="s">
        <v>113</v>
      </c>
      <c r="M1620" s="5">
        <v>960000000</v>
      </c>
      <c r="N1620" s="2">
        <v>0</v>
      </c>
      <c r="O1620" s="2">
        <v>4.6942038540000004</v>
      </c>
      <c r="P1620" s="2">
        <v>-74.050132750000003</v>
      </c>
      <c r="Q1620" s="2" t="s">
        <v>1756</v>
      </c>
      <c r="R1620" s="2">
        <v>6666666.6670000004</v>
      </c>
      <c r="S1620" s="2">
        <v>0</v>
      </c>
      <c r="T1620" s="2" t="s">
        <v>55</v>
      </c>
      <c r="U1620" s="2" t="s">
        <v>56</v>
      </c>
      <c r="V1620" s="2" t="s">
        <v>28</v>
      </c>
      <c r="W1620" s="2" t="s">
        <v>55</v>
      </c>
      <c r="X1620" s="2" t="s">
        <v>57</v>
      </c>
      <c r="Y1620" s="2">
        <v>2.8311275417467598</v>
      </c>
      <c r="Z1620" s="2">
        <v>4.71035</v>
      </c>
      <c r="AA1620" s="2">
        <v>-74.030416666666696</v>
      </c>
      <c r="AB1620" s="2">
        <v>2570</v>
      </c>
      <c r="AC1620" s="2" t="s">
        <v>31</v>
      </c>
      <c r="AD1620" s="2" t="s">
        <v>58</v>
      </c>
      <c r="AE1620" s="2" t="s">
        <v>33</v>
      </c>
      <c r="AF1620" s="2" t="s">
        <v>34</v>
      </c>
      <c r="AG1620" s="2" t="s">
        <v>59</v>
      </c>
      <c r="AH1620" s="2">
        <v>0.68422343469013502</v>
      </c>
      <c r="AI1620" s="2">
        <v>2.3112655315933801</v>
      </c>
      <c r="AJ1620" s="2">
        <v>0.105369875896117</v>
      </c>
      <c r="AK1620" s="2">
        <v>0.121300553561155</v>
      </c>
      <c r="AL1620" s="2">
        <v>7.82684845619461E-2</v>
      </c>
      <c r="AM1620" s="2">
        <v>15.5</v>
      </c>
      <c r="AN1620" s="2">
        <v>2.4</v>
      </c>
      <c r="AO1620" s="2">
        <v>10.9</v>
      </c>
      <c r="AP1620" s="2">
        <v>564</v>
      </c>
      <c r="AQ1620" s="2">
        <v>68</v>
      </c>
      <c r="AR1620" s="2">
        <v>1.5</v>
      </c>
      <c r="AS1620" s="2">
        <v>135</v>
      </c>
      <c r="AT1620" s="2">
        <v>0</v>
      </c>
      <c r="AU1620" s="2">
        <v>162</v>
      </c>
      <c r="AV1620" s="2">
        <v>9.1</v>
      </c>
      <c r="AW1620" s="2">
        <v>9.1999999999999993</v>
      </c>
      <c r="AX1620" s="2">
        <v>18.3</v>
      </c>
      <c r="AY1620" s="2">
        <v>0.34</v>
      </c>
      <c r="AZ1620" s="2">
        <v>7.3</v>
      </c>
      <c r="BA1620" s="2">
        <v>0.9</v>
      </c>
      <c r="BB1620" s="2">
        <v>7.5</v>
      </c>
      <c r="BC1620" s="2">
        <v>2.9</v>
      </c>
      <c r="BD1620" s="2">
        <f>+AN1620*EXP(-0.0495*Y1620)</f>
        <v>2.0861659843225584</v>
      </c>
      <c r="BE1620" s="2">
        <f>+AO1620*EXP(-0.024*Y1620)</f>
        <v>10.183978277327837</v>
      </c>
    </row>
    <row r="1621" spans="1:57" x14ac:dyDescent="0.2">
      <c r="A1621" s="2" t="s">
        <v>1616</v>
      </c>
      <c r="B1621" s="2" t="s">
        <v>19</v>
      </c>
      <c r="C1621" s="2" t="s">
        <v>20</v>
      </c>
      <c r="D1621" s="2" t="s">
        <v>21</v>
      </c>
      <c r="E1621" s="2" t="s">
        <v>1437</v>
      </c>
      <c r="F1621" s="2">
        <v>6</v>
      </c>
      <c r="G1621" s="2">
        <v>141</v>
      </c>
      <c r="H1621" s="2">
        <v>2</v>
      </c>
      <c r="I1621" s="2">
        <v>3</v>
      </c>
      <c r="J1621" s="2">
        <v>2</v>
      </c>
      <c r="K1621" s="2" t="s">
        <v>61</v>
      </c>
      <c r="L1621" s="6" t="s">
        <v>75</v>
      </c>
      <c r="M1621" s="5">
        <v>1250000000</v>
      </c>
      <c r="N1621" s="2">
        <v>0</v>
      </c>
      <c r="O1621" s="2">
        <v>4.681783169</v>
      </c>
      <c r="P1621" s="2">
        <v>-74.051357609999997</v>
      </c>
      <c r="Q1621" s="2" t="s">
        <v>1617</v>
      </c>
      <c r="R1621" s="2">
        <v>8865248.227</v>
      </c>
      <c r="S1621" s="2">
        <v>0</v>
      </c>
      <c r="T1621" s="2" t="s">
        <v>55</v>
      </c>
      <c r="U1621" s="2" t="s">
        <v>56</v>
      </c>
      <c r="V1621" s="2" t="s">
        <v>28</v>
      </c>
      <c r="W1621" s="2" t="s">
        <v>55</v>
      </c>
      <c r="X1621" s="2" t="s">
        <v>57</v>
      </c>
      <c r="Y1621" s="2">
        <v>3.9383313555765</v>
      </c>
      <c r="Z1621" s="2">
        <v>4.71035</v>
      </c>
      <c r="AA1621" s="2">
        <v>-74.030416666666696</v>
      </c>
      <c r="AB1621" s="2">
        <v>2570</v>
      </c>
      <c r="AC1621" s="2" t="s">
        <v>31</v>
      </c>
      <c r="AD1621" s="2" t="s">
        <v>58</v>
      </c>
      <c r="AE1621" s="2" t="s">
        <v>33</v>
      </c>
      <c r="AF1621" s="2" t="s">
        <v>34</v>
      </c>
      <c r="AG1621" s="2" t="s">
        <v>81</v>
      </c>
      <c r="AH1621" s="2">
        <v>0.744168798120867</v>
      </c>
      <c r="AI1621" s="2">
        <v>1.5720353524302799</v>
      </c>
      <c r="AJ1621" s="2">
        <v>0.467914748351762</v>
      </c>
      <c r="AK1621" s="2">
        <v>0.105887279485194</v>
      </c>
      <c r="AL1621" s="2">
        <v>0.78642387253388202</v>
      </c>
      <c r="AM1621" s="2">
        <v>15.5</v>
      </c>
      <c r="AN1621" s="2">
        <v>2.4</v>
      </c>
      <c r="AO1621" s="2">
        <v>10.9</v>
      </c>
      <c r="AP1621" s="2">
        <v>564</v>
      </c>
      <c r="AQ1621" s="2">
        <v>68</v>
      </c>
      <c r="AR1621" s="2">
        <v>1.5</v>
      </c>
      <c r="AS1621" s="2">
        <v>135</v>
      </c>
      <c r="AT1621" s="2">
        <v>0</v>
      </c>
      <c r="AU1621" s="2">
        <v>162</v>
      </c>
      <c r="AV1621" s="2">
        <v>9.1</v>
      </c>
      <c r="AW1621" s="2">
        <v>9.1999999999999993</v>
      </c>
      <c r="AX1621" s="2">
        <v>18.3</v>
      </c>
      <c r="AY1621" s="2">
        <v>0.34</v>
      </c>
      <c r="AZ1621" s="2">
        <v>7.3</v>
      </c>
      <c r="BA1621" s="2">
        <v>0.9</v>
      </c>
      <c r="BB1621" s="2">
        <v>7.5</v>
      </c>
      <c r="BC1621" s="2">
        <v>2.9</v>
      </c>
      <c r="BD1621" s="2">
        <f>+AN1621*EXP(-0.0495*Y1621)</f>
        <v>1.9749070525642758</v>
      </c>
      <c r="BE1621" s="2">
        <f>+AO1621*EXP(-0.024*Y1621)</f>
        <v>9.9169244376793397</v>
      </c>
    </row>
    <row r="1622" spans="1:57" x14ac:dyDescent="0.2">
      <c r="A1622" s="2" t="s">
        <v>306</v>
      </c>
      <c r="B1622" s="2" t="s">
        <v>19</v>
      </c>
      <c r="C1622" s="2" t="s">
        <v>20</v>
      </c>
      <c r="D1622" s="2" t="s">
        <v>21</v>
      </c>
      <c r="E1622" s="2" t="s">
        <v>164</v>
      </c>
      <c r="F1622" s="2">
        <v>6</v>
      </c>
      <c r="G1622" s="2">
        <v>141</v>
      </c>
      <c r="H1622" s="2">
        <v>3</v>
      </c>
      <c r="I1622" s="2">
        <v>3</v>
      </c>
      <c r="J1622" s="2">
        <v>2</v>
      </c>
      <c r="K1622" s="2" t="s">
        <v>61</v>
      </c>
      <c r="L1622" s="6" t="s">
        <v>75</v>
      </c>
      <c r="M1622" s="5">
        <v>1200000000</v>
      </c>
      <c r="N1622" s="2">
        <v>0</v>
      </c>
      <c r="O1622" s="2">
        <v>4.6954159740000003</v>
      </c>
      <c r="P1622" s="2">
        <v>-74.035369869999997</v>
      </c>
      <c r="Q1622" s="2" t="s">
        <v>307</v>
      </c>
      <c r="R1622" s="2">
        <v>8510638.2980000004</v>
      </c>
      <c r="S1622" s="2">
        <v>0</v>
      </c>
      <c r="T1622" s="2" t="s">
        <v>55</v>
      </c>
      <c r="U1622" s="2" t="s">
        <v>56</v>
      </c>
      <c r="V1622" s="2" t="s">
        <v>28</v>
      </c>
      <c r="W1622" s="2" t="s">
        <v>55</v>
      </c>
      <c r="X1622" s="2" t="s">
        <v>57</v>
      </c>
      <c r="Y1622" s="2">
        <v>1.7509194722489101</v>
      </c>
      <c r="Z1622" s="2">
        <v>4.71035</v>
      </c>
      <c r="AA1622" s="2">
        <v>-74.030416666666696</v>
      </c>
      <c r="AB1622" s="2">
        <v>2570</v>
      </c>
      <c r="AC1622" s="2" t="s">
        <v>31</v>
      </c>
      <c r="AD1622" s="2" t="s">
        <v>58</v>
      </c>
      <c r="AE1622" s="2" t="s">
        <v>33</v>
      </c>
      <c r="AF1622" s="2" t="s">
        <v>34</v>
      </c>
      <c r="AG1622" s="2" t="s">
        <v>59</v>
      </c>
      <c r="AH1622" s="2">
        <v>2.2309924613335301</v>
      </c>
      <c r="AI1622" s="2">
        <v>1.0564955298830701</v>
      </c>
      <c r="AJ1622" s="2">
        <v>0.63657024720035205</v>
      </c>
      <c r="AK1622" s="2">
        <v>6.2654947460834304E-2</v>
      </c>
      <c r="AL1622" s="2">
        <v>0.22331699047148401</v>
      </c>
      <c r="AM1622" s="2">
        <v>15.5</v>
      </c>
      <c r="AN1622" s="2">
        <v>2.4</v>
      </c>
      <c r="AO1622" s="2">
        <v>10.9</v>
      </c>
      <c r="AP1622" s="2">
        <v>564</v>
      </c>
      <c r="AQ1622" s="2">
        <v>68</v>
      </c>
      <c r="AR1622" s="2">
        <v>1.5</v>
      </c>
      <c r="AS1622" s="2">
        <v>135</v>
      </c>
      <c r="AT1622" s="2">
        <v>0</v>
      </c>
      <c r="AU1622" s="2">
        <v>162</v>
      </c>
      <c r="AV1622" s="2">
        <v>9.1</v>
      </c>
      <c r="AW1622" s="2">
        <v>9.1999999999999993</v>
      </c>
      <c r="AX1622" s="2">
        <v>18.3</v>
      </c>
      <c r="AY1622" s="2">
        <v>0.34</v>
      </c>
      <c r="AZ1622" s="2">
        <v>7.3</v>
      </c>
      <c r="BA1622" s="2">
        <v>0.9</v>
      </c>
      <c r="BB1622" s="2">
        <v>7.5</v>
      </c>
      <c r="BC1622" s="2">
        <v>2.9</v>
      </c>
      <c r="BD1622" s="2">
        <f>+AN1622*EXP(-0.0495*Y1622)</f>
        <v>2.2007500266702298</v>
      </c>
      <c r="BE1622" s="2">
        <f>+AO1622*EXP(-0.024*Y1622)</f>
        <v>10.451449970058306</v>
      </c>
    </row>
    <row r="1623" spans="1:57" x14ac:dyDescent="0.2">
      <c r="A1623" s="2" t="s">
        <v>1011</v>
      </c>
      <c r="B1623" s="2" t="s">
        <v>19</v>
      </c>
      <c r="C1623" s="2" t="s">
        <v>20</v>
      </c>
      <c r="D1623" s="2" t="s">
        <v>21</v>
      </c>
      <c r="E1623" s="2" t="s">
        <v>419</v>
      </c>
      <c r="F1623" s="2">
        <v>6</v>
      </c>
      <c r="G1623" s="2">
        <v>140</v>
      </c>
      <c r="H1623" s="2">
        <v>3</v>
      </c>
      <c r="I1623" s="2">
        <v>4</v>
      </c>
      <c r="J1623" s="2">
        <v>2</v>
      </c>
      <c r="K1623" s="2" t="s">
        <v>61</v>
      </c>
      <c r="L1623" s="6" t="s">
        <v>113</v>
      </c>
      <c r="M1623" s="5">
        <v>1200000000</v>
      </c>
      <c r="N1623" s="2">
        <v>0</v>
      </c>
      <c r="O1623" s="2">
        <v>4.6894183160000003</v>
      </c>
      <c r="P1623" s="2">
        <v>-74.055030819999999</v>
      </c>
      <c r="Q1623" s="2" t="s">
        <v>1012</v>
      </c>
      <c r="R1623" s="2">
        <v>8571428.5710000005</v>
      </c>
      <c r="S1623" s="2">
        <v>0</v>
      </c>
      <c r="T1623" s="2" t="s">
        <v>55</v>
      </c>
      <c r="U1623" s="2" t="s">
        <v>56</v>
      </c>
      <c r="V1623" s="2" t="s">
        <v>28</v>
      </c>
      <c r="W1623" s="2" t="s">
        <v>55</v>
      </c>
      <c r="X1623" s="2" t="s">
        <v>57</v>
      </c>
      <c r="Y1623" s="2">
        <v>3.5898153303816702</v>
      </c>
      <c r="Z1623" s="2">
        <v>4.71035</v>
      </c>
      <c r="AA1623" s="2">
        <v>-74.030416666666696</v>
      </c>
      <c r="AB1623" s="2">
        <v>2570</v>
      </c>
      <c r="AC1623" s="2" t="s">
        <v>31</v>
      </c>
      <c r="AD1623" s="2" t="s">
        <v>58</v>
      </c>
      <c r="AE1623" s="2" t="s">
        <v>33</v>
      </c>
      <c r="AF1623" s="2" t="s">
        <v>34</v>
      </c>
      <c r="AG1623" s="2" t="s">
        <v>59</v>
      </c>
      <c r="AH1623" s="2">
        <v>0.41407594630799499</v>
      </c>
      <c r="AI1623" s="2">
        <v>2.39229679933853</v>
      </c>
      <c r="AJ1623" s="2">
        <v>0.473551683723337</v>
      </c>
      <c r="AK1623" s="2">
        <v>0.15882068677661601</v>
      </c>
      <c r="AL1623" s="2">
        <v>0.444726695937949</v>
      </c>
      <c r="AM1623" s="2">
        <v>15.5</v>
      </c>
      <c r="AN1623" s="2">
        <v>2.4</v>
      </c>
      <c r="AO1623" s="2">
        <v>10.9</v>
      </c>
      <c r="AP1623" s="2">
        <v>564</v>
      </c>
      <c r="AQ1623" s="2">
        <v>68</v>
      </c>
      <c r="AR1623" s="2">
        <v>1.5</v>
      </c>
      <c r="AS1623" s="2">
        <v>135</v>
      </c>
      <c r="AT1623" s="2">
        <v>0</v>
      </c>
      <c r="AU1623" s="2">
        <v>162</v>
      </c>
      <c r="AV1623" s="2">
        <v>9.1</v>
      </c>
      <c r="AW1623" s="2">
        <v>9.1999999999999993</v>
      </c>
      <c r="AX1623" s="2">
        <v>18.3</v>
      </c>
      <c r="AY1623" s="2">
        <v>0.34</v>
      </c>
      <c r="AZ1623" s="2">
        <v>7.3</v>
      </c>
      <c r="BA1623" s="2">
        <v>0.9</v>
      </c>
      <c r="BB1623" s="2">
        <v>7.5</v>
      </c>
      <c r="BC1623" s="2">
        <v>2.9</v>
      </c>
      <c r="BD1623" s="2">
        <f>+AN1623*EXP(-0.0495*Y1623)</f>
        <v>2.0092728259918897</v>
      </c>
      <c r="BE1623" s="2">
        <f>+AO1623*EXP(-0.024*Y1623)</f>
        <v>10.000221285567253</v>
      </c>
    </row>
    <row r="1624" spans="1:57" x14ac:dyDescent="0.2">
      <c r="A1624" s="2" t="s">
        <v>1568</v>
      </c>
      <c r="B1624" s="2" t="s">
        <v>19</v>
      </c>
      <c r="C1624" s="2" t="s">
        <v>20</v>
      </c>
      <c r="D1624" s="2" t="s">
        <v>21</v>
      </c>
      <c r="E1624" s="2" t="s">
        <v>419</v>
      </c>
      <c r="F1624" s="2">
        <v>6</v>
      </c>
      <c r="G1624" s="2">
        <v>140</v>
      </c>
      <c r="H1624" s="2">
        <v>4</v>
      </c>
      <c r="I1624" s="2">
        <v>4</v>
      </c>
      <c r="J1624" s="2">
        <v>2</v>
      </c>
      <c r="K1624" s="2" t="s">
        <v>61</v>
      </c>
      <c r="L1624" s="6" t="s">
        <v>113</v>
      </c>
      <c r="M1624" s="5">
        <v>870000000</v>
      </c>
      <c r="N1624" s="2">
        <v>0</v>
      </c>
      <c r="O1624" s="2">
        <v>4.6895084379999998</v>
      </c>
      <c r="P1624" s="2">
        <v>-74.050666809999996</v>
      </c>
      <c r="Q1624" s="2" t="s">
        <v>1569</v>
      </c>
      <c r="R1624" s="2">
        <v>6214285.7139999997</v>
      </c>
      <c r="S1624" s="2">
        <v>0</v>
      </c>
      <c r="T1624" s="2" t="s">
        <v>55</v>
      </c>
      <c r="U1624" s="2" t="s">
        <v>56</v>
      </c>
      <c r="V1624" s="2" t="s">
        <v>28</v>
      </c>
      <c r="W1624" s="2" t="s">
        <v>55</v>
      </c>
      <c r="X1624" s="2" t="s">
        <v>57</v>
      </c>
      <c r="Y1624" s="2">
        <v>3.2295814602275201</v>
      </c>
      <c r="Z1624" s="2">
        <v>4.71035</v>
      </c>
      <c r="AA1624" s="2">
        <v>-74.030416666666696</v>
      </c>
      <c r="AB1624" s="2">
        <v>2570</v>
      </c>
      <c r="AC1624" s="2" t="s">
        <v>31</v>
      </c>
      <c r="AD1624" s="2" t="s">
        <v>58</v>
      </c>
      <c r="AE1624" s="2" t="s">
        <v>33</v>
      </c>
      <c r="AF1624" s="2" t="s">
        <v>34</v>
      </c>
      <c r="AG1624" s="2" t="s">
        <v>59</v>
      </c>
      <c r="AH1624" s="2">
        <v>0.72209499821363998</v>
      </c>
      <c r="AI1624" s="2">
        <v>2.00028118801696</v>
      </c>
      <c r="AJ1624" s="2">
        <v>0.15377518754480499</v>
      </c>
      <c r="AK1624" s="2">
        <v>5.44391647541769E-2</v>
      </c>
      <c r="AL1624" s="2">
        <v>0.31863731238121201</v>
      </c>
      <c r="AM1624" s="2">
        <v>15.5</v>
      </c>
      <c r="AN1624" s="2">
        <v>2.4</v>
      </c>
      <c r="AO1624" s="2">
        <v>10.9</v>
      </c>
      <c r="AP1624" s="2">
        <v>564</v>
      </c>
      <c r="AQ1624" s="2">
        <v>68</v>
      </c>
      <c r="AR1624" s="2">
        <v>1.5</v>
      </c>
      <c r="AS1624" s="2">
        <v>135</v>
      </c>
      <c r="AT1624" s="2">
        <v>0</v>
      </c>
      <c r="AU1624" s="2">
        <v>162</v>
      </c>
      <c r="AV1624" s="2">
        <v>9.1</v>
      </c>
      <c r="AW1624" s="2">
        <v>9.1999999999999993</v>
      </c>
      <c r="AX1624" s="2">
        <v>18.3</v>
      </c>
      <c r="AY1624" s="2">
        <v>0.34</v>
      </c>
      <c r="AZ1624" s="2">
        <v>7.3</v>
      </c>
      <c r="BA1624" s="2">
        <v>0.9</v>
      </c>
      <c r="BB1624" s="2">
        <v>7.5</v>
      </c>
      <c r="BC1624" s="2">
        <v>2.9</v>
      </c>
      <c r="BD1624" s="2">
        <f>+AN1624*EXP(-0.0495*Y1624)</f>
        <v>2.0454226747814093</v>
      </c>
      <c r="BE1624" s="2">
        <f>+AO1624*EXP(-0.024*Y1624)</f>
        <v>10.087054148340902</v>
      </c>
    </row>
    <row r="1625" spans="1:57" x14ac:dyDescent="0.2">
      <c r="A1625" s="2" t="s">
        <v>3144</v>
      </c>
      <c r="B1625" s="2" t="s">
        <v>19</v>
      </c>
      <c r="C1625" s="2" t="s">
        <v>1907</v>
      </c>
      <c r="D1625" s="2" t="s">
        <v>21</v>
      </c>
      <c r="E1625" s="2" t="s">
        <v>234</v>
      </c>
      <c r="F1625" s="2">
        <v>4</v>
      </c>
      <c r="G1625" s="2">
        <v>140</v>
      </c>
      <c r="H1625" s="2">
        <v>3</v>
      </c>
      <c r="I1625" s="2">
        <v>3</v>
      </c>
      <c r="J1625" s="2">
        <v>1</v>
      </c>
      <c r="K1625" s="2" t="s">
        <v>61</v>
      </c>
      <c r="L1625" s="6" t="s">
        <v>113</v>
      </c>
      <c r="M1625" s="5">
        <v>560000000</v>
      </c>
      <c r="N1625" s="2">
        <v>0</v>
      </c>
      <c r="O1625" s="2">
        <v>4.726585</v>
      </c>
      <c r="P1625" s="2">
        <v>-74.032579999999996</v>
      </c>
      <c r="Q1625" s="2" t="s">
        <v>3145</v>
      </c>
      <c r="R1625" s="2">
        <v>4000000</v>
      </c>
      <c r="S1625" s="2">
        <v>0</v>
      </c>
      <c r="T1625" s="2" t="s">
        <v>55</v>
      </c>
      <c r="U1625" s="2" t="s">
        <v>56</v>
      </c>
      <c r="V1625" s="2" t="s">
        <v>28</v>
      </c>
      <c r="W1625" s="2" t="s">
        <v>55</v>
      </c>
      <c r="X1625" s="2" t="s">
        <v>57</v>
      </c>
      <c r="Y1625" s="2">
        <v>1.82313856891879</v>
      </c>
      <c r="Z1625" s="2">
        <v>4.71035</v>
      </c>
      <c r="AA1625" s="2">
        <v>-74.030416666666696</v>
      </c>
      <c r="AB1625" s="2">
        <v>2570</v>
      </c>
      <c r="AC1625" s="2" t="s">
        <v>31</v>
      </c>
      <c r="AD1625" s="2" t="s">
        <v>58</v>
      </c>
      <c r="AE1625" s="2" t="s">
        <v>33</v>
      </c>
      <c r="AF1625" s="2" t="s">
        <v>34</v>
      </c>
      <c r="AG1625" s="2" t="s">
        <v>59</v>
      </c>
      <c r="AH1625" s="2">
        <v>1.96884623695246</v>
      </c>
      <c r="AI1625" s="2">
        <v>1.2280973973103499</v>
      </c>
      <c r="AJ1625" s="2">
        <v>1.0753347990000699</v>
      </c>
      <c r="AK1625" s="2">
        <v>0.25169084232993</v>
      </c>
      <c r="AL1625" s="2">
        <v>0.19754914325422501</v>
      </c>
      <c r="AM1625" s="2">
        <v>15.5</v>
      </c>
      <c r="AN1625" s="2">
        <v>2.4</v>
      </c>
      <c r="AO1625" s="2">
        <v>10.9</v>
      </c>
      <c r="AP1625" s="2">
        <v>564</v>
      </c>
      <c r="AQ1625" s="2">
        <v>68</v>
      </c>
      <c r="AR1625" s="2">
        <v>1.5</v>
      </c>
      <c r="AS1625" s="2">
        <v>135</v>
      </c>
      <c r="AT1625" s="2">
        <v>0</v>
      </c>
      <c r="AU1625" s="2">
        <v>162</v>
      </c>
      <c r="AV1625" s="2">
        <v>9.1</v>
      </c>
      <c r="AW1625" s="2">
        <v>9.1999999999999993</v>
      </c>
      <c r="AX1625" s="2">
        <v>18.3</v>
      </c>
      <c r="AY1625" s="2">
        <v>0.34</v>
      </c>
      <c r="AZ1625" s="2">
        <v>7.3</v>
      </c>
      <c r="BA1625" s="2">
        <v>0.9</v>
      </c>
      <c r="BB1625" s="2">
        <v>7.5</v>
      </c>
      <c r="BC1625" s="2">
        <v>2.9</v>
      </c>
      <c r="BD1625" s="2">
        <f>+AN1625*EXP(-0.0495*Y1625)</f>
        <v>2.1928967313349186</v>
      </c>
      <c r="BE1625" s="2">
        <f>+AO1625*EXP(-0.024*Y1625)</f>
        <v>10.433350597416098</v>
      </c>
    </row>
    <row r="1626" spans="1:57" x14ac:dyDescent="0.2">
      <c r="A1626" s="2" t="s">
        <v>1672</v>
      </c>
      <c r="B1626" s="2" t="s">
        <v>19</v>
      </c>
      <c r="C1626" s="2" t="s">
        <v>20</v>
      </c>
      <c r="D1626" s="2" t="s">
        <v>21</v>
      </c>
      <c r="E1626" s="2" t="s">
        <v>511</v>
      </c>
      <c r="F1626" s="2">
        <v>5</v>
      </c>
      <c r="G1626" s="2">
        <v>140</v>
      </c>
      <c r="H1626" s="2">
        <v>3</v>
      </c>
      <c r="I1626" s="2">
        <v>3</v>
      </c>
      <c r="J1626" s="2">
        <v>2</v>
      </c>
      <c r="K1626" s="2" t="s">
        <v>61</v>
      </c>
      <c r="L1626" s="6" t="s">
        <v>113</v>
      </c>
      <c r="M1626" s="5">
        <v>1050000000</v>
      </c>
      <c r="N1626" s="2">
        <v>0</v>
      </c>
      <c r="O1626" s="2">
        <v>4.7142686999999999</v>
      </c>
      <c r="P1626" s="2">
        <v>-74.031515499999998</v>
      </c>
      <c r="Q1626" s="2" t="s">
        <v>1673</v>
      </c>
      <c r="R1626" s="2">
        <v>7500000</v>
      </c>
      <c r="S1626" s="2">
        <v>0</v>
      </c>
      <c r="T1626" s="2" t="s">
        <v>55</v>
      </c>
      <c r="U1626" s="2" t="s">
        <v>56</v>
      </c>
      <c r="V1626" s="2" t="s">
        <v>28</v>
      </c>
      <c r="W1626" s="2" t="s">
        <v>55</v>
      </c>
      <c r="X1626" s="2" t="s">
        <v>57</v>
      </c>
      <c r="Y1626" s="2">
        <v>0.45294169481296498</v>
      </c>
      <c r="Z1626" s="2">
        <v>4.71035</v>
      </c>
      <c r="AA1626" s="2">
        <v>-74.030416666666696</v>
      </c>
      <c r="AB1626" s="2">
        <v>2570</v>
      </c>
      <c r="AC1626" s="2" t="s">
        <v>31</v>
      </c>
      <c r="AD1626" s="2" t="s">
        <v>58</v>
      </c>
      <c r="AE1626" s="2" t="s">
        <v>33</v>
      </c>
      <c r="AF1626" s="2" t="s">
        <v>34</v>
      </c>
      <c r="AG1626" s="2" t="s">
        <v>59</v>
      </c>
      <c r="AH1626" s="2">
        <v>2.3333383383814099</v>
      </c>
      <c r="AI1626" s="2">
        <v>0.77924847457153401</v>
      </c>
      <c r="AJ1626" s="2">
        <v>0.41416731902519499</v>
      </c>
      <c r="AK1626" s="2">
        <v>9.9576679776115395E-2</v>
      </c>
      <c r="AL1626" s="2">
        <v>0.30855767822153402</v>
      </c>
      <c r="AM1626" s="2">
        <v>15.5</v>
      </c>
      <c r="AN1626" s="2">
        <v>2.4</v>
      </c>
      <c r="AO1626" s="2">
        <v>10.9</v>
      </c>
      <c r="AP1626" s="2">
        <v>564</v>
      </c>
      <c r="AQ1626" s="2">
        <v>68</v>
      </c>
      <c r="AR1626" s="2">
        <v>1.5</v>
      </c>
      <c r="AS1626" s="2">
        <v>135</v>
      </c>
      <c r="AT1626" s="2">
        <v>0</v>
      </c>
      <c r="AU1626" s="2">
        <v>162</v>
      </c>
      <c r="AV1626" s="2">
        <v>9.1</v>
      </c>
      <c r="AW1626" s="2">
        <v>9.1999999999999993</v>
      </c>
      <c r="AX1626" s="2">
        <v>18.3</v>
      </c>
      <c r="AY1626" s="2">
        <v>0.34</v>
      </c>
      <c r="AZ1626" s="2">
        <v>7.3</v>
      </c>
      <c r="BA1626" s="2">
        <v>0.9</v>
      </c>
      <c r="BB1626" s="2">
        <v>7.5</v>
      </c>
      <c r="BC1626" s="2">
        <v>2.9</v>
      </c>
      <c r="BD1626" s="2">
        <f>+AN1626*EXP(-0.0495*Y1626)</f>
        <v>2.3467892643323665</v>
      </c>
      <c r="BE1626" s="2">
        <f>+AO1626*EXP(-0.024*Y1626)</f>
        <v>10.782152151591188</v>
      </c>
    </row>
    <row r="1627" spans="1:57" x14ac:dyDescent="0.2">
      <c r="A1627" s="2" t="s">
        <v>1789</v>
      </c>
      <c r="B1627" s="2" t="s">
        <v>19</v>
      </c>
      <c r="C1627" s="2" t="s">
        <v>20</v>
      </c>
      <c r="D1627" s="2" t="s">
        <v>21</v>
      </c>
      <c r="E1627" s="2" t="s">
        <v>83</v>
      </c>
      <c r="F1627" s="2">
        <v>6</v>
      </c>
      <c r="G1627" s="2">
        <v>138</v>
      </c>
      <c r="H1627" s="2">
        <v>2</v>
      </c>
      <c r="I1627" s="2">
        <v>3</v>
      </c>
      <c r="J1627" s="2">
        <v>1</v>
      </c>
      <c r="K1627" s="2" t="s">
        <v>61</v>
      </c>
      <c r="L1627" s="6" t="s">
        <v>113</v>
      </c>
      <c r="M1627" s="5">
        <v>680000000</v>
      </c>
      <c r="N1627" s="2">
        <v>0</v>
      </c>
      <c r="O1627" s="2">
        <v>4.6799172999999996</v>
      </c>
      <c r="P1627" s="2">
        <v>-74.045003699999995</v>
      </c>
      <c r="Q1627" s="2" t="s">
        <v>1790</v>
      </c>
      <c r="R1627" s="2">
        <v>4927536.2319999998</v>
      </c>
      <c r="S1627" s="2">
        <v>0</v>
      </c>
      <c r="T1627" s="2" t="s">
        <v>55</v>
      </c>
      <c r="U1627" s="2" t="s">
        <v>56</v>
      </c>
      <c r="V1627" s="2" t="s">
        <v>28</v>
      </c>
      <c r="W1627" s="2" t="s">
        <v>55</v>
      </c>
      <c r="X1627" s="2" t="s">
        <v>57</v>
      </c>
      <c r="Y1627" s="2">
        <v>3.7544635358159102</v>
      </c>
      <c r="Z1627" s="2">
        <v>4.71035</v>
      </c>
      <c r="AA1627" s="2">
        <v>-74.030416666666696</v>
      </c>
      <c r="AB1627" s="2">
        <v>2570</v>
      </c>
      <c r="AC1627" s="2" t="s">
        <v>31</v>
      </c>
      <c r="AD1627" s="2" t="s">
        <v>58</v>
      </c>
      <c r="AE1627" s="2" t="s">
        <v>33</v>
      </c>
      <c r="AF1627" s="2" t="s">
        <v>34</v>
      </c>
      <c r="AG1627" s="2" t="s">
        <v>81</v>
      </c>
      <c r="AH1627" s="2">
        <v>1.4779102495158301</v>
      </c>
      <c r="AI1627" s="2">
        <v>0.88719936749211603</v>
      </c>
      <c r="AJ1627" s="2">
        <v>0.69558740300983302</v>
      </c>
      <c r="AK1627" s="2">
        <v>7.5997658989435293E-2</v>
      </c>
      <c r="AL1627" s="2">
        <v>0.98426524113024105</v>
      </c>
      <c r="AM1627" s="2">
        <v>15.5</v>
      </c>
      <c r="AN1627" s="2">
        <v>2.4</v>
      </c>
      <c r="AO1627" s="2">
        <v>10.9</v>
      </c>
      <c r="AP1627" s="2">
        <v>564</v>
      </c>
      <c r="AQ1627" s="2">
        <v>68</v>
      </c>
      <c r="AR1627" s="2">
        <v>1.5</v>
      </c>
      <c r="AS1627" s="2">
        <v>135</v>
      </c>
      <c r="AT1627" s="2">
        <v>0</v>
      </c>
      <c r="AU1627" s="2">
        <v>162</v>
      </c>
      <c r="AV1627" s="2">
        <v>9.1</v>
      </c>
      <c r="AW1627" s="2">
        <v>9.1999999999999993</v>
      </c>
      <c r="AX1627" s="2">
        <v>18.3</v>
      </c>
      <c r="AY1627" s="2">
        <v>0.34</v>
      </c>
      <c r="AZ1627" s="2">
        <v>7.3</v>
      </c>
      <c r="BA1627" s="2">
        <v>0.9</v>
      </c>
      <c r="BB1627" s="2">
        <v>7.5</v>
      </c>
      <c r="BC1627" s="2">
        <v>2.9</v>
      </c>
      <c r="BD1627" s="2">
        <f>+AN1627*EXP(-0.0495*Y1627)</f>
        <v>1.9929636302748615</v>
      </c>
      <c r="BE1627" s="2">
        <f>+AO1627*EXP(-0.024*Y1627)</f>
        <v>9.9607828148403268</v>
      </c>
    </row>
    <row r="1628" spans="1:57" x14ac:dyDescent="0.2">
      <c r="A1628" s="2" t="s">
        <v>1199</v>
      </c>
      <c r="B1628" s="2" t="s">
        <v>19</v>
      </c>
      <c r="C1628" s="2" t="s">
        <v>20</v>
      </c>
      <c r="D1628" s="2" t="s">
        <v>21</v>
      </c>
      <c r="E1628" s="2" t="s">
        <v>141</v>
      </c>
      <c r="F1628" s="2">
        <v>6</v>
      </c>
      <c r="G1628" s="2">
        <v>138</v>
      </c>
      <c r="H1628" s="2">
        <v>3</v>
      </c>
      <c r="I1628" s="2">
        <v>3</v>
      </c>
      <c r="J1628" s="2">
        <v>1</v>
      </c>
      <c r="K1628" s="2" t="s">
        <v>23</v>
      </c>
      <c r="L1628" s="6" t="s">
        <v>24</v>
      </c>
      <c r="M1628" s="5">
        <v>1452900000</v>
      </c>
      <c r="N1628" s="2">
        <v>0</v>
      </c>
      <c r="O1628" s="2">
        <v>4.6849183999999999</v>
      </c>
      <c r="P1628" s="2">
        <v>-74.045360000000002</v>
      </c>
      <c r="Q1628" s="2" t="s">
        <v>1200</v>
      </c>
      <c r="R1628" s="2">
        <v>10528260.869999999</v>
      </c>
      <c r="S1628" s="2">
        <v>0</v>
      </c>
      <c r="T1628" s="2" t="s">
        <v>55</v>
      </c>
      <c r="U1628" s="2" t="s">
        <v>56</v>
      </c>
      <c r="V1628" s="2" t="s">
        <v>28</v>
      </c>
      <c r="W1628" s="2" t="s">
        <v>55</v>
      </c>
      <c r="X1628" s="2" t="s">
        <v>57</v>
      </c>
      <c r="Y1628" s="2">
        <v>3.2807569802126602</v>
      </c>
      <c r="Z1628" s="2">
        <v>4.71035</v>
      </c>
      <c r="AA1628" s="2">
        <v>-74.030416666666696</v>
      </c>
      <c r="AB1628" s="2">
        <v>2570</v>
      </c>
      <c r="AC1628" s="2" t="s">
        <v>31</v>
      </c>
      <c r="AD1628" s="2" t="s">
        <v>58</v>
      </c>
      <c r="AE1628" s="2" t="s">
        <v>33</v>
      </c>
      <c r="AF1628" s="2" t="s">
        <v>34</v>
      </c>
      <c r="AG1628" s="2" t="s">
        <v>59</v>
      </c>
      <c r="AH1628" s="2">
        <v>1.37380277563854</v>
      </c>
      <c r="AI1628" s="2">
        <v>1.2243109840482</v>
      </c>
      <c r="AJ1628" s="2">
        <v>0.64771334240354606</v>
      </c>
      <c r="AK1628" s="2">
        <v>0.13319029730864199</v>
      </c>
      <c r="AL1628" s="2">
        <v>0.50879496026064197</v>
      </c>
      <c r="AM1628" s="2">
        <v>15.5</v>
      </c>
      <c r="AN1628" s="2">
        <v>2.4</v>
      </c>
      <c r="AO1628" s="2">
        <v>10.9</v>
      </c>
      <c r="AP1628" s="2">
        <v>564</v>
      </c>
      <c r="AQ1628" s="2">
        <v>68</v>
      </c>
      <c r="AR1628" s="2">
        <v>1.5</v>
      </c>
      <c r="AS1628" s="2">
        <v>135</v>
      </c>
      <c r="AT1628" s="2">
        <v>0</v>
      </c>
      <c r="AU1628" s="2">
        <v>162</v>
      </c>
      <c r="AV1628" s="2">
        <v>9.1</v>
      </c>
      <c r="AW1628" s="2">
        <v>9.1999999999999993</v>
      </c>
      <c r="AX1628" s="2">
        <v>18.3</v>
      </c>
      <c r="AY1628" s="2">
        <v>0.34</v>
      </c>
      <c r="AZ1628" s="2">
        <v>7.3</v>
      </c>
      <c r="BA1628" s="2">
        <v>0.9</v>
      </c>
      <c r="BB1628" s="2">
        <v>7.5</v>
      </c>
      <c r="BC1628" s="2">
        <v>2.9</v>
      </c>
      <c r="BD1628" s="2">
        <f>+AN1628*EXP(-0.0495*Y1628)</f>
        <v>2.0402477913615242</v>
      </c>
      <c r="BE1628" s="2">
        <f>+AO1628*EXP(-0.024*Y1628)</f>
        <v>10.074672707629528</v>
      </c>
    </row>
    <row r="1629" spans="1:57" x14ac:dyDescent="0.2">
      <c r="A1629" s="2" t="s">
        <v>1535</v>
      </c>
      <c r="B1629" s="2" t="s">
        <v>19</v>
      </c>
      <c r="C1629" s="2" t="s">
        <v>20</v>
      </c>
      <c r="D1629" s="2" t="s">
        <v>21</v>
      </c>
      <c r="E1629" s="2" t="s">
        <v>1536</v>
      </c>
      <c r="F1629" s="2">
        <v>6</v>
      </c>
      <c r="G1629" s="2">
        <v>138</v>
      </c>
      <c r="H1629" s="2">
        <v>3</v>
      </c>
      <c r="I1629" s="2">
        <v>4</v>
      </c>
      <c r="J1629" s="2">
        <v>3</v>
      </c>
      <c r="K1629" s="2" t="s">
        <v>61</v>
      </c>
      <c r="L1629" s="6" t="s">
        <v>75</v>
      </c>
      <c r="M1629" s="5">
        <v>1290000000</v>
      </c>
      <c r="N1629" s="2">
        <v>0</v>
      </c>
      <c r="O1629" s="2">
        <v>4.6886538</v>
      </c>
      <c r="P1629" s="2">
        <v>-74.043063900000007</v>
      </c>
      <c r="Q1629" s="2" t="s">
        <v>1537</v>
      </c>
      <c r="R1629" s="2">
        <v>9347826.0869999994</v>
      </c>
      <c r="S1629" s="2">
        <v>0</v>
      </c>
      <c r="T1629" s="2" t="s">
        <v>55</v>
      </c>
      <c r="U1629" s="2" t="s">
        <v>56</v>
      </c>
      <c r="V1629" s="2" t="s">
        <v>28</v>
      </c>
      <c r="W1629" s="2" t="s">
        <v>55</v>
      </c>
      <c r="X1629" s="2" t="s">
        <v>57</v>
      </c>
      <c r="Y1629" s="2">
        <v>2.7932185885629899</v>
      </c>
      <c r="Z1629" s="2">
        <v>4.71035</v>
      </c>
      <c r="AA1629" s="2">
        <v>-74.030416666666696</v>
      </c>
      <c r="AB1629" s="2">
        <v>2570</v>
      </c>
      <c r="AC1629" s="2" t="s">
        <v>31</v>
      </c>
      <c r="AD1629" s="2" t="s">
        <v>58</v>
      </c>
      <c r="AE1629" s="2" t="s">
        <v>33</v>
      </c>
      <c r="AF1629" s="2" t="s">
        <v>34</v>
      </c>
      <c r="AG1629" s="2" t="s">
        <v>59</v>
      </c>
      <c r="AH1629" s="2">
        <v>1.53121598861292</v>
      </c>
      <c r="AI1629" s="2">
        <v>1.3397104128669901</v>
      </c>
      <c r="AJ1629" s="2">
        <v>0.80989815477737204</v>
      </c>
      <c r="AK1629" s="2">
        <v>0.16283658659039901</v>
      </c>
      <c r="AL1629" s="2">
        <v>2.4886546705693301E-2</v>
      </c>
      <c r="AM1629" s="2">
        <v>15.5</v>
      </c>
      <c r="AN1629" s="2">
        <v>2.4</v>
      </c>
      <c r="AO1629" s="2">
        <v>10.9</v>
      </c>
      <c r="AP1629" s="2">
        <v>564</v>
      </c>
      <c r="AQ1629" s="2">
        <v>68</v>
      </c>
      <c r="AR1629" s="2">
        <v>1.5</v>
      </c>
      <c r="AS1629" s="2">
        <v>135</v>
      </c>
      <c r="AT1629" s="2">
        <v>0</v>
      </c>
      <c r="AU1629" s="2">
        <v>162</v>
      </c>
      <c r="AV1629" s="2">
        <v>9.1</v>
      </c>
      <c r="AW1629" s="2">
        <v>9.1999999999999993</v>
      </c>
      <c r="AX1629" s="2">
        <v>18.3</v>
      </c>
      <c r="AY1629" s="2">
        <v>0.34</v>
      </c>
      <c r="AZ1629" s="2">
        <v>7.3</v>
      </c>
      <c r="BA1629" s="2">
        <v>0.9</v>
      </c>
      <c r="BB1629" s="2">
        <v>7.5</v>
      </c>
      <c r="BC1629" s="2">
        <v>2.9</v>
      </c>
      <c r="BD1629" s="2">
        <f>+AN1629*EXP(-0.0495*Y1629)</f>
        <v>2.0900843358000385</v>
      </c>
      <c r="BE1629" s="2">
        <f>+AO1629*EXP(-0.024*Y1629)</f>
        <v>10.193248028504922</v>
      </c>
    </row>
    <row r="1630" spans="1:57" x14ac:dyDescent="0.2">
      <c r="A1630" s="2" t="s">
        <v>907</v>
      </c>
      <c r="B1630" s="2" t="s">
        <v>19</v>
      </c>
      <c r="C1630" s="2" t="s">
        <v>20</v>
      </c>
      <c r="D1630" s="2" t="s">
        <v>21</v>
      </c>
      <c r="E1630" s="2" t="s">
        <v>295</v>
      </c>
      <c r="F1630" s="2">
        <v>5</v>
      </c>
      <c r="G1630" s="2">
        <v>137</v>
      </c>
      <c r="H1630" s="2">
        <v>4</v>
      </c>
      <c r="I1630" s="2">
        <v>4</v>
      </c>
      <c r="J1630" s="2">
        <v>2</v>
      </c>
      <c r="K1630" s="2" t="s">
        <v>61</v>
      </c>
      <c r="L1630" s="6" t="s">
        <v>113</v>
      </c>
      <c r="M1630" s="5">
        <v>730000000</v>
      </c>
      <c r="N1630" s="2">
        <v>0</v>
      </c>
      <c r="O1630" s="2">
        <v>4.6971778869999996</v>
      </c>
      <c r="P1630" s="2">
        <v>-74.058563230000004</v>
      </c>
      <c r="Q1630" s="2" t="s">
        <v>908</v>
      </c>
      <c r="R1630" s="2">
        <v>5328467.1529999999</v>
      </c>
      <c r="S1630" s="2">
        <v>0</v>
      </c>
      <c r="T1630" s="2" t="s">
        <v>55</v>
      </c>
      <c r="U1630" s="2" t="s">
        <v>56</v>
      </c>
      <c r="V1630" s="2" t="s">
        <v>28</v>
      </c>
      <c r="W1630" s="2" t="s">
        <v>55</v>
      </c>
      <c r="X1630" s="2" t="s">
        <v>57</v>
      </c>
      <c r="Y1630" s="2">
        <v>3.4498377518642802</v>
      </c>
      <c r="Z1630" s="2">
        <v>4.71035</v>
      </c>
      <c r="AA1630" s="2">
        <v>-74.030416666666696</v>
      </c>
      <c r="AB1630" s="2">
        <v>2570</v>
      </c>
      <c r="AC1630" s="2" t="s">
        <v>31</v>
      </c>
      <c r="AD1630" s="2" t="s">
        <v>58</v>
      </c>
      <c r="AE1630" s="2" t="s">
        <v>33</v>
      </c>
      <c r="AF1630" s="2" t="s">
        <v>34</v>
      </c>
      <c r="AG1630" s="2" t="s">
        <v>72</v>
      </c>
      <c r="AH1630" s="2">
        <v>0.375776867082669</v>
      </c>
      <c r="AI1630" s="2">
        <v>3.2154105901632</v>
      </c>
      <c r="AJ1630" s="2">
        <v>1.05712943832839</v>
      </c>
      <c r="AK1630" s="2">
        <v>0.15269039551232499</v>
      </c>
      <c r="AL1630" s="2">
        <v>0.125040659780674</v>
      </c>
      <c r="AM1630" s="2">
        <v>15.5</v>
      </c>
      <c r="AN1630" s="2">
        <v>2.4</v>
      </c>
      <c r="AO1630" s="2">
        <v>10.9</v>
      </c>
      <c r="AP1630" s="2">
        <v>564</v>
      </c>
      <c r="AQ1630" s="2">
        <v>68</v>
      </c>
      <c r="AR1630" s="2">
        <v>1.5</v>
      </c>
      <c r="AS1630" s="2">
        <v>135</v>
      </c>
      <c r="AT1630" s="2">
        <v>0</v>
      </c>
      <c r="AU1630" s="2">
        <v>162</v>
      </c>
      <c r="AV1630" s="2">
        <v>9.1</v>
      </c>
      <c r="AW1630" s="2">
        <v>9.1999999999999993</v>
      </c>
      <c r="AX1630" s="2">
        <v>18.3</v>
      </c>
      <c r="AY1630" s="2">
        <v>0.34</v>
      </c>
      <c r="AZ1630" s="2">
        <v>7.3</v>
      </c>
      <c r="BA1630" s="2">
        <v>0.9</v>
      </c>
      <c r="BB1630" s="2">
        <v>7.5</v>
      </c>
      <c r="BC1630" s="2">
        <v>2.9</v>
      </c>
      <c r="BD1630" s="2">
        <f>+AN1630*EXP(-0.0495*Y1630)</f>
        <v>2.0232432003597118</v>
      </c>
      <c r="BE1630" s="2">
        <f>+AO1630*EXP(-0.024*Y1630)</f>
        <v>10.033873142227229</v>
      </c>
    </row>
    <row r="1631" spans="1:57" x14ac:dyDescent="0.2">
      <c r="A1631" s="2" t="s">
        <v>666</v>
      </c>
      <c r="B1631" s="2" t="s">
        <v>19</v>
      </c>
      <c r="C1631" s="2" t="s">
        <v>20</v>
      </c>
      <c r="D1631" s="2" t="s">
        <v>21</v>
      </c>
      <c r="E1631" s="2" t="s">
        <v>223</v>
      </c>
      <c r="F1631" s="2">
        <v>6</v>
      </c>
      <c r="G1631" s="2">
        <v>137</v>
      </c>
      <c r="H1631" s="2">
        <v>2</v>
      </c>
      <c r="I1631" s="2">
        <v>3</v>
      </c>
      <c r="J1631" s="2">
        <v>2</v>
      </c>
      <c r="K1631" s="2" t="s">
        <v>61</v>
      </c>
      <c r="L1631" s="6" t="s">
        <v>66</v>
      </c>
      <c r="M1631" s="5">
        <v>1100000000</v>
      </c>
      <c r="N1631" s="2">
        <v>0</v>
      </c>
      <c r="O1631" s="2">
        <v>4.6873426440000001</v>
      </c>
      <c r="P1631" s="2">
        <v>-74.034072879999997</v>
      </c>
      <c r="Q1631" s="2" t="s">
        <v>667</v>
      </c>
      <c r="R1631" s="2">
        <v>8029197.0800000001</v>
      </c>
      <c r="S1631" s="2">
        <v>0</v>
      </c>
      <c r="T1631" s="2" t="s">
        <v>55</v>
      </c>
      <c r="U1631" s="2" t="s">
        <v>56</v>
      </c>
      <c r="V1631" s="2" t="s">
        <v>28</v>
      </c>
      <c r="W1631" s="2" t="s">
        <v>55</v>
      </c>
      <c r="X1631" s="2" t="s">
        <v>57</v>
      </c>
      <c r="Y1631" s="2">
        <v>2.5930909920830101</v>
      </c>
      <c r="Z1631" s="2">
        <v>4.71035</v>
      </c>
      <c r="AA1631" s="2">
        <v>-74.030416666666696</v>
      </c>
      <c r="AB1631" s="2">
        <v>2570</v>
      </c>
      <c r="AC1631" s="2" t="s">
        <v>31</v>
      </c>
      <c r="AD1631" s="2" t="s">
        <v>58</v>
      </c>
      <c r="AE1631" s="2" t="s">
        <v>33</v>
      </c>
      <c r="AF1631" s="2" t="s">
        <v>34</v>
      </c>
      <c r="AG1631" s="2" t="s">
        <v>59</v>
      </c>
      <c r="AH1631" s="2">
        <v>2.52947572011225</v>
      </c>
      <c r="AI1631" s="2">
        <v>0.84181630374608096</v>
      </c>
      <c r="AJ1631" s="2">
        <v>0.74897284329605396</v>
      </c>
      <c r="AK1631" s="2">
        <v>0.37834781901112402</v>
      </c>
      <c r="AL1631" s="2">
        <v>0.30793526458869303</v>
      </c>
      <c r="AM1631" s="2">
        <v>15.5</v>
      </c>
      <c r="AN1631" s="2">
        <v>2.4</v>
      </c>
      <c r="AO1631" s="2">
        <v>10.9</v>
      </c>
      <c r="AP1631" s="2">
        <v>564</v>
      </c>
      <c r="AQ1631" s="2">
        <v>68</v>
      </c>
      <c r="AR1631" s="2">
        <v>1.5</v>
      </c>
      <c r="AS1631" s="2">
        <v>135</v>
      </c>
      <c r="AT1631" s="2">
        <v>0</v>
      </c>
      <c r="AU1631" s="2">
        <v>162</v>
      </c>
      <c r="AV1631" s="2">
        <v>9.1</v>
      </c>
      <c r="AW1631" s="2">
        <v>9.1999999999999993</v>
      </c>
      <c r="AX1631" s="2">
        <v>18.3</v>
      </c>
      <c r="AY1631" s="2">
        <v>0.34</v>
      </c>
      <c r="AZ1631" s="2">
        <v>7.3</v>
      </c>
      <c r="BA1631" s="2">
        <v>0.9</v>
      </c>
      <c r="BB1631" s="2">
        <v>7.5</v>
      </c>
      <c r="BC1631" s="2">
        <v>2.9</v>
      </c>
      <c r="BD1631" s="2">
        <f>+AN1631*EXP(-0.0495*Y1631)</f>
        <v>2.110892266554496</v>
      </c>
      <c r="BE1631" s="2">
        <f>+AO1631*EXP(-0.024*Y1631)</f>
        <v>10.242324598548205</v>
      </c>
    </row>
    <row r="1632" spans="1:57" x14ac:dyDescent="0.2">
      <c r="A1632" s="2" t="s">
        <v>1453</v>
      </c>
      <c r="B1632" s="2" t="s">
        <v>19</v>
      </c>
      <c r="C1632" s="2" t="s">
        <v>20</v>
      </c>
      <c r="D1632" s="2" t="s">
        <v>21</v>
      </c>
      <c r="E1632" s="2" t="s">
        <v>83</v>
      </c>
      <c r="F1632" s="2">
        <v>6</v>
      </c>
      <c r="G1632" s="2">
        <v>136</v>
      </c>
      <c r="H1632" s="2">
        <v>3</v>
      </c>
      <c r="I1632" s="2">
        <v>3</v>
      </c>
      <c r="J1632" s="2">
        <v>2</v>
      </c>
      <c r="K1632" s="2" t="s">
        <v>61</v>
      </c>
      <c r="L1632" s="6" t="s">
        <v>113</v>
      </c>
      <c r="M1632" s="5">
        <v>800000000</v>
      </c>
      <c r="N1632" s="2">
        <v>0</v>
      </c>
      <c r="O1632" s="2">
        <v>4.6823079200000004</v>
      </c>
      <c r="P1632" s="2">
        <v>-74.050183869999998</v>
      </c>
      <c r="Q1632" s="2" t="s">
        <v>1454</v>
      </c>
      <c r="R1632" s="2">
        <v>5882352.9409999996</v>
      </c>
      <c r="S1632" s="2">
        <v>0</v>
      </c>
      <c r="T1632" s="2" t="s">
        <v>55</v>
      </c>
      <c r="U1632" s="2" t="s">
        <v>56</v>
      </c>
      <c r="V1632" s="2" t="s">
        <v>28</v>
      </c>
      <c r="W1632" s="2" t="s">
        <v>55</v>
      </c>
      <c r="X1632" s="2" t="s">
        <v>57</v>
      </c>
      <c r="Y1632" s="2">
        <v>3.8149974689925399</v>
      </c>
      <c r="Z1632" s="2">
        <v>4.71035</v>
      </c>
      <c r="AA1632" s="2">
        <v>-74.030416666666696</v>
      </c>
      <c r="AB1632" s="2">
        <v>2570</v>
      </c>
      <c r="AC1632" s="2" t="s">
        <v>31</v>
      </c>
      <c r="AD1632" s="2" t="s">
        <v>58</v>
      </c>
      <c r="AE1632" s="2" t="s">
        <v>33</v>
      </c>
      <c r="AF1632" s="2" t="s">
        <v>34</v>
      </c>
      <c r="AG1632" s="2" t="s">
        <v>81</v>
      </c>
      <c r="AH1632" s="2">
        <v>0.85423862942645201</v>
      </c>
      <c r="AI1632" s="2">
        <v>1.4972600735138999</v>
      </c>
      <c r="AJ1632" s="2">
        <v>0.42256259290641601</v>
      </c>
      <c r="AK1632" s="2">
        <v>5.3079487153273902E-2</v>
      </c>
      <c r="AL1632" s="2">
        <v>0.90162002937326302</v>
      </c>
      <c r="AM1632" s="2">
        <v>15.5</v>
      </c>
      <c r="AN1632" s="2">
        <v>2.4</v>
      </c>
      <c r="AO1632" s="2">
        <v>10.9</v>
      </c>
      <c r="AP1632" s="2">
        <v>564</v>
      </c>
      <c r="AQ1632" s="2">
        <v>68</v>
      </c>
      <c r="AR1632" s="2">
        <v>1.5</v>
      </c>
      <c r="AS1632" s="2">
        <v>135</v>
      </c>
      <c r="AT1632" s="2">
        <v>0</v>
      </c>
      <c r="AU1632" s="2">
        <v>162</v>
      </c>
      <c r="AV1632" s="2">
        <v>9.1</v>
      </c>
      <c r="AW1632" s="2">
        <v>9.1999999999999993</v>
      </c>
      <c r="AX1632" s="2">
        <v>18.3</v>
      </c>
      <c r="AY1632" s="2">
        <v>0.34</v>
      </c>
      <c r="AZ1632" s="2">
        <v>7.3</v>
      </c>
      <c r="BA1632" s="2">
        <v>0.9</v>
      </c>
      <c r="BB1632" s="2">
        <v>7.5</v>
      </c>
      <c r="BC1632" s="2">
        <v>2.9</v>
      </c>
      <c r="BD1632" s="2">
        <f>+AN1632*EXP(-0.0495*Y1632)</f>
        <v>1.9870007929504387</v>
      </c>
      <c r="BE1632" s="2">
        <f>+AO1632*EXP(-0.024*Y1632)</f>
        <v>9.9463221530414092</v>
      </c>
    </row>
    <row r="1633" spans="1:57" x14ac:dyDescent="0.2">
      <c r="A1633" s="2" t="s">
        <v>1044</v>
      </c>
      <c r="B1633" s="2" t="s">
        <v>19</v>
      </c>
      <c r="C1633" s="2" t="s">
        <v>20</v>
      </c>
      <c r="D1633" s="2" t="s">
        <v>21</v>
      </c>
      <c r="E1633" s="2" t="s">
        <v>161</v>
      </c>
      <c r="F1633" s="2">
        <v>6</v>
      </c>
      <c r="G1633" s="2">
        <v>135.76</v>
      </c>
      <c r="H1633" s="2">
        <v>3</v>
      </c>
      <c r="I1633" s="2">
        <v>5</v>
      </c>
      <c r="J1633" s="2">
        <v>2</v>
      </c>
      <c r="K1633" s="2" t="s">
        <v>23</v>
      </c>
      <c r="L1633" s="6" t="s">
        <v>24</v>
      </c>
      <c r="M1633" s="5">
        <v>2711421200</v>
      </c>
      <c r="N1633" s="2">
        <v>0</v>
      </c>
      <c r="O1633" s="2">
        <v>4.6971930000000004</v>
      </c>
      <c r="P1633" s="2">
        <v>-74.052099999999996</v>
      </c>
      <c r="Q1633" s="2" t="s">
        <v>1045</v>
      </c>
      <c r="R1633" s="2">
        <v>19972165.59</v>
      </c>
      <c r="S1633" s="2">
        <v>0</v>
      </c>
      <c r="T1633" s="2" t="s">
        <v>55</v>
      </c>
      <c r="U1633" s="2" t="s">
        <v>56</v>
      </c>
      <c r="V1633" s="2" t="s">
        <v>28</v>
      </c>
      <c r="W1633" s="2" t="s">
        <v>55</v>
      </c>
      <c r="X1633" s="2" t="s">
        <v>57</v>
      </c>
      <c r="Y1633" s="2">
        <v>2.8164312341552802</v>
      </c>
      <c r="Z1633" s="2">
        <v>4.71035</v>
      </c>
      <c r="AA1633" s="2">
        <v>-74.030416666666696</v>
      </c>
      <c r="AB1633" s="2">
        <v>2570</v>
      </c>
      <c r="AC1633" s="2" t="s">
        <v>31</v>
      </c>
      <c r="AD1633" s="2" t="s">
        <v>58</v>
      </c>
      <c r="AE1633" s="2" t="s">
        <v>33</v>
      </c>
      <c r="AF1633" s="2" t="s">
        <v>34</v>
      </c>
      <c r="AG1633" s="2" t="s">
        <v>59</v>
      </c>
      <c r="AH1633" s="2">
        <v>0.3704520231708</v>
      </c>
      <c r="AI1633" s="2">
        <v>2.7029258595346799</v>
      </c>
      <c r="AJ1633" s="2">
        <v>0.497922585731226</v>
      </c>
      <c r="AK1633" s="2">
        <v>0.183439943781117</v>
      </c>
      <c r="AL1633" s="2">
        <v>0.29890318697298801</v>
      </c>
      <c r="AM1633" s="2">
        <v>15.5</v>
      </c>
      <c r="AN1633" s="2">
        <v>2.4</v>
      </c>
      <c r="AO1633" s="2">
        <v>10.9</v>
      </c>
      <c r="AP1633" s="2">
        <v>564</v>
      </c>
      <c r="AQ1633" s="2">
        <v>68</v>
      </c>
      <c r="AR1633" s="2">
        <v>1.5</v>
      </c>
      <c r="AS1633" s="2">
        <v>135</v>
      </c>
      <c r="AT1633" s="2">
        <v>0</v>
      </c>
      <c r="AU1633" s="2">
        <v>162</v>
      </c>
      <c r="AV1633" s="2">
        <v>9.1</v>
      </c>
      <c r="AW1633" s="2">
        <v>9.1999999999999993</v>
      </c>
      <c r="AX1633" s="2">
        <v>18.3</v>
      </c>
      <c r="AY1633" s="2">
        <v>0.34</v>
      </c>
      <c r="AZ1633" s="2">
        <v>7.3</v>
      </c>
      <c r="BA1633" s="2">
        <v>0.9</v>
      </c>
      <c r="BB1633" s="2">
        <v>7.5</v>
      </c>
      <c r="BC1633" s="2">
        <v>2.9</v>
      </c>
      <c r="BD1633" s="2">
        <f>+AN1633*EXP(-0.0495*Y1633)</f>
        <v>2.0876841538460198</v>
      </c>
      <c r="BE1633" s="2">
        <f>+AO1633*EXP(-0.024*Y1633)</f>
        <v>10.187570915927299</v>
      </c>
    </row>
    <row r="1634" spans="1:57" x14ac:dyDescent="0.2">
      <c r="A1634" s="2" t="s">
        <v>3665</v>
      </c>
      <c r="B1634" s="2" t="s">
        <v>19</v>
      </c>
      <c r="C1634" s="2" t="s">
        <v>3245</v>
      </c>
      <c r="D1634" s="2" t="s">
        <v>21</v>
      </c>
      <c r="E1634" s="2" t="s">
        <v>699</v>
      </c>
      <c r="F1634" s="2">
        <v>6</v>
      </c>
      <c r="G1634" s="2">
        <v>135</v>
      </c>
      <c r="H1634" s="2">
        <v>3</v>
      </c>
      <c r="I1634" s="2">
        <v>4</v>
      </c>
      <c r="J1634" s="2">
        <v>2</v>
      </c>
      <c r="K1634" s="2" t="s">
        <v>61</v>
      </c>
      <c r="L1634" s="6" t="s">
        <v>113</v>
      </c>
      <c r="M1634" s="5">
        <v>790000000</v>
      </c>
      <c r="N1634" s="2">
        <v>0</v>
      </c>
      <c r="O1634" s="2">
        <v>4.6892399999999999</v>
      </c>
      <c r="P1634" s="2">
        <v>-74.041390000000007</v>
      </c>
      <c r="Q1634" s="2" t="s">
        <v>3666</v>
      </c>
      <c r="R1634" s="2">
        <v>5851851.852</v>
      </c>
      <c r="S1634" s="2">
        <v>0</v>
      </c>
      <c r="T1634" s="2" t="s">
        <v>55</v>
      </c>
      <c r="U1634" s="2" t="s">
        <v>56</v>
      </c>
      <c r="V1634" s="2" t="s">
        <v>28</v>
      </c>
      <c r="W1634" s="2" t="s">
        <v>55</v>
      </c>
      <c r="X1634" s="2" t="s">
        <v>57</v>
      </c>
      <c r="Y1634" s="2">
        <v>2.6465907827733299</v>
      </c>
      <c r="Z1634" s="2">
        <v>4.71035</v>
      </c>
      <c r="AA1634" s="2">
        <v>-74.030416666666696</v>
      </c>
      <c r="AB1634" s="2">
        <v>2570</v>
      </c>
      <c r="AC1634" s="2" t="s">
        <v>31</v>
      </c>
      <c r="AD1634" s="2" t="s">
        <v>58</v>
      </c>
      <c r="AE1634" s="2" t="s">
        <v>33</v>
      </c>
      <c r="AF1634" s="2" t="s">
        <v>34</v>
      </c>
      <c r="AG1634" s="2" t="s">
        <v>59</v>
      </c>
      <c r="AH1634" s="2">
        <v>1.69151365966886</v>
      </c>
      <c r="AI1634" s="2">
        <v>1.29867756340948</v>
      </c>
      <c r="AJ1634" s="2">
        <v>0.79165771806403895</v>
      </c>
      <c r="AK1634" s="2">
        <v>0.281046144864602</v>
      </c>
      <c r="AL1634" s="2">
        <v>0.108098228229514</v>
      </c>
      <c r="AM1634" s="2">
        <v>15.5</v>
      </c>
      <c r="AN1634" s="2">
        <v>2.4</v>
      </c>
      <c r="AO1634" s="2">
        <v>10.9</v>
      </c>
      <c r="AP1634" s="2">
        <v>564</v>
      </c>
      <c r="AQ1634" s="2">
        <v>68</v>
      </c>
      <c r="AR1634" s="2">
        <v>1.5</v>
      </c>
      <c r="AS1634" s="2">
        <v>135</v>
      </c>
      <c r="AT1634" s="2">
        <v>0</v>
      </c>
      <c r="AU1634" s="2">
        <v>162</v>
      </c>
      <c r="AV1634" s="2">
        <v>9.1</v>
      </c>
      <c r="AW1634" s="2">
        <v>9.1999999999999993</v>
      </c>
      <c r="AX1634" s="2">
        <v>18.3</v>
      </c>
      <c r="AY1634" s="2">
        <v>0.34</v>
      </c>
      <c r="AZ1634" s="2">
        <v>7.3</v>
      </c>
      <c r="BA1634" s="2">
        <v>0.9</v>
      </c>
      <c r="BB1634" s="2">
        <v>7.5</v>
      </c>
      <c r="BC1634" s="2">
        <v>2.9</v>
      </c>
      <c r="BD1634" s="2">
        <f>+AN1634*EXP(-0.0495*Y1634)</f>
        <v>2.1053095134769193</v>
      </c>
      <c r="BE1634" s="2">
        <f>+AO1634*EXP(-0.024*Y1634)</f>
        <v>10.229181944571765</v>
      </c>
    </row>
    <row r="1635" spans="1:57" x14ac:dyDescent="0.2">
      <c r="A1635" s="2" t="s">
        <v>450</v>
      </c>
      <c r="B1635" s="2" t="s">
        <v>19</v>
      </c>
      <c r="C1635" s="2" t="s">
        <v>20</v>
      </c>
      <c r="D1635" s="2" t="s">
        <v>21</v>
      </c>
      <c r="E1635" s="2" t="s">
        <v>128</v>
      </c>
      <c r="F1635" s="2">
        <v>5</v>
      </c>
      <c r="G1635" s="2">
        <v>135</v>
      </c>
      <c r="H1635" s="2">
        <v>3</v>
      </c>
      <c r="I1635" s="2">
        <v>3</v>
      </c>
      <c r="J1635" s="2">
        <v>2</v>
      </c>
      <c r="K1635" s="2" t="s">
        <v>61</v>
      </c>
      <c r="L1635" s="6" t="s">
        <v>66</v>
      </c>
      <c r="M1635" s="5">
        <v>920000000</v>
      </c>
      <c r="N1635" s="2">
        <v>0</v>
      </c>
      <c r="O1635" s="2">
        <v>4.7112302780000004</v>
      </c>
      <c r="P1635" s="2">
        <v>-74.047782900000001</v>
      </c>
      <c r="Q1635" s="2" t="s">
        <v>451</v>
      </c>
      <c r="R1635" s="2">
        <v>6814814.8150000004</v>
      </c>
      <c r="S1635" s="2">
        <v>0</v>
      </c>
      <c r="T1635" s="2" t="s">
        <v>55</v>
      </c>
      <c r="U1635" s="2" t="s">
        <v>56</v>
      </c>
      <c r="V1635" s="2" t="s">
        <v>28</v>
      </c>
      <c r="W1635" s="2" t="s">
        <v>55</v>
      </c>
      <c r="X1635" s="2" t="s">
        <v>57</v>
      </c>
      <c r="Y1635" s="2">
        <v>1.9291601538070999</v>
      </c>
      <c r="Z1635" s="2">
        <v>4.71035</v>
      </c>
      <c r="AA1635" s="2">
        <v>-74.030416666666696</v>
      </c>
      <c r="AB1635" s="2">
        <v>2570</v>
      </c>
      <c r="AC1635" s="2" t="s">
        <v>31</v>
      </c>
      <c r="AD1635" s="2" t="s">
        <v>58</v>
      </c>
      <c r="AE1635" s="2" t="s">
        <v>33</v>
      </c>
      <c r="AF1635" s="2" t="s">
        <v>34</v>
      </c>
      <c r="AG1635" s="2" t="s">
        <v>59</v>
      </c>
      <c r="AH1635" s="2">
        <v>0.64468547188088998</v>
      </c>
      <c r="AI1635" s="2">
        <v>2.5276750222767399</v>
      </c>
      <c r="AJ1635" s="2">
        <v>1.6645006023376001</v>
      </c>
      <c r="AK1635" s="2">
        <v>0.394021734897187</v>
      </c>
      <c r="AL1635" s="2">
        <v>0.16740626042284701</v>
      </c>
      <c r="AM1635" s="2">
        <v>15.5</v>
      </c>
      <c r="AN1635" s="2">
        <v>2.4</v>
      </c>
      <c r="AO1635" s="2">
        <v>10.9</v>
      </c>
      <c r="AP1635" s="2">
        <v>564</v>
      </c>
      <c r="AQ1635" s="2">
        <v>68</v>
      </c>
      <c r="AR1635" s="2">
        <v>1.5</v>
      </c>
      <c r="AS1635" s="2">
        <v>135</v>
      </c>
      <c r="AT1635" s="2">
        <v>0</v>
      </c>
      <c r="AU1635" s="2">
        <v>162</v>
      </c>
      <c r="AV1635" s="2">
        <v>9.1</v>
      </c>
      <c r="AW1635" s="2">
        <v>9.1999999999999993</v>
      </c>
      <c r="AX1635" s="2">
        <v>18.3</v>
      </c>
      <c r="AY1635" s="2">
        <v>0.34</v>
      </c>
      <c r="AZ1635" s="2">
        <v>7.3</v>
      </c>
      <c r="BA1635" s="2">
        <v>0.9</v>
      </c>
      <c r="BB1635" s="2">
        <v>7.5</v>
      </c>
      <c r="BC1635" s="2">
        <v>2.9</v>
      </c>
      <c r="BD1635" s="2">
        <f>+AN1635*EXP(-0.0495*Y1635)</f>
        <v>2.1814184050466783</v>
      </c>
      <c r="BE1635" s="2">
        <f>+AO1635*EXP(-0.024*Y1635)</f>
        <v>10.406836495741892</v>
      </c>
    </row>
    <row r="1636" spans="1:57" x14ac:dyDescent="0.2">
      <c r="A1636" s="2" t="s">
        <v>155</v>
      </c>
      <c r="B1636" s="2" t="s">
        <v>19</v>
      </c>
      <c r="C1636" s="2" t="s">
        <v>20</v>
      </c>
      <c r="D1636" s="2" t="s">
        <v>21</v>
      </c>
      <c r="E1636" s="2" t="s">
        <v>156</v>
      </c>
      <c r="F1636" s="2">
        <v>4</v>
      </c>
      <c r="G1636" s="2">
        <v>135</v>
      </c>
      <c r="H1636" s="2">
        <v>4</v>
      </c>
      <c r="I1636" s="2">
        <v>4</v>
      </c>
      <c r="J1636" s="2">
        <v>2</v>
      </c>
      <c r="K1636" s="2" t="s">
        <v>61</v>
      </c>
      <c r="L1636" s="6" t="s">
        <v>75</v>
      </c>
      <c r="M1636" s="5">
        <v>980000000</v>
      </c>
      <c r="N1636" s="2">
        <v>0</v>
      </c>
      <c r="O1636" s="2">
        <v>4.7233907000000004</v>
      </c>
      <c r="P1636" s="2">
        <v>-74.0401636</v>
      </c>
      <c r="Q1636" s="2" t="s">
        <v>157</v>
      </c>
      <c r="R1636" s="2">
        <v>7259259.2589999996</v>
      </c>
      <c r="S1636" s="2">
        <v>0</v>
      </c>
      <c r="T1636" s="2" t="s">
        <v>55</v>
      </c>
      <c r="U1636" s="2" t="s">
        <v>56</v>
      </c>
      <c r="V1636" s="2" t="s">
        <v>28</v>
      </c>
      <c r="W1636" s="2" t="s">
        <v>55</v>
      </c>
      <c r="X1636" s="2" t="s">
        <v>57</v>
      </c>
      <c r="Y1636" s="2">
        <v>1.8101663326758299</v>
      </c>
      <c r="Z1636" s="2">
        <v>4.71035</v>
      </c>
      <c r="AA1636" s="2">
        <v>-74.030416666666696</v>
      </c>
      <c r="AB1636" s="2">
        <v>2570</v>
      </c>
      <c r="AC1636" s="2" t="s">
        <v>31</v>
      </c>
      <c r="AD1636" s="2" t="s">
        <v>58</v>
      </c>
      <c r="AE1636" s="2" t="s">
        <v>33</v>
      </c>
      <c r="AF1636" s="2" t="s">
        <v>34</v>
      </c>
      <c r="AG1636" s="2" t="s">
        <v>59</v>
      </c>
      <c r="AH1636" s="2">
        <v>1.2084663025412301</v>
      </c>
      <c r="AI1636" s="2">
        <v>1.8854762507343401</v>
      </c>
      <c r="AJ1636" s="2">
        <v>1.0493393014841801</v>
      </c>
      <c r="AK1636" s="2">
        <v>0.366065553222717</v>
      </c>
      <c r="AL1636" s="2">
        <v>1.31287125915067E-2</v>
      </c>
      <c r="AM1636" s="2">
        <v>15.5</v>
      </c>
      <c r="AN1636" s="2">
        <v>2.4</v>
      </c>
      <c r="AO1636" s="2">
        <v>10.9</v>
      </c>
      <c r="AP1636" s="2">
        <v>564</v>
      </c>
      <c r="AQ1636" s="2">
        <v>68</v>
      </c>
      <c r="AR1636" s="2">
        <v>1.5</v>
      </c>
      <c r="AS1636" s="2">
        <v>135</v>
      </c>
      <c r="AT1636" s="2">
        <v>0</v>
      </c>
      <c r="AU1636" s="2">
        <v>162</v>
      </c>
      <c r="AV1636" s="2">
        <v>9.1</v>
      </c>
      <c r="AW1636" s="2">
        <v>9.1999999999999993</v>
      </c>
      <c r="AX1636" s="2">
        <v>18.3</v>
      </c>
      <c r="AY1636" s="2">
        <v>0.34</v>
      </c>
      <c r="AZ1636" s="2">
        <v>7.3</v>
      </c>
      <c r="BA1636" s="2">
        <v>0.9</v>
      </c>
      <c r="BB1636" s="2">
        <v>7.5</v>
      </c>
      <c r="BC1636" s="2">
        <v>2.9</v>
      </c>
      <c r="BD1636" s="2">
        <f>+AN1636*EXP(-0.0495*Y1636)</f>
        <v>2.1943052988607565</v>
      </c>
      <c r="BE1636" s="2">
        <f>+AO1636*EXP(-0.024*Y1636)</f>
        <v>10.436599356444018</v>
      </c>
    </row>
    <row r="1637" spans="1:57" x14ac:dyDescent="0.2">
      <c r="A1637" s="2" t="s">
        <v>3222</v>
      </c>
      <c r="B1637" s="2" t="s">
        <v>19</v>
      </c>
      <c r="C1637" s="2" t="s">
        <v>1907</v>
      </c>
      <c r="D1637" s="2" t="s">
        <v>21</v>
      </c>
      <c r="E1637" s="2" t="s">
        <v>2034</v>
      </c>
      <c r="F1637" s="2">
        <v>4</v>
      </c>
      <c r="G1637" s="2">
        <v>135</v>
      </c>
      <c r="H1637" s="2">
        <v>3</v>
      </c>
      <c r="I1637" s="2">
        <v>3</v>
      </c>
      <c r="J1637" s="2">
        <v>2</v>
      </c>
      <c r="K1637" s="2" t="s">
        <v>61</v>
      </c>
      <c r="L1637" s="6" t="s">
        <v>113</v>
      </c>
      <c r="M1637" s="5">
        <v>700000000</v>
      </c>
      <c r="N1637" s="2">
        <v>0</v>
      </c>
      <c r="O1637" s="2">
        <v>4.7214499999999999</v>
      </c>
      <c r="P1637" s="2">
        <v>-74.029300000000006</v>
      </c>
      <c r="Q1637" s="2" t="s">
        <v>3223</v>
      </c>
      <c r="R1637" s="2">
        <v>5185185.1849999996</v>
      </c>
      <c r="S1637" s="2">
        <v>0</v>
      </c>
      <c r="T1637" s="2" t="s">
        <v>55</v>
      </c>
      <c r="U1637" s="2" t="s">
        <v>56</v>
      </c>
      <c r="V1637" s="2" t="s">
        <v>28</v>
      </c>
      <c r="W1637" s="2" t="s">
        <v>55</v>
      </c>
      <c r="X1637" s="2" t="s">
        <v>57</v>
      </c>
      <c r="Y1637" s="2">
        <v>1.24184122269613</v>
      </c>
      <c r="Z1637" s="2">
        <v>4.71035</v>
      </c>
      <c r="AA1637" s="2">
        <v>-74.030416666666696</v>
      </c>
      <c r="AB1637" s="2">
        <v>2570</v>
      </c>
      <c r="AC1637" s="2" t="s">
        <v>31</v>
      </c>
      <c r="AD1637" s="2" t="s">
        <v>58</v>
      </c>
      <c r="AE1637" s="2" t="s">
        <v>33</v>
      </c>
      <c r="AF1637" s="2" t="s">
        <v>34</v>
      </c>
      <c r="AG1637" s="2" t="s">
        <v>59</v>
      </c>
      <c r="AH1637" s="2">
        <v>2.4254470167657498</v>
      </c>
      <c r="AI1637" s="2">
        <v>0.66479506576331104</v>
      </c>
      <c r="AJ1637" s="2">
        <v>1.24465129156567</v>
      </c>
      <c r="AK1637" s="2">
        <v>0.20819903942780599</v>
      </c>
      <c r="AL1637" s="2">
        <v>3.1215897145354998E-2</v>
      </c>
      <c r="AM1637" s="2">
        <v>15.5</v>
      </c>
      <c r="AN1637" s="2">
        <v>2.4</v>
      </c>
      <c r="AO1637" s="2">
        <v>10.9</v>
      </c>
      <c r="AP1637" s="2">
        <v>564</v>
      </c>
      <c r="AQ1637" s="2">
        <v>68</v>
      </c>
      <c r="AR1637" s="2">
        <v>1.5</v>
      </c>
      <c r="AS1637" s="2">
        <v>135</v>
      </c>
      <c r="AT1637" s="2">
        <v>0</v>
      </c>
      <c r="AU1637" s="2">
        <v>162</v>
      </c>
      <c r="AV1637" s="2">
        <v>9.1</v>
      </c>
      <c r="AW1637" s="2">
        <v>9.1999999999999993</v>
      </c>
      <c r="AX1637" s="2">
        <v>18.3</v>
      </c>
      <c r="AY1637" s="2">
        <v>0.34</v>
      </c>
      <c r="AZ1637" s="2">
        <v>7.3</v>
      </c>
      <c r="BA1637" s="2">
        <v>0.9</v>
      </c>
      <c r="BB1637" s="2">
        <v>7.5</v>
      </c>
      <c r="BC1637" s="2">
        <v>2.9</v>
      </c>
      <c r="BD1637" s="2">
        <f>+AN1637*EXP(-0.0495*Y1637)</f>
        <v>2.2569122021395351</v>
      </c>
      <c r="BE1637" s="2">
        <f>+AO1637*EXP(-0.024*Y1637)</f>
        <v>10.579927775455836</v>
      </c>
    </row>
    <row r="1638" spans="1:57" x14ac:dyDescent="0.2">
      <c r="A1638" s="2" t="s">
        <v>385</v>
      </c>
      <c r="B1638" s="2" t="s">
        <v>19</v>
      </c>
      <c r="C1638" s="2" t="s">
        <v>20</v>
      </c>
      <c r="D1638" s="2" t="s">
        <v>21</v>
      </c>
      <c r="E1638" s="2" t="s">
        <v>164</v>
      </c>
      <c r="F1638" s="2">
        <v>6</v>
      </c>
      <c r="G1638" s="2">
        <v>134.41999999999999</v>
      </c>
      <c r="H1638" s="2">
        <v>3</v>
      </c>
      <c r="I1638" s="2">
        <v>3</v>
      </c>
      <c r="J1638" s="2">
        <v>2</v>
      </c>
      <c r="K1638" s="2" t="s">
        <v>61</v>
      </c>
      <c r="L1638" s="6" t="s">
        <v>66</v>
      </c>
      <c r="M1638" s="5">
        <v>1100000000</v>
      </c>
      <c r="N1638" s="2">
        <v>0</v>
      </c>
      <c r="O1638" s="2">
        <v>4.6979193690000001</v>
      </c>
      <c r="P1638" s="2">
        <v>-74.039695739999999</v>
      </c>
      <c r="Q1638" s="2" t="s">
        <v>386</v>
      </c>
      <c r="R1638" s="2">
        <v>8183306.0559999999</v>
      </c>
      <c r="S1638" s="2">
        <v>0</v>
      </c>
      <c r="T1638" s="2" t="s">
        <v>55</v>
      </c>
      <c r="U1638" s="2" t="s">
        <v>56</v>
      </c>
      <c r="V1638" s="2" t="s">
        <v>28</v>
      </c>
      <c r="W1638" s="2" t="s">
        <v>55</v>
      </c>
      <c r="X1638" s="2" t="s">
        <v>57</v>
      </c>
      <c r="Y1638" s="2">
        <v>1.72470753122002</v>
      </c>
      <c r="Z1638" s="2">
        <v>4.71035</v>
      </c>
      <c r="AA1638" s="2">
        <v>-74.030416666666696</v>
      </c>
      <c r="AB1638" s="2">
        <v>2570</v>
      </c>
      <c r="AC1638" s="2" t="s">
        <v>31</v>
      </c>
      <c r="AD1638" s="2" t="s">
        <v>58</v>
      </c>
      <c r="AE1638" s="2" t="s">
        <v>33</v>
      </c>
      <c r="AF1638" s="2" t="s">
        <v>34</v>
      </c>
      <c r="AG1638" s="2" t="s">
        <v>59</v>
      </c>
      <c r="AH1638" s="2">
        <v>1.7312927293573701</v>
      </c>
      <c r="AI1638" s="2">
        <v>1.5329287055970999</v>
      </c>
      <c r="AJ1638" s="2">
        <v>0.88614865074614502</v>
      </c>
      <c r="AK1638" s="2">
        <v>4.8557280425766201E-2</v>
      </c>
      <c r="AL1638" s="2">
        <v>2.1329371519383598E-2</v>
      </c>
      <c r="AM1638" s="2">
        <v>15.5</v>
      </c>
      <c r="AN1638" s="2">
        <v>2.4</v>
      </c>
      <c r="AO1638" s="2">
        <v>10.9</v>
      </c>
      <c r="AP1638" s="2">
        <v>564</v>
      </c>
      <c r="AQ1638" s="2">
        <v>68</v>
      </c>
      <c r="AR1638" s="2">
        <v>1.5</v>
      </c>
      <c r="AS1638" s="2">
        <v>135</v>
      </c>
      <c r="AT1638" s="2">
        <v>0</v>
      </c>
      <c r="AU1638" s="2">
        <v>162</v>
      </c>
      <c r="AV1638" s="2">
        <v>9.1</v>
      </c>
      <c r="AW1638" s="2">
        <v>9.1999999999999993</v>
      </c>
      <c r="AX1638" s="2">
        <v>18.3</v>
      </c>
      <c r="AY1638" s="2">
        <v>0.34</v>
      </c>
      <c r="AZ1638" s="2">
        <v>7.3</v>
      </c>
      <c r="BA1638" s="2">
        <v>0.9</v>
      </c>
      <c r="BB1638" s="2">
        <v>7.5</v>
      </c>
      <c r="BC1638" s="2">
        <v>2.9</v>
      </c>
      <c r="BD1638" s="2">
        <f>+AN1638*EXP(-0.0495*Y1638)</f>
        <v>2.2036073334653801</v>
      </c>
      <c r="BE1638" s="2">
        <f>+AO1638*EXP(-0.024*Y1638)</f>
        <v>10.458026905539102</v>
      </c>
    </row>
    <row r="1639" spans="1:57" x14ac:dyDescent="0.2">
      <c r="A1639" s="2" t="s">
        <v>786</v>
      </c>
      <c r="B1639" s="2" t="s">
        <v>19</v>
      </c>
      <c r="C1639" s="2" t="s">
        <v>20</v>
      </c>
      <c r="D1639" s="2" t="s">
        <v>21</v>
      </c>
      <c r="E1639" s="2" t="s">
        <v>141</v>
      </c>
      <c r="F1639" s="2">
        <v>4</v>
      </c>
      <c r="G1639" s="2">
        <v>133</v>
      </c>
      <c r="H1639" s="2">
        <v>3</v>
      </c>
      <c r="I1639" s="2">
        <v>4</v>
      </c>
      <c r="J1639" s="2">
        <v>2</v>
      </c>
      <c r="K1639" s="2" t="s">
        <v>61</v>
      </c>
      <c r="L1639" s="6" t="s">
        <v>75</v>
      </c>
      <c r="M1639" s="5">
        <v>1100000000</v>
      </c>
      <c r="N1639" s="2">
        <v>0</v>
      </c>
      <c r="O1639" s="2">
        <v>4.6873251329999999</v>
      </c>
      <c r="P1639" s="2">
        <v>-74.043059779999993</v>
      </c>
      <c r="Q1639" s="2" t="s">
        <v>787</v>
      </c>
      <c r="R1639" s="2">
        <v>8270676.6919999998</v>
      </c>
      <c r="S1639" s="2">
        <v>0</v>
      </c>
      <c r="T1639" s="2" t="s">
        <v>55</v>
      </c>
      <c r="U1639" s="2" t="s">
        <v>56</v>
      </c>
      <c r="V1639" s="2" t="s">
        <v>28</v>
      </c>
      <c r="W1639" s="2" t="s">
        <v>55</v>
      </c>
      <c r="X1639" s="2" t="s">
        <v>57</v>
      </c>
      <c r="Y1639" s="2">
        <v>2.9218347487072198</v>
      </c>
      <c r="Z1639" s="2">
        <v>4.71035</v>
      </c>
      <c r="AA1639" s="2">
        <v>-74.030416666666696</v>
      </c>
      <c r="AB1639" s="2">
        <v>2570</v>
      </c>
      <c r="AC1639" s="2" t="s">
        <v>31</v>
      </c>
      <c r="AD1639" s="2" t="s">
        <v>58</v>
      </c>
      <c r="AE1639" s="2" t="s">
        <v>33</v>
      </c>
      <c r="AF1639" s="2" t="s">
        <v>34</v>
      </c>
      <c r="AG1639" s="2" t="s">
        <v>59</v>
      </c>
      <c r="AH1639" s="2">
        <v>1.5836669085339301</v>
      </c>
      <c r="AI1639" s="2">
        <v>1.22275230301417</v>
      </c>
      <c r="AJ1639" s="2">
        <v>0.68877794167694095</v>
      </c>
      <c r="AK1639" s="2">
        <v>5.1718073002576997E-2</v>
      </c>
      <c r="AL1639" s="2">
        <v>0.15417951864111901</v>
      </c>
      <c r="AM1639" s="2">
        <v>15.5</v>
      </c>
      <c r="AN1639" s="2">
        <v>2.4</v>
      </c>
      <c r="AO1639" s="2">
        <v>10.9</v>
      </c>
      <c r="AP1639" s="2">
        <v>564</v>
      </c>
      <c r="AQ1639" s="2">
        <v>68</v>
      </c>
      <c r="AR1639" s="2">
        <v>1.5</v>
      </c>
      <c r="AS1639" s="2">
        <v>135</v>
      </c>
      <c r="AT1639" s="2">
        <v>0</v>
      </c>
      <c r="AU1639" s="2">
        <v>162</v>
      </c>
      <c r="AV1639" s="2">
        <v>9.1</v>
      </c>
      <c r="AW1639" s="2">
        <v>9.1999999999999993</v>
      </c>
      <c r="AX1639" s="2">
        <v>18.3</v>
      </c>
      <c r="AY1639" s="2">
        <v>0.34</v>
      </c>
      <c r="AZ1639" s="2">
        <v>7.3</v>
      </c>
      <c r="BA1639" s="2">
        <v>0.9</v>
      </c>
      <c r="BB1639" s="2">
        <v>7.5</v>
      </c>
      <c r="BC1639" s="2">
        <v>2.9</v>
      </c>
      <c r="BD1639" s="2">
        <f>+AN1639*EXP(-0.0495*Y1639)</f>
        <v>2.0768200822655842</v>
      </c>
      <c r="BE1639" s="2">
        <f>+AO1639*EXP(-0.024*Y1639)</f>
        <v>10.161832146431468</v>
      </c>
    </row>
    <row r="1640" spans="1:57" x14ac:dyDescent="0.2">
      <c r="A1640" s="2" t="s">
        <v>1886</v>
      </c>
      <c r="B1640" s="2" t="s">
        <v>19</v>
      </c>
      <c r="C1640" s="2" t="s">
        <v>20</v>
      </c>
      <c r="D1640" s="2" t="s">
        <v>21</v>
      </c>
      <c r="E1640" s="2" t="s">
        <v>288</v>
      </c>
      <c r="F1640" s="2">
        <v>5</v>
      </c>
      <c r="G1640" s="2">
        <v>133</v>
      </c>
      <c r="H1640" s="2">
        <v>3</v>
      </c>
      <c r="I1640" s="2">
        <v>3</v>
      </c>
      <c r="J1640" s="2">
        <v>1</v>
      </c>
      <c r="K1640" s="2" t="s">
        <v>61</v>
      </c>
      <c r="L1640" s="6" t="s">
        <v>62</v>
      </c>
      <c r="M1640" s="5">
        <v>1250000000</v>
      </c>
      <c r="N1640" s="2">
        <v>0</v>
      </c>
      <c r="O1640" s="2">
        <v>4.7015619940000004</v>
      </c>
      <c r="P1640" s="2">
        <v>-74.053612119999997</v>
      </c>
      <c r="Q1640" s="2" t="s">
        <v>1887</v>
      </c>
      <c r="R1640" s="2">
        <v>9398496.2410000004</v>
      </c>
      <c r="S1640" s="2">
        <v>0</v>
      </c>
      <c r="T1640" s="2" t="s">
        <v>55</v>
      </c>
      <c r="U1640" s="2" t="s">
        <v>56</v>
      </c>
      <c r="V1640" s="2" t="s">
        <v>28</v>
      </c>
      <c r="W1640" s="2" t="s">
        <v>55</v>
      </c>
      <c r="X1640" s="2" t="s">
        <v>57</v>
      </c>
      <c r="Y1640" s="2">
        <v>2.7530745523073601</v>
      </c>
      <c r="Z1640" s="2">
        <v>4.71035</v>
      </c>
      <c r="AA1640" s="2">
        <v>-74.030416666666696</v>
      </c>
      <c r="AB1640" s="2">
        <v>2570</v>
      </c>
      <c r="AC1640" s="2" t="s">
        <v>31</v>
      </c>
      <c r="AD1640" s="2" t="s">
        <v>58</v>
      </c>
      <c r="AE1640" s="2" t="s">
        <v>33</v>
      </c>
      <c r="AF1640" s="2" t="s">
        <v>34</v>
      </c>
      <c r="AG1640" s="2" t="s">
        <v>59</v>
      </c>
      <c r="AH1640" s="2">
        <v>0.34684202445818801</v>
      </c>
      <c r="AI1640" s="2">
        <v>3.0885465237028802</v>
      </c>
      <c r="AJ1640" s="2">
        <v>1.0044609318419899</v>
      </c>
      <c r="AK1640" s="2">
        <v>8.4120263961578498E-2</v>
      </c>
      <c r="AL1640" s="2">
        <v>0.105480422728044</v>
      </c>
      <c r="AM1640" s="2">
        <v>15.5</v>
      </c>
      <c r="AN1640" s="2">
        <v>2.4</v>
      </c>
      <c r="AO1640" s="2">
        <v>10.9</v>
      </c>
      <c r="AP1640" s="2">
        <v>564</v>
      </c>
      <c r="AQ1640" s="2">
        <v>68</v>
      </c>
      <c r="AR1640" s="2">
        <v>1.5</v>
      </c>
      <c r="AS1640" s="2">
        <v>135</v>
      </c>
      <c r="AT1640" s="2">
        <v>0</v>
      </c>
      <c r="AU1640" s="2">
        <v>162</v>
      </c>
      <c r="AV1640" s="2">
        <v>9.1</v>
      </c>
      <c r="AW1640" s="2">
        <v>9.1999999999999993</v>
      </c>
      <c r="AX1640" s="2">
        <v>18.3</v>
      </c>
      <c r="AY1640" s="2">
        <v>0.34</v>
      </c>
      <c r="AZ1640" s="2">
        <v>7.3</v>
      </c>
      <c r="BA1640" s="2">
        <v>0.9</v>
      </c>
      <c r="BB1640" s="2">
        <v>7.5</v>
      </c>
      <c r="BC1640" s="2">
        <v>2.9</v>
      </c>
      <c r="BD1640" s="2">
        <f>+AN1640*EXP(-0.0495*Y1640)</f>
        <v>2.0942417339338744</v>
      </c>
      <c r="BE1640" s="2">
        <f>+AO1640*EXP(-0.024*Y1640)</f>
        <v>10.203073515803554</v>
      </c>
    </row>
    <row r="1641" spans="1:57" x14ac:dyDescent="0.2">
      <c r="A1641" s="2" t="s">
        <v>982</v>
      </c>
      <c r="B1641" s="2" t="s">
        <v>19</v>
      </c>
      <c r="C1641" s="2" t="s">
        <v>20</v>
      </c>
      <c r="D1641" s="2" t="s">
        <v>21</v>
      </c>
      <c r="E1641" s="2" t="s">
        <v>983</v>
      </c>
      <c r="F1641" s="2">
        <v>5</v>
      </c>
      <c r="G1641" s="2">
        <v>133</v>
      </c>
      <c r="H1641" s="2">
        <v>3</v>
      </c>
      <c r="I1641" s="2">
        <v>4</v>
      </c>
      <c r="J1641" s="2">
        <v>2</v>
      </c>
      <c r="K1641" s="2" t="s">
        <v>61</v>
      </c>
      <c r="L1641" s="6" t="s">
        <v>113</v>
      </c>
      <c r="M1641" s="5">
        <v>630000000</v>
      </c>
      <c r="N1641" s="2">
        <v>0</v>
      </c>
      <c r="O1641" s="2">
        <v>4.7193355559999999</v>
      </c>
      <c r="P1641" s="2">
        <v>-74.043083190000004</v>
      </c>
      <c r="Q1641" s="2" t="s">
        <v>984</v>
      </c>
      <c r="R1641" s="2">
        <v>4736842.1050000004</v>
      </c>
      <c r="S1641" s="2">
        <v>0</v>
      </c>
      <c r="T1641" s="2" t="s">
        <v>55</v>
      </c>
      <c r="U1641" s="2" t="s">
        <v>56</v>
      </c>
      <c r="V1641" s="2" t="s">
        <v>28</v>
      </c>
      <c r="W1641" s="2" t="s">
        <v>55</v>
      </c>
      <c r="X1641" s="2" t="s">
        <v>57</v>
      </c>
      <c r="Y1641" s="2">
        <v>1.7249027624448601</v>
      </c>
      <c r="Z1641" s="2">
        <v>4.71035</v>
      </c>
      <c r="AA1641" s="2">
        <v>-74.030416666666696</v>
      </c>
      <c r="AB1641" s="2">
        <v>2570</v>
      </c>
      <c r="AC1641" s="2" t="s">
        <v>31</v>
      </c>
      <c r="AD1641" s="2" t="s">
        <v>58</v>
      </c>
      <c r="AE1641" s="2" t="s">
        <v>33</v>
      </c>
      <c r="AF1641" s="2" t="s">
        <v>34</v>
      </c>
      <c r="AG1641" s="2" t="s">
        <v>59</v>
      </c>
      <c r="AH1641" s="2">
        <v>0.95027199340591295</v>
      </c>
      <c r="AI1641" s="2">
        <v>2.1649500519410698</v>
      </c>
      <c r="AJ1641" s="2">
        <v>1.48571867651709</v>
      </c>
      <c r="AK1641" s="2">
        <v>0.26299698908337799</v>
      </c>
      <c r="AL1641" s="2">
        <v>0.303587385944809</v>
      </c>
      <c r="AM1641" s="2">
        <v>15.5</v>
      </c>
      <c r="AN1641" s="2">
        <v>2.4</v>
      </c>
      <c r="AO1641" s="2">
        <v>10.9</v>
      </c>
      <c r="AP1641" s="2">
        <v>564</v>
      </c>
      <c r="AQ1641" s="2">
        <v>68</v>
      </c>
      <c r="AR1641" s="2">
        <v>1.5</v>
      </c>
      <c r="AS1641" s="2">
        <v>135</v>
      </c>
      <c r="AT1641" s="2">
        <v>0</v>
      </c>
      <c r="AU1641" s="2">
        <v>162</v>
      </c>
      <c r="AV1641" s="2">
        <v>9.1</v>
      </c>
      <c r="AW1641" s="2">
        <v>9.1999999999999993</v>
      </c>
      <c r="AX1641" s="2">
        <v>18.3</v>
      </c>
      <c r="AY1641" s="2">
        <v>0.34</v>
      </c>
      <c r="AZ1641" s="2">
        <v>7.3</v>
      </c>
      <c r="BA1641" s="2">
        <v>0.9</v>
      </c>
      <c r="BB1641" s="2">
        <v>7.5</v>
      </c>
      <c r="BC1641" s="2">
        <v>2.9</v>
      </c>
      <c r="BD1641" s="2">
        <f>+AN1641*EXP(-0.0495*Y1641)</f>
        <v>2.2035860380268195</v>
      </c>
      <c r="BE1641" s="2">
        <f>+AO1641*EXP(-0.024*Y1641)</f>
        <v>10.45797790405225</v>
      </c>
    </row>
    <row r="1642" spans="1:57" x14ac:dyDescent="0.2">
      <c r="A1642" s="2" t="s">
        <v>655</v>
      </c>
      <c r="B1642" s="2" t="s">
        <v>19</v>
      </c>
      <c r="C1642" s="2" t="s">
        <v>20</v>
      </c>
      <c r="D1642" s="2" t="s">
        <v>21</v>
      </c>
      <c r="E1642" s="2" t="s">
        <v>161</v>
      </c>
      <c r="F1642" s="2">
        <v>6</v>
      </c>
      <c r="G1642" s="2">
        <v>132</v>
      </c>
      <c r="H1642" s="2">
        <v>3</v>
      </c>
      <c r="I1642" s="2">
        <v>4</v>
      </c>
      <c r="J1642" s="2">
        <v>3</v>
      </c>
      <c r="K1642" s="2" t="s">
        <v>61</v>
      </c>
      <c r="L1642" s="6" t="s">
        <v>113</v>
      </c>
      <c r="M1642" s="5">
        <v>860000000</v>
      </c>
      <c r="N1642" s="2">
        <v>0</v>
      </c>
      <c r="O1642" s="2">
        <v>4.6975332889999999</v>
      </c>
      <c r="P1642" s="2">
        <v>-74.048455340000004</v>
      </c>
      <c r="Q1642" s="2" t="s">
        <v>656</v>
      </c>
      <c r="R1642" s="2">
        <v>6515151.5149999997</v>
      </c>
      <c r="S1642" s="2">
        <v>0</v>
      </c>
      <c r="T1642" s="2" t="s">
        <v>55</v>
      </c>
      <c r="U1642" s="2" t="s">
        <v>56</v>
      </c>
      <c r="V1642" s="2" t="s">
        <v>28</v>
      </c>
      <c r="W1642" s="2" t="s">
        <v>55</v>
      </c>
      <c r="X1642" s="2" t="s">
        <v>57</v>
      </c>
      <c r="Y1642" s="2">
        <v>2.4578009769548301</v>
      </c>
      <c r="Z1642" s="2">
        <v>4.71035</v>
      </c>
      <c r="AA1642" s="2">
        <v>-74.030416666666696</v>
      </c>
      <c r="AB1642" s="2">
        <v>2570</v>
      </c>
      <c r="AC1642" s="2" t="s">
        <v>31</v>
      </c>
      <c r="AD1642" s="2" t="s">
        <v>58</v>
      </c>
      <c r="AE1642" s="2" t="s">
        <v>33</v>
      </c>
      <c r="AF1642" s="2" t="s">
        <v>34</v>
      </c>
      <c r="AG1642" s="2" t="s">
        <v>59</v>
      </c>
      <c r="AH1642" s="2">
        <v>0.76272370340840201</v>
      </c>
      <c r="AI1642" s="2">
        <v>2.4871727627526501</v>
      </c>
      <c r="AJ1642" s="2">
        <v>0.49343953000935997</v>
      </c>
      <c r="AK1642" s="2">
        <v>0.136098868344149</v>
      </c>
      <c r="AL1642" s="2">
        <v>0.33354627603675902</v>
      </c>
      <c r="AM1642" s="2">
        <v>15.5</v>
      </c>
      <c r="AN1642" s="2">
        <v>2.4</v>
      </c>
      <c r="AO1642" s="2">
        <v>10.9</v>
      </c>
      <c r="AP1642" s="2">
        <v>564</v>
      </c>
      <c r="AQ1642" s="2">
        <v>68</v>
      </c>
      <c r="AR1642" s="2">
        <v>1.5</v>
      </c>
      <c r="AS1642" s="2">
        <v>135</v>
      </c>
      <c r="AT1642" s="2">
        <v>0</v>
      </c>
      <c r="AU1642" s="2">
        <v>162</v>
      </c>
      <c r="AV1642" s="2">
        <v>9.1</v>
      </c>
      <c r="AW1642" s="2">
        <v>9.1999999999999993</v>
      </c>
      <c r="AX1642" s="2">
        <v>18.3</v>
      </c>
      <c r="AY1642" s="2">
        <v>0.34</v>
      </c>
      <c r="AZ1642" s="2">
        <v>7.3</v>
      </c>
      <c r="BA1642" s="2">
        <v>0.9</v>
      </c>
      <c r="BB1642" s="2">
        <v>7.5</v>
      </c>
      <c r="BC1642" s="2">
        <v>2.9</v>
      </c>
      <c r="BD1642" s="2">
        <f>+AN1642*EXP(-0.0495*Y1642)</f>
        <v>2.1250760479245341</v>
      </c>
      <c r="BE1642" s="2">
        <f>+AO1642*EXP(-0.024*Y1642)</f>
        <v>10.27563507017064</v>
      </c>
    </row>
    <row r="1643" spans="1:57" x14ac:dyDescent="0.2">
      <c r="A1643" s="2" t="s">
        <v>1838</v>
      </c>
      <c r="B1643" s="2" t="s">
        <v>19</v>
      </c>
      <c r="C1643" s="2" t="s">
        <v>20</v>
      </c>
      <c r="D1643" s="2" t="s">
        <v>21</v>
      </c>
      <c r="E1643" s="2" t="s">
        <v>161</v>
      </c>
      <c r="F1643" s="2">
        <v>6</v>
      </c>
      <c r="G1643" s="2">
        <v>132</v>
      </c>
      <c r="H1643" s="2">
        <v>3</v>
      </c>
      <c r="I1643" s="2">
        <v>4</v>
      </c>
      <c r="J1643" s="2">
        <v>3</v>
      </c>
      <c r="K1643" s="2" t="s">
        <v>61</v>
      </c>
      <c r="L1643" s="6" t="s">
        <v>113</v>
      </c>
      <c r="M1643" s="5">
        <v>821300000</v>
      </c>
      <c r="N1643" s="2">
        <v>0</v>
      </c>
      <c r="O1643" s="2">
        <v>4.6976522000000003</v>
      </c>
      <c r="P1643" s="2">
        <v>-74.048423</v>
      </c>
      <c r="Q1643" s="2" t="s">
        <v>1839</v>
      </c>
      <c r="R1643" s="2">
        <v>6221969.6969999997</v>
      </c>
      <c r="S1643" s="2">
        <v>0</v>
      </c>
      <c r="T1643" s="2" t="s">
        <v>55</v>
      </c>
      <c r="U1643" s="2" t="s">
        <v>56</v>
      </c>
      <c r="V1643" s="2" t="s">
        <v>28</v>
      </c>
      <c r="W1643" s="2" t="s">
        <v>55</v>
      </c>
      <c r="X1643" s="2" t="s">
        <v>57</v>
      </c>
      <c r="Y1643" s="2">
        <v>2.4472106375673301</v>
      </c>
      <c r="Z1643" s="2">
        <v>4.71035</v>
      </c>
      <c r="AA1643" s="2">
        <v>-74.030416666666696</v>
      </c>
      <c r="AB1643" s="2">
        <v>2570</v>
      </c>
      <c r="AC1643" s="2" t="s">
        <v>31</v>
      </c>
      <c r="AD1643" s="2" t="s">
        <v>58</v>
      </c>
      <c r="AE1643" s="2" t="s">
        <v>33</v>
      </c>
      <c r="AF1643" s="2" t="s">
        <v>34</v>
      </c>
      <c r="AG1643" s="2" t="s">
        <v>59</v>
      </c>
      <c r="AH1643" s="2">
        <v>0.76528324786608004</v>
      </c>
      <c r="AI1643" s="2">
        <v>2.4961639338831501</v>
      </c>
      <c r="AJ1643" s="2">
        <v>0.50704276054478203</v>
      </c>
      <c r="AK1643" s="2">
        <v>0.12275541340341301</v>
      </c>
      <c r="AL1643" s="2">
        <v>0.34700604162399201</v>
      </c>
      <c r="AM1643" s="2">
        <v>15.5</v>
      </c>
      <c r="AN1643" s="2">
        <v>2.4</v>
      </c>
      <c r="AO1643" s="2">
        <v>10.9</v>
      </c>
      <c r="AP1643" s="2">
        <v>564</v>
      </c>
      <c r="AQ1643" s="2">
        <v>68</v>
      </c>
      <c r="AR1643" s="2">
        <v>1.5</v>
      </c>
      <c r="AS1643" s="2">
        <v>135</v>
      </c>
      <c r="AT1643" s="2">
        <v>0</v>
      </c>
      <c r="AU1643" s="2">
        <v>162</v>
      </c>
      <c r="AV1643" s="2">
        <v>9.1</v>
      </c>
      <c r="AW1643" s="2">
        <v>9.1999999999999993</v>
      </c>
      <c r="AX1643" s="2">
        <v>18.3</v>
      </c>
      <c r="AY1643" s="2">
        <v>0.34</v>
      </c>
      <c r="AZ1643" s="2">
        <v>7.3</v>
      </c>
      <c r="BA1643" s="2">
        <v>0.9</v>
      </c>
      <c r="BB1643" s="2">
        <v>7.5</v>
      </c>
      <c r="BC1643" s="2">
        <v>2.9</v>
      </c>
      <c r="BD1643" s="2">
        <f>+AN1643*EXP(-0.0495*Y1643)</f>
        <v>2.1261903511603424</v>
      </c>
      <c r="BE1643" s="2">
        <f>+AO1643*EXP(-0.024*Y1643)</f>
        <v>10.278247141216768</v>
      </c>
    </row>
    <row r="1644" spans="1:57" x14ac:dyDescent="0.2">
      <c r="A1644" s="2" t="s">
        <v>1551</v>
      </c>
      <c r="B1644" s="2" t="s">
        <v>19</v>
      </c>
      <c r="C1644" s="2" t="s">
        <v>20</v>
      </c>
      <c r="D1644" s="2" t="s">
        <v>21</v>
      </c>
      <c r="E1644" s="2" t="s">
        <v>53</v>
      </c>
      <c r="F1644" s="2">
        <v>6</v>
      </c>
      <c r="G1644" s="2">
        <v>132</v>
      </c>
      <c r="H1644" s="2">
        <v>3</v>
      </c>
      <c r="I1644" s="2">
        <v>4</v>
      </c>
      <c r="J1644" s="2">
        <v>2</v>
      </c>
      <c r="K1644" s="2" t="s">
        <v>61</v>
      </c>
      <c r="L1644" s="6" t="s">
        <v>113</v>
      </c>
      <c r="M1644" s="5">
        <v>900000000</v>
      </c>
      <c r="N1644" s="2">
        <v>0</v>
      </c>
      <c r="O1644" s="2">
        <v>4.6980873000000001</v>
      </c>
      <c r="P1644" s="2">
        <v>-74.045056000000002</v>
      </c>
      <c r="Q1644" s="2" t="s">
        <v>1552</v>
      </c>
      <c r="R1644" s="2">
        <v>6818181.818</v>
      </c>
      <c r="S1644" s="2">
        <v>0</v>
      </c>
      <c r="T1644" s="2" t="s">
        <v>55</v>
      </c>
      <c r="U1644" s="2" t="s">
        <v>56</v>
      </c>
      <c r="V1644" s="2" t="s">
        <v>28</v>
      </c>
      <c r="W1644" s="2" t="s">
        <v>55</v>
      </c>
      <c r="X1644" s="2" t="s">
        <v>57</v>
      </c>
      <c r="Y1644" s="2">
        <v>2.1216293291001702</v>
      </c>
      <c r="Z1644" s="2">
        <v>4.71035</v>
      </c>
      <c r="AA1644" s="2">
        <v>-74.030416666666696</v>
      </c>
      <c r="AB1644" s="2">
        <v>2570</v>
      </c>
      <c r="AC1644" s="2" t="s">
        <v>31</v>
      </c>
      <c r="AD1644" s="2" t="s">
        <v>58</v>
      </c>
      <c r="AE1644" s="2" t="s">
        <v>33</v>
      </c>
      <c r="AF1644" s="2" t="s">
        <v>34</v>
      </c>
      <c r="AG1644" s="2" t="s">
        <v>59</v>
      </c>
      <c r="AH1644" s="2">
        <v>1.1368165540179</v>
      </c>
      <c r="AI1644" s="2">
        <v>2.1272155161014599</v>
      </c>
      <c r="AJ1644" s="2">
        <v>0.75052567526059699</v>
      </c>
      <c r="AK1644" s="2">
        <v>0.13625946536714401</v>
      </c>
      <c r="AL1644" s="2">
        <v>0.26094409723019202</v>
      </c>
      <c r="AM1644" s="2">
        <v>15.5</v>
      </c>
      <c r="AN1644" s="2">
        <v>2.4</v>
      </c>
      <c r="AO1644" s="2">
        <v>10.9</v>
      </c>
      <c r="AP1644" s="2">
        <v>564</v>
      </c>
      <c r="AQ1644" s="2">
        <v>68</v>
      </c>
      <c r="AR1644" s="2">
        <v>1.5</v>
      </c>
      <c r="AS1644" s="2">
        <v>135</v>
      </c>
      <c r="AT1644" s="2">
        <v>0</v>
      </c>
      <c r="AU1644" s="2">
        <v>162</v>
      </c>
      <c r="AV1644" s="2">
        <v>9.1</v>
      </c>
      <c r="AW1644" s="2">
        <v>9.1999999999999993</v>
      </c>
      <c r="AX1644" s="2">
        <v>18.3</v>
      </c>
      <c r="AY1644" s="2">
        <v>0.34</v>
      </c>
      <c r="AZ1644" s="2">
        <v>7.3</v>
      </c>
      <c r="BA1644" s="2">
        <v>0.9</v>
      </c>
      <c r="BB1644" s="2">
        <v>7.5</v>
      </c>
      <c r="BC1644" s="2">
        <v>2.9</v>
      </c>
      <c r="BD1644" s="2">
        <f>+AN1644*EXP(-0.0495*Y1644)</f>
        <v>2.1607342307156925</v>
      </c>
      <c r="BE1644" s="2">
        <f>+AO1644*EXP(-0.024*Y1644)</f>
        <v>10.358875467551442</v>
      </c>
    </row>
    <row r="1645" spans="1:57" x14ac:dyDescent="0.2">
      <c r="A1645" s="2" t="s">
        <v>341</v>
      </c>
      <c r="B1645" s="2" t="s">
        <v>19</v>
      </c>
      <c r="C1645" s="2" t="s">
        <v>20</v>
      </c>
      <c r="D1645" s="2" t="s">
        <v>21</v>
      </c>
      <c r="E1645" s="2" t="s">
        <v>342</v>
      </c>
      <c r="F1645" s="2">
        <v>5</v>
      </c>
      <c r="G1645" s="2">
        <v>131</v>
      </c>
      <c r="H1645" s="2">
        <v>3</v>
      </c>
      <c r="I1645" s="2">
        <v>3</v>
      </c>
      <c r="J1645" s="2">
        <v>2</v>
      </c>
      <c r="K1645" s="2" t="s">
        <v>61</v>
      </c>
      <c r="L1645" s="6" t="s">
        <v>75</v>
      </c>
      <c r="M1645" s="5">
        <v>960000000</v>
      </c>
      <c r="N1645" s="2">
        <v>0</v>
      </c>
      <c r="O1645" s="2">
        <v>4.7226009370000002</v>
      </c>
      <c r="P1645" s="2">
        <v>-74.048614499999999</v>
      </c>
      <c r="Q1645" s="2" t="s">
        <v>343</v>
      </c>
      <c r="R1645" s="2">
        <v>7328244.2750000004</v>
      </c>
      <c r="S1645" s="2">
        <v>0</v>
      </c>
      <c r="T1645" s="2" t="s">
        <v>55</v>
      </c>
      <c r="U1645" s="2" t="s">
        <v>56</v>
      </c>
      <c r="V1645" s="2" t="s">
        <v>28</v>
      </c>
      <c r="W1645" s="2" t="s">
        <v>55</v>
      </c>
      <c r="X1645" s="2" t="s">
        <v>57</v>
      </c>
      <c r="Y1645" s="2">
        <v>2.43636540700538</v>
      </c>
      <c r="Z1645" s="2">
        <v>4.71035</v>
      </c>
      <c r="AA1645" s="2">
        <v>-74.030416666666696</v>
      </c>
      <c r="AB1645" s="2">
        <v>2570</v>
      </c>
      <c r="AC1645" s="2" t="s">
        <v>31</v>
      </c>
      <c r="AD1645" s="2" t="s">
        <v>58</v>
      </c>
      <c r="AE1645" s="2" t="s">
        <v>33</v>
      </c>
      <c r="AF1645" s="2" t="s">
        <v>34</v>
      </c>
      <c r="AG1645" s="2" t="s">
        <v>59</v>
      </c>
      <c r="AH1645" s="2">
        <v>0.353408817299531</v>
      </c>
      <c r="AI1645" s="2">
        <v>2.7966564294062501</v>
      </c>
      <c r="AJ1645" s="2">
        <v>1.4864431910956499</v>
      </c>
      <c r="AK1645" s="2">
        <v>0.193370889774727</v>
      </c>
      <c r="AL1645" s="2">
        <v>0.21097296803308799</v>
      </c>
      <c r="AM1645" s="2">
        <v>15.5</v>
      </c>
      <c r="AN1645" s="2">
        <v>2.4</v>
      </c>
      <c r="AO1645" s="2">
        <v>10.9</v>
      </c>
      <c r="AP1645" s="2">
        <v>564</v>
      </c>
      <c r="AQ1645" s="2">
        <v>68</v>
      </c>
      <c r="AR1645" s="2">
        <v>1.5</v>
      </c>
      <c r="AS1645" s="2">
        <v>135</v>
      </c>
      <c r="AT1645" s="2">
        <v>0</v>
      </c>
      <c r="AU1645" s="2">
        <v>162</v>
      </c>
      <c r="AV1645" s="2">
        <v>9.1</v>
      </c>
      <c r="AW1645" s="2">
        <v>9.1999999999999993</v>
      </c>
      <c r="AX1645" s="2">
        <v>18.3</v>
      </c>
      <c r="AY1645" s="2">
        <v>0.34</v>
      </c>
      <c r="AZ1645" s="2">
        <v>7.3</v>
      </c>
      <c r="BA1645" s="2">
        <v>0.9</v>
      </c>
      <c r="BB1645" s="2">
        <v>7.5</v>
      </c>
      <c r="BC1645" s="2">
        <v>2.9</v>
      </c>
      <c r="BD1645" s="2">
        <f>+AN1645*EXP(-0.0495*Y1645)</f>
        <v>2.1273320793115298</v>
      </c>
      <c r="BE1645" s="2">
        <f>+AO1645*EXP(-0.024*Y1645)</f>
        <v>10.280922768455655</v>
      </c>
    </row>
    <row r="1646" spans="1:57" x14ac:dyDescent="0.2">
      <c r="A1646" s="2" t="s">
        <v>834</v>
      </c>
      <c r="B1646" s="2" t="s">
        <v>19</v>
      </c>
      <c r="C1646" s="2" t="s">
        <v>20</v>
      </c>
      <c r="D1646" s="2" t="s">
        <v>21</v>
      </c>
      <c r="E1646" s="2" t="s">
        <v>835</v>
      </c>
      <c r="F1646" s="2">
        <v>6</v>
      </c>
      <c r="G1646" s="2">
        <v>130</v>
      </c>
      <c r="H1646" s="2">
        <v>2</v>
      </c>
      <c r="I1646" s="2">
        <v>4</v>
      </c>
      <c r="J1646" s="2">
        <v>2</v>
      </c>
      <c r="K1646" s="2" t="s">
        <v>61</v>
      </c>
      <c r="L1646" s="6" t="s">
        <v>75</v>
      </c>
      <c r="M1646" s="5">
        <v>1330000000</v>
      </c>
      <c r="N1646" s="2">
        <v>0</v>
      </c>
      <c r="O1646" s="2">
        <v>4.6777563100000004</v>
      </c>
      <c r="P1646" s="2">
        <v>-74.042877200000007</v>
      </c>
      <c r="Q1646" s="2" t="s">
        <v>836</v>
      </c>
      <c r="R1646" s="2">
        <v>10230769.23</v>
      </c>
      <c r="S1646" s="2">
        <v>0</v>
      </c>
      <c r="T1646" s="2" t="s">
        <v>55</v>
      </c>
      <c r="U1646" s="2" t="s">
        <v>56</v>
      </c>
      <c r="V1646" s="2" t="s">
        <v>28</v>
      </c>
      <c r="W1646" s="2" t="s">
        <v>55</v>
      </c>
      <c r="X1646" s="2" t="s">
        <v>57</v>
      </c>
      <c r="Y1646" s="2">
        <v>3.88275890564507</v>
      </c>
      <c r="Z1646" s="2">
        <v>4.71035</v>
      </c>
      <c r="AA1646" s="2">
        <v>-74.030416666666696</v>
      </c>
      <c r="AB1646" s="2">
        <v>2570</v>
      </c>
      <c r="AC1646" s="2" t="s">
        <v>31</v>
      </c>
      <c r="AD1646" s="2" t="s">
        <v>58</v>
      </c>
      <c r="AE1646" s="2" t="s">
        <v>33</v>
      </c>
      <c r="AF1646" s="2" t="s">
        <v>34</v>
      </c>
      <c r="AG1646" s="2" t="s">
        <v>81</v>
      </c>
      <c r="AH1646" s="2">
        <v>1.7816273848495801</v>
      </c>
      <c r="AI1646" s="2">
        <v>0.55187750616801001</v>
      </c>
      <c r="AJ1646" s="2">
        <v>0.65322396752175105</v>
      </c>
      <c r="AK1646" s="2">
        <v>0.22640309150346399</v>
      </c>
      <c r="AL1646" s="2">
        <v>1.0857131596971801</v>
      </c>
      <c r="AM1646" s="2">
        <v>15.5</v>
      </c>
      <c r="AN1646" s="2">
        <v>2.4</v>
      </c>
      <c r="AO1646" s="2">
        <v>10.9</v>
      </c>
      <c r="AP1646" s="2">
        <v>564</v>
      </c>
      <c r="AQ1646" s="2">
        <v>68</v>
      </c>
      <c r="AR1646" s="2">
        <v>1.5</v>
      </c>
      <c r="AS1646" s="2">
        <v>135</v>
      </c>
      <c r="AT1646" s="2">
        <v>0</v>
      </c>
      <c r="AU1646" s="2">
        <v>162</v>
      </c>
      <c r="AV1646" s="2">
        <v>9.1</v>
      </c>
      <c r="AW1646" s="2">
        <v>9.1999999999999993</v>
      </c>
      <c r="AX1646" s="2">
        <v>18.3</v>
      </c>
      <c r="AY1646" s="2">
        <v>0.34</v>
      </c>
      <c r="AZ1646" s="2">
        <v>7.3</v>
      </c>
      <c r="BA1646" s="2">
        <v>0.9</v>
      </c>
      <c r="BB1646" s="2">
        <v>7.5</v>
      </c>
      <c r="BC1646" s="2">
        <v>2.9</v>
      </c>
      <c r="BD1646" s="2">
        <f>+AN1646*EXP(-0.0495*Y1646)</f>
        <v>1.9803471775335664</v>
      </c>
      <c r="BE1646" s="2">
        <f>+AO1646*EXP(-0.024*Y1646)</f>
        <v>9.9301598488909502</v>
      </c>
    </row>
    <row r="1647" spans="1:57" x14ac:dyDescent="0.2">
      <c r="A1647" s="2" t="s">
        <v>3298</v>
      </c>
      <c r="B1647" s="2" t="s">
        <v>19</v>
      </c>
      <c r="C1647" s="2" t="s">
        <v>3245</v>
      </c>
      <c r="D1647" s="2" t="s">
        <v>21</v>
      </c>
      <c r="E1647" s="2" t="s">
        <v>1600</v>
      </c>
      <c r="F1647" s="2">
        <v>6</v>
      </c>
      <c r="G1647" s="2">
        <v>130</v>
      </c>
      <c r="H1647" s="2">
        <v>3</v>
      </c>
      <c r="I1647" s="2">
        <v>4</v>
      </c>
      <c r="J1647" s="2">
        <v>2</v>
      </c>
      <c r="K1647" s="2" t="s">
        <v>61</v>
      </c>
      <c r="L1647" s="6" t="s">
        <v>84</v>
      </c>
      <c r="M1647" s="5">
        <v>1110000000</v>
      </c>
      <c r="N1647" s="2">
        <v>0</v>
      </c>
      <c r="O1647" s="2">
        <v>4.6912155000000002</v>
      </c>
      <c r="P1647" s="2">
        <v>-74.041872100000006</v>
      </c>
      <c r="Q1647" s="2" t="s">
        <v>3299</v>
      </c>
      <c r="R1647" s="2">
        <v>8538461.5380000006</v>
      </c>
      <c r="S1647" s="2">
        <v>0</v>
      </c>
      <c r="T1647" s="2" t="s">
        <v>55</v>
      </c>
      <c r="U1647" s="2" t="s">
        <v>56</v>
      </c>
      <c r="V1647" s="2" t="s">
        <v>28</v>
      </c>
      <c r="W1647" s="2" t="s">
        <v>55</v>
      </c>
      <c r="X1647" s="2" t="s">
        <v>57</v>
      </c>
      <c r="Y1647" s="2">
        <v>2.4803888643866601</v>
      </c>
      <c r="Z1647" s="2">
        <v>4.71035</v>
      </c>
      <c r="AA1647" s="2">
        <v>-74.030416666666696</v>
      </c>
      <c r="AB1647" s="2">
        <v>2570</v>
      </c>
      <c r="AC1647" s="2" t="s">
        <v>31</v>
      </c>
      <c r="AD1647" s="2" t="s">
        <v>58</v>
      </c>
      <c r="AE1647" s="2" t="s">
        <v>33</v>
      </c>
      <c r="AF1647" s="2" t="s">
        <v>34</v>
      </c>
      <c r="AG1647" s="2" t="s">
        <v>59</v>
      </c>
      <c r="AH1647" s="2">
        <v>1.5986838500454299</v>
      </c>
      <c r="AI1647" s="2">
        <v>1.5182794736779699</v>
      </c>
      <c r="AJ1647" s="2">
        <v>0.91396254703374802</v>
      </c>
      <c r="AK1647" s="2">
        <v>0.170679923968514</v>
      </c>
      <c r="AL1647" s="2">
        <v>0.26824463368789198</v>
      </c>
      <c r="AM1647" s="2">
        <v>15.5</v>
      </c>
      <c r="AN1647" s="2">
        <v>2.4</v>
      </c>
      <c r="AO1647" s="2">
        <v>10.9</v>
      </c>
      <c r="AP1647" s="2">
        <v>564</v>
      </c>
      <c r="AQ1647" s="2">
        <v>68</v>
      </c>
      <c r="AR1647" s="2">
        <v>1.5</v>
      </c>
      <c r="AS1647" s="2">
        <v>135</v>
      </c>
      <c r="AT1647" s="2">
        <v>0</v>
      </c>
      <c r="AU1647" s="2">
        <v>162</v>
      </c>
      <c r="AV1647" s="2">
        <v>9.1</v>
      </c>
      <c r="AW1647" s="2">
        <v>9.1999999999999993</v>
      </c>
      <c r="AX1647" s="2">
        <v>18.3</v>
      </c>
      <c r="AY1647" s="2">
        <v>0.34</v>
      </c>
      <c r="AZ1647" s="2">
        <v>7.3</v>
      </c>
      <c r="BA1647" s="2">
        <v>0.9</v>
      </c>
      <c r="BB1647" s="2">
        <v>7.5</v>
      </c>
      <c r="BC1647" s="2">
        <v>2.9</v>
      </c>
      <c r="BD1647" s="2">
        <f>+AN1647*EXP(-0.0495*Y1647)</f>
        <v>2.1227013273215389</v>
      </c>
      <c r="BE1647" s="2">
        <f>+AO1647*EXP(-0.024*Y1647)</f>
        <v>10.270066062494314</v>
      </c>
    </row>
    <row r="1648" spans="1:57" x14ac:dyDescent="0.2">
      <c r="A1648" s="2" t="s">
        <v>1333</v>
      </c>
      <c r="B1648" s="2" t="s">
        <v>19</v>
      </c>
      <c r="C1648" s="2" t="s">
        <v>20</v>
      </c>
      <c r="D1648" s="2" t="s">
        <v>21</v>
      </c>
      <c r="E1648" s="2" t="s">
        <v>234</v>
      </c>
      <c r="F1648" s="2">
        <v>4</v>
      </c>
      <c r="G1648" s="2">
        <v>129</v>
      </c>
      <c r="H1648" s="2">
        <v>3</v>
      </c>
      <c r="I1648" s="2">
        <v>5</v>
      </c>
      <c r="J1648" s="2">
        <v>2</v>
      </c>
      <c r="K1648" s="2" t="s">
        <v>61</v>
      </c>
      <c r="L1648" s="6" t="s">
        <v>84</v>
      </c>
      <c r="M1648" s="5">
        <v>989900000</v>
      </c>
      <c r="N1648" s="2">
        <v>0</v>
      </c>
      <c r="O1648" s="2">
        <v>4.7270040509999998</v>
      </c>
      <c r="P1648" s="2">
        <v>-74.035469059999997</v>
      </c>
      <c r="Q1648" s="2" t="s">
        <v>1334</v>
      </c>
      <c r="R1648" s="2">
        <v>7673643.4110000003</v>
      </c>
      <c r="S1648" s="2">
        <v>0</v>
      </c>
      <c r="T1648" s="2" t="s">
        <v>55</v>
      </c>
      <c r="U1648" s="2" t="s">
        <v>56</v>
      </c>
      <c r="V1648" s="2" t="s">
        <v>28</v>
      </c>
      <c r="W1648" s="2" t="s">
        <v>55</v>
      </c>
      <c r="X1648" s="2" t="s">
        <v>57</v>
      </c>
      <c r="Y1648" s="2">
        <v>1.93680350104421</v>
      </c>
      <c r="Z1648" s="2">
        <v>4.71035</v>
      </c>
      <c r="AA1648" s="2">
        <v>-74.030416666666696</v>
      </c>
      <c r="AB1648" s="2">
        <v>2570</v>
      </c>
      <c r="AC1648" s="2" t="s">
        <v>31</v>
      </c>
      <c r="AD1648" s="2" t="s">
        <v>58</v>
      </c>
      <c r="AE1648" s="2" t="s">
        <v>33</v>
      </c>
      <c r="AF1648" s="2" t="s">
        <v>34</v>
      </c>
      <c r="AG1648" s="2" t="s">
        <v>59</v>
      </c>
      <c r="AH1648" s="2">
        <v>1.6471530955505</v>
      </c>
      <c r="AI1648" s="2">
        <v>1.5412521888914501</v>
      </c>
      <c r="AJ1648" s="2">
        <v>0.81947964967577602</v>
      </c>
      <c r="AK1648" s="2">
        <v>0.10009327612519001</v>
      </c>
      <c r="AL1648" s="2">
        <v>9.1683241531159504E-2</v>
      </c>
      <c r="AM1648" s="2">
        <v>15.5</v>
      </c>
      <c r="AN1648" s="2">
        <v>2.4</v>
      </c>
      <c r="AO1648" s="2">
        <v>10.9</v>
      </c>
      <c r="AP1648" s="2">
        <v>564</v>
      </c>
      <c r="AQ1648" s="2">
        <v>68</v>
      </c>
      <c r="AR1648" s="2">
        <v>1.5</v>
      </c>
      <c r="AS1648" s="2">
        <v>135</v>
      </c>
      <c r="AT1648" s="2">
        <v>0</v>
      </c>
      <c r="AU1648" s="2">
        <v>162</v>
      </c>
      <c r="AV1648" s="2">
        <v>9.1</v>
      </c>
      <c r="AW1648" s="2">
        <v>9.1999999999999993</v>
      </c>
      <c r="AX1648" s="2">
        <v>18.3</v>
      </c>
      <c r="AY1648" s="2">
        <v>0.34</v>
      </c>
      <c r="AZ1648" s="2">
        <v>7.3</v>
      </c>
      <c r="BA1648" s="2">
        <v>0.9</v>
      </c>
      <c r="BB1648" s="2">
        <v>7.5</v>
      </c>
      <c r="BC1648" s="2">
        <v>2.9</v>
      </c>
      <c r="BD1648" s="2">
        <f>+AN1648*EXP(-0.0495*Y1648)</f>
        <v>2.1805932309092699</v>
      </c>
      <c r="BE1648" s="2">
        <f>+AO1648*EXP(-0.024*Y1648)</f>
        <v>10.404927637268619</v>
      </c>
    </row>
    <row r="1649" spans="1:57" x14ac:dyDescent="0.2">
      <c r="A1649" s="2" t="s">
        <v>988</v>
      </c>
      <c r="B1649" s="2" t="s">
        <v>19</v>
      </c>
      <c r="C1649" s="2" t="s">
        <v>20</v>
      </c>
      <c r="D1649" s="2" t="s">
        <v>21</v>
      </c>
      <c r="E1649" s="2" t="s">
        <v>186</v>
      </c>
      <c r="F1649" s="2">
        <v>6</v>
      </c>
      <c r="G1649" s="2">
        <v>129</v>
      </c>
      <c r="H1649" s="2">
        <v>3</v>
      </c>
      <c r="I1649" s="2">
        <v>3</v>
      </c>
      <c r="J1649" s="2">
        <v>2</v>
      </c>
      <c r="K1649" s="2" t="s">
        <v>61</v>
      </c>
      <c r="L1649" s="6" t="s">
        <v>75</v>
      </c>
      <c r="M1649" s="5">
        <v>1290000000</v>
      </c>
      <c r="N1649" s="2">
        <v>0</v>
      </c>
      <c r="O1649" s="2">
        <v>4.7047538759999998</v>
      </c>
      <c r="P1649" s="2">
        <v>-74.040985109999994</v>
      </c>
      <c r="Q1649" s="2" t="s">
        <v>989</v>
      </c>
      <c r="R1649" s="2">
        <v>10000000</v>
      </c>
      <c r="S1649" s="2">
        <v>0</v>
      </c>
      <c r="T1649" s="2" t="s">
        <v>55</v>
      </c>
      <c r="U1649" s="2" t="s">
        <v>56</v>
      </c>
      <c r="V1649" s="2" t="s">
        <v>28</v>
      </c>
      <c r="W1649" s="2" t="s">
        <v>55</v>
      </c>
      <c r="X1649" s="2" t="s">
        <v>57</v>
      </c>
      <c r="Y1649" s="2">
        <v>1.32772143533472</v>
      </c>
      <c r="Z1649" s="2">
        <v>4.71035</v>
      </c>
      <c r="AA1649" s="2">
        <v>-74.030416666666696</v>
      </c>
      <c r="AB1649" s="2">
        <v>2570</v>
      </c>
      <c r="AC1649" s="2" t="s">
        <v>31</v>
      </c>
      <c r="AD1649" s="2" t="s">
        <v>58</v>
      </c>
      <c r="AE1649" s="2" t="s">
        <v>33</v>
      </c>
      <c r="AF1649" s="2" t="s">
        <v>34</v>
      </c>
      <c r="AG1649" s="2" t="s">
        <v>59</v>
      </c>
      <c r="AH1649" s="2">
        <v>1.4680676606726599</v>
      </c>
      <c r="AI1649" s="2">
        <v>1.73126720926184</v>
      </c>
      <c r="AJ1649" s="2">
        <v>1.01757171755533</v>
      </c>
      <c r="AK1649" s="2">
        <v>6.9988819847280795E-2</v>
      </c>
      <c r="AL1649" s="2">
        <v>0.203496744893541</v>
      </c>
      <c r="AM1649" s="2">
        <v>15.5</v>
      </c>
      <c r="AN1649" s="2">
        <v>2.4</v>
      </c>
      <c r="AO1649" s="2">
        <v>10.9</v>
      </c>
      <c r="AP1649" s="2">
        <v>564</v>
      </c>
      <c r="AQ1649" s="2">
        <v>68</v>
      </c>
      <c r="AR1649" s="2">
        <v>1.5</v>
      </c>
      <c r="AS1649" s="2">
        <v>135</v>
      </c>
      <c r="AT1649" s="2">
        <v>0</v>
      </c>
      <c r="AU1649" s="2">
        <v>162</v>
      </c>
      <c r="AV1649" s="2">
        <v>9.1</v>
      </c>
      <c r="AW1649" s="2">
        <v>9.1999999999999993</v>
      </c>
      <c r="AX1649" s="2">
        <v>18.3</v>
      </c>
      <c r="AY1649" s="2">
        <v>0.34</v>
      </c>
      <c r="AZ1649" s="2">
        <v>7.3</v>
      </c>
      <c r="BA1649" s="2">
        <v>0.9</v>
      </c>
      <c r="BB1649" s="2">
        <v>7.5</v>
      </c>
      <c r="BC1649" s="2">
        <v>2.9</v>
      </c>
      <c r="BD1649" s="2">
        <f>+AN1649*EXP(-0.0495*Y1649)</f>
        <v>2.2473382733394121</v>
      </c>
      <c r="BE1649" s="2">
        <f>+AO1649*EXP(-0.024*Y1649)</f>
        <v>10.558143678313204</v>
      </c>
    </row>
    <row r="1650" spans="1:57" x14ac:dyDescent="0.2">
      <c r="A1650" s="2" t="s">
        <v>2565</v>
      </c>
      <c r="B1650" s="2" t="s">
        <v>19</v>
      </c>
      <c r="C1650" s="2" t="s">
        <v>1907</v>
      </c>
      <c r="D1650" s="2" t="s">
        <v>21</v>
      </c>
      <c r="E1650" s="2" t="s">
        <v>933</v>
      </c>
      <c r="F1650" s="2">
        <v>5</v>
      </c>
      <c r="G1650" s="2">
        <v>128.61000000000001</v>
      </c>
      <c r="H1650" s="2">
        <v>3</v>
      </c>
      <c r="I1650" s="2">
        <v>3</v>
      </c>
      <c r="J1650" s="2">
        <v>2</v>
      </c>
      <c r="K1650" s="2" t="s">
        <v>61</v>
      </c>
      <c r="L1650" s="6" t="s">
        <v>113</v>
      </c>
      <c r="M1650" s="5">
        <v>650000000</v>
      </c>
      <c r="N1650" s="2">
        <v>0</v>
      </c>
      <c r="O1650" s="2">
        <v>4.7094399999999998</v>
      </c>
      <c r="P1650" s="2">
        <v>-74.049440000000004</v>
      </c>
      <c r="Q1650" s="2" t="s">
        <v>2566</v>
      </c>
      <c r="R1650" s="2">
        <v>5054039.3439999996</v>
      </c>
      <c r="S1650" s="2">
        <v>0</v>
      </c>
      <c r="T1650" s="2" t="s">
        <v>55</v>
      </c>
      <c r="U1650" s="2" t="s">
        <v>56</v>
      </c>
      <c r="V1650" s="2" t="s">
        <v>28</v>
      </c>
      <c r="W1650" s="2" t="s">
        <v>55</v>
      </c>
      <c r="X1650" s="2" t="s">
        <v>57</v>
      </c>
      <c r="Y1650" s="2">
        <v>2.1129466053055799</v>
      </c>
      <c r="Z1650" s="2">
        <v>4.71035</v>
      </c>
      <c r="AA1650" s="2">
        <v>-74.030416666666696</v>
      </c>
      <c r="AB1650" s="2">
        <v>2570</v>
      </c>
      <c r="AC1650" s="2" t="s">
        <v>31</v>
      </c>
      <c r="AD1650" s="2" t="s">
        <v>58</v>
      </c>
      <c r="AE1650" s="2" t="s">
        <v>33</v>
      </c>
      <c r="AF1650" s="2" t="s">
        <v>34</v>
      </c>
      <c r="AG1650" s="2" t="s">
        <v>59</v>
      </c>
      <c r="AH1650" s="2">
        <v>0.66294379448778196</v>
      </c>
      <c r="AI1650" s="2">
        <v>2.7017644808542798</v>
      </c>
      <c r="AJ1650" s="2">
        <v>1.7849736439622299</v>
      </c>
      <c r="AK1650" s="2">
        <v>0.124040006098665</v>
      </c>
      <c r="AL1650" s="2">
        <v>0.14362138314450401</v>
      </c>
      <c r="AM1650" s="2">
        <v>15.5</v>
      </c>
      <c r="AN1650" s="2">
        <v>2.4</v>
      </c>
      <c r="AO1650" s="2">
        <v>10.9</v>
      </c>
      <c r="AP1650" s="2">
        <v>564</v>
      </c>
      <c r="AQ1650" s="2">
        <v>68</v>
      </c>
      <c r="AR1650" s="2">
        <v>1.5</v>
      </c>
      <c r="AS1650" s="2">
        <v>135</v>
      </c>
      <c r="AT1650" s="2">
        <v>0</v>
      </c>
      <c r="AU1650" s="2">
        <v>162</v>
      </c>
      <c r="AV1650" s="2">
        <v>9.1</v>
      </c>
      <c r="AW1650" s="2">
        <v>9.1999999999999993</v>
      </c>
      <c r="AX1650" s="2">
        <v>18.3</v>
      </c>
      <c r="AY1650" s="2">
        <v>0.34</v>
      </c>
      <c r="AZ1650" s="2">
        <v>7.3</v>
      </c>
      <c r="BA1650" s="2">
        <v>0.9</v>
      </c>
      <c r="BB1650" s="2">
        <v>7.5</v>
      </c>
      <c r="BC1650" s="2">
        <v>2.9</v>
      </c>
      <c r="BD1650" s="2">
        <f>+AN1650*EXP(-0.0495*Y1650)</f>
        <v>2.1616631027102651</v>
      </c>
      <c r="BE1650" s="2">
        <f>+AO1650*EXP(-0.024*Y1650)</f>
        <v>10.361034330589542</v>
      </c>
    </row>
    <row r="1651" spans="1:57" x14ac:dyDescent="0.2">
      <c r="A1651" s="2" t="s">
        <v>1367</v>
      </c>
      <c r="B1651" s="2" t="s">
        <v>19</v>
      </c>
      <c r="C1651" s="2" t="s">
        <v>20</v>
      </c>
      <c r="D1651" s="2" t="s">
        <v>21</v>
      </c>
      <c r="E1651" s="2" t="s">
        <v>1100</v>
      </c>
      <c r="F1651" s="2">
        <v>5</v>
      </c>
      <c r="G1651" s="2">
        <v>128</v>
      </c>
      <c r="H1651" s="2">
        <v>3</v>
      </c>
      <c r="I1651" s="2">
        <v>3</v>
      </c>
      <c r="J1651" s="2">
        <v>2</v>
      </c>
      <c r="K1651" s="2" t="s">
        <v>61</v>
      </c>
      <c r="L1651" s="6" t="s">
        <v>75</v>
      </c>
      <c r="M1651" s="5">
        <v>940000000</v>
      </c>
      <c r="N1651" s="2">
        <v>0</v>
      </c>
      <c r="O1651" s="2">
        <v>4.7035254999999996</v>
      </c>
      <c r="P1651" s="2">
        <v>-74.027889999999999</v>
      </c>
      <c r="Q1651" s="2" t="s">
        <v>1368</v>
      </c>
      <c r="R1651" s="2">
        <v>7343750</v>
      </c>
      <c r="S1651" s="2">
        <v>0</v>
      </c>
      <c r="T1651" s="2" t="s">
        <v>55</v>
      </c>
      <c r="U1651" s="2" t="s">
        <v>56</v>
      </c>
      <c r="V1651" s="2" t="s">
        <v>28</v>
      </c>
      <c r="W1651" s="2" t="s">
        <v>55</v>
      </c>
      <c r="X1651" s="2" t="s">
        <v>57</v>
      </c>
      <c r="Y1651" s="2">
        <v>0.80976690252234096</v>
      </c>
      <c r="Z1651" s="2">
        <v>4.71035</v>
      </c>
      <c r="AA1651" s="2">
        <v>-74.030416666666696</v>
      </c>
      <c r="AB1651" s="2">
        <v>2570</v>
      </c>
      <c r="AC1651" s="2" t="s">
        <v>31</v>
      </c>
      <c r="AD1651" s="2" t="s">
        <v>58</v>
      </c>
      <c r="AE1651" s="2" t="s">
        <v>33</v>
      </c>
      <c r="AF1651" s="2" t="s">
        <v>34</v>
      </c>
      <c r="AG1651" s="2" t="s">
        <v>59</v>
      </c>
      <c r="AH1651" s="2">
        <v>2.9225470726546998</v>
      </c>
      <c r="AI1651" s="2">
        <v>0.29258211761417002</v>
      </c>
      <c r="AJ1651" s="2">
        <v>0.56205150572168605</v>
      </c>
      <c r="AK1651" s="2">
        <v>0.127387936860729</v>
      </c>
      <c r="AL1651" s="2">
        <v>5.0533235097508199E-3</v>
      </c>
      <c r="AM1651" s="2">
        <v>15.5</v>
      </c>
      <c r="AN1651" s="2">
        <v>2.4</v>
      </c>
      <c r="AO1651" s="2">
        <v>10.9</v>
      </c>
      <c r="AP1651" s="2">
        <v>564</v>
      </c>
      <c r="AQ1651" s="2">
        <v>68</v>
      </c>
      <c r="AR1651" s="2">
        <v>1.5</v>
      </c>
      <c r="AS1651" s="2">
        <v>135</v>
      </c>
      <c r="AT1651" s="2">
        <v>0</v>
      </c>
      <c r="AU1651" s="2">
        <v>162</v>
      </c>
      <c r="AV1651" s="2">
        <v>9.1</v>
      </c>
      <c r="AW1651" s="2">
        <v>9.1999999999999993</v>
      </c>
      <c r="AX1651" s="2">
        <v>18.3</v>
      </c>
      <c r="AY1651" s="2">
        <v>0.34</v>
      </c>
      <c r="AZ1651" s="2">
        <v>7.3</v>
      </c>
      <c r="BA1651" s="2">
        <v>0.9</v>
      </c>
      <c r="BB1651" s="2">
        <v>7.5</v>
      </c>
      <c r="BC1651" s="2">
        <v>2.9</v>
      </c>
      <c r="BD1651" s="2">
        <f>+AN1651*EXP(-0.0495*Y1651)</f>
        <v>2.3057022081667506</v>
      </c>
      <c r="BE1651" s="2">
        <f>+AO1651*EXP(-0.024*Y1651)</f>
        <v>10.690210151832662</v>
      </c>
    </row>
    <row r="1652" spans="1:57" x14ac:dyDescent="0.2">
      <c r="A1652" s="2" t="s">
        <v>1888</v>
      </c>
      <c r="B1652" s="2" t="s">
        <v>19</v>
      </c>
      <c r="C1652" s="2" t="s">
        <v>20</v>
      </c>
      <c r="D1652" s="2" t="s">
        <v>21</v>
      </c>
      <c r="E1652" s="2" t="s">
        <v>699</v>
      </c>
      <c r="F1652" s="2">
        <v>6</v>
      </c>
      <c r="G1652" s="2">
        <v>127.8</v>
      </c>
      <c r="H1652" s="2">
        <v>3</v>
      </c>
      <c r="I1652" s="2">
        <v>3</v>
      </c>
      <c r="J1652" s="2">
        <v>2</v>
      </c>
      <c r="K1652" s="2" t="s">
        <v>61</v>
      </c>
      <c r="L1652" s="6" t="s">
        <v>75</v>
      </c>
      <c r="M1652" s="5">
        <v>1175000000</v>
      </c>
      <c r="N1652" s="2">
        <v>0</v>
      </c>
      <c r="O1652" s="2">
        <v>4.6906626339999997</v>
      </c>
      <c r="P1652" s="2">
        <v>-74.046037220000002</v>
      </c>
      <c r="Q1652" s="2" t="s">
        <v>1889</v>
      </c>
      <c r="R1652" s="2">
        <v>9194053.2080000006</v>
      </c>
      <c r="S1652" s="2">
        <v>0</v>
      </c>
      <c r="T1652" s="2" t="s">
        <v>55</v>
      </c>
      <c r="U1652" s="2" t="s">
        <v>56</v>
      </c>
      <c r="V1652" s="2" t="s">
        <v>28</v>
      </c>
      <c r="W1652" s="2" t="s">
        <v>55</v>
      </c>
      <c r="X1652" s="2" t="s">
        <v>57</v>
      </c>
      <c r="Y1652" s="2">
        <v>2.7939983708358298</v>
      </c>
      <c r="Z1652" s="2">
        <v>4.71035</v>
      </c>
      <c r="AA1652" s="2">
        <v>-74.030416666666696</v>
      </c>
      <c r="AB1652" s="2">
        <v>2570</v>
      </c>
      <c r="AC1652" s="2" t="s">
        <v>31</v>
      </c>
      <c r="AD1652" s="2" t="s">
        <v>58</v>
      </c>
      <c r="AE1652" s="2" t="s">
        <v>33</v>
      </c>
      <c r="AF1652" s="2" t="s">
        <v>34</v>
      </c>
      <c r="AG1652" s="2" t="s">
        <v>59</v>
      </c>
      <c r="AH1652" s="2">
        <v>1.15373703163967</v>
      </c>
      <c r="AI1652" s="2">
        <v>1.7174400231334199</v>
      </c>
      <c r="AJ1652" s="2">
        <v>0.51312980069774905</v>
      </c>
      <c r="AK1652" s="2">
        <v>7.6771570370136502E-2</v>
      </c>
      <c r="AL1652" s="2">
        <v>3.7568142687053E-3</v>
      </c>
      <c r="AM1652" s="2">
        <v>15.5</v>
      </c>
      <c r="AN1652" s="2">
        <v>2.4</v>
      </c>
      <c r="AO1652" s="2">
        <v>10.9</v>
      </c>
      <c r="AP1652" s="2">
        <v>564</v>
      </c>
      <c r="AQ1652" s="2">
        <v>68</v>
      </c>
      <c r="AR1652" s="2">
        <v>1.5</v>
      </c>
      <c r="AS1652" s="2">
        <v>135</v>
      </c>
      <c r="AT1652" s="2">
        <v>0</v>
      </c>
      <c r="AU1652" s="2">
        <v>162</v>
      </c>
      <c r="AV1652" s="2">
        <v>9.1</v>
      </c>
      <c r="AW1652" s="2">
        <v>9.1999999999999993</v>
      </c>
      <c r="AX1652" s="2">
        <v>18.3</v>
      </c>
      <c r="AY1652" s="2">
        <v>0.34</v>
      </c>
      <c r="AZ1652" s="2">
        <v>7.3</v>
      </c>
      <c r="BA1652" s="2">
        <v>0.9</v>
      </c>
      <c r="BB1652" s="2">
        <v>7.5</v>
      </c>
      <c r="BC1652" s="2">
        <v>2.9</v>
      </c>
      <c r="BD1652" s="2">
        <f>+AN1652*EXP(-0.0495*Y1652)</f>
        <v>2.0900036617266937</v>
      </c>
      <c r="BE1652" s="2">
        <f>+AO1652*EXP(-0.024*Y1652)</f>
        <v>10.193057265951198</v>
      </c>
    </row>
    <row r="1653" spans="1:57" x14ac:dyDescent="0.2">
      <c r="A1653" s="2" t="s">
        <v>1602</v>
      </c>
      <c r="B1653" s="2" t="s">
        <v>19</v>
      </c>
      <c r="C1653" s="2" t="s">
        <v>20</v>
      </c>
      <c r="D1653" s="2" t="s">
        <v>21</v>
      </c>
      <c r="E1653" s="2" t="s">
        <v>53</v>
      </c>
      <c r="F1653" s="2">
        <v>6</v>
      </c>
      <c r="G1653" s="2">
        <v>127</v>
      </c>
      <c r="H1653" s="2">
        <v>4</v>
      </c>
      <c r="I1653" s="2">
        <v>3</v>
      </c>
      <c r="J1653" s="2">
        <v>0</v>
      </c>
      <c r="K1653" s="2" t="s">
        <v>61</v>
      </c>
      <c r="L1653" s="6" t="s">
        <v>113</v>
      </c>
      <c r="M1653" s="5">
        <v>726300000</v>
      </c>
      <c r="N1653" s="2">
        <v>0</v>
      </c>
      <c r="O1653" s="2">
        <v>4.6951580999999996</v>
      </c>
      <c r="P1653" s="2">
        <v>-74.041832999999997</v>
      </c>
      <c r="Q1653" s="2" t="s">
        <v>1603</v>
      </c>
      <c r="R1653" s="2">
        <v>5718897.6380000003</v>
      </c>
      <c r="S1653" s="2">
        <v>0</v>
      </c>
      <c r="T1653" s="2" t="s">
        <v>55</v>
      </c>
      <c r="U1653" s="2" t="s">
        <v>56</v>
      </c>
      <c r="V1653" s="2" t="s">
        <v>28</v>
      </c>
      <c r="W1653" s="2" t="s">
        <v>55</v>
      </c>
      <c r="X1653" s="2" t="s">
        <v>57</v>
      </c>
      <c r="Y1653" s="2">
        <v>2.1128733342099699</v>
      </c>
      <c r="Z1653" s="2">
        <v>4.71035</v>
      </c>
      <c r="AA1653" s="2">
        <v>-74.030416666666696</v>
      </c>
      <c r="AB1653" s="2">
        <v>2570</v>
      </c>
      <c r="AC1653" s="2" t="s">
        <v>31</v>
      </c>
      <c r="AD1653" s="2" t="s">
        <v>58</v>
      </c>
      <c r="AE1653" s="2" t="s">
        <v>33</v>
      </c>
      <c r="AF1653" s="2" t="s">
        <v>34</v>
      </c>
      <c r="AG1653" s="2" t="s">
        <v>59</v>
      </c>
      <c r="AH1653" s="2">
        <v>1.52976588851373</v>
      </c>
      <c r="AI1653" s="2">
        <v>1.7264589354434201</v>
      </c>
      <c r="AJ1653" s="2">
        <v>0.91255098078211105</v>
      </c>
      <c r="AK1653" s="2">
        <v>4.7075644862713498E-2</v>
      </c>
      <c r="AL1653" s="2">
        <v>0.20967408422334799</v>
      </c>
      <c r="AM1653" s="2">
        <v>15.5</v>
      </c>
      <c r="AN1653" s="2">
        <v>2.4</v>
      </c>
      <c r="AO1653" s="2">
        <v>10.9</v>
      </c>
      <c r="AP1653" s="2">
        <v>564</v>
      </c>
      <c r="AQ1653" s="2">
        <v>68</v>
      </c>
      <c r="AR1653" s="2">
        <v>1.5</v>
      </c>
      <c r="AS1653" s="2">
        <v>135</v>
      </c>
      <c r="AT1653" s="2">
        <v>0</v>
      </c>
      <c r="AU1653" s="2">
        <v>162</v>
      </c>
      <c r="AV1653" s="2">
        <v>9.1</v>
      </c>
      <c r="AW1653" s="2">
        <v>9.1999999999999993</v>
      </c>
      <c r="AX1653" s="2">
        <v>18.3</v>
      </c>
      <c r="AY1653" s="2">
        <v>0.34</v>
      </c>
      <c r="AZ1653" s="2">
        <v>7.3</v>
      </c>
      <c r="BA1653" s="2">
        <v>0.9</v>
      </c>
      <c r="BB1653" s="2">
        <v>7.5</v>
      </c>
      <c r="BC1653" s="2">
        <v>2.9</v>
      </c>
      <c r="BD1653" s="2">
        <f>+AN1653*EXP(-0.0495*Y1653)</f>
        <v>2.1616709429019645</v>
      </c>
      <c r="BE1653" s="2">
        <f>+AO1653*EXP(-0.024*Y1653)</f>
        <v>10.361052550549651</v>
      </c>
    </row>
    <row r="1654" spans="1:57" x14ac:dyDescent="0.2">
      <c r="A1654" s="2" t="s">
        <v>2479</v>
      </c>
      <c r="B1654" s="2" t="s">
        <v>19</v>
      </c>
      <c r="C1654" s="2" t="s">
        <v>1907</v>
      </c>
      <c r="D1654" s="2" t="s">
        <v>21</v>
      </c>
      <c r="E1654" s="2" t="s">
        <v>156</v>
      </c>
      <c r="F1654" s="2">
        <v>4</v>
      </c>
      <c r="G1654" s="2">
        <v>127</v>
      </c>
      <c r="H1654" s="2">
        <v>3</v>
      </c>
      <c r="I1654" s="2">
        <v>3</v>
      </c>
      <c r="J1654" s="2">
        <v>2</v>
      </c>
      <c r="K1654" s="2" t="s">
        <v>61</v>
      </c>
      <c r="L1654" s="6" t="s">
        <v>113</v>
      </c>
      <c r="M1654" s="5">
        <v>650000000</v>
      </c>
      <c r="N1654" s="2">
        <v>0</v>
      </c>
      <c r="O1654" s="2">
        <v>4.7237999999999998</v>
      </c>
      <c r="P1654" s="2">
        <v>-74.038039999999995</v>
      </c>
      <c r="Q1654" s="2" t="s">
        <v>2480</v>
      </c>
      <c r="R1654" s="2">
        <v>5118110.2359999996</v>
      </c>
      <c r="S1654" s="2">
        <v>0</v>
      </c>
      <c r="T1654" s="2" t="s">
        <v>55</v>
      </c>
      <c r="U1654" s="2" t="s">
        <v>56</v>
      </c>
      <c r="V1654" s="2" t="s">
        <v>28</v>
      </c>
      <c r="W1654" s="2" t="s">
        <v>55</v>
      </c>
      <c r="X1654" s="2" t="s">
        <v>57</v>
      </c>
      <c r="Y1654" s="2">
        <v>1.71960581622876</v>
      </c>
      <c r="Z1654" s="2">
        <v>4.71035</v>
      </c>
      <c r="AA1654" s="2">
        <v>-74.030416666666696</v>
      </c>
      <c r="AB1654" s="2">
        <v>2570</v>
      </c>
      <c r="AC1654" s="2" t="s">
        <v>31</v>
      </c>
      <c r="AD1654" s="2" t="s">
        <v>58</v>
      </c>
      <c r="AE1654" s="2" t="s">
        <v>33</v>
      </c>
      <c r="AF1654" s="2" t="s">
        <v>34</v>
      </c>
      <c r="AG1654" s="2" t="s">
        <v>59</v>
      </c>
      <c r="AH1654" s="2">
        <v>1.42236707331079</v>
      </c>
      <c r="AI1654" s="2">
        <v>1.6678753550932901</v>
      </c>
      <c r="AJ1654" s="2">
        <v>1.0265005987200899</v>
      </c>
      <c r="AK1654" s="2">
        <v>0.43437019670846699</v>
      </c>
      <c r="AL1654" s="2">
        <v>0.117212557903137</v>
      </c>
      <c r="AM1654" s="2">
        <v>15.5</v>
      </c>
      <c r="AN1654" s="2">
        <v>2.4</v>
      </c>
      <c r="AO1654" s="2">
        <v>10.9</v>
      </c>
      <c r="AP1654" s="2">
        <v>564</v>
      </c>
      <c r="AQ1654" s="2">
        <v>68</v>
      </c>
      <c r="AR1654" s="2">
        <v>1.5</v>
      </c>
      <c r="AS1654" s="2">
        <v>135</v>
      </c>
      <c r="AT1654" s="2">
        <v>0</v>
      </c>
      <c r="AU1654" s="2">
        <v>162</v>
      </c>
      <c r="AV1654" s="2">
        <v>9.1</v>
      </c>
      <c r="AW1654" s="2">
        <v>9.1999999999999993</v>
      </c>
      <c r="AX1654" s="2">
        <v>18.3</v>
      </c>
      <c r="AY1654" s="2">
        <v>0.34</v>
      </c>
      <c r="AZ1654" s="2">
        <v>7.3</v>
      </c>
      <c r="BA1654" s="2">
        <v>0.9</v>
      </c>
      <c r="BB1654" s="2">
        <v>7.5</v>
      </c>
      <c r="BC1654" s="2">
        <v>2.9</v>
      </c>
      <c r="BD1654" s="2">
        <f>+AN1654*EXP(-0.0495*Y1654)</f>
        <v>2.2041638914776964</v>
      </c>
      <c r="BE1654" s="2">
        <f>+AO1654*EXP(-0.024*Y1654)</f>
        <v>10.459307476878253</v>
      </c>
    </row>
    <row r="1655" spans="1:57" x14ac:dyDescent="0.2">
      <c r="A1655" s="2" t="s">
        <v>1749</v>
      </c>
      <c r="B1655" s="2" t="s">
        <v>19</v>
      </c>
      <c r="C1655" s="2" t="s">
        <v>20</v>
      </c>
      <c r="D1655" s="2" t="s">
        <v>21</v>
      </c>
      <c r="E1655" s="2" t="s">
        <v>1437</v>
      </c>
      <c r="F1655" s="2">
        <v>6</v>
      </c>
      <c r="G1655" s="2">
        <v>123</v>
      </c>
      <c r="H1655" s="2">
        <v>3</v>
      </c>
      <c r="I1655" s="2">
        <v>3</v>
      </c>
      <c r="J1655" s="2">
        <v>2</v>
      </c>
      <c r="K1655" s="2" t="s">
        <v>61</v>
      </c>
      <c r="L1655" s="6" t="s">
        <v>113</v>
      </c>
      <c r="M1655" s="5">
        <v>1250000000</v>
      </c>
      <c r="N1655" s="2">
        <v>0</v>
      </c>
      <c r="O1655" s="2">
        <v>4.681783169</v>
      </c>
      <c r="P1655" s="2">
        <v>-74.051357609999997</v>
      </c>
      <c r="Q1655" s="2" t="s">
        <v>1750</v>
      </c>
      <c r="R1655" s="2">
        <v>10162601.630000001</v>
      </c>
      <c r="S1655" s="2">
        <v>0</v>
      </c>
      <c r="T1655" s="2" t="s">
        <v>55</v>
      </c>
      <c r="U1655" s="2" t="s">
        <v>56</v>
      </c>
      <c r="V1655" s="2" t="s">
        <v>28</v>
      </c>
      <c r="W1655" s="2" t="s">
        <v>55</v>
      </c>
      <c r="X1655" s="2" t="s">
        <v>57</v>
      </c>
      <c r="Y1655" s="2">
        <v>3.9383313555765</v>
      </c>
      <c r="Z1655" s="2">
        <v>4.71035</v>
      </c>
      <c r="AA1655" s="2">
        <v>-74.030416666666696</v>
      </c>
      <c r="AB1655" s="2">
        <v>2570</v>
      </c>
      <c r="AC1655" s="2" t="s">
        <v>31</v>
      </c>
      <c r="AD1655" s="2" t="s">
        <v>58</v>
      </c>
      <c r="AE1655" s="2" t="s">
        <v>33</v>
      </c>
      <c r="AF1655" s="2" t="s">
        <v>34</v>
      </c>
      <c r="AG1655" s="2" t="s">
        <v>81</v>
      </c>
      <c r="AH1655" s="2">
        <v>0.744168798120867</v>
      </c>
      <c r="AI1655" s="2">
        <v>1.5720353524302799</v>
      </c>
      <c r="AJ1655" s="2">
        <v>0.467914748351762</v>
      </c>
      <c r="AK1655" s="2">
        <v>0.105887279485194</v>
      </c>
      <c r="AL1655" s="2">
        <v>0.78642387253388202</v>
      </c>
      <c r="AM1655" s="2">
        <v>15.5</v>
      </c>
      <c r="AN1655" s="2">
        <v>2.4</v>
      </c>
      <c r="AO1655" s="2">
        <v>10.9</v>
      </c>
      <c r="AP1655" s="2">
        <v>564</v>
      </c>
      <c r="AQ1655" s="2">
        <v>68</v>
      </c>
      <c r="AR1655" s="2">
        <v>1.5</v>
      </c>
      <c r="AS1655" s="2">
        <v>135</v>
      </c>
      <c r="AT1655" s="2">
        <v>0</v>
      </c>
      <c r="AU1655" s="2">
        <v>162</v>
      </c>
      <c r="AV1655" s="2">
        <v>9.1</v>
      </c>
      <c r="AW1655" s="2">
        <v>9.1999999999999993</v>
      </c>
      <c r="AX1655" s="2">
        <v>18.3</v>
      </c>
      <c r="AY1655" s="2">
        <v>0.34</v>
      </c>
      <c r="AZ1655" s="2">
        <v>7.3</v>
      </c>
      <c r="BA1655" s="2">
        <v>0.9</v>
      </c>
      <c r="BB1655" s="2">
        <v>7.5</v>
      </c>
      <c r="BC1655" s="2">
        <v>2.9</v>
      </c>
      <c r="BD1655" s="2">
        <f>+AN1655*EXP(-0.0495*Y1655)</f>
        <v>1.9749070525642758</v>
      </c>
      <c r="BE1655" s="2">
        <f>+AO1655*EXP(-0.024*Y1655)</f>
        <v>9.9169244376793397</v>
      </c>
    </row>
    <row r="1656" spans="1:57" x14ac:dyDescent="0.2">
      <c r="A1656" s="2" t="s">
        <v>2320</v>
      </c>
      <c r="B1656" s="2" t="s">
        <v>19</v>
      </c>
      <c r="C1656" s="2" t="s">
        <v>1907</v>
      </c>
      <c r="D1656" s="2" t="s">
        <v>21</v>
      </c>
      <c r="E1656" s="2" t="s">
        <v>511</v>
      </c>
      <c r="F1656" s="2">
        <v>5</v>
      </c>
      <c r="G1656" s="2">
        <v>122.16</v>
      </c>
      <c r="H1656" s="2">
        <v>3</v>
      </c>
      <c r="I1656" s="2">
        <v>4</v>
      </c>
      <c r="J1656" s="2">
        <v>2</v>
      </c>
      <c r="K1656" s="2" t="s">
        <v>61</v>
      </c>
      <c r="L1656" s="6" t="s">
        <v>113</v>
      </c>
      <c r="M1656" s="5">
        <v>800000000</v>
      </c>
      <c r="N1656" s="2">
        <v>0</v>
      </c>
      <c r="O1656" s="2">
        <v>4.7168890000000001</v>
      </c>
      <c r="P1656" s="2">
        <v>-74.033904000000007</v>
      </c>
      <c r="Q1656" s="2" t="s">
        <v>2321</v>
      </c>
      <c r="R1656" s="2">
        <v>6548788.4740000004</v>
      </c>
      <c r="S1656" s="2">
        <v>0</v>
      </c>
      <c r="T1656" s="2" t="s">
        <v>55</v>
      </c>
      <c r="U1656" s="2" t="s">
        <v>56</v>
      </c>
      <c r="V1656" s="2" t="s">
        <v>28</v>
      </c>
      <c r="W1656" s="2" t="s">
        <v>55</v>
      </c>
      <c r="X1656" s="2" t="s">
        <v>57</v>
      </c>
      <c r="Y1656" s="2">
        <v>0.82434988499711404</v>
      </c>
      <c r="Z1656" s="2">
        <v>4.71035</v>
      </c>
      <c r="AA1656" s="2">
        <v>-74.030416666666696</v>
      </c>
      <c r="AB1656" s="2">
        <v>2570</v>
      </c>
      <c r="AC1656" s="2" t="s">
        <v>31</v>
      </c>
      <c r="AD1656" s="2" t="s">
        <v>58</v>
      </c>
      <c r="AE1656" s="2" t="s">
        <v>33</v>
      </c>
      <c r="AF1656" s="2" t="s">
        <v>34</v>
      </c>
      <c r="AG1656" s="2" t="s">
        <v>59</v>
      </c>
      <c r="AH1656" s="2">
        <v>2.0027792283135701</v>
      </c>
      <c r="AI1656" s="2">
        <v>1.12299231520898</v>
      </c>
      <c r="AJ1656" s="2">
        <v>0.69071708530619602</v>
      </c>
      <c r="AK1656" s="2">
        <v>0.120436048890311</v>
      </c>
      <c r="AL1656" s="2">
        <v>0.143664590974451</v>
      </c>
      <c r="AM1656" s="2">
        <v>15.5</v>
      </c>
      <c r="AN1656" s="2">
        <v>2.4</v>
      </c>
      <c r="AO1656" s="2">
        <v>10.9</v>
      </c>
      <c r="AP1656" s="2">
        <v>564</v>
      </c>
      <c r="AQ1656" s="2">
        <v>68</v>
      </c>
      <c r="AR1656" s="2">
        <v>1.5</v>
      </c>
      <c r="AS1656" s="2">
        <v>135</v>
      </c>
      <c r="AT1656" s="2">
        <v>0</v>
      </c>
      <c r="AU1656" s="2">
        <v>162</v>
      </c>
      <c r="AV1656" s="2">
        <v>9.1</v>
      </c>
      <c r="AW1656" s="2">
        <v>9.1999999999999993</v>
      </c>
      <c r="AX1656" s="2">
        <v>18.3</v>
      </c>
      <c r="AY1656" s="2">
        <v>0.34</v>
      </c>
      <c r="AZ1656" s="2">
        <v>7.3</v>
      </c>
      <c r="BA1656" s="2">
        <v>0.9</v>
      </c>
      <c r="BB1656" s="2">
        <v>7.5</v>
      </c>
      <c r="BC1656" s="2">
        <v>2.9</v>
      </c>
      <c r="BD1656" s="2">
        <f>+AN1656*EXP(-0.0495*Y1656)</f>
        <v>2.3040384200108468</v>
      </c>
      <c r="BE1656" s="2">
        <f>+AO1656*EXP(-0.024*Y1656)</f>
        <v>10.686469322965049</v>
      </c>
    </row>
    <row r="1657" spans="1:57" x14ac:dyDescent="0.2">
      <c r="A1657" s="2" t="s">
        <v>2402</v>
      </c>
      <c r="B1657" s="2" t="s">
        <v>19</v>
      </c>
      <c r="C1657" s="2" t="s">
        <v>1907</v>
      </c>
      <c r="D1657" s="2" t="s">
        <v>21</v>
      </c>
      <c r="E1657" s="2" t="s">
        <v>156</v>
      </c>
      <c r="F1657" s="2">
        <v>4</v>
      </c>
      <c r="G1657" s="2">
        <v>120</v>
      </c>
      <c r="H1657" s="2">
        <v>5</v>
      </c>
      <c r="I1657" s="2">
        <v>3</v>
      </c>
      <c r="J1657" s="2">
        <v>2</v>
      </c>
      <c r="K1657" s="2" t="s">
        <v>61</v>
      </c>
      <c r="L1657" s="6" t="s">
        <v>113</v>
      </c>
      <c r="M1657" s="5">
        <v>620000000</v>
      </c>
      <c r="N1657" s="2">
        <v>0</v>
      </c>
      <c r="O1657" s="2">
        <v>4.7308300000000001</v>
      </c>
      <c r="P1657" s="2">
        <v>-74.039649999999995</v>
      </c>
      <c r="Q1657" s="2" t="s">
        <v>2403</v>
      </c>
      <c r="R1657" s="2">
        <v>5166666.6670000004</v>
      </c>
      <c r="S1657" s="2">
        <v>0</v>
      </c>
      <c r="T1657" s="2" t="s">
        <v>55</v>
      </c>
      <c r="U1657" s="2" t="s">
        <v>56</v>
      </c>
      <c r="V1657" s="2" t="s">
        <v>28</v>
      </c>
      <c r="W1657" s="2" t="s">
        <v>55</v>
      </c>
      <c r="X1657" s="2" t="s">
        <v>57</v>
      </c>
      <c r="Y1657" s="2">
        <v>2.4993827233947599</v>
      </c>
      <c r="Z1657" s="2">
        <v>4.71035</v>
      </c>
      <c r="AA1657" s="2">
        <v>-74.030416666666696</v>
      </c>
      <c r="AB1657" s="2">
        <v>2570</v>
      </c>
      <c r="AC1657" s="2" t="s">
        <v>31</v>
      </c>
      <c r="AD1657" s="2" t="s">
        <v>58</v>
      </c>
      <c r="AE1657" s="2" t="s">
        <v>33</v>
      </c>
      <c r="AF1657" s="2" t="s">
        <v>34</v>
      </c>
      <c r="AG1657" s="2" t="s">
        <v>59</v>
      </c>
      <c r="AH1657" s="2">
        <v>1.1266203867171301</v>
      </c>
      <c r="AI1657" s="2">
        <v>1.96794722719455</v>
      </c>
      <c r="AJ1657" s="2">
        <v>0.22979377615097599</v>
      </c>
      <c r="AK1657" s="2">
        <v>0.29085063097455</v>
      </c>
      <c r="AL1657" s="2">
        <v>8.2247631449551203E-2</v>
      </c>
      <c r="AM1657" s="2">
        <v>15.5</v>
      </c>
      <c r="AN1657" s="2">
        <v>2.4</v>
      </c>
      <c r="AO1657" s="2">
        <v>10.9</v>
      </c>
      <c r="AP1657" s="2">
        <v>564</v>
      </c>
      <c r="AQ1657" s="2">
        <v>68</v>
      </c>
      <c r="AR1657" s="2">
        <v>1.5</v>
      </c>
      <c r="AS1657" s="2">
        <v>135</v>
      </c>
      <c r="AT1657" s="2">
        <v>0</v>
      </c>
      <c r="AU1657" s="2">
        <v>162</v>
      </c>
      <c r="AV1657" s="2">
        <v>9.1</v>
      </c>
      <c r="AW1657" s="2">
        <v>9.1999999999999993</v>
      </c>
      <c r="AX1657" s="2">
        <v>18.3</v>
      </c>
      <c r="AY1657" s="2">
        <v>0.34</v>
      </c>
      <c r="AZ1657" s="2">
        <v>7.3</v>
      </c>
      <c r="BA1657" s="2">
        <v>0.9</v>
      </c>
      <c r="BB1657" s="2">
        <v>7.5</v>
      </c>
      <c r="BC1657" s="2">
        <v>2.9</v>
      </c>
      <c r="BD1657" s="2">
        <f>+AN1657*EXP(-0.0495*Y1657)</f>
        <v>2.1207065098866837</v>
      </c>
      <c r="BE1657" s="2">
        <f>+AO1657*EXP(-0.024*Y1657)</f>
        <v>10.265385492917233</v>
      </c>
    </row>
    <row r="1658" spans="1:57" x14ac:dyDescent="0.2">
      <c r="A1658" s="2" t="s">
        <v>996</v>
      </c>
      <c r="B1658" s="2" t="s">
        <v>19</v>
      </c>
      <c r="C1658" s="2" t="s">
        <v>20</v>
      </c>
      <c r="D1658" s="2" t="s">
        <v>21</v>
      </c>
      <c r="E1658" s="2" t="s">
        <v>53</v>
      </c>
      <c r="F1658" s="2">
        <v>6</v>
      </c>
      <c r="G1658" s="2">
        <v>120</v>
      </c>
      <c r="H1658" s="2">
        <v>3</v>
      </c>
      <c r="I1658" s="2">
        <v>2</v>
      </c>
      <c r="J1658" s="2">
        <v>2</v>
      </c>
      <c r="K1658" s="2" t="s">
        <v>61</v>
      </c>
      <c r="L1658" s="6" t="s">
        <v>113</v>
      </c>
      <c r="M1658" s="5">
        <v>750000000</v>
      </c>
      <c r="N1658" s="2">
        <v>0</v>
      </c>
      <c r="O1658" s="2">
        <v>4.6948740000000004</v>
      </c>
      <c r="P1658" s="2">
        <v>-74.041196200000002</v>
      </c>
      <c r="Q1658" s="2" t="s">
        <v>997</v>
      </c>
      <c r="R1658" s="2">
        <v>6250000</v>
      </c>
      <c r="S1658" s="2">
        <v>0</v>
      </c>
      <c r="T1658" s="2" t="s">
        <v>55</v>
      </c>
      <c r="U1658" s="2" t="s">
        <v>56</v>
      </c>
      <c r="V1658" s="2" t="s">
        <v>28</v>
      </c>
      <c r="W1658" s="2" t="s">
        <v>55</v>
      </c>
      <c r="X1658" s="2" t="s">
        <v>57</v>
      </c>
      <c r="Y1658" s="2">
        <v>2.0971951037716701</v>
      </c>
      <c r="Z1658" s="2">
        <v>4.71035</v>
      </c>
      <c r="AA1658" s="2">
        <v>-74.030416666666696</v>
      </c>
      <c r="AB1658" s="2">
        <v>2570</v>
      </c>
      <c r="AC1658" s="2" t="s">
        <v>31</v>
      </c>
      <c r="AD1658" s="2" t="s">
        <v>58</v>
      </c>
      <c r="AE1658" s="2" t="s">
        <v>33</v>
      </c>
      <c r="AF1658" s="2" t="s">
        <v>34</v>
      </c>
      <c r="AG1658" s="2" t="s">
        <v>59</v>
      </c>
      <c r="AH1658" s="2">
        <v>1.60553875420931</v>
      </c>
      <c r="AI1658" s="2">
        <v>1.6504429793569699</v>
      </c>
      <c r="AJ1658" s="2">
        <v>0.97535499944895698</v>
      </c>
      <c r="AK1658" s="2">
        <v>0.117527508819511</v>
      </c>
      <c r="AL1658" s="2">
        <v>0.16104387353865299</v>
      </c>
      <c r="AM1658" s="2">
        <v>15.5</v>
      </c>
      <c r="AN1658" s="2">
        <v>2.4</v>
      </c>
      <c r="AO1658" s="2">
        <v>10.9</v>
      </c>
      <c r="AP1658" s="2">
        <v>564</v>
      </c>
      <c r="AQ1658" s="2">
        <v>68</v>
      </c>
      <c r="AR1658" s="2">
        <v>1.5</v>
      </c>
      <c r="AS1658" s="2">
        <v>135</v>
      </c>
      <c r="AT1658" s="2">
        <v>0</v>
      </c>
      <c r="AU1658" s="2">
        <v>162</v>
      </c>
      <c r="AV1658" s="2">
        <v>9.1</v>
      </c>
      <c r="AW1658" s="2">
        <v>9.1999999999999993</v>
      </c>
      <c r="AX1658" s="2">
        <v>18.3</v>
      </c>
      <c r="AY1658" s="2">
        <v>0.34</v>
      </c>
      <c r="AZ1658" s="2">
        <v>7.3</v>
      </c>
      <c r="BA1658" s="2">
        <v>0.9</v>
      </c>
      <c r="BB1658" s="2">
        <v>7.5</v>
      </c>
      <c r="BC1658" s="2">
        <v>2.9</v>
      </c>
      <c r="BD1658" s="2">
        <f>+AN1658*EXP(-0.0495*Y1658)</f>
        <v>2.1633492072161862</v>
      </c>
      <c r="BE1658" s="2">
        <f>+AO1658*EXP(-0.024*Y1658)</f>
        <v>10.364951915392631</v>
      </c>
    </row>
    <row r="1659" spans="1:57" x14ac:dyDescent="0.2">
      <c r="A1659" s="2" t="s">
        <v>725</v>
      </c>
      <c r="B1659" s="2" t="s">
        <v>19</v>
      </c>
      <c r="C1659" s="2" t="s">
        <v>20</v>
      </c>
      <c r="D1659" s="2" t="s">
        <v>21</v>
      </c>
      <c r="E1659" s="2" t="s">
        <v>726</v>
      </c>
      <c r="F1659" s="2">
        <v>5</v>
      </c>
      <c r="G1659" s="2">
        <v>120</v>
      </c>
      <c r="H1659" s="2">
        <v>3</v>
      </c>
      <c r="I1659" s="2">
        <v>3</v>
      </c>
      <c r="J1659" s="2">
        <v>2</v>
      </c>
      <c r="K1659" s="2" t="s">
        <v>61</v>
      </c>
      <c r="L1659" s="6" t="s">
        <v>113</v>
      </c>
      <c r="M1659" s="5">
        <v>600000000</v>
      </c>
      <c r="N1659" s="2">
        <v>0</v>
      </c>
      <c r="O1659" s="2">
        <v>4.7134389880000001</v>
      </c>
      <c r="P1659" s="2">
        <v>-74.047561650000006</v>
      </c>
      <c r="Q1659" s="2" t="s">
        <v>727</v>
      </c>
      <c r="R1659" s="2">
        <v>5000000</v>
      </c>
      <c r="S1659" s="2">
        <v>0</v>
      </c>
      <c r="T1659" s="2" t="s">
        <v>55</v>
      </c>
      <c r="U1659" s="2" t="s">
        <v>56</v>
      </c>
      <c r="V1659" s="2" t="s">
        <v>28</v>
      </c>
      <c r="W1659" s="2" t="s">
        <v>55</v>
      </c>
      <c r="X1659" s="2" t="s">
        <v>57</v>
      </c>
      <c r="Y1659" s="2">
        <v>1.9329524890485399</v>
      </c>
      <c r="Z1659" s="2">
        <v>4.71035</v>
      </c>
      <c r="AA1659" s="2">
        <v>-74.030416666666696</v>
      </c>
      <c r="AB1659" s="2">
        <v>2570</v>
      </c>
      <c r="AC1659" s="2" t="s">
        <v>31</v>
      </c>
      <c r="AD1659" s="2" t="s">
        <v>58</v>
      </c>
      <c r="AE1659" s="2" t="s">
        <v>33</v>
      </c>
      <c r="AF1659" s="2" t="s">
        <v>34</v>
      </c>
      <c r="AG1659" s="2" t="s">
        <v>59</v>
      </c>
      <c r="AH1659" s="2">
        <v>0.56764878060841195</v>
      </c>
      <c r="AI1659" s="2">
        <v>2.5365445946624301</v>
      </c>
      <c r="AJ1659" s="2">
        <v>1.6659751319337699</v>
      </c>
      <c r="AK1659" s="2">
        <v>0.52828020142508203</v>
      </c>
      <c r="AL1659" s="2">
        <v>0.41246168161647501</v>
      </c>
      <c r="AM1659" s="2">
        <v>15.5</v>
      </c>
      <c r="AN1659" s="2">
        <v>2.4</v>
      </c>
      <c r="AO1659" s="2">
        <v>10.9</v>
      </c>
      <c r="AP1659" s="2">
        <v>564</v>
      </c>
      <c r="AQ1659" s="2">
        <v>68</v>
      </c>
      <c r="AR1659" s="2">
        <v>1.5</v>
      </c>
      <c r="AS1659" s="2">
        <v>135</v>
      </c>
      <c r="AT1659" s="2">
        <v>0</v>
      </c>
      <c r="AU1659" s="2">
        <v>162</v>
      </c>
      <c r="AV1659" s="2">
        <v>9.1</v>
      </c>
      <c r="AW1659" s="2">
        <v>9.1999999999999993</v>
      </c>
      <c r="AX1659" s="2">
        <v>18.3</v>
      </c>
      <c r="AY1659" s="2">
        <v>0.34</v>
      </c>
      <c r="AZ1659" s="2">
        <v>7.3</v>
      </c>
      <c r="BA1659" s="2">
        <v>0.9</v>
      </c>
      <c r="BB1659" s="2">
        <v>7.5</v>
      </c>
      <c r="BC1659" s="2">
        <v>2.9</v>
      </c>
      <c r="BD1659" s="2">
        <f>+AN1659*EXP(-0.0495*Y1659)</f>
        <v>2.1810089463200564</v>
      </c>
      <c r="BE1659" s="2">
        <f>+AO1659*EXP(-0.024*Y1659)</f>
        <v>10.405889349738214</v>
      </c>
    </row>
    <row r="1660" spans="1:57" x14ac:dyDescent="0.2">
      <c r="A1660" s="2" t="s">
        <v>1604</v>
      </c>
      <c r="B1660" s="2" t="s">
        <v>19</v>
      </c>
      <c r="C1660" s="2" t="s">
        <v>20</v>
      </c>
      <c r="D1660" s="2" t="s">
        <v>21</v>
      </c>
      <c r="E1660" s="2" t="s">
        <v>141</v>
      </c>
      <c r="F1660" s="2">
        <v>6</v>
      </c>
      <c r="G1660" s="2">
        <v>119</v>
      </c>
      <c r="H1660" s="2">
        <v>2</v>
      </c>
      <c r="I1660" s="2">
        <v>3</v>
      </c>
      <c r="J1660" s="2">
        <v>2</v>
      </c>
      <c r="K1660" s="2" t="s">
        <v>61</v>
      </c>
      <c r="L1660" s="6" t="s">
        <v>113</v>
      </c>
      <c r="M1660" s="5">
        <v>900000000</v>
      </c>
      <c r="N1660" s="2">
        <v>0</v>
      </c>
      <c r="O1660" s="2">
        <v>4.6883407669999997</v>
      </c>
      <c r="P1660" s="2">
        <v>-74.04412816</v>
      </c>
      <c r="Q1660" s="2" t="s">
        <v>1605</v>
      </c>
      <c r="R1660" s="2">
        <v>7563025.21</v>
      </c>
      <c r="S1660" s="2">
        <v>0</v>
      </c>
      <c r="T1660" s="2" t="s">
        <v>55</v>
      </c>
      <c r="U1660" s="2" t="s">
        <v>56</v>
      </c>
      <c r="V1660" s="2" t="s">
        <v>28</v>
      </c>
      <c r="W1660" s="2" t="s">
        <v>55</v>
      </c>
      <c r="X1660" s="2" t="s">
        <v>57</v>
      </c>
      <c r="Y1660" s="2">
        <v>2.8839042797402898</v>
      </c>
      <c r="Z1660" s="2">
        <v>4.71035</v>
      </c>
      <c r="AA1660" s="2">
        <v>-74.030416666666696</v>
      </c>
      <c r="AB1660" s="2">
        <v>2570</v>
      </c>
      <c r="AC1660" s="2" t="s">
        <v>31</v>
      </c>
      <c r="AD1660" s="2" t="s">
        <v>58</v>
      </c>
      <c r="AE1660" s="2" t="s">
        <v>33</v>
      </c>
      <c r="AF1660" s="2" t="s">
        <v>34</v>
      </c>
      <c r="AG1660" s="2" t="s">
        <v>59</v>
      </c>
      <c r="AH1660" s="2">
        <v>1.43162625267147</v>
      </c>
      <c r="AI1660" s="2">
        <v>1.3848263732896999</v>
      </c>
      <c r="AJ1660" s="2">
        <v>0.73743182426506404</v>
      </c>
      <c r="AK1660" s="2">
        <v>0.137754200261861</v>
      </c>
      <c r="AL1660" s="2">
        <v>0.11172515859674</v>
      </c>
      <c r="AM1660" s="2">
        <v>15.5</v>
      </c>
      <c r="AN1660" s="2">
        <v>2.4</v>
      </c>
      <c r="AO1660" s="2">
        <v>10.9</v>
      </c>
      <c r="AP1660" s="2">
        <v>564</v>
      </c>
      <c r="AQ1660" s="2">
        <v>68</v>
      </c>
      <c r="AR1660" s="2">
        <v>1.5</v>
      </c>
      <c r="AS1660" s="2">
        <v>135</v>
      </c>
      <c r="AT1660" s="2">
        <v>0</v>
      </c>
      <c r="AU1660" s="2">
        <v>162</v>
      </c>
      <c r="AV1660" s="2">
        <v>9.1</v>
      </c>
      <c r="AW1660" s="2">
        <v>9.1999999999999993</v>
      </c>
      <c r="AX1660" s="2">
        <v>18.3</v>
      </c>
      <c r="AY1660" s="2">
        <v>0.34</v>
      </c>
      <c r="AZ1660" s="2">
        <v>7.3</v>
      </c>
      <c r="BA1660" s="2">
        <v>0.9</v>
      </c>
      <c r="BB1660" s="2">
        <v>7.5</v>
      </c>
      <c r="BC1660" s="2">
        <v>2.9</v>
      </c>
      <c r="BD1660" s="2">
        <f>+AN1660*EXP(-0.0495*Y1660)</f>
        <v>2.0807230957907259</v>
      </c>
      <c r="BE1660" s="2">
        <f>+AO1660*EXP(-0.024*Y1660)</f>
        <v>10.171086991692849</v>
      </c>
    </row>
    <row r="1661" spans="1:57" x14ac:dyDescent="0.2">
      <c r="A1661" s="2" t="s">
        <v>970</v>
      </c>
      <c r="B1661" s="2" t="s">
        <v>19</v>
      </c>
      <c r="C1661" s="2" t="s">
        <v>20</v>
      </c>
      <c r="D1661" s="2" t="s">
        <v>21</v>
      </c>
      <c r="E1661" s="2" t="s">
        <v>177</v>
      </c>
      <c r="F1661" s="2">
        <v>6</v>
      </c>
      <c r="G1661" s="2">
        <v>119</v>
      </c>
      <c r="H1661" s="2">
        <v>3</v>
      </c>
      <c r="I1661" s="2">
        <v>3</v>
      </c>
      <c r="J1661" s="2">
        <v>2</v>
      </c>
      <c r="K1661" s="2" t="s">
        <v>61</v>
      </c>
      <c r="L1661" s="6" t="s">
        <v>113</v>
      </c>
      <c r="M1661" s="5">
        <v>726300000</v>
      </c>
      <c r="N1661" s="2">
        <v>0</v>
      </c>
      <c r="O1661" s="2">
        <v>4.6950030470000002</v>
      </c>
      <c r="P1661" s="2">
        <v>-74.041886950000006</v>
      </c>
      <c r="Q1661" s="2" t="s">
        <v>971</v>
      </c>
      <c r="R1661" s="2">
        <v>6103361.3449999997</v>
      </c>
      <c r="S1661" s="2">
        <v>0</v>
      </c>
      <c r="T1661" s="2" t="s">
        <v>55</v>
      </c>
      <c r="U1661" s="2" t="s">
        <v>56</v>
      </c>
      <c r="V1661" s="2" t="s">
        <v>28</v>
      </c>
      <c r="W1661" s="2" t="s">
        <v>55</v>
      </c>
      <c r="X1661" s="2" t="s">
        <v>57</v>
      </c>
      <c r="Y1661" s="2">
        <v>2.1302840389425399</v>
      </c>
      <c r="Z1661" s="2">
        <v>4.71035</v>
      </c>
      <c r="AA1661" s="2">
        <v>-74.030416666666696</v>
      </c>
      <c r="AB1661" s="2">
        <v>2570</v>
      </c>
      <c r="AC1661" s="2" t="s">
        <v>31</v>
      </c>
      <c r="AD1661" s="2" t="s">
        <v>58</v>
      </c>
      <c r="AE1661" s="2" t="s">
        <v>33</v>
      </c>
      <c r="AF1661" s="2" t="s">
        <v>34</v>
      </c>
      <c r="AG1661" s="2" t="s">
        <v>59</v>
      </c>
      <c r="AH1661" s="2">
        <v>1.5277046112211401</v>
      </c>
      <c r="AI1661" s="2">
        <v>1.7282571186147699</v>
      </c>
      <c r="AJ1661" s="2">
        <v>0.902984562510174</v>
      </c>
      <c r="AK1661" s="2">
        <v>6.11091641012739E-2</v>
      </c>
      <c r="AL1661" s="2">
        <v>0.22118871610698701</v>
      </c>
      <c r="AM1661" s="2">
        <v>15.5</v>
      </c>
      <c r="AN1661" s="2">
        <v>2.4</v>
      </c>
      <c r="AO1661" s="2">
        <v>10.9</v>
      </c>
      <c r="AP1661" s="2">
        <v>564</v>
      </c>
      <c r="AQ1661" s="2">
        <v>68</v>
      </c>
      <c r="AR1661" s="2">
        <v>1.5</v>
      </c>
      <c r="AS1661" s="2">
        <v>135</v>
      </c>
      <c r="AT1661" s="2">
        <v>0</v>
      </c>
      <c r="AU1661" s="2">
        <v>162</v>
      </c>
      <c r="AV1661" s="2">
        <v>9.1</v>
      </c>
      <c r="AW1661" s="2">
        <v>9.1999999999999993</v>
      </c>
      <c r="AX1661" s="2">
        <v>18.3</v>
      </c>
      <c r="AY1661" s="2">
        <v>0.34</v>
      </c>
      <c r="AZ1661" s="2">
        <v>7.3</v>
      </c>
      <c r="BA1661" s="2">
        <v>0.9</v>
      </c>
      <c r="BB1661" s="2">
        <v>7.5</v>
      </c>
      <c r="BC1661" s="2">
        <v>2.9</v>
      </c>
      <c r="BD1661" s="2">
        <f>+AN1661*EXP(-0.0495*Y1661)</f>
        <v>2.1598087528442131</v>
      </c>
      <c r="BE1661" s="2">
        <f>+AO1661*EXP(-0.024*Y1661)</f>
        <v>10.356724017526128</v>
      </c>
    </row>
    <row r="1662" spans="1:57" x14ac:dyDescent="0.2">
      <c r="A1662" s="2" t="s">
        <v>703</v>
      </c>
      <c r="B1662" s="2" t="s">
        <v>19</v>
      </c>
      <c r="C1662" s="2" t="s">
        <v>20</v>
      </c>
      <c r="D1662" s="2" t="s">
        <v>21</v>
      </c>
      <c r="E1662" s="2" t="s">
        <v>180</v>
      </c>
      <c r="F1662" s="2">
        <v>6</v>
      </c>
      <c r="G1662" s="2">
        <v>118</v>
      </c>
      <c r="H1662" s="2">
        <v>2</v>
      </c>
      <c r="I1662" s="2">
        <v>3</v>
      </c>
      <c r="J1662" s="2">
        <v>1</v>
      </c>
      <c r="K1662" s="2" t="s">
        <v>61</v>
      </c>
      <c r="L1662" s="6" t="s">
        <v>113</v>
      </c>
      <c r="M1662" s="5">
        <v>750000000</v>
      </c>
      <c r="N1662" s="2">
        <v>0</v>
      </c>
      <c r="O1662" s="2">
        <v>4.6813445859999998</v>
      </c>
      <c r="P1662" s="2">
        <v>-74.042323999999994</v>
      </c>
      <c r="Q1662" s="2" t="s">
        <v>704</v>
      </c>
      <c r="R1662" s="2">
        <v>6355932.2029999997</v>
      </c>
      <c r="S1662" s="2">
        <v>0</v>
      </c>
      <c r="T1662" s="2" t="s">
        <v>55</v>
      </c>
      <c r="U1662" s="2" t="s">
        <v>56</v>
      </c>
      <c r="V1662" s="2" t="s">
        <v>28</v>
      </c>
      <c r="W1662" s="2" t="s">
        <v>55</v>
      </c>
      <c r="X1662" s="2" t="s">
        <v>57</v>
      </c>
      <c r="Y1662" s="2">
        <v>3.4886689649893801</v>
      </c>
      <c r="Z1662" s="2">
        <v>4.71035</v>
      </c>
      <c r="AA1662" s="2">
        <v>-74.030416666666696</v>
      </c>
      <c r="AB1662" s="2">
        <v>2570</v>
      </c>
      <c r="AC1662" s="2" t="s">
        <v>31</v>
      </c>
      <c r="AD1662" s="2" t="s">
        <v>58</v>
      </c>
      <c r="AE1662" s="2" t="s">
        <v>33</v>
      </c>
      <c r="AF1662" s="2" t="s">
        <v>34</v>
      </c>
      <c r="AG1662" s="2" t="s">
        <v>81</v>
      </c>
      <c r="AH1662" s="2">
        <v>1.7303713640554099</v>
      </c>
      <c r="AI1662" s="2">
        <v>0.72536014887490996</v>
      </c>
      <c r="AJ1662" s="2">
        <v>0.36132813170651101</v>
      </c>
      <c r="AK1662" s="2">
        <v>8.4650581257128696E-2</v>
      </c>
      <c r="AL1662" s="2">
        <v>0.70438938737025403</v>
      </c>
      <c r="AM1662" s="2">
        <v>15.5</v>
      </c>
      <c r="AN1662" s="2">
        <v>2.4</v>
      </c>
      <c r="AO1662" s="2">
        <v>10.9</v>
      </c>
      <c r="AP1662" s="2">
        <v>564</v>
      </c>
      <c r="AQ1662" s="2">
        <v>68</v>
      </c>
      <c r="AR1662" s="2">
        <v>1.5</v>
      </c>
      <c r="AS1662" s="2">
        <v>135</v>
      </c>
      <c r="AT1662" s="2">
        <v>0</v>
      </c>
      <c r="AU1662" s="2">
        <v>162</v>
      </c>
      <c r="AV1662" s="2">
        <v>9.1</v>
      </c>
      <c r="AW1662" s="2">
        <v>9.1999999999999993</v>
      </c>
      <c r="AX1662" s="2">
        <v>18.3</v>
      </c>
      <c r="AY1662" s="2">
        <v>0.34</v>
      </c>
      <c r="AZ1662" s="2">
        <v>7.3</v>
      </c>
      <c r="BA1662" s="2">
        <v>0.9</v>
      </c>
      <c r="BB1662" s="2">
        <v>7.5</v>
      </c>
      <c r="BC1662" s="2">
        <v>2.9</v>
      </c>
      <c r="BD1662" s="2">
        <f>+AN1662*EXP(-0.0495*Y1662)</f>
        <v>2.0193579686434835</v>
      </c>
      <c r="BE1662" s="2">
        <f>+AO1662*EXP(-0.024*Y1662)</f>
        <v>10.024526439034657</v>
      </c>
    </row>
    <row r="1663" spans="1:57" x14ac:dyDescent="0.2">
      <c r="A1663" s="2" t="s">
        <v>379</v>
      </c>
      <c r="B1663" s="2" t="s">
        <v>19</v>
      </c>
      <c r="C1663" s="2" t="s">
        <v>20</v>
      </c>
      <c r="D1663" s="2" t="s">
        <v>21</v>
      </c>
      <c r="E1663" s="2" t="s">
        <v>380</v>
      </c>
      <c r="F1663" s="2">
        <v>4</v>
      </c>
      <c r="G1663" s="2">
        <v>118</v>
      </c>
      <c r="H1663" s="2">
        <v>3</v>
      </c>
      <c r="I1663" s="2">
        <v>3</v>
      </c>
      <c r="J1663" s="2">
        <v>2</v>
      </c>
      <c r="K1663" s="2" t="s">
        <v>61</v>
      </c>
      <c r="L1663" s="6" t="s">
        <v>84</v>
      </c>
      <c r="M1663" s="5">
        <v>790000000</v>
      </c>
      <c r="N1663" s="2">
        <v>0</v>
      </c>
      <c r="O1663" s="2">
        <v>4.7274875639999996</v>
      </c>
      <c r="P1663" s="2">
        <v>-74.042640689999999</v>
      </c>
      <c r="Q1663" s="2" t="s">
        <v>381</v>
      </c>
      <c r="R1663" s="2">
        <v>6694915.2539999997</v>
      </c>
      <c r="S1663" s="2">
        <v>0</v>
      </c>
      <c r="T1663" s="2" t="s">
        <v>55</v>
      </c>
      <c r="U1663" s="2" t="s">
        <v>56</v>
      </c>
      <c r="V1663" s="2" t="s">
        <v>28</v>
      </c>
      <c r="W1663" s="2" t="s">
        <v>55</v>
      </c>
      <c r="X1663" s="2" t="s">
        <v>57</v>
      </c>
      <c r="Y1663" s="2">
        <v>2.34065352692165</v>
      </c>
      <c r="Z1663" s="2">
        <v>4.71035</v>
      </c>
      <c r="AA1663" s="2">
        <v>-74.030416666666696</v>
      </c>
      <c r="AB1663" s="2">
        <v>2570</v>
      </c>
      <c r="AC1663" s="2" t="s">
        <v>31</v>
      </c>
      <c r="AD1663" s="2" t="s">
        <v>58</v>
      </c>
      <c r="AE1663" s="2" t="s">
        <v>33</v>
      </c>
      <c r="AF1663" s="2" t="s">
        <v>34</v>
      </c>
      <c r="AG1663" s="2" t="s">
        <v>59</v>
      </c>
      <c r="AH1663" s="2">
        <v>0.874597311468991</v>
      </c>
      <c r="AI1663" s="2">
        <v>2.28243959171271</v>
      </c>
      <c r="AJ1663" s="2">
        <v>0.66572028269707195</v>
      </c>
      <c r="AK1663" s="2">
        <v>0.364503088006354</v>
      </c>
      <c r="AL1663" s="2">
        <v>0.10960554436941899</v>
      </c>
      <c r="AM1663" s="2">
        <v>15.5</v>
      </c>
      <c r="AN1663" s="2">
        <v>2.4</v>
      </c>
      <c r="AO1663" s="2">
        <v>10.9</v>
      </c>
      <c r="AP1663" s="2">
        <v>564</v>
      </c>
      <c r="AQ1663" s="2">
        <v>68</v>
      </c>
      <c r="AR1663" s="2">
        <v>1.5</v>
      </c>
      <c r="AS1663" s="2">
        <v>135</v>
      </c>
      <c r="AT1663" s="2">
        <v>0</v>
      </c>
      <c r="AU1663" s="2">
        <v>162</v>
      </c>
      <c r="AV1663" s="2">
        <v>9.1</v>
      </c>
      <c r="AW1663" s="2">
        <v>9.1999999999999993</v>
      </c>
      <c r="AX1663" s="2">
        <v>18.3</v>
      </c>
      <c r="AY1663" s="2">
        <v>0.34</v>
      </c>
      <c r="AZ1663" s="2">
        <v>7.3</v>
      </c>
      <c r="BA1663" s="2">
        <v>0.9</v>
      </c>
      <c r="BB1663" s="2">
        <v>7.5</v>
      </c>
      <c r="BC1663" s="2">
        <v>2.9</v>
      </c>
      <c r="BD1663" s="2">
        <f>+AN1663*EXP(-0.0495*Y1663)</f>
        <v>2.1374347344485098</v>
      </c>
      <c r="BE1663" s="2">
        <f>+AO1663*EXP(-0.024*Y1663)</f>
        <v>10.304566068127206</v>
      </c>
    </row>
    <row r="1664" spans="1:57" x14ac:dyDescent="0.2">
      <c r="A1664" s="2" t="s">
        <v>527</v>
      </c>
      <c r="B1664" s="2" t="s">
        <v>19</v>
      </c>
      <c r="C1664" s="2" t="s">
        <v>20</v>
      </c>
      <c r="D1664" s="2" t="s">
        <v>21</v>
      </c>
      <c r="E1664" s="2" t="s">
        <v>528</v>
      </c>
      <c r="F1664" s="2">
        <v>5</v>
      </c>
      <c r="G1664" s="2">
        <v>118</v>
      </c>
      <c r="H1664" s="2">
        <v>3</v>
      </c>
      <c r="I1664" s="2">
        <v>3</v>
      </c>
      <c r="J1664" s="2">
        <v>2</v>
      </c>
      <c r="K1664" s="2" t="s">
        <v>61</v>
      </c>
      <c r="L1664" s="6" t="s">
        <v>62</v>
      </c>
      <c r="M1664" s="5">
        <v>1280000000</v>
      </c>
      <c r="N1664" s="2">
        <v>0</v>
      </c>
      <c r="O1664" s="2">
        <v>4.7086315159999996</v>
      </c>
      <c r="P1664" s="2">
        <v>-74.030052190000006</v>
      </c>
      <c r="Q1664" s="2" t="s">
        <v>529</v>
      </c>
      <c r="R1664" s="2">
        <v>10847457.630000001</v>
      </c>
      <c r="S1664" s="2">
        <v>0</v>
      </c>
      <c r="T1664" s="2" t="s">
        <v>55</v>
      </c>
      <c r="U1664" s="2" t="s">
        <v>56</v>
      </c>
      <c r="V1664" s="2" t="s">
        <v>28</v>
      </c>
      <c r="W1664" s="2" t="s">
        <v>55</v>
      </c>
      <c r="X1664" s="2" t="s">
        <v>57</v>
      </c>
      <c r="Y1664" s="2">
        <v>0.19552770267490799</v>
      </c>
      <c r="Z1664" s="2">
        <v>4.71035</v>
      </c>
      <c r="AA1664" s="2">
        <v>-74.030416666666696</v>
      </c>
      <c r="AB1664" s="2">
        <v>2570</v>
      </c>
      <c r="AC1664" s="2" t="s">
        <v>31</v>
      </c>
      <c r="AD1664" s="2" t="s">
        <v>58</v>
      </c>
      <c r="AE1664" s="2" t="s">
        <v>33</v>
      </c>
      <c r="AF1664" s="2" t="s">
        <v>34</v>
      </c>
      <c r="AG1664" s="2" t="s">
        <v>59</v>
      </c>
      <c r="AH1664" s="2">
        <v>2.5799028587527602</v>
      </c>
      <c r="AI1664" s="2">
        <v>0.55587781561569405</v>
      </c>
      <c r="AJ1664" s="2">
        <v>0.38177261070386098</v>
      </c>
      <c r="AK1664" s="2">
        <v>0.274565740502557</v>
      </c>
      <c r="AL1664" s="2">
        <v>0.36285931789027098</v>
      </c>
      <c r="AM1664" s="2">
        <v>15.5</v>
      </c>
      <c r="AN1664" s="2">
        <v>2.4</v>
      </c>
      <c r="AO1664" s="2">
        <v>10.9</v>
      </c>
      <c r="AP1664" s="2">
        <v>564</v>
      </c>
      <c r="AQ1664" s="2">
        <v>68</v>
      </c>
      <c r="AR1664" s="2">
        <v>1.5</v>
      </c>
      <c r="AS1664" s="2">
        <v>135</v>
      </c>
      <c r="AT1664" s="2">
        <v>0</v>
      </c>
      <c r="AU1664" s="2">
        <v>162</v>
      </c>
      <c r="AV1664" s="2">
        <v>9.1</v>
      </c>
      <c r="AW1664" s="2">
        <v>9.1999999999999993</v>
      </c>
      <c r="AX1664" s="2">
        <v>18.3</v>
      </c>
      <c r="AY1664" s="2">
        <v>0.34</v>
      </c>
      <c r="AZ1664" s="2">
        <v>7.3</v>
      </c>
      <c r="BA1664" s="2">
        <v>0.9</v>
      </c>
      <c r="BB1664" s="2">
        <v>7.5</v>
      </c>
      <c r="BC1664" s="2">
        <v>2.9</v>
      </c>
      <c r="BD1664" s="2">
        <f>+AN1664*EXP(-0.0495*Y1664)</f>
        <v>2.3768833579892648</v>
      </c>
      <c r="BE1664" s="2">
        <f>+AO1664*EXP(-0.024*Y1664)</f>
        <v>10.848969780484422</v>
      </c>
    </row>
    <row r="1665" spans="1:57" x14ac:dyDescent="0.2">
      <c r="A1665" s="2" t="s">
        <v>347</v>
      </c>
      <c r="B1665" s="2" t="s">
        <v>19</v>
      </c>
      <c r="C1665" s="2" t="s">
        <v>20</v>
      </c>
      <c r="D1665" s="2" t="s">
        <v>21</v>
      </c>
      <c r="E1665" s="2" t="s">
        <v>213</v>
      </c>
      <c r="F1665" s="2">
        <v>5</v>
      </c>
      <c r="G1665" s="2">
        <v>116</v>
      </c>
      <c r="H1665" s="2">
        <v>3</v>
      </c>
      <c r="I1665" s="2">
        <v>2</v>
      </c>
      <c r="J1665" s="2">
        <v>2</v>
      </c>
      <c r="K1665" s="2" t="s">
        <v>61</v>
      </c>
      <c r="L1665" s="6" t="s">
        <v>113</v>
      </c>
      <c r="M1665" s="5">
        <v>770000000</v>
      </c>
      <c r="N1665" s="2">
        <v>0</v>
      </c>
      <c r="O1665" s="2">
        <v>4.7042150500000002</v>
      </c>
      <c r="P1665" s="2">
        <v>-74.031661990000003</v>
      </c>
      <c r="Q1665" s="2" t="s">
        <v>348</v>
      </c>
      <c r="R1665" s="2">
        <v>6637931.034</v>
      </c>
      <c r="S1665" s="2">
        <v>0</v>
      </c>
      <c r="T1665" s="2" t="s">
        <v>55</v>
      </c>
      <c r="U1665" s="2" t="s">
        <v>56</v>
      </c>
      <c r="V1665" s="2" t="s">
        <v>28</v>
      </c>
      <c r="W1665" s="2" t="s">
        <v>55</v>
      </c>
      <c r="X1665" s="2" t="s">
        <v>57</v>
      </c>
      <c r="Y1665" s="2">
        <v>0.69677462666665002</v>
      </c>
      <c r="Z1665" s="2">
        <v>4.71035</v>
      </c>
      <c r="AA1665" s="2">
        <v>-74.030416666666696</v>
      </c>
      <c r="AB1665" s="2">
        <v>2570</v>
      </c>
      <c r="AC1665" s="2" t="s">
        <v>31</v>
      </c>
      <c r="AD1665" s="2" t="s">
        <v>58</v>
      </c>
      <c r="AE1665" s="2" t="s">
        <v>33</v>
      </c>
      <c r="AF1665" s="2" t="s">
        <v>34</v>
      </c>
      <c r="AG1665" s="2" t="s">
        <v>59</v>
      </c>
      <c r="AH1665" s="2">
        <v>2.5021673165885701</v>
      </c>
      <c r="AI1665" s="2">
        <v>0.70908553186116496</v>
      </c>
      <c r="AJ1665" s="2">
        <v>0.33062436072842699</v>
      </c>
      <c r="AK1665" s="2">
        <v>8.9745899133046494E-2</v>
      </c>
      <c r="AL1665" s="2">
        <v>0.354239633370315</v>
      </c>
      <c r="AM1665" s="2">
        <v>15.5</v>
      </c>
      <c r="AN1665" s="2">
        <v>2.4</v>
      </c>
      <c r="AO1665" s="2">
        <v>10.9</v>
      </c>
      <c r="AP1665" s="2">
        <v>564</v>
      </c>
      <c r="AQ1665" s="2">
        <v>68</v>
      </c>
      <c r="AR1665" s="2">
        <v>1.5</v>
      </c>
      <c r="AS1665" s="2">
        <v>135</v>
      </c>
      <c r="AT1665" s="2">
        <v>0</v>
      </c>
      <c r="AU1665" s="2">
        <v>162</v>
      </c>
      <c r="AV1665" s="2">
        <v>9.1</v>
      </c>
      <c r="AW1665" s="2">
        <v>9.1999999999999993</v>
      </c>
      <c r="AX1665" s="2">
        <v>18.3</v>
      </c>
      <c r="AY1665" s="2">
        <v>0.34</v>
      </c>
      <c r="AZ1665" s="2">
        <v>7.3</v>
      </c>
      <c r="BA1665" s="2">
        <v>0.9</v>
      </c>
      <c r="BB1665" s="2">
        <v>7.5</v>
      </c>
      <c r="BC1665" s="2">
        <v>2.9</v>
      </c>
      <c r="BD1665" s="2">
        <f>+AN1665*EXP(-0.0495*Y1665)</f>
        <v>2.3186344038269202</v>
      </c>
      <c r="BE1665" s="2">
        <f>+AO1665*EXP(-0.024*Y1665)</f>
        <v>10.719239363148928</v>
      </c>
    </row>
    <row r="1666" spans="1:57" x14ac:dyDescent="0.2">
      <c r="A1666" s="2" t="s">
        <v>998</v>
      </c>
      <c r="B1666" s="2" t="s">
        <v>19</v>
      </c>
      <c r="C1666" s="2" t="s">
        <v>20</v>
      </c>
      <c r="D1666" s="2" t="s">
        <v>21</v>
      </c>
      <c r="E1666" s="2" t="s">
        <v>164</v>
      </c>
      <c r="F1666" s="2">
        <v>6</v>
      </c>
      <c r="G1666" s="2">
        <v>115.15</v>
      </c>
      <c r="H1666" s="2">
        <v>3</v>
      </c>
      <c r="I1666" s="2">
        <v>3</v>
      </c>
      <c r="J1666" s="2">
        <v>2</v>
      </c>
      <c r="K1666" s="2" t="s">
        <v>61</v>
      </c>
      <c r="L1666" s="6" t="s">
        <v>75</v>
      </c>
      <c r="M1666" s="5">
        <v>1050000000</v>
      </c>
      <c r="N1666" s="2">
        <v>0</v>
      </c>
      <c r="O1666" s="2">
        <v>4.7000870700000004</v>
      </c>
      <c r="P1666" s="2">
        <v>-74.034935000000004</v>
      </c>
      <c r="Q1666" s="2" t="s">
        <v>999</v>
      </c>
      <c r="R1666" s="2">
        <v>9118541.0329999998</v>
      </c>
      <c r="S1666" s="2">
        <v>0</v>
      </c>
      <c r="T1666" s="2" t="s">
        <v>55</v>
      </c>
      <c r="U1666" s="2" t="s">
        <v>56</v>
      </c>
      <c r="V1666" s="2" t="s">
        <v>28</v>
      </c>
      <c r="W1666" s="2" t="s">
        <v>55</v>
      </c>
      <c r="X1666" s="2" t="s">
        <v>57</v>
      </c>
      <c r="Y1666" s="2">
        <v>1.2476014785724201</v>
      </c>
      <c r="Z1666" s="2">
        <v>4.71035</v>
      </c>
      <c r="AA1666" s="2">
        <v>-74.030416666666696</v>
      </c>
      <c r="AB1666" s="2">
        <v>2570</v>
      </c>
      <c r="AC1666" s="2" t="s">
        <v>31</v>
      </c>
      <c r="AD1666" s="2" t="s">
        <v>58</v>
      </c>
      <c r="AE1666" s="2" t="s">
        <v>33</v>
      </c>
      <c r="AF1666" s="2" t="s">
        <v>34</v>
      </c>
      <c r="AG1666" s="2" t="s">
        <v>59</v>
      </c>
      <c r="AH1666" s="2">
        <v>2.1972106807663199</v>
      </c>
      <c r="AI1666" s="2">
        <v>1.01179843336599</v>
      </c>
      <c r="AJ1666" s="2">
        <v>0.30663537287641301</v>
      </c>
      <c r="AK1666" s="2">
        <v>0.27664242657592603</v>
      </c>
      <c r="AL1666" s="2">
        <v>0.26286597583210902</v>
      </c>
      <c r="AM1666" s="2">
        <v>15.5</v>
      </c>
      <c r="AN1666" s="2">
        <v>2.4</v>
      </c>
      <c r="AO1666" s="2">
        <v>10.9</v>
      </c>
      <c r="AP1666" s="2">
        <v>564</v>
      </c>
      <c r="AQ1666" s="2">
        <v>68</v>
      </c>
      <c r="AR1666" s="2">
        <v>1.5</v>
      </c>
      <c r="AS1666" s="2">
        <v>135</v>
      </c>
      <c r="AT1666" s="2">
        <v>0</v>
      </c>
      <c r="AU1666" s="2">
        <v>162</v>
      </c>
      <c r="AV1666" s="2">
        <v>9.1</v>
      </c>
      <c r="AW1666" s="2">
        <v>9.1999999999999993</v>
      </c>
      <c r="AX1666" s="2">
        <v>18.3</v>
      </c>
      <c r="AY1666" s="2">
        <v>0.34</v>
      </c>
      <c r="AZ1666" s="2">
        <v>7.3</v>
      </c>
      <c r="BA1666" s="2">
        <v>0.9</v>
      </c>
      <c r="BB1666" s="2">
        <v>7.5</v>
      </c>
      <c r="BC1666" s="2">
        <v>2.9</v>
      </c>
      <c r="BD1666" s="2">
        <f>+AN1666*EXP(-0.0495*Y1666)</f>
        <v>2.2562687744821712</v>
      </c>
      <c r="BE1666" s="2">
        <f>+AO1666*EXP(-0.024*Y1666)</f>
        <v>10.578465242365599</v>
      </c>
    </row>
    <row r="1667" spans="1:57" x14ac:dyDescent="0.2">
      <c r="A1667" s="2" t="s">
        <v>2157</v>
      </c>
      <c r="B1667" s="2" t="s">
        <v>19</v>
      </c>
      <c r="C1667" s="2" t="s">
        <v>1907</v>
      </c>
      <c r="D1667" s="2" t="s">
        <v>21</v>
      </c>
      <c r="E1667" s="2" t="s">
        <v>1554</v>
      </c>
      <c r="F1667" s="2">
        <v>4</v>
      </c>
      <c r="G1667" s="2">
        <v>115</v>
      </c>
      <c r="H1667" s="2">
        <v>5</v>
      </c>
      <c r="I1667" s="2">
        <v>3</v>
      </c>
      <c r="J1667" s="2">
        <v>2</v>
      </c>
      <c r="K1667" s="2" t="s">
        <v>61</v>
      </c>
      <c r="L1667" s="6" t="s">
        <v>113</v>
      </c>
      <c r="M1667" s="5">
        <v>620000000</v>
      </c>
      <c r="N1667" s="2">
        <v>0</v>
      </c>
      <c r="O1667" s="2">
        <v>4.7310514000000001</v>
      </c>
      <c r="P1667" s="2">
        <v>-74.039444000000003</v>
      </c>
      <c r="Q1667" s="2" t="s">
        <v>2158</v>
      </c>
      <c r="R1667" s="2">
        <v>5391304.3480000002</v>
      </c>
      <c r="S1667" s="2">
        <v>0</v>
      </c>
      <c r="T1667" s="2" t="s">
        <v>55</v>
      </c>
      <c r="U1667" s="2" t="s">
        <v>56</v>
      </c>
      <c r="V1667" s="2" t="s">
        <v>28</v>
      </c>
      <c r="W1667" s="2" t="s">
        <v>55</v>
      </c>
      <c r="X1667" s="2" t="s">
        <v>57</v>
      </c>
      <c r="Y1667" s="2">
        <v>2.5126876884823499</v>
      </c>
      <c r="Z1667" s="2">
        <v>4.71035</v>
      </c>
      <c r="AA1667" s="2">
        <v>-74.030416666666696</v>
      </c>
      <c r="AB1667" s="2">
        <v>2570</v>
      </c>
      <c r="AC1667" s="2" t="s">
        <v>31</v>
      </c>
      <c r="AD1667" s="2" t="s">
        <v>58</v>
      </c>
      <c r="AE1667" s="2" t="s">
        <v>33</v>
      </c>
      <c r="AF1667" s="2" t="s">
        <v>34</v>
      </c>
      <c r="AG1667" s="2" t="s">
        <v>59</v>
      </c>
      <c r="AH1667" s="2">
        <v>1.1495762415791499</v>
      </c>
      <c r="AI1667" s="2">
        <v>1.9428160329578399</v>
      </c>
      <c r="AJ1667" s="2">
        <v>0.21083251092692501</v>
      </c>
      <c r="AK1667" s="2">
        <v>0.303846850630765</v>
      </c>
      <c r="AL1667" s="2">
        <v>5.0500052671401202E-2</v>
      </c>
      <c r="AM1667" s="2">
        <v>15.5</v>
      </c>
      <c r="AN1667" s="2">
        <v>2.4</v>
      </c>
      <c r="AO1667" s="2">
        <v>10.9</v>
      </c>
      <c r="AP1667" s="2">
        <v>564</v>
      </c>
      <c r="AQ1667" s="2">
        <v>68</v>
      </c>
      <c r="AR1667" s="2">
        <v>1.5</v>
      </c>
      <c r="AS1667" s="2">
        <v>135</v>
      </c>
      <c r="AT1667" s="2">
        <v>0</v>
      </c>
      <c r="AU1667" s="2">
        <v>162</v>
      </c>
      <c r="AV1667" s="2">
        <v>9.1</v>
      </c>
      <c r="AW1667" s="2">
        <v>9.1999999999999993</v>
      </c>
      <c r="AX1667" s="2">
        <v>18.3</v>
      </c>
      <c r="AY1667" s="2">
        <v>0.34</v>
      </c>
      <c r="AZ1667" s="2">
        <v>7.3</v>
      </c>
      <c r="BA1667" s="2">
        <v>0.9</v>
      </c>
      <c r="BB1667" s="2">
        <v>7.5</v>
      </c>
      <c r="BC1667" s="2">
        <v>2.9</v>
      </c>
      <c r="BD1667" s="2">
        <f>+AN1667*EXP(-0.0495*Y1667)</f>
        <v>2.1193102813715337</v>
      </c>
      <c r="BE1667" s="2">
        <f>+AO1667*EXP(-0.024*Y1667)</f>
        <v>10.262108081920893</v>
      </c>
    </row>
    <row r="1668" spans="1:57" x14ac:dyDescent="0.2">
      <c r="A1668" s="2" t="s">
        <v>1020</v>
      </c>
      <c r="B1668" s="2" t="s">
        <v>19</v>
      </c>
      <c r="C1668" s="2" t="s">
        <v>20</v>
      </c>
      <c r="D1668" s="2" t="s">
        <v>21</v>
      </c>
      <c r="E1668" s="2" t="s">
        <v>952</v>
      </c>
      <c r="F1668" s="2">
        <v>5</v>
      </c>
      <c r="G1668" s="2">
        <v>113</v>
      </c>
      <c r="H1668" s="2">
        <v>3</v>
      </c>
      <c r="I1668" s="2">
        <v>4</v>
      </c>
      <c r="J1668" s="2">
        <v>2</v>
      </c>
      <c r="K1668" s="2" t="s">
        <v>61</v>
      </c>
      <c r="L1668" s="6" t="s">
        <v>113</v>
      </c>
      <c r="M1668" s="5">
        <v>750000000</v>
      </c>
      <c r="N1668" s="2">
        <v>0</v>
      </c>
      <c r="O1668" s="2">
        <v>4.6951460840000001</v>
      </c>
      <c r="P1668" s="2">
        <v>-74.064399719999997</v>
      </c>
      <c r="Q1668" s="2" t="s">
        <v>1021</v>
      </c>
      <c r="R1668" s="2">
        <v>6637168.142</v>
      </c>
      <c r="S1668" s="2">
        <v>0</v>
      </c>
      <c r="T1668" s="2" t="s">
        <v>55</v>
      </c>
      <c r="U1668" s="2" t="s">
        <v>56</v>
      </c>
      <c r="V1668" s="2" t="s">
        <v>28</v>
      </c>
      <c r="W1668" s="2" t="s">
        <v>55</v>
      </c>
      <c r="X1668" s="2" t="s">
        <v>57</v>
      </c>
      <c r="Y1668" s="2">
        <v>4.1327042196649204</v>
      </c>
      <c r="Z1668" s="2">
        <v>4.71035</v>
      </c>
      <c r="AA1668" s="2">
        <v>-74.030416666666696</v>
      </c>
      <c r="AB1668" s="2">
        <v>2570</v>
      </c>
      <c r="AC1668" s="2" t="s">
        <v>31</v>
      </c>
      <c r="AD1668" s="2" t="s">
        <v>58</v>
      </c>
      <c r="AE1668" s="2" t="s">
        <v>33</v>
      </c>
      <c r="AF1668" s="2" t="s">
        <v>34</v>
      </c>
      <c r="AG1668" s="2" t="s">
        <v>72</v>
      </c>
      <c r="AH1668" s="2">
        <v>0.36634725862984902</v>
      </c>
      <c r="AI1668" s="2">
        <v>3.6087711528918298</v>
      </c>
      <c r="AJ1668" s="2">
        <v>0.64920356089764397</v>
      </c>
      <c r="AK1668" s="2">
        <v>3.3682990691208899E-2</v>
      </c>
      <c r="AL1668" s="2">
        <v>0.185750802990686</v>
      </c>
      <c r="AM1668" s="2">
        <v>15.5</v>
      </c>
      <c r="AN1668" s="2">
        <v>2.4</v>
      </c>
      <c r="AO1668" s="2">
        <v>10.9</v>
      </c>
      <c r="AP1668" s="2">
        <v>564</v>
      </c>
      <c r="AQ1668" s="2">
        <v>68</v>
      </c>
      <c r="AR1668" s="2">
        <v>1.5</v>
      </c>
      <c r="AS1668" s="2">
        <v>135</v>
      </c>
      <c r="AT1668" s="2">
        <v>0</v>
      </c>
      <c r="AU1668" s="2">
        <v>162</v>
      </c>
      <c r="AV1668" s="2">
        <v>9.1</v>
      </c>
      <c r="AW1668" s="2">
        <v>9.1999999999999993</v>
      </c>
      <c r="AX1668" s="2">
        <v>18.3</v>
      </c>
      <c r="AY1668" s="2">
        <v>0.34</v>
      </c>
      <c r="AZ1668" s="2">
        <v>7.3</v>
      </c>
      <c r="BA1668" s="2">
        <v>0.9</v>
      </c>
      <c r="BB1668" s="2">
        <v>7.5</v>
      </c>
      <c r="BC1668" s="2">
        <v>2.9</v>
      </c>
      <c r="BD1668" s="2">
        <f>+AN1668*EXP(-0.0495*Y1668)</f>
        <v>1.9559966882363391</v>
      </c>
      <c r="BE1668" s="2">
        <f>+AO1668*EXP(-0.024*Y1668)</f>
        <v>9.8707702307420906</v>
      </c>
    </row>
    <row r="1669" spans="1:57" x14ac:dyDescent="0.2">
      <c r="A1669" s="2" t="s">
        <v>1805</v>
      </c>
      <c r="B1669" s="2" t="s">
        <v>19</v>
      </c>
      <c r="C1669" s="2" t="s">
        <v>20</v>
      </c>
      <c r="D1669" s="2" t="s">
        <v>21</v>
      </c>
      <c r="E1669" s="2" t="s">
        <v>213</v>
      </c>
      <c r="F1669" s="2">
        <v>5</v>
      </c>
      <c r="G1669" s="2">
        <v>112</v>
      </c>
      <c r="H1669" s="2">
        <v>3</v>
      </c>
      <c r="I1669" s="2">
        <v>3</v>
      </c>
      <c r="J1669" s="2">
        <v>2</v>
      </c>
      <c r="K1669" s="2" t="s">
        <v>61</v>
      </c>
      <c r="L1669" s="6" t="s">
        <v>113</v>
      </c>
      <c r="M1669" s="5">
        <v>600000000</v>
      </c>
      <c r="N1669" s="2">
        <v>0</v>
      </c>
      <c r="O1669" s="2">
        <v>4.7067227000000003</v>
      </c>
      <c r="P1669" s="2">
        <v>-74.032134999999997</v>
      </c>
      <c r="Q1669" s="2" t="s">
        <v>1806</v>
      </c>
      <c r="R1669" s="2">
        <v>5357142.8569999998</v>
      </c>
      <c r="S1669" s="2">
        <v>0</v>
      </c>
      <c r="T1669" s="2" t="s">
        <v>55</v>
      </c>
      <c r="U1669" s="2" t="s">
        <v>56</v>
      </c>
      <c r="V1669" s="2" t="s">
        <v>28</v>
      </c>
      <c r="W1669" s="2" t="s">
        <v>55</v>
      </c>
      <c r="X1669" s="2" t="s">
        <v>57</v>
      </c>
      <c r="Y1669" s="2">
        <v>0.44652964519362998</v>
      </c>
      <c r="Z1669" s="2">
        <v>4.71035</v>
      </c>
      <c r="AA1669" s="2">
        <v>-74.030416666666696</v>
      </c>
      <c r="AB1669" s="2">
        <v>2570</v>
      </c>
      <c r="AC1669" s="2" t="s">
        <v>31</v>
      </c>
      <c r="AD1669" s="2" t="s">
        <v>58</v>
      </c>
      <c r="AE1669" s="2" t="s">
        <v>33</v>
      </c>
      <c r="AF1669" s="2" t="s">
        <v>34</v>
      </c>
      <c r="AG1669" s="2" t="s">
        <v>59</v>
      </c>
      <c r="AH1669" s="2">
        <v>2.4243672047779801</v>
      </c>
      <c r="AI1669" s="2">
        <v>0.83027985120193903</v>
      </c>
      <c r="AJ1669" s="2">
        <v>0.44983418190294899</v>
      </c>
      <c r="AK1669" s="2">
        <v>0.14110066579337299</v>
      </c>
      <c r="AL1669" s="2">
        <v>0.10325334172239101</v>
      </c>
      <c r="AM1669" s="2">
        <v>15.5</v>
      </c>
      <c r="AN1669" s="2">
        <v>2.4</v>
      </c>
      <c r="AO1669" s="2">
        <v>10.9</v>
      </c>
      <c r="AP1669" s="2">
        <v>564</v>
      </c>
      <c r="AQ1669" s="2">
        <v>68</v>
      </c>
      <c r="AR1669" s="2">
        <v>1.5</v>
      </c>
      <c r="AS1669" s="2">
        <v>135</v>
      </c>
      <c r="AT1669" s="2">
        <v>0</v>
      </c>
      <c r="AU1669" s="2">
        <v>162</v>
      </c>
      <c r="AV1669" s="2">
        <v>9.1</v>
      </c>
      <c r="AW1669" s="2">
        <v>9.1999999999999993</v>
      </c>
      <c r="AX1669" s="2">
        <v>18.3</v>
      </c>
      <c r="AY1669" s="2">
        <v>0.34</v>
      </c>
      <c r="AZ1669" s="2">
        <v>7.3</v>
      </c>
      <c r="BA1669" s="2">
        <v>0.9</v>
      </c>
      <c r="BB1669" s="2">
        <v>7.5</v>
      </c>
      <c r="BC1669" s="2">
        <v>2.9</v>
      </c>
      <c r="BD1669" s="2">
        <f>+AN1669*EXP(-0.0495*Y1669)</f>
        <v>2.3475342451490944</v>
      </c>
      <c r="BE1669" s="2">
        <f>+AO1669*EXP(-0.024*Y1669)</f>
        <v>10.783811535938952</v>
      </c>
    </row>
    <row r="1670" spans="1:57" x14ac:dyDescent="0.2">
      <c r="A1670" s="2" t="s">
        <v>230</v>
      </c>
      <c r="B1670" s="2" t="s">
        <v>19</v>
      </c>
      <c r="C1670" s="2" t="s">
        <v>20</v>
      </c>
      <c r="D1670" s="2" t="s">
        <v>21</v>
      </c>
      <c r="E1670" s="2" t="s">
        <v>231</v>
      </c>
      <c r="F1670" s="2">
        <v>4</v>
      </c>
      <c r="G1670" s="2">
        <v>111</v>
      </c>
      <c r="H1670" s="2">
        <v>4</v>
      </c>
      <c r="I1670" s="2">
        <v>2</v>
      </c>
      <c r="J1670" s="2">
        <v>2</v>
      </c>
      <c r="K1670" s="2" t="s">
        <v>61</v>
      </c>
      <c r="L1670" s="6" t="s">
        <v>75</v>
      </c>
      <c r="M1670" s="5">
        <v>650000000</v>
      </c>
      <c r="N1670" s="2">
        <v>0</v>
      </c>
      <c r="O1670" s="2">
        <v>4.7465004999999998</v>
      </c>
      <c r="P1670" s="2">
        <v>-74.033159999999995</v>
      </c>
      <c r="Q1670" s="2" t="s">
        <v>232</v>
      </c>
      <c r="R1670" s="2">
        <v>5855855.8559999997</v>
      </c>
      <c r="S1670" s="2">
        <v>0</v>
      </c>
      <c r="T1670" s="2" t="s">
        <v>55</v>
      </c>
      <c r="U1670" s="2" t="s">
        <v>56</v>
      </c>
      <c r="V1670" s="2" t="s">
        <v>28</v>
      </c>
      <c r="W1670" s="2" t="s">
        <v>55</v>
      </c>
      <c r="X1670" s="2" t="s">
        <v>57</v>
      </c>
      <c r="Y1670" s="2">
        <v>4.0357474524368504</v>
      </c>
      <c r="Z1670" s="2">
        <v>4.71035</v>
      </c>
      <c r="AA1670" s="2">
        <v>-74.030416666666696</v>
      </c>
      <c r="AB1670" s="2">
        <v>2570</v>
      </c>
      <c r="AC1670" s="2" t="s">
        <v>31</v>
      </c>
      <c r="AD1670" s="2" t="s">
        <v>58</v>
      </c>
      <c r="AE1670" s="2" t="s">
        <v>33</v>
      </c>
      <c r="AF1670" s="2" t="s">
        <v>34</v>
      </c>
      <c r="AG1670" s="2" t="s">
        <v>59</v>
      </c>
      <c r="AH1670" s="2">
        <v>1.56308207268739</v>
      </c>
      <c r="AI1670" s="2">
        <v>1.4340142329821299</v>
      </c>
      <c r="AJ1670" s="2">
        <v>0.38740797421536</v>
      </c>
      <c r="AK1670" s="2">
        <v>0.49968041716068101</v>
      </c>
      <c r="AL1670" s="2">
        <v>0.35858639633436901</v>
      </c>
      <c r="AM1670" s="2">
        <v>15.5</v>
      </c>
      <c r="AN1670" s="2">
        <v>2.4</v>
      </c>
      <c r="AO1670" s="2">
        <v>10.9</v>
      </c>
      <c r="AP1670" s="2">
        <v>564</v>
      </c>
      <c r="AQ1670" s="2">
        <v>68</v>
      </c>
      <c r="AR1670" s="2">
        <v>1.5</v>
      </c>
      <c r="AS1670" s="2">
        <v>135</v>
      </c>
      <c r="AT1670" s="2">
        <v>0</v>
      </c>
      <c r="AU1670" s="2">
        <v>162</v>
      </c>
      <c r="AV1670" s="2">
        <v>9.1</v>
      </c>
      <c r="AW1670" s="2">
        <v>9.1999999999999993</v>
      </c>
      <c r="AX1670" s="2">
        <v>18.3</v>
      </c>
      <c r="AY1670" s="2">
        <v>0.34</v>
      </c>
      <c r="AZ1670" s="2">
        <v>7.3</v>
      </c>
      <c r="BA1670" s="2">
        <v>0.9</v>
      </c>
      <c r="BB1670" s="2">
        <v>7.5</v>
      </c>
      <c r="BC1670" s="2">
        <v>2.9</v>
      </c>
      <c r="BD1670" s="2">
        <f>+AN1670*EXP(-0.0495*Y1670)</f>
        <v>1.9654067836135614</v>
      </c>
      <c r="BE1670" s="2">
        <f>+AO1670*EXP(-0.024*Y1670)</f>
        <v>9.8937658866982883</v>
      </c>
    </row>
    <row r="1671" spans="1:57" x14ac:dyDescent="0.2">
      <c r="A1671" s="2" t="s">
        <v>2206</v>
      </c>
      <c r="B1671" s="2" t="s">
        <v>19</v>
      </c>
      <c r="C1671" s="2" t="s">
        <v>1907</v>
      </c>
      <c r="D1671" s="2" t="s">
        <v>21</v>
      </c>
      <c r="E1671" s="2" t="s">
        <v>1093</v>
      </c>
      <c r="F1671" s="2">
        <v>5</v>
      </c>
      <c r="G1671" s="2">
        <v>110</v>
      </c>
      <c r="H1671" s="2">
        <v>4</v>
      </c>
      <c r="I1671" s="2">
        <v>4</v>
      </c>
      <c r="J1671" s="2">
        <v>3</v>
      </c>
      <c r="K1671" s="2" t="s">
        <v>61</v>
      </c>
      <c r="L1671" s="6" t="s">
        <v>113</v>
      </c>
      <c r="M1671" s="5">
        <v>1200000000</v>
      </c>
      <c r="N1671" s="2">
        <v>0</v>
      </c>
      <c r="O1671" s="2">
        <v>4.7070598600000002</v>
      </c>
      <c r="P1671" s="2">
        <v>-74.060150149999998</v>
      </c>
      <c r="Q1671" s="2" t="s">
        <v>2207</v>
      </c>
      <c r="R1671" s="2">
        <v>10909090.91</v>
      </c>
      <c r="S1671" s="2">
        <v>0</v>
      </c>
      <c r="T1671" s="2" t="s">
        <v>55</v>
      </c>
      <c r="U1671" s="2" t="s">
        <v>56</v>
      </c>
      <c r="V1671" s="2" t="s">
        <v>28</v>
      </c>
      <c r="W1671" s="2" t="s">
        <v>55</v>
      </c>
      <c r="X1671" s="2" t="s">
        <v>57</v>
      </c>
      <c r="Y1671" s="2">
        <v>3.31901531118258</v>
      </c>
      <c r="Z1671" s="2">
        <v>4.71035</v>
      </c>
      <c r="AA1671" s="2">
        <v>-74.030416666666696</v>
      </c>
      <c r="AB1671" s="2">
        <v>2570</v>
      </c>
      <c r="AC1671" s="2" t="s">
        <v>31</v>
      </c>
      <c r="AD1671" s="2" t="s">
        <v>58</v>
      </c>
      <c r="AE1671" s="2" t="s">
        <v>33</v>
      </c>
      <c r="AF1671" s="2" t="s">
        <v>34</v>
      </c>
      <c r="AG1671" s="2" t="s">
        <v>72</v>
      </c>
      <c r="AH1671" s="2">
        <v>0.70930395682849601</v>
      </c>
      <c r="AI1671" s="2">
        <v>3.8706789678844902</v>
      </c>
      <c r="AJ1671" s="2">
        <v>1.46355806486578</v>
      </c>
      <c r="AK1671" s="2">
        <v>0.18169671072944499</v>
      </c>
      <c r="AL1671" s="2">
        <v>0.108205664341622</v>
      </c>
      <c r="AM1671" s="2">
        <v>15.5</v>
      </c>
      <c r="AN1671" s="2">
        <v>2.4</v>
      </c>
      <c r="AO1671" s="2">
        <v>10.9</v>
      </c>
      <c r="AP1671" s="2">
        <v>564</v>
      </c>
      <c r="AQ1671" s="2">
        <v>68</v>
      </c>
      <c r="AR1671" s="2">
        <v>1.5</v>
      </c>
      <c r="AS1671" s="2">
        <v>135</v>
      </c>
      <c r="AT1671" s="2">
        <v>0</v>
      </c>
      <c r="AU1671" s="2">
        <v>162</v>
      </c>
      <c r="AV1671" s="2">
        <v>9.1</v>
      </c>
      <c r="AW1671" s="2">
        <v>9.1999999999999993</v>
      </c>
      <c r="AX1671" s="2">
        <v>18.3</v>
      </c>
      <c r="AY1671" s="2">
        <v>0.34</v>
      </c>
      <c r="AZ1671" s="2">
        <v>7.3</v>
      </c>
      <c r="BA1671" s="2">
        <v>0.9</v>
      </c>
      <c r="BB1671" s="2">
        <v>7.5</v>
      </c>
      <c r="BC1671" s="2">
        <v>2.9</v>
      </c>
      <c r="BD1671" s="2">
        <f>+AN1671*EXP(-0.0495*Y1671)</f>
        <v>2.0363876521311903</v>
      </c>
      <c r="BE1671" s="2">
        <f>+AO1671*EXP(-0.024*Y1671)</f>
        <v>10.065426389354919</v>
      </c>
    </row>
    <row r="1672" spans="1:57" x14ac:dyDescent="0.2">
      <c r="A1672" s="2" t="s">
        <v>1620</v>
      </c>
      <c r="B1672" s="2" t="s">
        <v>19</v>
      </c>
      <c r="C1672" s="2" t="s">
        <v>20</v>
      </c>
      <c r="D1672" s="2" t="s">
        <v>21</v>
      </c>
      <c r="E1672" s="2" t="s">
        <v>161</v>
      </c>
      <c r="F1672" s="2">
        <v>6</v>
      </c>
      <c r="G1672" s="2">
        <v>110</v>
      </c>
      <c r="H1672" s="2">
        <v>2</v>
      </c>
      <c r="I1672" s="2">
        <v>3</v>
      </c>
      <c r="J1672" s="2">
        <v>2</v>
      </c>
      <c r="K1672" s="2" t="s">
        <v>61</v>
      </c>
      <c r="L1672" s="6" t="s">
        <v>75</v>
      </c>
      <c r="M1672" s="5">
        <v>750000000</v>
      </c>
      <c r="N1672" s="2">
        <v>0</v>
      </c>
      <c r="O1672" s="2">
        <v>4.6908620000000001</v>
      </c>
      <c r="P1672" s="2">
        <v>-74.052090000000007</v>
      </c>
      <c r="Q1672" s="2" t="s">
        <v>1621</v>
      </c>
      <c r="R1672" s="2">
        <v>6818181.818</v>
      </c>
      <c r="S1672" s="2">
        <v>0</v>
      </c>
      <c r="T1672" s="2" t="s">
        <v>55</v>
      </c>
      <c r="U1672" s="2" t="s">
        <v>56</v>
      </c>
      <c r="V1672" s="2" t="s">
        <v>28</v>
      </c>
      <c r="W1672" s="2" t="s">
        <v>55</v>
      </c>
      <c r="X1672" s="2" t="s">
        <v>57</v>
      </c>
      <c r="Y1672" s="2">
        <v>3.2385381746577702</v>
      </c>
      <c r="Z1672" s="2">
        <v>4.71035</v>
      </c>
      <c r="AA1672" s="2">
        <v>-74.030416666666696</v>
      </c>
      <c r="AB1672" s="2">
        <v>2570</v>
      </c>
      <c r="AC1672" s="2" t="s">
        <v>31</v>
      </c>
      <c r="AD1672" s="2" t="s">
        <v>58</v>
      </c>
      <c r="AE1672" s="2" t="s">
        <v>33</v>
      </c>
      <c r="AF1672" s="2" t="s">
        <v>34</v>
      </c>
      <c r="AG1672" s="2" t="s">
        <v>59</v>
      </c>
      <c r="AH1672" s="2">
        <v>0.51070839222151398</v>
      </c>
      <c r="AI1672" s="2">
        <v>2.2170053221320898</v>
      </c>
      <c r="AJ1672" s="2">
        <v>0.336140497119782</v>
      </c>
      <c r="AK1672" s="2">
        <v>0.166916172939089</v>
      </c>
      <c r="AL1672" s="2">
        <v>0.231877370272636</v>
      </c>
      <c r="AM1672" s="2">
        <v>15.5</v>
      </c>
      <c r="AN1672" s="2">
        <v>2.4</v>
      </c>
      <c r="AO1672" s="2">
        <v>10.9</v>
      </c>
      <c r="AP1672" s="2">
        <v>564</v>
      </c>
      <c r="AQ1672" s="2">
        <v>68</v>
      </c>
      <c r="AR1672" s="2">
        <v>1.5</v>
      </c>
      <c r="AS1672" s="2">
        <v>135</v>
      </c>
      <c r="AT1672" s="2">
        <v>0</v>
      </c>
      <c r="AU1672" s="2">
        <v>162</v>
      </c>
      <c r="AV1672" s="2">
        <v>9.1</v>
      </c>
      <c r="AW1672" s="2">
        <v>9.1999999999999993</v>
      </c>
      <c r="AX1672" s="2">
        <v>18.3</v>
      </c>
      <c r="AY1672" s="2">
        <v>0.34</v>
      </c>
      <c r="AZ1672" s="2">
        <v>7.3</v>
      </c>
      <c r="BA1672" s="2">
        <v>0.9</v>
      </c>
      <c r="BB1672" s="2">
        <v>7.5</v>
      </c>
      <c r="BC1672" s="2">
        <v>2.9</v>
      </c>
      <c r="BD1672" s="2">
        <f>+AN1672*EXP(-0.0495*Y1672)</f>
        <v>2.0445160225757615</v>
      </c>
      <c r="BE1672" s="2">
        <f>+AO1672*EXP(-0.024*Y1672)</f>
        <v>10.084886056654209</v>
      </c>
    </row>
    <row r="1673" spans="1:57" x14ac:dyDescent="0.2">
      <c r="A1673" s="2" t="s">
        <v>1056</v>
      </c>
      <c r="B1673" s="2" t="s">
        <v>19</v>
      </c>
      <c r="C1673" s="2" t="s">
        <v>20</v>
      </c>
      <c r="D1673" s="2" t="s">
        <v>21</v>
      </c>
      <c r="E1673" s="2" t="s">
        <v>1057</v>
      </c>
      <c r="F1673" s="2">
        <v>5</v>
      </c>
      <c r="G1673" s="2">
        <v>110</v>
      </c>
      <c r="H1673" s="2">
        <v>3</v>
      </c>
      <c r="I1673" s="2">
        <v>2</v>
      </c>
      <c r="J1673" s="2">
        <v>1</v>
      </c>
      <c r="K1673" s="2" t="s">
        <v>61</v>
      </c>
      <c r="L1673" s="6" t="s">
        <v>66</v>
      </c>
      <c r="M1673" s="5">
        <v>717000000</v>
      </c>
      <c r="N1673" s="2">
        <v>0</v>
      </c>
      <c r="O1673" s="2">
        <v>4.7166056999999997</v>
      </c>
      <c r="P1673" s="2">
        <v>-74.050889999999995</v>
      </c>
      <c r="Q1673" s="2" t="s">
        <v>1058</v>
      </c>
      <c r="R1673" s="2">
        <v>6518181.818</v>
      </c>
      <c r="S1673" s="2">
        <v>0</v>
      </c>
      <c r="T1673" s="2" t="s">
        <v>55</v>
      </c>
      <c r="U1673" s="2" t="s">
        <v>56</v>
      </c>
      <c r="V1673" s="2" t="s">
        <v>28</v>
      </c>
      <c r="W1673" s="2" t="s">
        <v>55</v>
      </c>
      <c r="X1673" s="2" t="s">
        <v>57</v>
      </c>
      <c r="Y1673" s="2">
        <v>2.3757280999223398</v>
      </c>
      <c r="Z1673" s="2">
        <v>4.71035</v>
      </c>
      <c r="AA1673" s="2">
        <v>-74.030416666666696</v>
      </c>
      <c r="AB1673" s="2">
        <v>2570</v>
      </c>
      <c r="AC1673" s="2" t="s">
        <v>31</v>
      </c>
      <c r="AD1673" s="2" t="s">
        <v>58</v>
      </c>
      <c r="AE1673" s="2" t="s">
        <v>33</v>
      </c>
      <c r="AF1673" s="2" t="s">
        <v>34</v>
      </c>
      <c r="AG1673" s="2" t="s">
        <v>59</v>
      </c>
      <c r="AH1673" s="2">
        <v>0.29223778726639499</v>
      </c>
      <c r="AI1673" s="2">
        <v>2.93899705085403</v>
      </c>
      <c r="AJ1673" s="2">
        <v>2.1100953092325501</v>
      </c>
      <c r="AK1673" s="2">
        <v>0.38992458357881299</v>
      </c>
      <c r="AL1673" s="2">
        <v>0.24282213494366001</v>
      </c>
      <c r="AM1673" s="2">
        <v>15.5</v>
      </c>
      <c r="AN1673" s="2">
        <v>2.4</v>
      </c>
      <c r="AO1673" s="2">
        <v>10.9</v>
      </c>
      <c r="AP1673" s="2">
        <v>564</v>
      </c>
      <c r="AQ1673" s="2">
        <v>68</v>
      </c>
      <c r="AR1673" s="2">
        <v>1.5</v>
      </c>
      <c r="AS1673" s="2">
        <v>135</v>
      </c>
      <c r="AT1673" s="2">
        <v>0</v>
      </c>
      <c r="AU1673" s="2">
        <v>162</v>
      </c>
      <c r="AV1673" s="2">
        <v>9.1</v>
      </c>
      <c r="AW1673" s="2">
        <v>9.1999999999999993</v>
      </c>
      <c r="AX1673" s="2">
        <v>18.3</v>
      </c>
      <c r="AY1673" s="2">
        <v>0.34</v>
      </c>
      <c r="AZ1673" s="2">
        <v>7.3</v>
      </c>
      <c r="BA1673" s="2">
        <v>0.9</v>
      </c>
      <c r="BB1673" s="2">
        <v>7.5</v>
      </c>
      <c r="BC1673" s="2">
        <v>2.9</v>
      </c>
      <c r="BD1673" s="2">
        <f>+AN1673*EXP(-0.0495*Y1673)</f>
        <v>2.1337269583582366</v>
      </c>
      <c r="BE1673" s="2">
        <f>+AO1673*EXP(-0.024*Y1673)</f>
        <v>10.29589543994706</v>
      </c>
    </row>
    <row r="1674" spans="1:57" x14ac:dyDescent="0.2">
      <c r="A1674" s="2" t="s">
        <v>212</v>
      </c>
      <c r="B1674" s="2" t="s">
        <v>19</v>
      </c>
      <c r="C1674" s="2" t="s">
        <v>20</v>
      </c>
      <c r="D1674" s="2" t="s">
        <v>21</v>
      </c>
      <c r="E1674" s="2" t="s">
        <v>213</v>
      </c>
      <c r="F1674" s="2">
        <v>5</v>
      </c>
      <c r="G1674" s="2">
        <v>110</v>
      </c>
      <c r="H1674" s="2">
        <v>3</v>
      </c>
      <c r="I1674" s="2">
        <v>3</v>
      </c>
      <c r="J1674" s="2">
        <v>1</v>
      </c>
      <c r="K1674" s="2" t="s">
        <v>61</v>
      </c>
      <c r="L1674" s="6" t="s">
        <v>84</v>
      </c>
      <c r="M1674" s="5">
        <v>780000000</v>
      </c>
      <c r="N1674" s="2">
        <v>0</v>
      </c>
      <c r="O1674" s="2">
        <v>4.7056488989999998</v>
      </c>
      <c r="P1674" s="2">
        <v>-74.029815670000005</v>
      </c>
      <c r="Q1674" s="2" t="s">
        <v>214</v>
      </c>
      <c r="R1674" s="2">
        <v>7090909.091</v>
      </c>
      <c r="S1674" s="2">
        <v>0</v>
      </c>
      <c r="T1674" s="2" t="s">
        <v>55</v>
      </c>
      <c r="U1674" s="2" t="s">
        <v>56</v>
      </c>
      <c r="V1674" s="2" t="s">
        <v>28</v>
      </c>
      <c r="W1674" s="2" t="s">
        <v>55</v>
      </c>
      <c r="X1674" s="2" t="s">
        <v>57</v>
      </c>
      <c r="Y1674" s="2">
        <v>0.52755473325986302</v>
      </c>
      <c r="Z1674" s="2">
        <v>4.71035</v>
      </c>
      <c r="AA1674" s="2">
        <v>-74.030416666666696</v>
      </c>
      <c r="AB1674" s="2">
        <v>2570</v>
      </c>
      <c r="AC1674" s="2" t="s">
        <v>31</v>
      </c>
      <c r="AD1674" s="2" t="s">
        <v>58</v>
      </c>
      <c r="AE1674" s="2" t="s">
        <v>33</v>
      </c>
      <c r="AF1674" s="2" t="s">
        <v>34</v>
      </c>
      <c r="AG1674" s="2" t="s">
        <v>59</v>
      </c>
      <c r="AH1674" s="2">
        <v>2.7070140746478599</v>
      </c>
      <c r="AI1674" s="2">
        <v>0.57696699548850705</v>
      </c>
      <c r="AJ1674" s="2">
        <v>0.560055710351958</v>
      </c>
      <c r="AK1674" s="2">
        <v>0.25439577198637098</v>
      </c>
      <c r="AL1674" s="2">
        <v>0.17069400988104</v>
      </c>
      <c r="AM1674" s="2">
        <v>15.5</v>
      </c>
      <c r="AN1674" s="2">
        <v>2.4</v>
      </c>
      <c r="AO1674" s="2">
        <v>10.9</v>
      </c>
      <c r="AP1674" s="2">
        <v>564</v>
      </c>
      <c r="AQ1674" s="2">
        <v>68</v>
      </c>
      <c r="AR1674" s="2">
        <v>1.5</v>
      </c>
      <c r="AS1674" s="2">
        <v>135</v>
      </c>
      <c r="AT1674" s="2">
        <v>0</v>
      </c>
      <c r="AU1674" s="2">
        <v>162</v>
      </c>
      <c r="AV1674" s="2">
        <v>9.1</v>
      </c>
      <c r="AW1674" s="2">
        <v>9.1999999999999993</v>
      </c>
      <c r="AX1674" s="2">
        <v>18.3</v>
      </c>
      <c r="AY1674" s="2">
        <v>0.34</v>
      </c>
      <c r="AZ1674" s="2">
        <v>7.3</v>
      </c>
      <c r="BA1674" s="2">
        <v>0.9</v>
      </c>
      <c r="BB1674" s="2">
        <v>7.5</v>
      </c>
      <c r="BC1674" s="2">
        <v>2.9</v>
      </c>
      <c r="BD1674" s="2">
        <f>+AN1674*EXP(-0.0495*Y1674)</f>
        <v>2.3381377473455625</v>
      </c>
      <c r="BE1674" s="2">
        <f>+AO1674*EXP(-0.024*Y1674)</f>
        <v>10.762861689393329</v>
      </c>
    </row>
    <row r="1675" spans="1:57" x14ac:dyDescent="0.2">
      <c r="A1675" s="2" t="s">
        <v>775</v>
      </c>
      <c r="B1675" s="2" t="s">
        <v>19</v>
      </c>
      <c r="C1675" s="2" t="s">
        <v>20</v>
      </c>
      <c r="D1675" s="2" t="s">
        <v>21</v>
      </c>
      <c r="E1675" s="2" t="s">
        <v>231</v>
      </c>
      <c r="F1675" s="2">
        <v>4</v>
      </c>
      <c r="G1675" s="2">
        <v>108</v>
      </c>
      <c r="H1675" s="2">
        <v>3</v>
      </c>
      <c r="I1675" s="2">
        <v>2</v>
      </c>
      <c r="J1675" s="2">
        <v>1</v>
      </c>
      <c r="K1675" s="2" t="s">
        <v>61</v>
      </c>
      <c r="L1675" s="6" t="s">
        <v>75</v>
      </c>
      <c r="M1675" s="5">
        <v>630000000</v>
      </c>
      <c r="N1675" s="2">
        <v>0</v>
      </c>
      <c r="O1675" s="2">
        <v>4.7440604999999998</v>
      </c>
      <c r="P1675" s="2">
        <v>-74.033810000000003</v>
      </c>
      <c r="Q1675" s="2" t="s">
        <v>776</v>
      </c>
      <c r="R1675" s="2">
        <v>5833333.3329999996</v>
      </c>
      <c r="S1675" s="2">
        <v>0</v>
      </c>
      <c r="T1675" s="2" t="s">
        <v>55</v>
      </c>
      <c r="U1675" s="2" t="s">
        <v>56</v>
      </c>
      <c r="V1675" s="2" t="s">
        <v>28</v>
      </c>
      <c r="W1675" s="2" t="s">
        <v>55</v>
      </c>
      <c r="X1675" s="2" t="s">
        <v>57</v>
      </c>
      <c r="Y1675" s="2">
        <v>3.7714713540082099</v>
      </c>
      <c r="Z1675" s="2">
        <v>4.71035</v>
      </c>
      <c r="AA1675" s="2">
        <v>-74.030416666666696</v>
      </c>
      <c r="AB1675" s="2">
        <v>2570</v>
      </c>
      <c r="AC1675" s="2" t="s">
        <v>31</v>
      </c>
      <c r="AD1675" s="2" t="s">
        <v>58</v>
      </c>
      <c r="AE1675" s="2" t="s">
        <v>33</v>
      </c>
      <c r="AF1675" s="2" t="s">
        <v>34</v>
      </c>
      <c r="AG1675" s="2" t="s">
        <v>59</v>
      </c>
      <c r="AH1675" s="2">
        <v>1.50900654522519</v>
      </c>
      <c r="AI1675" s="2">
        <v>1.5451090183557601</v>
      </c>
      <c r="AJ1675" s="2">
        <v>0.59392827969754702</v>
      </c>
      <c r="AK1675" s="2">
        <v>0.22709056145044301</v>
      </c>
      <c r="AL1675" s="2">
        <v>7.9703606572866195E-2</v>
      </c>
      <c r="AM1675" s="2">
        <v>15.5</v>
      </c>
      <c r="AN1675" s="2">
        <v>2.4</v>
      </c>
      <c r="AO1675" s="2">
        <v>10.9</v>
      </c>
      <c r="AP1675" s="2">
        <v>564</v>
      </c>
      <c r="AQ1675" s="2">
        <v>68</v>
      </c>
      <c r="AR1675" s="2">
        <v>1.5</v>
      </c>
      <c r="AS1675" s="2">
        <v>135</v>
      </c>
      <c r="AT1675" s="2">
        <v>0</v>
      </c>
      <c r="AU1675" s="2">
        <v>162</v>
      </c>
      <c r="AV1675" s="2">
        <v>9.1</v>
      </c>
      <c r="AW1675" s="2">
        <v>9.1999999999999993</v>
      </c>
      <c r="AX1675" s="2">
        <v>18.3</v>
      </c>
      <c r="AY1675" s="2">
        <v>0.34</v>
      </c>
      <c r="AZ1675" s="2">
        <v>7.3</v>
      </c>
      <c r="BA1675" s="2">
        <v>0.9</v>
      </c>
      <c r="BB1675" s="2">
        <v>7.5</v>
      </c>
      <c r="BC1675" s="2">
        <v>2.9</v>
      </c>
      <c r="BD1675" s="2">
        <f>+AN1675*EXP(-0.0495*Y1675)</f>
        <v>1.9912864861839901</v>
      </c>
      <c r="BE1675" s="2">
        <f>+AO1675*EXP(-0.024*Y1675)</f>
        <v>9.9567177761500094</v>
      </c>
    </row>
    <row r="1676" spans="1:57" x14ac:dyDescent="0.2">
      <c r="A1676" s="2" t="s">
        <v>1514</v>
      </c>
      <c r="B1676" s="2" t="s">
        <v>19</v>
      </c>
      <c r="C1676" s="2" t="s">
        <v>20</v>
      </c>
      <c r="D1676" s="2" t="s">
        <v>21</v>
      </c>
      <c r="E1676" s="2" t="s">
        <v>1515</v>
      </c>
      <c r="F1676" s="2">
        <v>4</v>
      </c>
      <c r="G1676" s="2">
        <v>108</v>
      </c>
      <c r="H1676" s="2">
        <v>3</v>
      </c>
      <c r="I1676" s="2">
        <v>2</v>
      </c>
      <c r="J1676" s="2">
        <v>1</v>
      </c>
      <c r="K1676" s="2" t="s">
        <v>61</v>
      </c>
      <c r="L1676" s="6" t="s">
        <v>62</v>
      </c>
      <c r="M1676" s="5">
        <v>650000000</v>
      </c>
      <c r="N1676" s="2">
        <v>0</v>
      </c>
      <c r="O1676" s="2">
        <v>4.7343322299999997</v>
      </c>
      <c r="P1676" s="2">
        <v>-74.029986800000003</v>
      </c>
      <c r="Q1676" s="2" t="s">
        <v>1516</v>
      </c>
      <c r="R1676" s="2">
        <v>6018518.5190000003</v>
      </c>
      <c r="S1676" s="2">
        <v>0</v>
      </c>
      <c r="T1676" s="2" t="s">
        <v>55</v>
      </c>
      <c r="U1676" s="2" t="s">
        <v>56</v>
      </c>
      <c r="V1676" s="2" t="s">
        <v>28</v>
      </c>
      <c r="W1676" s="2" t="s">
        <v>55</v>
      </c>
      <c r="X1676" s="2" t="s">
        <v>57</v>
      </c>
      <c r="Y1676" s="2">
        <v>2.6701155545769901</v>
      </c>
      <c r="Z1676" s="2">
        <v>4.71035</v>
      </c>
      <c r="AA1676" s="2">
        <v>-74.030416666666696</v>
      </c>
      <c r="AB1676" s="2">
        <v>2570</v>
      </c>
      <c r="AC1676" s="2" t="s">
        <v>31</v>
      </c>
      <c r="AD1676" s="2" t="s">
        <v>58</v>
      </c>
      <c r="AE1676" s="2" t="s">
        <v>33</v>
      </c>
      <c r="AF1676" s="2" t="s">
        <v>34</v>
      </c>
      <c r="AG1676" s="2" t="s">
        <v>59</v>
      </c>
      <c r="AH1676" s="2">
        <v>2.13329679249959</v>
      </c>
      <c r="AI1676" s="2">
        <v>0.90461641821993999</v>
      </c>
      <c r="AJ1676" s="2">
        <v>1.1186281255238999</v>
      </c>
      <c r="AK1676" s="2">
        <v>0.47534616233726601</v>
      </c>
      <c r="AL1676" s="2">
        <v>8.2910921754532699E-2</v>
      </c>
      <c r="AM1676" s="2">
        <v>15.5</v>
      </c>
      <c r="AN1676" s="2">
        <v>2.4</v>
      </c>
      <c r="AO1676" s="2">
        <v>10.9</v>
      </c>
      <c r="AP1676" s="2">
        <v>564</v>
      </c>
      <c r="AQ1676" s="2">
        <v>68</v>
      </c>
      <c r="AR1676" s="2">
        <v>1.5</v>
      </c>
      <c r="AS1676" s="2">
        <v>135</v>
      </c>
      <c r="AT1676" s="2">
        <v>0</v>
      </c>
      <c r="AU1676" s="2">
        <v>162</v>
      </c>
      <c r="AV1676" s="2">
        <v>9.1</v>
      </c>
      <c r="AW1676" s="2">
        <v>9.1999999999999993</v>
      </c>
      <c r="AX1676" s="2">
        <v>18.3</v>
      </c>
      <c r="AY1676" s="2">
        <v>0.34</v>
      </c>
      <c r="AZ1676" s="2">
        <v>7.3</v>
      </c>
      <c r="BA1676" s="2">
        <v>0.9</v>
      </c>
      <c r="BB1676" s="2">
        <v>7.5</v>
      </c>
      <c r="BC1676" s="2">
        <v>2.9</v>
      </c>
      <c r="BD1676" s="2">
        <f>+AN1676*EXP(-0.0495*Y1676)</f>
        <v>2.102859357496865</v>
      </c>
      <c r="BE1676" s="2">
        <f>+AO1676*EXP(-0.024*Y1676)</f>
        <v>10.223408234524053</v>
      </c>
    </row>
    <row r="1677" spans="1:57" x14ac:dyDescent="0.2">
      <c r="A1677" s="2" t="s">
        <v>3731</v>
      </c>
      <c r="B1677" s="2" t="s">
        <v>19</v>
      </c>
      <c r="C1677" s="2" t="s">
        <v>3245</v>
      </c>
      <c r="D1677" s="2" t="s">
        <v>21</v>
      </c>
      <c r="E1677" s="2" t="s">
        <v>1600</v>
      </c>
      <c r="F1677" s="2">
        <v>6</v>
      </c>
      <c r="G1677" s="2">
        <v>106</v>
      </c>
      <c r="H1677" s="2">
        <v>3</v>
      </c>
      <c r="I1677" s="2">
        <v>3</v>
      </c>
      <c r="J1677" s="2">
        <v>2</v>
      </c>
      <c r="K1677" s="2" t="s">
        <v>61</v>
      </c>
      <c r="L1677" s="6" t="s">
        <v>75</v>
      </c>
      <c r="M1677" s="5">
        <v>1190000000</v>
      </c>
      <c r="N1677" s="2">
        <v>0</v>
      </c>
      <c r="O1677" s="2">
        <v>4.6882041000000001</v>
      </c>
      <c r="P1677" s="2">
        <v>-74.055956499999994</v>
      </c>
      <c r="Q1677" s="2" t="s">
        <v>3732</v>
      </c>
      <c r="R1677" s="2">
        <v>11226415.09</v>
      </c>
      <c r="S1677" s="2">
        <v>0</v>
      </c>
      <c r="T1677" s="2" t="s">
        <v>55</v>
      </c>
      <c r="U1677" s="2" t="s">
        <v>56</v>
      </c>
      <c r="V1677" s="2" t="s">
        <v>28</v>
      </c>
      <c r="W1677" s="2" t="s">
        <v>55</v>
      </c>
      <c r="X1677" s="2" t="s">
        <v>57</v>
      </c>
      <c r="Y1677" s="2">
        <v>3.7558508827492401</v>
      </c>
      <c r="Z1677" s="2">
        <v>4.71035</v>
      </c>
      <c r="AA1677" s="2">
        <v>-74.030416666666696</v>
      </c>
      <c r="AB1677" s="2">
        <v>2570</v>
      </c>
      <c r="AC1677" s="2" t="s">
        <v>31</v>
      </c>
      <c r="AD1677" s="2" t="s">
        <v>58</v>
      </c>
      <c r="AE1677" s="2" t="s">
        <v>33</v>
      </c>
      <c r="AF1677" s="2" t="s">
        <v>34</v>
      </c>
      <c r="AG1677" s="2" t="s">
        <v>59</v>
      </c>
      <c r="AH1677" s="2">
        <v>0.50890203568054904</v>
      </c>
      <c r="AI1677" s="2">
        <v>2.4038156842724199</v>
      </c>
      <c r="AJ1677" s="2">
        <v>0.44142890337241503</v>
      </c>
      <c r="AK1677" s="2">
        <v>4.4634023693252201E-2</v>
      </c>
      <c r="AL1677" s="2">
        <v>0.56452254880785802</v>
      </c>
      <c r="AM1677" s="2">
        <v>15.5</v>
      </c>
      <c r="AN1677" s="2">
        <v>2.4</v>
      </c>
      <c r="AO1677" s="2">
        <v>10.9</v>
      </c>
      <c r="AP1677" s="2">
        <v>564</v>
      </c>
      <c r="AQ1677" s="2">
        <v>68</v>
      </c>
      <c r="AR1677" s="2">
        <v>1.5</v>
      </c>
      <c r="AS1677" s="2">
        <v>135</v>
      </c>
      <c r="AT1677" s="2">
        <v>0</v>
      </c>
      <c r="AU1677" s="2">
        <v>162</v>
      </c>
      <c r="AV1677" s="2">
        <v>9.1</v>
      </c>
      <c r="AW1677" s="2">
        <v>9.1999999999999993</v>
      </c>
      <c r="AX1677" s="2">
        <v>18.3</v>
      </c>
      <c r="AY1677" s="2">
        <v>0.34</v>
      </c>
      <c r="AZ1677" s="2">
        <v>7.3</v>
      </c>
      <c r="BA1677" s="2">
        <v>0.9</v>
      </c>
      <c r="BB1677" s="2">
        <v>7.5</v>
      </c>
      <c r="BC1677" s="2">
        <v>2.9</v>
      </c>
      <c r="BD1677" s="2">
        <f>+AN1677*EXP(-0.0495*Y1677)</f>
        <v>1.9928267708411909</v>
      </c>
      <c r="BE1677" s="2">
        <f>+AO1677*EXP(-0.024*Y1677)</f>
        <v>9.9604511628859509</v>
      </c>
    </row>
    <row r="1678" spans="1:57" x14ac:dyDescent="0.2">
      <c r="A1678" s="2" t="s">
        <v>701</v>
      </c>
      <c r="B1678" s="2" t="s">
        <v>19</v>
      </c>
      <c r="C1678" s="2" t="s">
        <v>20</v>
      </c>
      <c r="D1678" s="2" t="s">
        <v>21</v>
      </c>
      <c r="E1678" s="2" t="s">
        <v>419</v>
      </c>
      <c r="F1678" s="2">
        <v>6</v>
      </c>
      <c r="G1678" s="2">
        <v>106</v>
      </c>
      <c r="H1678" s="2">
        <v>3</v>
      </c>
      <c r="I1678" s="2">
        <v>2</v>
      </c>
      <c r="J1678" s="2">
        <v>2</v>
      </c>
      <c r="K1678" s="2" t="s">
        <v>61</v>
      </c>
      <c r="L1678" s="6" t="s">
        <v>84</v>
      </c>
      <c r="M1678" s="5">
        <v>1200000000</v>
      </c>
      <c r="N1678" s="2">
        <v>0</v>
      </c>
      <c r="O1678" s="2">
        <v>4.6882109639999996</v>
      </c>
      <c r="P1678" s="2">
        <v>-74.055953979999998</v>
      </c>
      <c r="Q1678" s="2" t="s">
        <v>702</v>
      </c>
      <c r="R1678" s="2">
        <v>11320754.720000001</v>
      </c>
      <c r="S1678" s="2">
        <v>0</v>
      </c>
      <c r="T1678" s="2" t="s">
        <v>55</v>
      </c>
      <c r="U1678" s="2" t="s">
        <v>56</v>
      </c>
      <c r="V1678" s="2" t="s">
        <v>28</v>
      </c>
      <c r="W1678" s="2" t="s">
        <v>55</v>
      </c>
      <c r="X1678" s="2" t="s">
        <v>57</v>
      </c>
      <c r="Y1678" s="2">
        <v>3.7551384288790901</v>
      </c>
      <c r="Z1678" s="2">
        <v>4.71035</v>
      </c>
      <c r="AA1678" s="2">
        <v>-74.030416666666696</v>
      </c>
      <c r="AB1678" s="2">
        <v>2570</v>
      </c>
      <c r="AC1678" s="2" t="s">
        <v>31</v>
      </c>
      <c r="AD1678" s="2" t="s">
        <v>58</v>
      </c>
      <c r="AE1678" s="2" t="s">
        <v>33</v>
      </c>
      <c r="AF1678" s="2" t="s">
        <v>34</v>
      </c>
      <c r="AG1678" s="2" t="s">
        <v>59</v>
      </c>
      <c r="AH1678" s="2">
        <v>0.50970978206363204</v>
      </c>
      <c r="AI1678" s="2">
        <v>2.4040891688012098</v>
      </c>
      <c r="AJ1678" s="2">
        <v>0.44167290300996898</v>
      </c>
      <c r="AK1678" s="2">
        <v>4.4923251656710503E-2</v>
      </c>
      <c r="AL1678" s="2">
        <v>0.56532645186810004</v>
      </c>
      <c r="AM1678" s="2">
        <v>15.5</v>
      </c>
      <c r="AN1678" s="2">
        <v>2.4</v>
      </c>
      <c r="AO1678" s="2">
        <v>10.9</v>
      </c>
      <c r="AP1678" s="2">
        <v>564</v>
      </c>
      <c r="AQ1678" s="2">
        <v>68</v>
      </c>
      <c r="AR1678" s="2">
        <v>1.5</v>
      </c>
      <c r="AS1678" s="2">
        <v>135</v>
      </c>
      <c r="AT1678" s="2">
        <v>0</v>
      </c>
      <c r="AU1678" s="2">
        <v>162</v>
      </c>
      <c r="AV1678" s="2">
        <v>9.1</v>
      </c>
      <c r="AW1678" s="2">
        <v>9.1999999999999993</v>
      </c>
      <c r="AX1678" s="2">
        <v>18.3</v>
      </c>
      <c r="AY1678" s="2">
        <v>0.34</v>
      </c>
      <c r="AZ1678" s="2">
        <v>7.3</v>
      </c>
      <c r="BA1678" s="2">
        <v>0.9</v>
      </c>
      <c r="BB1678" s="2">
        <v>7.5</v>
      </c>
      <c r="BC1678" s="2">
        <v>2.9</v>
      </c>
      <c r="BD1678" s="2">
        <f>+AN1678*EXP(-0.0495*Y1678)</f>
        <v>1.9928970520391669</v>
      </c>
      <c r="BE1678" s="2">
        <f>+AO1678*EXP(-0.024*Y1678)</f>
        <v>9.9606214770295463</v>
      </c>
    </row>
    <row r="1679" spans="1:57" x14ac:dyDescent="0.2">
      <c r="A1679" s="2" t="s">
        <v>1022</v>
      </c>
      <c r="B1679" s="2" t="s">
        <v>19</v>
      </c>
      <c r="C1679" s="2" t="s">
        <v>20</v>
      </c>
      <c r="D1679" s="2" t="s">
        <v>21</v>
      </c>
      <c r="E1679" s="2" t="s">
        <v>419</v>
      </c>
      <c r="F1679" s="2">
        <v>6</v>
      </c>
      <c r="G1679" s="2">
        <v>105.49</v>
      </c>
      <c r="H1679" s="2">
        <v>3</v>
      </c>
      <c r="I1679" s="2">
        <v>3</v>
      </c>
      <c r="J1679" s="2">
        <v>2</v>
      </c>
      <c r="K1679" s="2" t="s">
        <v>61</v>
      </c>
      <c r="L1679" s="6" t="s">
        <v>113</v>
      </c>
      <c r="M1679" s="5">
        <v>965000000</v>
      </c>
      <c r="N1679" s="2">
        <v>0</v>
      </c>
      <c r="O1679" s="2">
        <v>4.6872339250000001</v>
      </c>
      <c r="P1679" s="2">
        <v>-74.049270629999995</v>
      </c>
      <c r="Q1679" s="2" t="s">
        <v>1023</v>
      </c>
      <c r="R1679" s="2">
        <v>9147786.5199999996</v>
      </c>
      <c r="S1679" s="2">
        <v>0</v>
      </c>
      <c r="T1679" s="2" t="s">
        <v>55</v>
      </c>
      <c r="U1679" s="2" t="s">
        <v>56</v>
      </c>
      <c r="V1679" s="2" t="s">
        <v>28</v>
      </c>
      <c r="W1679" s="2" t="s">
        <v>55</v>
      </c>
      <c r="X1679" s="2" t="s">
        <v>57</v>
      </c>
      <c r="Y1679" s="2">
        <v>3.3161989725060002</v>
      </c>
      <c r="Z1679" s="2">
        <v>4.71035</v>
      </c>
      <c r="AA1679" s="2">
        <v>-74.030416666666696</v>
      </c>
      <c r="AB1679" s="2">
        <v>2570</v>
      </c>
      <c r="AC1679" s="2" t="s">
        <v>31</v>
      </c>
      <c r="AD1679" s="2" t="s">
        <v>58</v>
      </c>
      <c r="AE1679" s="2" t="s">
        <v>33</v>
      </c>
      <c r="AF1679" s="2" t="s">
        <v>34</v>
      </c>
      <c r="AG1679" s="2" t="s">
        <v>59</v>
      </c>
      <c r="AH1679" s="2">
        <v>0.99545614761782797</v>
      </c>
      <c r="AI1679" s="2">
        <v>1.72537627400813</v>
      </c>
      <c r="AJ1679" s="2">
        <v>0.193521395695672</v>
      </c>
      <c r="AK1679" s="2">
        <v>0.14783056817530599</v>
      </c>
      <c r="AL1679" s="2">
        <v>0.48112301705375399</v>
      </c>
      <c r="AM1679" s="2">
        <v>15.5</v>
      </c>
      <c r="AN1679" s="2">
        <v>2.4</v>
      </c>
      <c r="AO1679" s="2">
        <v>10.9</v>
      </c>
      <c r="AP1679" s="2">
        <v>564</v>
      </c>
      <c r="AQ1679" s="2">
        <v>68</v>
      </c>
      <c r="AR1679" s="2">
        <v>1.5</v>
      </c>
      <c r="AS1679" s="2">
        <v>135</v>
      </c>
      <c r="AT1679" s="2">
        <v>0</v>
      </c>
      <c r="AU1679" s="2">
        <v>162</v>
      </c>
      <c r="AV1679" s="2">
        <v>9.1</v>
      </c>
      <c r="AW1679" s="2">
        <v>9.1999999999999993</v>
      </c>
      <c r="AX1679" s="2">
        <v>18.3</v>
      </c>
      <c r="AY1679" s="2">
        <v>0.34</v>
      </c>
      <c r="AZ1679" s="2">
        <v>7.3</v>
      </c>
      <c r="BA1679" s="2">
        <v>0.9</v>
      </c>
      <c r="BB1679" s="2">
        <v>7.5</v>
      </c>
      <c r="BC1679" s="2">
        <v>2.9</v>
      </c>
      <c r="BD1679" s="2">
        <f>+AN1679*EXP(-0.0495*Y1679)</f>
        <v>2.0366715622071143</v>
      </c>
      <c r="BE1679" s="2">
        <f>+AO1679*EXP(-0.024*Y1679)</f>
        <v>10.06610675593965</v>
      </c>
    </row>
    <row r="1680" spans="1:57" x14ac:dyDescent="0.2">
      <c r="A1680" s="2" t="s">
        <v>3064</v>
      </c>
      <c r="B1680" s="2" t="s">
        <v>19</v>
      </c>
      <c r="C1680" s="2" t="s">
        <v>1907</v>
      </c>
      <c r="D1680" s="2" t="s">
        <v>21</v>
      </c>
      <c r="E1680" s="2" t="s">
        <v>3065</v>
      </c>
      <c r="F1680" s="2">
        <v>4</v>
      </c>
      <c r="G1680" s="2">
        <v>105</v>
      </c>
      <c r="H1680" s="2">
        <v>3</v>
      </c>
      <c r="I1680" s="2">
        <v>3</v>
      </c>
      <c r="J1680" s="2">
        <v>1</v>
      </c>
      <c r="K1680" s="2" t="s">
        <v>61</v>
      </c>
      <c r="L1680" s="6" t="s">
        <v>75</v>
      </c>
      <c r="M1680" s="5">
        <v>480000000</v>
      </c>
      <c r="N1680" s="2">
        <v>0</v>
      </c>
      <c r="O1680" s="2">
        <v>4.7463800000000003</v>
      </c>
      <c r="P1680" s="2">
        <v>-74.032340000000005</v>
      </c>
      <c r="Q1680" s="2" t="s">
        <v>3066</v>
      </c>
      <c r="R1680" s="2">
        <v>4571428.5710000005</v>
      </c>
      <c r="S1680" s="2">
        <v>0</v>
      </c>
      <c r="T1680" s="2" t="s">
        <v>55</v>
      </c>
      <c r="U1680" s="2" t="s">
        <v>56</v>
      </c>
      <c r="V1680" s="2" t="s">
        <v>28</v>
      </c>
      <c r="W1680" s="2" t="s">
        <v>55</v>
      </c>
      <c r="X1680" s="2" t="s">
        <v>57</v>
      </c>
      <c r="Y1680" s="2">
        <v>4.0165130150913502</v>
      </c>
      <c r="Z1680" s="2">
        <v>4.71035</v>
      </c>
      <c r="AA1680" s="2">
        <v>-74.030416666666696</v>
      </c>
      <c r="AB1680" s="2">
        <v>2570</v>
      </c>
      <c r="AC1680" s="2" t="s">
        <v>31</v>
      </c>
      <c r="AD1680" s="2" t="s">
        <v>58</v>
      </c>
      <c r="AE1680" s="2" t="s">
        <v>33</v>
      </c>
      <c r="AF1680" s="2" t="s">
        <v>34</v>
      </c>
      <c r="AG1680" s="2" t="s">
        <v>59</v>
      </c>
      <c r="AH1680" s="2">
        <v>1.65374671992857</v>
      </c>
      <c r="AI1680" s="2">
        <v>1.34785639407575</v>
      </c>
      <c r="AJ1680" s="2">
        <v>0.30987706470499998</v>
      </c>
      <c r="AK1680" s="2">
        <v>0.45714340575343998</v>
      </c>
      <c r="AL1680" s="2">
        <v>0.36479113107177003</v>
      </c>
      <c r="AM1680" s="2">
        <v>15.5</v>
      </c>
      <c r="AN1680" s="2">
        <v>2.4</v>
      </c>
      <c r="AO1680" s="2">
        <v>10.9</v>
      </c>
      <c r="AP1680" s="2">
        <v>564</v>
      </c>
      <c r="AQ1680" s="2">
        <v>68</v>
      </c>
      <c r="AR1680" s="2">
        <v>1.5</v>
      </c>
      <c r="AS1680" s="2">
        <v>135</v>
      </c>
      <c r="AT1680" s="2">
        <v>0</v>
      </c>
      <c r="AU1680" s="2">
        <v>162</v>
      </c>
      <c r="AV1680" s="2">
        <v>9.1</v>
      </c>
      <c r="AW1680" s="2">
        <v>9.1999999999999993</v>
      </c>
      <c r="AX1680" s="2">
        <v>18.3</v>
      </c>
      <c r="AY1680" s="2">
        <v>0.34</v>
      </c>
      <c r="AZ1680" s="2">
        <v>7.3</v>
      </c>
      <c r="BA1680" s="2">
        <v>0.9</v>
      </c>
      <c r="BB1680" s="2">
        <v>7.5</v>
      </c>
      <c r="BC1680" s="2">
        <v>2.9</v>
      </c>
      <c r="BD1680" s="2">
        <f>+AN1680*EXP(-0.0495*Y1680)</f>
        <v>1.967278947655251</v>
      </c>
      <c r="BE1680" s="2">
        <f>+AO1680*EXP(-0.024*Y1680)</f>
        <v>9.898334165517845</v>
      </c>
    </row>
    <row r="1681" spans="1:57" x14ac:dyDescent="0.2">
      <c r="A1681" s="2" t="s">
        <v>1472</v>
      </c>
      <c r="B1681" s="2" t="s">
        <v>19</v>
      </c>
      <c r="C1681" s="2" t="s">
        <v>20</v>
      </c>
      <c r="D1681" s="2" t="s">
        <v>21</v>
      </c>
      <c r="E1681" s="2" t="s">
        <v>1093</v>
      </c>
      <c r="F1681" s="2">
        <v>5</v>
      </c>
      <c r="G1681" s="2">
        <v>105</v>
      </c>
      <c r="H1681" s="2">
        <v>3</v>
      </c>
      <c r="I1681" s="2">
        <v>4</v>
      </c>
      <c r="J1681" s="2">
        <v>2</v>
      </c>
      <c r="K1681" s="2" t="s">
        <v>61</v>
      </c>
      <c r="L1681" s="6" t="s">
        <v>75</v>
      </c>
      <c r="M1681" s="5">
        <v>600000000</v>
      </c>
      <c r="N1681" s="2">
        <v>0</v>
      </c>
      <c r="O1681" s="2">
        <v>4.706404</v>
      </c>
      <c r="P1681" s="2">
        <v>-74.056690000000003</v>
      </c>
      <c r="Q1681" s="2" t="s">
        <v>1473</v>
      </c>
      <c r="R1681" s="2">
        <v>5714285.7139999997</v>
      </c>
      <c r="S1681" s="2">
        <v>0</v>
      </c>
      <c r="T1681" s="2" t="s">
        <v>55</v>
      </c>
      <c r="U1681" s="2" t="s">
        <v>56</v>
      </c>
      <c r="V1681" s="2" t="s">
        <v>28</v>
      </c>
      <c r="W1681" s="2" t="s">
        <v>55</v>
      </c>
      <c r="X1681" s="2" t="s">
        <v>57</v>
      </c>
      <c r="Y1681" s="2">
        <v>2.9477769501992399</v>
      </c>
      <c r="Z1681" s="2">
        <v>4.71035</v>
      </c>
      <c r="AA1681" s="2">
        <v>-74.030416666666696</v>
      </c>
      <c r="AB1681" s="2">
        <v>2570</v>
      </c>
      <c r="AC1681" s="2" t="s">
        <v>31</v>
      </c>
      <c r="AD1681" s="2" t="s">
        <v>58</v>
      </c>
      <c r="AE1681" s="2" t="s">
        <v>33</v>
      </c>
      <c r="AF1681" s="2" t="s">
        <v>34</v>
      </c>
      <c r="AG1681" s="2" t="s">
        <v>72</v>
      </c>
      <c r="AH1681" s="2">
        <v>0.33571969338568902</v>
      </c>
      <c r="AI1681" s="2">
        <v>3.4807729062535899</v>
      </c>
      <c r="AJ1681" s="2">
        <v>1.6353374568891299</v>
      </c>
      <c r="AK1681" s="2">
        <v>0.10340112708659401</v>
      </c>
      <c r="AL1681" s="2">
        <v>0.18466969488563201</v>
      </c>
      <c r="AM1681" s="2">
        <v>15.5</v>
      </c>
      <c r="AN1681" s="2">
        <v>2.4</v>
      </c>
      <c r="AO1681" s="2">
        <v>10.9</v>
      </c>
      <c r="AP1681" s="2">
        <v>564</v>
      </c>
      <c r="AQ1681" s="2">
        <v>68</v>
      </c>
      <c r="AR1681" s="2">
        <v>1.5</v>
      </c>
      <c r="AS1681" s="2">
        <v>135</v>
      </c>
      <c r="AT1681" s="2">
        <v>0</v>
      </c>
      <c r="AU1681" s="2">
        <v>162</v>
      </c>
      <c r="AV1681" s="2">
        <v>9.1</v>
      </c>
      <c r="AW1681" s="2">
        <v>9.1999999999999993</v>
      </c>
      <c r="AX1681" s="2">
        <v>18.3</v>
      </c>
      <c r="AY1681" s="2">
        <v>0.34</v>
      </c>
      <c r="AZ1681" s="2">
        <v>7.3</v>
      </c>
      <c r="BA1681" s="2">
        <v>0.9</v>
      </c>
      <c r="BB1681" s="2">
        <v>7.5</v>
      </c>
      <c r="BC1681" s="2">
        <v>2.9</v>
      </c>
      <c r="BD1681" s="2">
        <f>+AN1681*EXP(-0.0495*Y1681)</f>
        <v>2.0741548682750897</v>
      </c>
      <c r="BE1681" s="2">
        <f>+AO1681*EXP(-0.024*Y1681)</f>
        <v>10.155507228493633</v>
      </c>
    </row>
    <row r="1682" spans="1:57" x14ac:dyDescent="0.2">
      <c r="A1682" s="2" t="s">
        <v>905</v>
      </c>
      <c r="B1682" s="2" t="s">
        <v>19</v>
      </c>
      <c r="C1682" s="2" t="s">
        <v>20</v>
      </c>
      <c r="D1682" s="2" t="s">
        <v>21</v>
      </c>
      <c r="E1682" s="2" t="s">
        <v>234</v>
      </c>
      <c r="F1682" s="2">
        <v>4</v>
      </c>
      <c r="G1682" s="2">
        <v>104</v>
      </c>
      <c r="H1682" s="2">
        <v>3</v>
      </c>
      <c r="I1682" s="2">
        <v>3</v>
      </c>
      <c r="J1682" s="2">
        <v>2</v>
      </c>
      <c r="K1682" s="2" t="s">
        <v>61</v>
      </c>
      <c r="L1682" s="6" t="s">
        <v>75</v>
      </c>
      <c r="M1682" s="5">
        <v>670000000</v>
      </c>
      <c r="N1682" s="2">
        <v>0</v>
      </c>
      <c r="O1682" s="2">
        <v>4.7263135910000003</v>
      </c>
      <c r="P1682" s="2">
        <v>-74.03669739</v>
      </c>
      <c r="Q1682" s="2" t="s">
        <v>906</v>
      </c>
      <c r="R1682" s="2">
        <v>6442307.6919999998</v>
      </c>
      <c r="S1682" s="2">
        <v>0</v>
      </c>
      <c r="T1682" s="2" t="s">
        <v>55</v>
      </c>
      <c r="U1682" s="2" t="s">
        <v>56</v>
      </c>
      <c r="V1682" s="2" t="s">
        <v>28</v>
      </c>
      <c r="W1682" s="2" t="s">
        <v>55</v>
      </c>
      <c r="X1682" s="2" t="s">
        <v>57</v>
      </c>
      <c r="Y1682" s="2">
        <v>1.90878622412057</v>
      </c>
      <c r="Z1682" s="2">
        <v>4.71035</v>
      </c>
      <c r="AA1682" s="2">
        <v>-74.030416666666696</v>
      </c>
      <c r="AB1682" s="2">
        <v>2570</v>
      </c>
      <c r="AC1682" s="2" t="s">
        <v>31</v>
      </c>
      <c r="AD1682" s="2" t="s">
        <v>58</v>
      </c>
      <c r="AE1682" s="2" t="s">
        <v>33</v>
      </c>
      <c r="AF1682" s="2" t="s">
        <v>34</v>
      </c>
      <c r="AG1682" s="2" t="s">
        <v>59</v>
      </c>
      <c r="AH1682" s="2">
        <v>1.53185508148001</v>
      </c>
      <c r="AI1682" s="2">
        <v>1.62703419837896</v>
      </c>
      <c r="AJ1682" s="2">
        <v>0.81184112642336004</v>
      </c>
      <c r="AK1682" s="2">
        <v>0.25620071721946203</v>
      </c>
      <c r="AL1682" s="2">
        <v>0.18500560364249399</v>
      </c>
      <c r="AM1682" s="2">
        <v>15.5</v>
      </c>
      <c r="AN1682" s="2">
        <v>2.4</v>
      </c>
      <c r="AO1682" s="2">
        <v>10.9</v>
      </c>
      <c r="AP1682" s="2">
        <v>564</v>
      </c>
      <c r="AQ1682" s="2">
        <v>68</v>
      </c>
      <c r="AR1682" s="2">
        <v>1.5</v>
      </c>
      <c r="AS1682" s="2">
        <v>135</v>
      </c>
      <c r="AT1682" s="2">
        <v>0</v>
      </c>
      <c r="AU1682" s="2">
        <v>162</v>
      </c>
      <c r="AV1682" s="2">
        <v>9.1</v>
      </c>
      <c r="AW1682" s="2">
        <v>9.1999999999999993</v>
      </c>
      <c r="AX1682" s="2">
        <v>18.3</v>
      </c>
      <c r="AY1682" s="2">
        <v>0.34</v>
      </c>
      <c r="AZ1682" s="2">
        <v>7.3</v>
      </c>
      <c r="BA1682" s="2">
        <v>0.9</v>
      </c>
      <c r="BB1682" s="2">
        <v>7.5</v>
      </c>
      <c r="BC1682" s="2">
        <v>2.9</v>
      </c>
      <c r="BD1682" s="2">
        <f>+AN1682*EXP(-0.0495*Y1682)</f>
        <v>2.1836194959981738</v>
      </c>
      <c r="BE1682" s="2">
        <f>+AO1682*EXP(-0.024*Y1682)</f>
        <v>10.411926415781116</v>
      </c>
    </row>
    <row r="1683" spans="1:57" x14ac:dyDescent="0.2">
      <c r="A1683" s="2" t="s">
        <v>282</v>
      </c>
      <c r="B1683" s="2" t="s">
        <v>19</v>
      </c>
      <c r="C1683" s="2" t="s">
        <v>20</v>
      </c>
      <c r="D1683" s="2" t="s">
        <v>21</v>
      </c>
      <c r="E1683" s="2" t="s">
        <v>283</v>
      </c>
      <c r="F1683" s="2">
        <v>4</v>
      </c>
      <c r="G1683" s="2">
        <v>103</v>
      </c>
      <c r="H1683" s="2">
        <v>3</v>
      </c>
      <c r="I1683" s="2">
        <v>3</v>
      </c>
      <c r="J1683" s="2">
        <v>1</v>
      </c>
      <c r="K1683" s="2" t="s">
        <v>61</v>
      </c>
      <c r="L1683" s="6" t="s">
        <v>113</v>
      </c>
      <c r="M1683" s="5">
        <v>585000000</v>
      </c>
      <c r="N1683" s="2">
        <v>0</v>
      </c>
      <c r="O1683" s="2">
        <v>4.7256264999999997</v>
      </c>
      <c r="P1683" s="2">
        <v>-74.025059999999996</v>
      </c>
      <c r="Q1683" s="2" t="s">
        <v>284</v>
      </c>
      <c r="R1683" s="2">
        <v>5679611.6500000004</v>
      </c>
      <c r="S1683" s="2">
        <v>0</v>
      </c>
      <c r="T1683" s="2" t="s">
        <v>55</v>
      </c>
      <c r="U1683" s="2" t="s">
        <v>56</v>
      </c>
      <c r="V1683" s="2" t="s">
        <v>28</v>
      </c>
      <c r="W1683" s="2" t="s">
        <v>55</v>
      </c>
      <c r="X1683" s="2" t="s">
        <v>57</v>
      </c>
      <c r="Y1683" s="2">
        <v>1.8014204405974801</v>
      </c>
      <c r="Z1683" s="2">
        <v>4.71035</v>
      </c>
      <c r="AA1683" s="2">
        <v>-74.030416666666696</v>
      </c>
      <c r="AB1683" s="2">
        <v>2570</v>
      </c>
      <c r="AC1683" s="2" t="s">
        <v>31</v>
      </c>
      <c r="AD1683" s="2" t="s">
        <v>58</v>
      </c>
      <c r="AE1683" s="2" t="s">
        <v>33</v>
      </c>
      <c r="AF1683" s="2" t="s">
        <v>34</v>
      </c>
      <c r="AG1683" s="2" t="s">
        <v>59</v>
      </c>
      <c r="AH1683" s="2">
        <v>2.80522718694171</v>
      </c>
      <c r="AI1683" s="2">
        <v>0.41524629549222702</v>
      </c>
      <c r="AJ1683" s="2">
        <v>1.8376370808581399</v>
      </c>
      <c r="AK1683" s="2">
        <v>0.227713053029163</v>
      </c>
      <c r="AL1683" s="2">
        <v>0.60199973168199905</v>
      </c>
      <c r="AM1683" s="2">
        <v>15.5</v>
      </c>
      <c r="AN1683" s="2">
        <v>2.4</v>
      </c>
      <c r="AO1683" s="2">
        <v>10.9</v>
      </c>
      <c r="AP1683" s="2">
        <v>564</v>
      </c>
      <c r="AQ1683" s="2">
        <v>68</v>
      </c>
      <c r="AR1683" s="2">
        <v>1.5</v>
      </c>
      <c r="AS1683" s="2">
        <v>135</v>
      </c>
      <c r="AT1683" s="2">
        <v>0</v>
      </c>
      <c r="AU1683" s="2">
        <v>162</v>
      </c>
      <c r="AV1683" s="2">
        <v>9.1</v>
      </c>
      <c r="AW1683" s="2">
        <v>9.1999999999999993</v>
      </c>
      <c r="AX1683" s="2">
        <v>18.3</v>
      </c>
      <c r="AY1683" s="2">
        <v>0.34</v>
      </c>
      <c r="AZ1683" s="2">
        <v>7.3</v>
      </c>
      <c r="BA1683" s="2">
        <v>0.9</v>
      </c>
      <c r="BB1683" s="2">
        <v>7.5</v>
      </c>
      <c r="BC1683" s="2">
        <v>2.9</v>
      </c>
      <c r="BD1683" s="2">
        <f>+AN1683*EXP(-0.0495*Y1683)</f>
        <v>2.1952554668079314</v>
      </c>
      <c r="BE1683" s="2">
        <f>+AO1683*EXP(-0.024*Y1683)</f>
        <v>10.438790243290368</v>
      </c>
    </row>
    <row r="1684" spans="1:57" x14ac:dyDescent="0.2">
      <c r="A1684" s="2" t="s">
        <v>784</v>
      </c>
      <c r="B1684" s="2" t="s">
        <v>19</v>
      </c>
      <c r="C1684" s="2" t="s">
        <v>20</v>
      </c>
      <c r="D1684" s="2" t="s">
        <v>21</v>
      </c>
      <c r="E1684" s="2" t="s">
        <v>161</v>
      </c>
      <c r="F1684" s="2">
        <v>6</v>
      </c>
      <c r="G1684" s="2">
        <v>102</v>
      </c>
      <c r="H1684" s="2">
        <v>2</v>
      </c>
      <c r="I1684" s="2">
        <v>3</v>
      </c>
      <c r="J1684" s="2">
        <v>1</v>
      </c>
      <c r="K1684" s="2" t="s">
        <v>61</v>
      </c>
      <c r="L1684" s="6" t="s">
        <v>84</v>
      </c>
      <c r="M1684" s="5">
        <v>850000000</v>
      </c>
      <c r="N1684" s="2">
        <v>0</v>
      </c>
      <c r="O1684" s="2">
        <v>4.691987514</v>
      </c>
      <c r="P1684" s="2">
        <v>-74.046882629999999</v>
      </c>
      <c r="Q1684" s="2" t="s">
        <v>785</v>
      </c>
      <c r="R1684" s="2">
        <v>8333333.3329999996</v>
      </c>
      <c r="S1684" s="2">
        <v>0</v>
      </c>
      <c r="T1684" s="2" t="s">
        <v>55</v>
      </c>
      <c r="U1684" s="2" t="s">
        <v>56</v>
      </c>
      <c r="V1684" s="2" t="s">
        <v>28</v>
      </c>
      <c r="W1684" s="2" t="s">
        <v>55</v>
      </c>
      <c r="X1684" s="2" t="s">
        <v>57</v>
      </c>
      <c r="Y1684" s="2">
        <v>2.7414616523781601</v>
      </c>
      <c r="Z1684" s="2">
        <v>4.71035</v>
      </c>
      <c r="AA1684" s="2">
        <v>-74.030416666666696</v>
      </c>
      <c r="AB1684" s="2">
        <v>2570</v>
      </c>
      <c r="AC1684" s="2" t="s">
        <v>31</v>
      </c>
      <c r="AD1684" s="2" t="s">
        <v>58</v>
      </c>
      <c r="AE1684" s="2" t="s">
        <v>33</v>
      </c>
      <c r="AF1684" s="2" t="s">
        <v>34</v>
      </c>
      <c r="AG1684" s="2" t="s">
        <v>59</v>
      </c>
      <c r="AH1684" s="2">
        <v>1.0369979639471401</v>
      </c>
      <c r="AI1684" s="2">
        <v>1.8899468238035799</v>
      </c>
      <c r="AJ1684" s="2">
        <v>0.35933726263367199</v>
      </c>
      <c r="AK1684" s="2">
        <v>0.104564971201019</v>
      </c>
      <c r="AL1684" s="2">
        <v>9.8841846768010097E-2</v>
      </c>
      <c r="AM1684" s="2">
        <v>15.5</v>
      </c>
      <c r="AN1684" s="2">
        <v>2.4</v>
      </c>
      <c r="AO1684" s="2">
        <v>10.9</v>
      </c>
      <c r="AP1684" s="2">
        <v>564</v>
      </c>
      <c r="AQ1684" s="2">
        <v>68</v>
      </c>
      <c r="AR1684" s="2">
        <v>1.5</v>
      </c>
      <c r="AS1684" s="2">
        <v>135</v>
      </c>
      <c r="AT1684" s="2">
        <v>0</v>
      </c>
      <c r="AU1684" s="2">
        <v>162</v>
      </c>
      <c r="AV1684" s="2">
        <v>9.1</v>
      </c>
      <c r="AW1684" s="2">
        <v>9.1999999999999993</v>
      </c>
      <c r="AX1684" s="2">
        <v>18.3</v>
      </c>
      <c r="AY1684" s="2">
        <v>0.34</v>
      </c>
      <c r="AZ1684" s="2">
        <v>7.3</v>
      </c>
      <c r="BA1684" s="2">
        <v>0.9</v>
      </c>
      <c r="BB1684" s="2">
        <v>7.5</v>
      </c>
      <c r="BC1684" s="2">
        <v>2.9</v>
      </c>
      <c r="BD1684" s="2">
        <f>+AN1684*EXP(-0.0495*Y1684)</f>
        <v>2.095445930884472</v>
      </c>
      <c r="BE1684" s="2">
        <f>+AO1684*EXP(-0.024*Y1684)</f>
        <v>10.205917606643874</v>
      </c>
    </row>
    <row r="1685" spans="1:57" x14ac:dyDescent="0.2">
      <c r="A1685" s="2" t="s">
        <v>1517</v>
      </c>
      <c r="B1685" s="2" t="s">
        <v>19</v>
      </c>
      <c r="C1685" s="2" t="s">
        <v>20</v>
      </c>
      <c r="D1685" s="2" t="s">
        <v>21</v>
      </c>
      <c r="E1685" s="2" t="s">
        <v>180</v>
      </c>
      <c r="F1685" s="2">
        <v>6</v>
      </c>
      <c r="G1685" s="2">
        <v>100</v>
      </c>
      <c r="H1685" s="2">
        <v>3</v>
      </c>
      <c r="I1685" s="2">
        <v>3</v>
      </c>
      <c r="J1685" s="2">
        <v>2</v>
      </c>
      <c r="K1685" s="2" t="s">
        <v>61</v>
      </c>
      <c r="L1685" s="6" t="s">
        <v>75</v>
      </c>
      <c r="M1685" s="5">
        <v>1050000000</v>
      </c>
      <c r="N1685" s="2">
        <v>0</v>
      </c>
      <c r="O1685" s="2">
        <v>4.6778455709999998</v>
      </c>
      <c r="P1685" s="2">
        <v>-74.047937390000001</v>
      </c>
      <c r="Q1685" s="2" t="s">
        <v>1518</v>
      </c>
      <c r="R1685" s="2">
        <v>10500000</v>
      </c>
      <c r="S1685" s="2">
        <v>0</v>
      </c>
      <c r="T1685" s="2" t="s">
        <v>55</v>
      </c>
      <c r="U1685" s="2" t="s">
        <v>56</v>
      </c>
      <c r="V1685" s="2" t="s">
        <v>28</v>
      </c>
      <c r="W1685" s="2" t="s">
        <v>55</v>
      </c>
      <c r="X1685" s="2" t="s">
        <v>57</v>
      </c>
      <c r="Y1685" s="2">
        <v>4.10745961659077</v>
      </c>
      <c r="Z1685" s="2">
        <v>4.71035</v>
      </c>
      <c r="AA1685" s="2">
        <v>-74.030416666666696</v>
      </c>
      <c r="AB1685" s="2">
        <v>2570</v>
      </c>
      <c r="AC1685" s="2" t="s">
        <v>31</v>
      </c>
      <c r="AD1685" s="2" t="s">
        <v>58</v>
      </c>
      <c r="AE1685" s="2" t="s">
        <v>33</v>
      </c>
      <c r="AF1685" s="2" t="s">
        <v>34</v>
      </c>
      <c r="AG1685" s="2" t="s">
        <v>81</v>
      </c>
      <c r="AH1685" s="2">
        <v>1.2456595992159201</v>
      </c>
      <c r="AI1685" s="2">
        <v>1.0260542064445</v>
      </c>
      <c r="AJ1685" s="2">
        <v>0.96895472022163998</v>
      </c>
      <c r="AK1685" s="2">
        <v>9.9890223332519804E-2</v>
      </c>
      <c r="AL1685" s="2">
        <v>1.2347679595877401</v>
      </c>
      <c r="AM1685" s="2">
        <v>15.5</v>
      </c>
      <c r="AN1685" s="2">
        <v>2.4</v>
      </c>
      <c r="AO1685" s="2">
        <v>10.9</v>
      </c>
      <c r="AP1685" s="2">
        <v>564</v>
      </c>
      <c r="AQ1685" s="2">
        <v>68</v>
      </c>
      <c r="AR1685" s="2">
        <v>1.5</v>
      </c>
      <c r="AS1685" s="2">
        <v>135</v>
      </c>
      <c r="AT1685" s="2">
        <v>0</v>
      </c>
      <c r="AU1685" s="2">
        <v>162</v>
      </c>
      <c r="AV1685" s="2">
        <v>9.1</v>
      </c>
      <c r="AW1685" s="2">
        <v>9.1999999999999993</v>
      </c>
      <c r="AX1685" s="2">
        <v>18.3</v>
      </c>
      <c r="AY1685" s="2">
        <v>0.34</v>
      </c>
      <c r="AZ1685" s="2">
        <v>7.3</v>
      </c>
      <c r="BA1685" s="2">
        <v>0.9</v>
      </c>
      <c r="BB1685" s="2">
        <v>7.5</v>
      </c>
      <c r="BC1685" s="2">
        <v>2.9</v>
      </c>
      <c r="BD1685" s="2">
        <f>+AN1685*EXP(-0.0495*Y1685)</f>
        <v>1.9584424448568594</v>
      </c>
      <c r="BE1685" s="2">
        <f>+AO1685*EXP(-0.024*Y1685)</f>
        <v>9.8767524510206819</v>
      </c>
    </row>
    <row r="1686" spans="1:57" x14ac:dyDescent="0.2">
      <c r="A1686" s="2" t="s">
        <v>1583</v>
      </c>
      <c r="B1686" s="2" t="s">
        <v>19</v>
      </c>
      <c r="C1686" s="2" t="s">
        <v>20</v>
      </c>
      <c r="D1686" s="2" t="s">
        <v>21</v>
      </c>
      <c r="E1686" s="2" t="s">
        <v>288</v>
      </c>
      <c r="F1686" s="2">
        <v>5</v>
      </c>
      <c r="G1686" s="2">
        <v>100</v>
      </c>
      <c r="H1686" s="2">
        <v>2</v>
      </c>
      <c r="I1686" s="2">
        <v>3</v>
      </c>
      <c r="J1686" s="2">
        <v>2</v>
      </c>
      <c r="K1686" s="2" t="s">
        <v>61</v>
      </c>
      <c r="L1686" s="6" t="s">
        <v>75</v>
      </c>
      <c r="M1686" s="5">
        <v>830000000</v>
      </c>
      <c r="N1686" s="2">
        <v>0</v>
      </c>
      <c r="O1686" s="2">
        <v>4.7036033000000002</v>
      </c>
      <c r="P1686" s="2">
        <v>-74.045069999999996</v>
      </c>
      <c r="Q1686" s="2" t="s">
        <v>1584</v>
      </c>
      <c r="R1686" s="2">
        <v>8300000</v>
      </c>
      <c r="S1686" s="2">
        <v>0</v>
      </c>
      <c r="T1686" s="2" t="s">
        <v>55</v>
      </c>
      <c r="U1686" s="2" t="s">
        <v>56</v>
      </c>
      <c r="V1686" s="2" t="s">
        <v>28</v>
      </c>
      <c r="W1686" s="2" t="s">
        <v>55</v>
      </c>
      <c r="X1686" s="2" t="s">
        <v>57</v>
      </c>
      <c r="Y1686" s="2">
        <v>1.79079900841226</v>
      </c>
      <c r="Z1686" s="2">
        <v>4.71035</v>
      </c>
      <c r="AA1686" s="2">
        <v>-74.030416666666696</v>
      </c>
      <c r="AB1686" s="2">
        <v>2570</v>
      </c>
      <c r="AC1686" s="2" t="s">
        <v>31</v>
      </c>
      <c r="AD1686" s="2" t="s">
        <v>58</v>
      </c>
      <c r="AE1686" s="2" t="s">
        <v>33</v>
      </c>
      <c r="AF1686" s="2" t="s">
        <v>34</v>
      </c>
      <c r="AG1686" s="2" t="s">
        <v>59</v>
      </c>
      <c r="AH1686" s="2">
        <v>1.0215360897368799</v>
      </c>
      <c r="AI1686" s="2">
        <v>2.1672634361982999</v>
      </c>
      <c r="AJ1686" s="2">
        <v>1.25663250623207</v>
      </c>
      <c r="AK1686" s="2">
        <v>0.10471652955824701</v>
      </c>
      <c r="AL1686" s="2">
        <v>0.27373009124200198</v>
      </c>
      <c r="AM1686" s="2">
        <v>15.5</v>
      </c>
      <c r="AN1686" s="2">
        <v>2.4</v>
      </c>
      <c r="AO1686" s="2">
        <v>10.9</v>
      </c>
      <c r="AP1686" s="2">
        <v>564</v>
      </c>
      <c r="AQ1686" s="2">
        <v>68</v>
      </c>
      <c r="AR1686" s="2">
        <v>1.5</v>
      </c>
      <c r="AS1686" s="2">
        <v>135</v>
      </c>
      <c r="AT1686" s="2">
        <v>0</v>
      </c>
      <c r="AU1686" s="2">
        <v>162</v>
      </c>
      <c r="AV1686" s="2">
        <v>9.1</v>
      </c>
      <c r="AW1686" s="2">
        <v>9.1999999999999993</v>
      </c>
      <c r="AX1686" s="2">
        <v>18.3</v>
      </c>
      <c r="AY1686" s="2">
        <v>0.34</v>
      </c>
      <c r="AZ1686" s="2">
        <v>7.3</v>
      </c>
      <c r="BA1686" s="2">
        <v>0.9</v>
      </c>
      <c r="BB1686" s="2">
        <v>7.5</v>
      </c>
      <c r="BC1686" s="2">
        <v>2.9</v>
      </c>
      <c r="BD1686" s="2">
        <f>+AN1686*EXP(-0.0495*Y1686)</f>
        <v>2.1964099497472902</v>
      </c>
      <c r="BE1686" s="2">
        <f>+AO1686*EXP(-0.024*Y1686)</f>
        <v>10.44145158014642</v>
      </c>
    </row>
    <row r="1687" spans="1:57" x14ac:dyDescent="0.2">
      <c r="A1687" s="2" t="s">
        <v>1179</v>
      </c>
      <c r="B1687" s="2" t="s">
        <v>19</v>
      </c>
      <c r="C1687" s="2" t="s">
        <v>20</v>
      </c>
      <c r="D1687" s="2" t="s">
        <v>21</v>
      </c>
      <c r="E1687" s="2" t="s">
        <v>156</v>
      </c>
      <c r="F1687" s="2">
        <v>4</v>
      </c>
      <c r="G1687" s="2">
        <v>99.4</v>
      </c>
      <c r="H1687" s="2">
        <v>4</v>
      </c>
      <c r="I1687" s="2">
        <v>3</v>
      </c>
      <c r="J1687" s="2">
        <v>1</v>
      </c>
      <c r="K1687" s="2" t="s">
        <v>61</v>
      </c>
      <c r="L1687" s="6" t="s">
        <v>75</v>
      </c>
      <c r="M1687" s="5">
        <v>600000000</v>
      </c>
      <c r="N1687" s="2">
        <v>0</v>
      </c>
      <c r="O1687" s="2">
        <v>4.7181839940000003</v>
      </c>
      <c r="P1687" s="2">
        <v>-74.037261959999995</v>
      </c>
      <c r="Q1687" s="2" t="s">
        <v>1180</v>
      </c>
      <c r="R1687" s="2">
        <v>6036217.3039999995</v>
      </c>
      <c r="S1687" s="2">
        <v>0</v>
      </c>
      <c r="T1687" s="2" t="s">
        <v>55</v>
      </c>
      <c r="U1687" s="2" t="s">
        <v>56</v>
      </c>
      <c r="V1687" s="2" t="s">
        <v>28</v>
      </c>
      <c r="W1687" s="2" t="s">
        <v>55</v>
      </c>
      <c r="X1687" s="2" t="s">
        <v>57</v>
      </c>
      <c r="Y1687" s="2">
        <v>1.1563999927297</v>
      </c>
      <c r="Z1687" s="2">
        <v>4.71035</v>
      </c>
      <c r="AA1687" s="2">
        <v>-74.030416666666696</v>
      </c>
      <c r="AB1687" s="2">
        <v>2570</v>
      </c>
      <c r="AC1687" s="2" t="s">
        <v>31</v>
      </c>
      <c r="AD1687" s="2" t="s">
        <v>58</v>
      </c>
      <c r="AE1687" s="2" t="s">
        <v>33</v>
      </c>
      <c r="AF1687" s="2" t="s">
        <v>34</v>
      </c>
      <c r="AG1687" s="2" t="s">
        <v>59</v>
      </c>
      <c r="AH1687" s="2">
        <v>1.6080532913999299</v>
      </c>
      <c r="AI1687" s="2">
        <v>1.52150263597823</v>
      </c>
      <c r="AJ1687" s="2">
        <v>0.96101992397168401</v>
      </c>
      <c r="AK1687" s="2">
        <v>0.106475532895178</v>
      </c>
      <c r="AL1687" s="2">
        <v>0.153906147094027</v>
      </c>
      <c r="AM1687" s="2">
        <v>15.5</v>
      </c>
      <c r="AN1687" s="2">
        <v>2.4</v>
      </c>
      <c r="AO1687" s="2">
        <v>10.9</v>
      </c>
      <c r="AP1687" s="2">
        <v>564</v>
      </c>
      <c r="AQ1687" s="2">
        <v>68</v>
      </c>
      <c r="AR1687" s="2">
        <v>1.5</v>
      </c>
      <c r="AS1687" s="2">
        <v>135</v>
      </c>
      <c r="AT1687" s="2">
        <v>0</v>
      </c>
      <c r="AU1687" s="2">
        <v>162</v>
      </c>
      <c r="AV1687" s="2">
        <v>9.1</v>
      </c>
      <c r="AW1687" s="2">
        <v>9.1999999999999993</v>
      </c>
      <c r="AX1687" s="2">
        <v>18.3</v>
      </c>
      <c r="AY1687" s="2">
        <v>0.34</v>
      </c>
      <c r="AZ1687" s="2">
        <v>7.3</v>
      </c>
      <c r="BA1687" s="2">
        <v>0.9</v>
      </c>
      <c r="BB1687" s="2">
        <v>7.5</v>
      </c>
      <c r="BC1687" s="2">
        <v>2.9</v>
      </c>
      <c r="BD1687" s="2">
        <f>+AN1687*EXP(-0.0495*Y1687)</f>
        <v>2.2664776667330093</v>
      </c>
      <c r="BE1687" s="2">
        <f>+AO1687*EXP(-0.024*Y1687)</f>
        <v>10.60164512353923</v>
      </c>
    </row>
    <row r="1688" spans="1:57" x14ac:dyDescent="0.2">
      <c r="A1688" s="2" t="s">
        <v>1281</v>
      </c>
      <c r="B1688" s="2" t="s">
        <v>19</v>
      </c>
      <c r="C1688" s="2" t="s">
        <v>20</v>
      </c>
      <c r="D1688" s="2" t="s">
        <v>21</v>
      </c>
      <c r="E1688" s="2" t="s">
        <v>1282</v>
      </c>
      <c r="F1688" s="2">
        <v>6</v>
      </c>
      <c r="G1688" s="2">
        <v>97</v>
      </c>
      <c r="H1688" s="2">
        <v>3</v>
      </c>
      <c r="I1688" s="2">
        <v>2</v>
      </c>
      <c r="J1688" s="2">
        <v>2</v>
      </c>
      <c r="K1688" s="2" t="s">
        <v>61</v>
      </c>
      <c r="L1688" s="6" t="s">
        <v>113</v>
      </c>
      <c r="M1688" s="5">
        <v>1050000000</v>
      </c>
      <c r="N1688" s="2">
        <v>0</v>
      </c>
      <c r="O1688" s="2">
        <v>4.6830005650000004</v>
      </c>
      <c r="P1688" s="2">
        <v>-74.050292970000001</v>
      </c>
      <c r="Q1688" s="2" t="s">
        <v>1283</v>
      </c>
      <c r="R1688" s="2">
        <v>10824742.27</v>
      </c>
      <c r="S1688" s="2">
        <v>0</v>
      </c>
      <c r="T1688" s="2" t="s">
        <v>55</v>
      </c>
      <c r="U1688" s="2" t="s">
        <v>56</v>
      </c>
      <c r="V1688" s="2" t="s">
        <v>28</v>
      </c>
      <c r="W1688" s="2" t="s">
        <v>55</v>
      </c>
      <c r="X1688" s="2" t="s">
        <v>57</v>
      </c>
      <c r="Y1688" s="2">
        <v>3.7592549409204001</v>
      </c>
      <c r="Z1688" s="2">
        <v>4.71035</v>
      </c>
      <c r="AA1688" s="2">
        <v>-74.030416666666696</v>
      </c>
      <c r="AB1688" s="2">
        <v>2570</v>
      </c>
      <c r="AC1688" s="2" t="s">
        <v>31</v>
      </c>
      <c r="AD1688" s="2" t="s">
        <v>58</v>
      </c>
      <c r="AE1688" s="2" t="s">
        <v>33</v>
      </c>
      <c r="AF1688" s="2" t="s">
        <v>34</v>
      </c>
      <c r="AG1688" s="2" t="s">
        <v>81</v>
      </c>
      <c r="AH1688" s="2">
        <v>0.82931333307610799</v>
      </c>
      <c r="AI1688" s="2">
        <v>1.55357552673224</v>
      </c>
      <c r="AJ1688" s="2">
        <v>0.34541234854927</v>
      </c>
      <c r="AK1688" s="2">
        <v>6.3135041531379901E-2</v>
      </c>
      <c r="AL1688" s="2">
        <v>0.88042373523911099</v>
      </c>
      <c r="AM1688" s="2">
        <v>15.5</v>
      </c>
      <c r="AN1688" s="2">
        <v>2.4</v>
      </c>
      <c r="AO1688" s="2">
        <v>10.9</v>
      </c>
      <c r="AP1688" s="2">
        <v>564</v>
      </c>
      <c r="AQ1688" s="2">
        <v>68</v>
      </c>
      <c r="AR1688" s="2">
        <v>1.5</v>
      </c>
      <c r="AS1688" s="2">
        <v>135</v>
      </c>
      <c r="AT1688" s="2">
        <v>0</v>
      </c>
      <c r="AU1688" s="2">
        <v>162</v>
      </c>
      <c r="AV1688" s="2">
        <v>9.1</v>
      </c>
      <c r="AW1688" s="2">
        <v>9.1999999999999993</v>
      </c>
      <c r="AX1688" s="2">
        <v>18.3</v>
      </c>
      <c r="AY1688" s="2">
        <v>0.34</v>
      </c>
      <c r="AZ1688" s="2">
        <v>7.3</v>
      </c>
      <c r="BA1688" s="2">
        <v>0.9</v>
      </c>
      <c r="BB1688" s="2">
        <v>7.5</v>
      </c>
      <c r="BC1688" s="2">
        <v>2.9</v>
      </c>
      <c r="BD1688" s="2">
        <f>+AN1688*EXP(-0.0495*Y1688)</f>
        <v>1.9924910060667922</v>
      </c>
      <c r="BE1688" s="2">
        <f>+AO1688*EXP(-0.024*Y1688)</f>
        <v>9.959637453201319</v>
      </c>
    </row>
    <row r="1689" spans="1:57" x14ac:dyDescent="0.2">
      <c r="A1689" s="2" t="s">
        <v>1040</v>
      </c>
      <c r="B1689" s="2" t="s">
        <v>19</v>
      </c>
      <c r="C1689" s="2" t="s">
        <v>20</v>
      </c>
      <c r="D1689" s="2" t="s">
        <v>21</v>
      </c>
      <c r="E1689" s="2" t="s">
        <v>264</v>
      </c>
      <c r="F1689" s="2">
        <v>5</v>
      </c>
      <c r="G1689" s="2">
        <v>97</v>
      </c>
      <c r="H1689" s="2">
        <v>3</v>
      </c>
      <c r="I1689" s="2">
        <v>3</v>
      </c>
      <c r="J1689" s="2">
        <v>2</v>
      </c>
      <c r="K1689" s="2" t="s">
        <v>61</v>
      </c>
      <c r="L1689" s="6" t="s">
        <v>113</v>
      </c>
      <c r="M1689" s="5">
        <v>600000000</v>
      </c>
      <c r="N1689" s="2">
        <v>0</v>
      </c>
      <c r="O1689" s="2">
        <v>4.7085800000000004</v>
      </c>
      <c r="P1689" s="2">
        <v>-74.05959</v>
      </c>
      <c r="Q1689" s="2" t="s">
        <v>1041</v>
      </c>
      <c r="R1689" s="2">
        <v>6185567.0099999998</v>
      </c>
      <c r="S1689" s="2">
        <v>0</v>
      </c>
      <c r="T1689" s="2" t="s">
        <v>55</v>
      </c>
      <c r="U1689" s="2" t="s">
        <v>56</v>
      </c>
      <c r="V1689" s="2" t="s">
        <v>28</v>
      </c>
      <c r="W1689" s="2" t="s">
        <v>55</v>
      </c>
      <c r="X1689" s="2" t="s">
        <v>57</v>
      </c>
      <c r="Y1689" s="2">
        <v>3.2425882740217702</v>
      </c>
      <c r="Z1689" s="2">
        <v>4.71035</v>
      </c>
      <c r="AA1689" s="2">
        <v>-74.030416666666696</v>
      </c>
      <c r="AB1689" s="2">
        <v>2570</v>
      </c>
      <c r="AC1689" s="2" t="s">
        <v>31</v>
      </c>
      <c r="AD1689" s="2" t="s">
        <v>58</v>
      </c>
      <c r="AE1689" s="2" t="s">
        <v>33</v>
      </c>
      <c r="AF1689" s="2" t="s">
        <v>34</v>
      </c>
      <c r="AG1689" s="2" t="s">
        <v>72</v>
      </c>
      <c r="AH1689" s="2">
        <v>0.73719241671226798</v>
      </c>
      <c r="AI1689" s="2">
        <v>3.82771339301615</v>
      </c>
      <c r="AJ1689" s="2">
        <v>1.5984722732427099</v>
      </c>
      <c r="AK1689" s="2">
        <v>0.20215635399665299</v>
      </c>
      <c r="AL1689" s="2">
        <v>7.8543799073214106E-3</v>
      </c>
      <c r="AM1689" s="2">
        <v>15.5</v>
      </c>
      <c r="AN1689" s="2">
        <v>2.4</v>
      </c>
      <c r="AO1689" s="2">
        <v>10.9</v>
      </c>
      <c r="AP1689" s="2">
        <v>564</v>
      </c>
      <c r="AQ1689" s="2">
        <v>68</v>
      </c>
      <c r="AR1689" s="2">
        <v>1.5</v>
      </c>
      <c r="AS1689" s="2">
        <v>135</v>
      </c>
      <c r="AT1689" s="2">
        <v>0</v>
      </c>
      <c r="AU1689" s="2">
        <v>162</v>
      </c>
      <c r="AV1689" s="2">
        <v>9.1</v>
      </c>
      <c r="AW1689" s="2">
        <v>9.1999999999999993</v>
      </c>
      <c r="AX1689" s="2">
        <v>18.3</v>
      </c>
      <c r="AY1689" s="2">
        <v>0.34</v>
      </c>
      <c r="AZ1689" s="2">
        <v>7.3</v>
      </c>
      <c r="BA1689" s="2">
        <v>0.9</v>
      </c>
      <c r="BB1689" s="2">
        <v>7.5</v>
      </c>
      <c r="BC1689" s="2">
        <v>2.9</v>
      </c>
      <c r="BD1689" s="2">
        <f>+AN1689*EXP(-0.0495*Y1689)</f>
        <v>2.044106179254197</v>
      </c>
      <c r="BE1689" s="2">
        <f>+AO1689*EXP(-0.024*Y1689)</f>
        <v>10.083905829320701</v>
      </c>
    </row>
    <row r="1690" spans="1:57" x14ac:dyDescent="0.2">
      <c r="A1690" s="2" t="s">
        <v>2819</v>
      </c>
      <c r="B1690" s="2" t="s">
        <v>19</v>
      </c>
      <c r="C1690" s="2" t="s">
        <v>1907</v>
      </c>
      <c r="D1690" s="2" t="s">
        <v>21</v>
      </c>
      <c r="E1690" s="2" t="s">
        <v>311</v>
      </c>
      <c r="F1690" s="2">
        <v>4</v>
      </c>
      <c r="G1690" s="2">
        <v>94.2</v>
      </c>
      <c r="H1690" s="2">
        <v>4</v>
      </c>
      <c r="I1690" s="2">
        <v>3</v>
      </c>
      <c r="J1690" s="2">
        <v>1</v>
      </c>
      <c r="K1690" s="2" t="s">
        <v>61</v>
      </c>
      <c r="L1690" s="6" t="s">
        <v>113</v>
      </c>
      <c r="M1690" s="5">
        <v>480000000</v>
      </c>
      <c r="N1690" s="2">
        <v>0</v>
      </c>
      <c r="O1690" s="2">
        <v>4.7400900000000004</v>
      </c>
      <c r="P1690" s="2">
        <v>-74.034130000000005</v>
      </c>
      <c r="Q1690" s="2" t="s">
        <v>2820</v>
      </c>
      <c r="R1690" s="2">
        <v>5095541.4009999996</v>
      </c>
      <c r="S1690" s="2">
        <v>0</v>
      </c>
      <c r="T1690" s="2" t="s">
        <v>55</v>
      </c>
      <c r="U1690" s="2" t="s">
        <v>56</v>
      </c>
      <c r="V1690" s="2" t="s">
        <v>28</v>
      </c>
      <c r="W1690" s="2" t="s">
        <v>55</v>
      </c>
      <c r="X1690" s="2" t="s">
        <v>57</v>
      </c>
      <c r="Y1690" s="2">
        <v>3.33617451527829</v>
      </c>
      <c r="Z1690" s="2">
        <v>4.71035</v>
      </c>
      <c r="AA1690" s="2">
        <v>-74.030416666666696</v>
      </c>
      <c r="AB1690" s="2">
        <v>2570</v>
      </c>
      <c r="AC1690" s="2" t="s">
        <v>31</v>
      </c>
      <c r="AD1690" s="2" t="s">
        <v>58</v>
      </c>
      <c r="AE1690" s="2" t="s">
        <v>33</v>
      </c>
      <c r="AF1690" s="2" t="s">
        <v>34</v>
      </c>
      <c r="AG1690" s="2" t="s">
        <v>59</v>
      </c>
      <c r="AH1690" s="2">
        <v>1.55098853459456</v>
      </c>
      <c r="AI1690" s="2">
        <v>1.56325738566957</v>
      </c>
      <c r="AJ1690" s="2">
        <v>0.96533079388390097</v>
      </c>
      <c r="AK1690" s="2">
        <v>0.12776147242418501</v>
      </c>
      <c r="AL1690" s="2">
        <v>0.115523698598506</v>
      </c>
      <c r="AM1690" s="2">
        <v>15.5</v>
      </c>
      <c r="AN1690" s="2">
        <v>2.4</v>
      </c>
      <c r="AO1690" s="2">
        <v>10.9</v>
      </c>
      <c r="AP1690" s="2">
        <v>564</v>
      </c>
      <c r="AQ1690" s="2">
        <v>68</v>
      </c>
      <c r="AR1690" s="2">
        <v>1.5</v>
      </c>
      <c r="AS1690" s="2">
        <v>135</v>
      </c>
      <c r="AT1690" s="2">
        <v>0</v>
      </c>
      <c r="AU1690" s="2">
        <v>162</v>
      </c>
      <c r="AV1690" s="2">
        <v>9.1</v>
      </c>
      <c r="AW1690" s="2">
        <v>9.1999999999999993</v>
      </c>
      <c r="AX1690" s="2">
        <v>18.3</v>
      </c>
      <c r="AY1690" s="2">
        <v>0.34</v>
      </c>
      <c r="AZ1690" s="2">
        <v>7.3</v>
      </c>
      <c r="BA1690" s="2">
        <v>0.9</v>
      </c>
      <c r="BB1690" s="2">
        <v>7.5</v>
      </c>
      <c r="BC1690" s="2">
        <v>2.9</v>
      </c>
      <c r="BD1690" s="2">
        <f>+AN1690*EXP(-0.0495*Y1690)</f>
        <v>2.0346587183251792</v>
      </c>
      <c r="BE1690" s="2">
        <f>+AO1690*EXP(-0.024*Y1690)</f>
        <v>10.061282089830659</v>
      </c>
    </row>
    <row r="1691" spans="1:57" x14ac:dyDescent="0.2">
      <c r="A1691" s="2" t="s">
        <v>759</v>
      </c>
      <c r="B1691" s="2" t="s">
        <v>19</v>
      </c>
      <c r="C1691" s="2" t="s">
        <v>20</v>
      </c>
      <c r="D1691" s="2" t="s">
        <v>21</v>
      </c>
      <c r="E1691" s="2" t="s">
        <v>234</v>
      </c>
      <c r="F1691" s="2">
        <v>4</v>
      </c>
      <c r="G1691" s="2">
        <v>94</v>
      </c>
      <c r="H1691" s="2">
        <v>3</v>
      </c>
      <c r="I1691" s="2">
        <v>3</v>
      </c>
      <c r="J1691" s="2">
        <v>2</v>
      </c>
      <c r="K1691" s="2" t="s">
        <v>61</v>
      </c>
      <c r="L1691" s="6" t="s">
        <v>113</v>
      </c>
      <c r="M1691" s="5">
        <v>650000000</v>
      </c>
      <c r="N1691" s="2">
        <v>0</v>
      </c>
      <c r="O1691" s="2">
        <v>4.729341507</v>
      </c>
      <c r="P1691" s="2">
        <v>-74.038398740000005</v>
      </c>
      <c r="Q1691" s="2" t="s">
        <v>760</v>
      </c>
      <c r="R1691" s="2">
        <v>6914893.6169999996</v>
      </c>
      <c r="S1691" s="2">
        <v>0</v>
      </c>
      <c r="T1691" s="2" t="s">
        <v>55</v>
      </c>
      <c r="U1691" s="2" t="s">
        <v>56</v>
      </c>
      <c r="V1691" s="2" t="s">
        <v>28</v>
      </c>
      <c r="W1691" s="2" t="s">
        <v>55</v>
      </c>
      <c r="X1691" s="2" t="s">
        <v>57</v>
      </c>
      <c r="Y1691" s="2">
        <v>2.2920990052736401</v>
      </c>
      <c r="Z1691" s="2">
        <v>4.71035</v>
      </c>
      <c r="AA1691" s="2">
        <v>-74.030416666666696</v>
      </c>
      <c r="AB1691" s="2">
        <v>2570</v>
      </c>
      <c r="AC1691" s="2" t="s">
        <v>31</v>
      </c>
      <c r="AD1691" s="2" t="s">
        <v>58</v>
      </c>
      <c r="AE1691" s="2" t="s">
        <v>33</v>
      </c>
      <c r="AF1691" s="2" t="s">
        <v>34</v>
      </c>
      <c r="AG1691" s="2" t="s">
        <v>59</v>
      </c>
      <c r="AH1691" s="2">
        <v>1.2768666486771101</v>
      </c>
      <c r="AI1691" s="2">
        <v>1.85559323409378</v>
      </c>
      <c r="AJ1691" s="2">
        <v>0.42861155244016302</v>
      </c>
      <c r="AK1691" s="2">
        <v>0.46230157606439198</v>
      </c>
      <c r="AL1691" s="2">
        <v>0.17451109012848601</v>
      </c>
      <c r="AM1691" s="2">
        <v>15.5</v>
      </c>
      <c r="AN1691" s="2">
        <v>2.4</v>
      </c>
      <c r="AO1691" s="2">
        <v>10.9</v>
      </c>
      <c r="AP1691" s="2">
        <v>564</v>
      </c>
      <c r="AQ1691" s="2">
        <v>68</v>
      </c>
      <c r="AR1691" s="2">
        <v>1.5</v>
      </c>
      <c r="AS1691" s="2">
        <v>135</v>
      </c>
      <c r="AT1691" s="2">
        <v>0</v>
      </c>
      <c r="AU1691" s="2">
        <v>162</v>
      </c>
      <c r="AV1691" s="2">
        <v>9.1</v>
      </c>
      <c r="AW1691" s="2">
        <v>9.1999999999999993</v>
      </c>
      <c r="AX1691" s="2">
        <v>18.3</v>
      </c>
      <c r="AY1691" s="2">
        <v>0.34</v>
      </c>
      <c r="AZ1691" s="2">
        <v>7.3</v>
      </c>
      <c r="BA1691" s="2">
        <v>0.9</v>
      </c>
      <c r="BB1691" s="2">
        <v>7.5</v>
      </c>
      <c r="BC1691" s="2">
        <v>2.9</v>
      </c>
      <c r="BD1691" s="2">
        <f>+AN1691*EXP(-0.0495*Y1691)</f>
        <v>2.142578127907762</v>
      </c>
      <c r="BE1691" s="2">
        <f>+AO1691*EXP(-0.024*Y1691)</f>
        <v>10.316581065986727</v>
      </c>
    </row>
    <row r="1692" spans="1:57" x14ac:dyDescent="0.2">
      <c r="A1692" s="2" t="s">
        <v>1358</v>
      </c>
      <c r="B1692" s="2" t="s">
        <v>19</v>
      </c>
      <c r="C1692" s="2" t="s">
        <v>20</v>
      </c>
      <c r="D1692" s="2" t="s">
        <v>21</v>
      </c>
      <c r="E1692" s="2" t="s">
        <v>213</v>
      </c>
      <c r="F1692" s="2">
        <v>5</v>
      </c>
      <c r="G1692" s="2">
        <v>94</v>
      </c>
      <c r="H1692" s="2">
        <v>3</v>
      </c>
      <c r="I1692" s="2">
        <v>3</v>
      </c>
      <c r="J1692" s="2">
        <v>2</v>
      </c>
      <c r="K1692" s="2" t="s">
        <v>61</v>
      </c>
      <c r="L1692" s="6" t="s">
        <v>113</v>
      </c>
      <c r="M1692" s="5">
        <v>550000000</v>
      </c>
      <c r="N1692" s="2">
        <v>0</v>
      </c>
      <c r="O1692" s="2">
        <v>4.7046720000000004</v>
      </c>
      <c r="P1692" s="2">
        <v>-74.029655000000005</v>
      </c>
      <c r="Q1692" s="2" t="s">
        <v>1359</v>
      </c>
      <c r="R1692" s="2">
        <v>5851063.8300000001</v>
      </c>
      <c r="S1692" s="2">
        <v>0</v>
      </c>
      <c r="T1692" s="2" t="s">
        <v>55</v>
      </c>
      <c r="U1692" s="2" t="s">
        <v>56</v>
      </c>
      <c r="V1692" s="2" t="s">
        <v>28</v>
      </c>
      <c r="W1692" s="2" t="s">
        <v>55</v>
      </c>
      <c r="X1692" s="2" t="s">
        <v>57</v>
      </c>
      <c r="Y1692" s="2">
        <v>0.63769565056488997</v>
      </c>
      <c r="Z1692" s="2">
        <v>4.71035</v>
      </c>
      <c r="AA1692" s="2">
        <v>-74.030416666666696</v>
      </c>
      <c r="AB1692" s="2">
        <v>2570</v>
      </c>
      <c r="AC1692" s="2" t="s">
        <v>31</v>
      </c>
      <c r="AD1692" s="2" t="s">
        <v>58</v>
      </c>
      <c r="AE1692" s="2" t="s">
        <v>33</v>
      </c>
      <c r="AF1692" s="2" t="s">
        <v>34</v>
      </c>
      <c r="AG1692" s="2" t="s">
        <v>59</v>
      </c>
      <c r="AH1692" s="2">
        <v>2.7242560904000901</v>
      </c>
      <c r="AI1692" s="2">
        <v>0.51828406031892804</v>
      </c>
      <c r="AJ1692" s="2">
        <v>0.48283456476326803</v>
      </c>
      <c r="AK1692" s="2">
        <v>0.14551589765912901</v>
      </c>
      <c r="AL1692" s="2">
        <v>0.177741297243901</v>
      </c>
      <c r="AM1692" s="2">
        <v>15.5</v>
      </c>
      <c r="AN1692" s="2">
        <v>2.4</v>
      </c>
      <c r="AO1692" s="2">
        <v>10.9</v>
      </c>
      <c r="AP1692" s="2">
        <v>564</v>
      </c>
      <c r="AQ1692" s="2">
        <v>68</v>
      </c>
      <c r="AR1692" s="2">
        <v>1.5</v>
      </c>
      <c r="AS1692" s="2">
        <v>135</v>
      </c>
      <c r="AT1692" s="2">
        <v>0</v>
      </c>
      <c r="AU1692" s="2">
        <v>162</v>
      </c>
      <c r="AV1692" s="2">
        <v>9.1</v>
      </c>
      <c r="AW1692" s="2">
        <v>9.1999999999999993</v>
      </c>
      <c r="AX1692" s="2">
        <v>18.3</v>
      </c>
      <c r="AY1692" s="2">
        <v>0.34</v>
      </c>
      <c r="AZ1692" s="2">
        <v>7.3</v>
      </c>
      <c r="BA1692" s="2">
        <v>0.9</v>
      </c>
      <c r="BB1692" s="2">
        <v>7.5</v>
      </c>
      <c r="BC1692" s="2">
        <v>2.9</v>
      </c>
      <c r="BD1692" s="2">
        <f>+AN1692*EXP(-0.0495*Y1692)</f>
        <v>2.3254249642298284</v>
      </c>
      <c r="BE1692" s="2">
        <f>+AO1692*EXP(-0.024*Y1692)</f>
        <v>10.734448903837826</v>
      </c>
    </row>
    <row r="1693" spans="1:57" x14ac:dyDescent="0.2">
      <c r="A1693" s="2" t="s">
        <v>1747</v>
      </c>
      <c r="B1693" s="2" t="s">
        <v>19</v>
      </c>
      <c r="C1693" s="2" t="s">
        <v>20</v>
      </c>
      <c r="D1693" s="2" t="s">
        <v>21</v>
      </c>
      <c r="E1693" s="2" t="s">
        <v>933</v>
      </c>
      <c r="F1693" s="2">
        <v>5</v>
      </c>
      <c r="G1693" s="2">
        <v>92</v>
      </c>
      <c r="H1693" s="2">
        <v>3</v>
      </c>
      <c r="I1693" s="2">
        <v>2</v>
      </c>
      <c r="J1693" s="2">
        <v>2</v>
      </c>
      <c r="K1693" s="2" t="s">
        <v>61</v>
      </c>
      <c r="L1693" s="6" t="s">
        <v>75</v>
      </c>
      <c r="M1693" s="5">
        <v>840000000</v>
      </c>
      <c r="N1693" s="2">
        <v>0</v>
      </c>
      <c r="O1693" s="2">
        <v>4.7109699999999997</v>
      </c>
      <c r="P1693" s="2">
        <v>-74.049890000000005</v>
      </c>
      <c r="Q1693" s="2" t="s">
        <v>1748</v>
      </c>
      <c r="R1693" s="2">
        <v>9130434.7829999998</v>
      </c>
      <c r="S1693" s="2">
        <v>0</v>
      </c>
      <c r="T1693" s="2" t="s">
        <v>55</v>
      </c>
      <c r="U1693" s="2" t="s">
        <v>56</v>
      </c>
      <c r="V1693" s="2" t="s">
        <v>28</v>
      </c>
      <c r="W1693" s="2" t="s">
        <v>55</v>
      </c>
      <c r="X1693" s="2" t="s">
        <v>57</v>
      </c>
      <c r="Y1693" s="2">
        <v>2.1615412783610299</v>
      </c>
      <c r="Z1693" s="2">
        <v>4.71035</v>
      </c>
      <c r="AA1693" s="2">
        <v>-74.030416666666696</v>
      </c>
      <c r="AB1693" s="2">
        <v>2570</v>
      </c>
      <c r="AC1693" s="2" t="s">
        <v>31</v>
      </c>
      <c r="AD1693" s="2" t="s">
        <v>58</v>
      </c>
      <c r="AE1693" s="2" t="s">
        <v>33</v>
      </c>
      <c r="AF1693" s="2" t="s">
        <v>34</v>
      </c>
      <c r="AG1693" s="2" t="s">
        <v>59</v>
      </c>
      <c r="AH1693" s="2">
        <v>0.494761637570869</v>
      </c>
      <c r="AI1693" s="2">
        <v>2.7583143461591901</v>
      </c>
      <c r="AJ1693" s="2">
        <v>1.8974189356953399</v>
      </c>
      <c r="AK1693" s="2">
        <v>0.26379814586926698</v>
      </c>
      <c r="AL1693" s="2">
        <v>0.231732283736588</v>
      </c>
      <c r="AM1693" s="2">
        <v>15.5</v>
      </c>
      <c r="AN1693" s="2">
        <v>2.4</v>
      </c>
      <c r="AO1693" s="2">
        <v>10.9</v>
      </c>
      <c r="AP1693" s="2">
        <v>564</v>
      </c>
      <c r="AQ1693" s="2">
        <v>68</v>
      </c>
      <c r="AR1693" s="2">
        <v>1.5</v>
      </c>
      <c r="AS1693" s="2">
        <v>135</v>
      </c>
      <c r="AT1693" s="2">
        <v>0</v>
      </c>
      <c r="AU1693" s="2">
        <v>162</v>
      </c>
      <c r="AV1693" s="2">
        <v>9.1</v>
      </c>
      <c r="AW1693" s="2">
        <v>9.1999999999999993</v>
      </c>
      <c r="AX1693" s="2">
        <v>18.3</v>
      </c>
      <c r="AY1693" s="2">
        <v>0.34</v>
      </c>
      <c r="AZ1693" s="2">
        <v>7.3</v>
      </c>
      <c r="BA1693" s="2">
        <v>0.9</v>
      </c>
      <c r="BB1693" s="2">
        <v>7.5</v>
      </c>
      <c r="BC1693" s="2">
        <v>2.9</v>
      </c>
      <c r="BD1693" s="2">
        <f>+AN1693*EXP(-0.0495*Y1693)</f>
        <v>2.1564696085933805</v>
      </c>
      <c r="BE1693" s="2">
        <f>+AO1693*EXP(-0.024*Y1693)</f>
        <v>10.348957588522948</v>
      </c>
    </row>
    <row r="1694" spans="1:57" x14ac:dyDescent="0.2">
      <c r="A1694" s="2" t="s">
        <v>3760</v>
      </c>
      <c r="B1694" s="2" t="s">
        <v>19</v>
      </c>
      <c r="C1694" s="2" t="s">
        <v>3245</v>
      </c>
      <c r="D1694" s="2" t="s">
        <v>21</v>
      </c>
      <c r="E1694" s="2" t="s">
        <v>144</v>
      </c>
      <c r="F1694" s="2">
        <v>4</v>
      </c>
      <c r="G1694" s="2">
        <v>92</v>
      </c>
      <c r="H1694" s="2">
        <v>1</v>
      </c>
      <c r="I1694" s="2">
        <v>1</v>
      </c>
      <c r="J1694" s="2">
        <v>1</v>
      </c>
      <c r="K1694" s="2" t="s">
        <v>61</v>
      </c>
      <c r="L1694" s="6" t="s">
        <v>84</v>
      </c>
      <c r="M1694" s="5">
        <v>627000000</v>
      </c>
      <c r="N1694" s="2">
        <v>0</v>
      </c>
      <c r="O1694" s="2">
        <v>4.6987533570000002</v>
      </c>
      <c r="P1694" s="2">
        <v>-74.032218929999999</v>
      </c>
      <c r="Q1694" s="2" t="s">
        <v>3761</v>
      </c>
      <c r="R1694" s="2">
        <v>6815217.3909999998</v>
      </c>
      <c r="S1694" s="2">
        <v>0</v>
      </c>
      <c r="T1694" s="2" t="s">
        <v>55</v>
      </c>
      <c r="U1694" s="2" t="s">
        <v>56</v>
      </c>
      <c r="V1694" s="2" t="s">
        <v>28</v>
      </c>
      <c r="W1694" s="2" t="s">
        <v>55</v>
      </c>
      <c r="X1694" s="2" t="s">
        <v>57</v>
      </c>
      <c r="Y1694" s="2">
        <v>1.30632572003283</v>
      </c>
      <c r="Z1694" s="2">
        <v>4.71035</v>
      </c>
      <c r="AA1694" s="2">
        <v>-74.030416666666696</v>
      </c>
      <c r="AB1694" s="2">
        <v>2570</v>
      </c>
      <c r="AC1694" s="2" t="s">
        <v>31</v>
      </c>
      <c r="AD1694" s="2" t="s">
        <v>58</v>
      </c>
      <c r="AE1694" s="2" t="s">
        <v>33</v>
      </c>
      <c r="AF1694" s="2" t="s">
        <v>34</v>
      </c>
      <c r="AG1694" s="2" t="s">
        <v>59</v>
      </c>
      <c r="AH1694" s="2">
        <v>2.5252092959047499</v>
      </c>
      <c r="AI1694" s="2">
        <v>0.70370445637411205</v>
      </c>
      <c r="AJ1694" s="2">
        <v>0.286438128333806</v>
      </c>
      <c r="AK1694" s="2">
        <v>2.5201622992472299E-2</v>
      </c>
      <c r="AL1694" s="2">
        <v>0.26291458158591502</v>
      </c>
      <c r="AM1694" s="2">
        <v>15.5</v>
      </c>
      <c r="AN1694" s="2">
        <v>2.4</v>
      </c>
      <c r="AO1694" s="2">
        <v>10.9</v>
      </c>
      <c r="AP1694" s="2">
        <v>564</v>
      </c>
      <c r="AQ1694" s="2">
        <v>68</v>
      </c>
      <c r="AR1694" s="2">
        <v>1.5</v>
      </c>
      <c r="AS1694" s="2">
        <v>135</v>
      </c>
      <c r="AT1694" s="2">
        <v>0</v>
      </c>
      <c r="AU1694" s="2">
        <v>162</v>
      </c>
      <c r="AV1694" s="2">
        <v>9.1</v>
      </c>
      <c r="AW1694" s="2">
        <v>9.1999999999999993</v>
      </c>
      <c r="AX1694" s="2">
        <v>18.3</v>
      </c>
      <c r="AY1694" s="2">
        <v>0.34</v>
      </c>
      <c r="AZ1694" s="2">
        <v>7.3</v>
      </c>
      <c r="BA1694" s="2">
        <v>0.9</v>
      </c>
      <c r="BB1694" s="2">
        <v>7.5</v>
      </c>
      <c r="BC1694" s="2">
        <v>2.9</v>
      </c>
      <c r="BD1694" s="2">
        <f>+AN1694*EXP(-0.0495*Y1694)</f>
        <v>2.2497196629565197</v>
      </c>
      <c r="BE1694" s="2">
        <f>+AO1694*EXP(-0.024*Y1694)</f>
        <v>10.563566647403858</v>
      </c>
    </row>
    <row r="1695" spans="1:57" x14ac:dyDescent="0.2">
      <c r="A1695" s="2" t="s">
        <v>1627</v>
      </c>
      <c r="B1695" s="2" t="s">
        <v>19</v>
      </c>
      <c r="C1695" s="2" t="s">
        <v>20</v>
      </c>
      <c r="D1695" s="2" t="s">
        <v>21</v>
      </c>
      <c r="E1695" s="2" t="s">
        <v>1628</v>
      </c>
      <c r="F1695" s="2">
        <v>6</v>
      </c>
      <c r="G1695" s="2">
        <v>92</v>
      </c>
      <c r="H1695" s="2">
        <v>2</v>
      </c>
      <c r="I1695" s="2">
        <v>2</v>
      </c>
      <c r="J1695" s="2">
        <v>2</v>
      </c>
      <c r="K1695" s="2" t="s">
        <v>61</v>
      </c>
      <c r="L1695" s="6" t="s">
        <v>75</v>
      </c>
      <c r="M1695" s="5">
        <v>830000000</v>
      </c>
      <c r="N1695" s="2">
        <v>0</v>
      </c>
      <c r="O1695" s="2">
        <v>4.7113377720000003</v>
      </c>
      <c r="P1695" s="2">
        <v>-74.025934199999995</v>
      </c>
      <c r="Q1695" s="2" t="s">
        <v>1629</v>
      </c>
      <c r="R1695" s="2">
        <v>9021739.1300000008</v>
      </c>
      <c r="S1695" s="2">
        <v>0</v>
      </c>
      <c r="T1695" s="2" t="s">
        <v>55</v>
      </c>
      <c r="U1695" s="2" t="s">
        <v>56</v>
      </c>
      <c r="V1695" s="2" t="s">
        <v>28</v>
      </c>
      <c r="W1695" s="2" t="s">
        <v>55</v>
      </c>
      <c r="X1695" s="2" t="s">
        <v>57</v>
      </c>
      <c r="Y1695" s="2">
        <v>0.50931166706250597</v>
      </c>
      <c r="Z1695" s="2">
        <v>4.71035</v>
      </c>
      <c r="AA1695" s="2">
        <v>-74.030416666666696</v>
      </c>
      <c r="AB1695" s="2">
        <v>2570</v>
      </c>
      <c r="AC1695" s="2" t="s">
        <v>31</v>
      </c>
      <c r="AD1695" s="2" t="s">
        <v>58</v>
      </c>
      <c r="AE1695" s="2" t="s">
        <v>33</v>
      </c>
      <c r="AF1695" s="2" t="s">
        <v>34</v>
      </c>
      <c r="AG1695" s="2" t="s">
        <v>59</v>
      </c>
      <c r="AH1695" s="2">
        <v>2.9733279671530002</v>
      </c>
      <c r="AI1695" s="2">
        <v>0.16587112673862101</v>
      </c>
      <c r="AJ1695" s="2">
        <v>0.76171098314437902</v>
      </c>
      <c r="AK1695" s="2">
        <v>0.43632623761595501</v>
      </c>
      <c r="AL1695" s="2">
        <v>0.65405382815919699</v>
      </c>
      <c r="AM1695" s="2">
        <v>15.5</v>
      </c>
      <c r="AN1695" s="2">
        <v>2.4</v>
      </c>
      <c r="AO1695" s="2">
        <v>10.9</v>
      </c>
      <c r="AP1695" s="2">
        <v>564</v>
      </c>
      <c r="AQ1695" s="2">
        <v>68</v>
      </c>
      <c r="AR1695" s="2">
        <v>1.5</v>
      </c>
      <c r="AS1695" s="2">
        <v>135</v>
      </c>
      <c r="AT1695" s="2">
        <v>0</v>
      </c>
      <c r="AU1695" s="2">
        <v>162</v>
      </c>
      <c r="AV1695" s="2">
        <v>9.1</v>
      </c>
      <c r="AW1695" s="2">
        <v>9.1999999999999993</v>
      </c>
      <c r="AX1695" s="2">
        <v>18.3</v>
      </c>
      <c r="AY1695" s="2">
        <v>0.34</v>
      </c>
      <c r="AZ1695" s="2">
        <v>7.3</v>
      </c>
      <c r="BA1695" s="2">
        <v>0.9</v>
      </c>
      <c r="BB1695" s="2">
        <v>7.5</v>
      </c>
      <c r="BC1695" s="2">
        <v>2.9</v>
      </c>
      <c r="BD1695" s="2">
        <f>+AN1695*EXP(-0.0495*Y1695)</f>
        <v>2.3402501136532821</v>
      </c>
      <c r="BE1695" s="2">
        <f>+AO1695*EXP(-0.024*Y1695)</f>
        <v>10.76757506351333</v>
      </c>
    </row>
    <row r="1696" spans="1:57" x14ac:dyDescent="0.2">
      <c r="A1696" s="2" t="s">
        <v>1929</v>
      </c>
      <c r="B1696" s="2" t="s">
        <v>19</v>
      </c>
      <c r="C1696" s="2" t="s">
        <v>1907</v>
      </c>
      <c r="D1696" s="2" t="s">
        <v>21</v>
      </c>
      <c r="E1696" s="2" t="s">
        <v>1554</v>
      </c>
      <c r="F1696" s="2">
        <v>4</v>
      </c>
      <c r="G1696" s="2">
        <v>91.93</v>
      </c>
      <c r="H1696" s="2">
        <v>3</v>
      </c>
      <c r="I1696" s="2">
        <v>3</v>
      </c>
      <c r="J1696" s="2">
        <v>1</v>
      </c>
      <c r="K1696" s="2" t="s">
        <v>61</v>
      </c>
      <c r="L1696" s="6" t="s">
        <v>113</v>
      </c>
      <c r="M1696" s="5">
        <v>560000000</v>
      </c>
      <c r="N1696" s="2">
        <v>0</v>
      </c>
      <c r="O1696" s="2">
        <v>4.7313790320000004</v>
      </c>
      <c r="P1696" s="2">
        <v>-74.039558409999998</v>
      </c>
      <c r="Q1696" s="2" t="s">
        <v>1930</v>
      </c>
      <c r="R1696" s="2">
        <v>6091591.4280000003</v>
      </c>
      <c r="S1696" s="2">
        <v>0</v>
      </c>
      <c r="T1696" s="2" t="s">
        <v>55</v>
      </c>
      <c r="U1696" s="2" t="s">
        <v>56</v>
      </c>
      <c r="V1696" s="2" t="s">
        <v>28</v>
      </c>
      <c r="W1696" s="2" t="s">
        <v>55</v>
      </c>
      <c r="X1696" s="2" t="s">
        <v>57</v>
      </c>
      <c r="Y1696" s="2">
        <v>2.5511978909781901</v>
      </c>
      <c r="Z1696" s="2">
        <v>4.71035</v>
      </c>
      <c r="AA1696" s="2">
        <v>-74.030416666666696</v>
      </c>
      <c r="AB1696" s="2">
        <v>2570</v>
      </c>
      <c r="AC1696" s="2" t="s">
        <v>31</v>
      </c>
      <c r="AD1696" s="2" t="s">
        <v>58</v>
      </c>
      <c r="AE1696" s="2" t="s">
        <v>33</v>
      </c>
      <c r="AF1696" s="2" t="s">
        <v>34</v>
      </c>
      <c r="AG1696" s="2" t="s">
        <v>59</v>
      </c>
      <c r="AH1696" s="2">
        <v>1.12905161143192</v>
      </c>
      <c r="AI1696" s="2">
        <v>1.9524515506883899</v>
      </c>
      <c r="AJ1696" s="2">
        <v>0.172539588753198</v>
      </c>
      <c r="AK1696" s="2">
        <v>0.282685925108772</v>
      </c>
      <c r="AL1696" s="2">
        <v>2.2890102199437701E-2</v>
      </c>
      <c r="AM1696" s="2">
        <v>15.5</v>
      </c>
      <c r="AN1696" s="2">
        <v>2.4</v>
      </c>
      <c r="AO1696" s="2">
        <v>10.9</v>
      </c>
      <c r="AP1696" s="2">
        <v>564</v>
      </c>
      <c r="AQ1696" s="2">
        <v>68</v>
      </c>
      <c r="AR1696" s="2">
        <v>1.5</v>
      </c>
      <c r="AS1696" s="2">
        <v>135</v>
      </c>
      <c r="AT1696" s="2">
        <v>0</v>
      </c>
      <c r="AU1696" s="2">
        <v>162</v>
      </c>
      <c r="AV1696" s="2">
        <v>9.1</v>
      </c>
      <c r="AW1696" s="2">
        <v>9.1999999999999993</v>
      </c>
      <c r="AX1696" s="2">
        <v>18.3</v>
      </c>
      <c r="AY1696" s="2">
        <v>0.34</v>
      </c>
      <c r="AZ1696" s="2">
        <v>7.3</v>
      </c>
      <c r="BA1696" s="2">
        <v>0.9</v>
      </c>
      <c r="BB1696" s="2">
        <v>7.5</v>
      </c>
      <c r="BC1696" s="2">
        <v>2.9</v>
      </c>
      <c r="BD1696" s="2">
        <f>+AN1696*EXP(-0.0495*Y1696)</f>
        <v>2.1152741836392099</v>
      </c>
      <c r="BE1696" s="2">
        <f>+AO1696*EXP(-0.024*Y1696)</f>
        <v>10.25262776301731</v>
      </c>
    </row>
    <row r="1697" spans="1:57" x14ac:dyDescent="0.2">
      <c r="A1697" s="2" t="s">
        <v>779</v>
      </c>
      <c r="B1697" s="2" t="s">
        <v>19</v>
      </c>
      <c r="C1697" s="2" t="s">
        <v>20</v>
      </c>
      <c r="D1697" s="2" t="s">
        <v>21</v>
      </c>
      <c r="E1697" s="2" t="s">
        <v>141</v>
      </c>
      <c r="F1697" s="2">
        <v>5</v>
      </c>
      <c r="G1697" s="2">
        <v>91</v>
      </c>
      <c r="H1697" s="2">
        <v>2</v>
      </c>
      <c r="I1697" s="2">
        <v>3</v>
      </c>
      <c r="J1697" s="2">
        <v>2</v>
      </c>
      <c r="K1697" s="2" t="s">
        <v>61</v>
      </c>
      <c r="L1697" s="6" t="s">
        <v>75</v>
      </c>
      <c r="M1697" s="5">
        <v>670000000</v>
      </c>
      <c r="N1697" s="2">
        <v>0</v>
      </c>
      <c r="O1697" s="2">
        <v>4.6881620000000002</v>
      </c>
      <c r="P1697" s="2">
        <v>-74.045339999999996</v>
      </c>
      <c r="Q1697" s="2" t="s">
        <v>780</v>
      </c>
      <c r="R1697" s="2">
        <v>7362637.3629999999</v>
      </c>
      <c r="S1697" s="2">
        <v>0</v>
      </c>
      <c r="T1697" s="2" t="s">
        <v>55</v>
      </c>
      <c r="U1697" s="2" t="s">
        <v>56</v>
      </c>
      <c r="V1697" s="2" t="s">
        <v>28</v>
      </c>
      <c r="W1697" s="2" t="s">
        <v>55</v>
      </c>
      <c r="X1697" s="2" t="s">
        <v>57</v>
      </c>
      <c r="Y1697" s="2">
        <v>2.9735402291617699</v>
      </c>
      <c r="Z1697" s="2">
        <v>4.71035</v>
      </c>
      <c r="AA1697" s="2">
        <v>-74.030416666666696</v>
      </c>
      <c r="AB1697" s="2">
        <v>2570</v>
      </c>
      <c r="AC1697" s="2" t="s">
        <v>31</v>
      </c>
      <c r="AD1697" s="2" t="s">
        <v>58</v>
      </c>
      <c r="AE1697" s="2" t="s">
        <v>33</v>
      </c>
      <c r="AF1697" s="2" t="s">
        <v>34</v>
      </c>
      <c r="AG1697" s="2" t="s">
        <v>59</v>
      </c>
      <c r="AH1697" s="2">
        <v>1.3149471680911899</v>
      </c>
      <c r="AI1697" s="2">
        <v>1.4611229972614901</v>
      </c>
      <c r="AJ1697" s="2">
        <v>0.60268167499648895</v>
      </c>
      <c r="AK1697" s="2">
        <v>0.18496556124862201</v>
      </c>
      <c r="AL1697" s="2">
        <v>0.19833208148665399</v>
      </c>
      <c r="AM1697" s="2">
        <v>15.5</v>
      </c>
      <c r="AN1697" s="2">
        <v>2.4</v>
      </c>
      <c r="AO1697" s="2">
        <v>10.9</v>
      </c>
      <c r="AP1697" s="2">
        <v>564</v>
      </c>
      <c r="AQ1697" s="2">
        <v>68</v>
      </c>
      <c r="AR1697" s="2">
        <v>1.5</v>
      </c>
      <c r="AS1697" s="2">
        <v>135</v>
      </c>
      <c r="AT1697" s="2">
        <v>0</v>
      </c>
      <c r="AU1697" s="2">
        <v>162</v>
      </c>
      <c r="AV1697" s="2">
        <v>9.1</v>
      </c>
      <c r="AW1697" s="2">
        <v>9.1999999999999993</v>
      </c>
      <c r="AX1697" s="2">
        <v>18.3</v>
      </c>
      <c r="AY1697" s="2">
        <v>0.34</v>
      </c>
      <c r="AZ1697" s="2">
        <v>7.3</v>
      </c>
      <c r="BA1697" s="2">
        <v>0.9</v>
      </c>
      <c r="BB1697" s="2">
        <v>7.5</v>
      </c>
      <c r="BC1697" s="2">
        <v>2.9</v>
      </c>
      <c r="BD1697" s="2">
        <f>+AN1697*EXP(-0.0495*Y1697)</f>
        <v>2.0715114211950985</v>
      </c>
      <c r="BE1697" s="2">
        <f>+AO1697*EXP(-0.024*Y1697)</f>
        <v>10.149229829432622</v>
      </c>
    </row>
    <row r="1698" spans="1:57" x14ac:dyDescent="0.2">
      <c r="A1698" s="2" t="s">
        <v>561</v>
      </c>
      <c r="B1698" s="2" t="s">
        <v>19</v>
      </c>
      <c r="C1698" s="2" t="s">
        <v>20</v>
      </c>
      <c r="D1698" s="2" t="s">
        <v>21</v>
      </c>
      <c r="E1698" s="2" t="s">
        <v>562</v>
      </c>
      <c r="F1698" s="2">
        <v>4</v>
      </c>
      <c r="G1698" s="2">
        <v>91</v>
      </c>
      <c r="H1698" s="2">
        <v>3</v>
      </c>
      <c r="I1698" s="2">
        <v>3</v>
      </c>
      <c r="J1698" s="2">
        <v>1</v>
      </c>
      <c r="K1698" s="2" t="s">
        <v>61</v>
      </c>
      <c r="L1698" s="6" t="s">
        <v>75</v>
      </c>
      <c r="M1698" s="5">
        <v>600000000</v>
      </c>
      <c r="N1698" s="2">
        <v>0</v>
      </c>
      <c r="O1698" s="2">
        <v>4.7219734190000002</v>
      </c>
      <c r="P1698" s="2">
        <v>-74.029907230000006</v>
      </c>
      <c r="Q1698" s="2" t="s">
        <v>563</v>
      </c>
      <c r="R1698" s="2">
        <v>6593406.5930000003</v>
      </c>
      <c r="S1698" s="2">
        <v>0</v>
      </c>
      <c r="T1698" s="2" t="s">
        <v>55</v>
      </c>
      <c r="U1698" s="2" t="s">
        <v>56</v>
      </c>
      <c r="V1698" s="2" t="s">
        <v>28</v>
      </c>
      <c r="W1698" s="2" t="s">
        <v>55</v>
      </c>
      <c r="X1698" s="2" t="s">
        <v>57</v>
      </c>
      <c r="Y1698" s="2">
        <v>1.2951468562925099</v>
      </c>
      <c r="Z1698" s="2">
        <v>4.71035</v>
      </c>
      <c r="AA1698" s="2">
        <v>-74.030416666666696</v>
      </c>
      <c r="AB1698" s="2">
        <v>2570</v>
      </c>
      <c r="AC1698" s="2" t="s">
        <v>31</v>
      </c>
      <c r="AD1698" s="2" t="s">
        <v>58</v>
      </c>
      <c r="AE1698" s="2" t="s">
        <v>33</v>
      </c>
      <c r="AF1698" s="2" t="s">
        <v>34</v>
      </c>
      <c r="AG1698" s="2" t="s">
        <v>59</v>
      </c>
      <c r="AH1698" s="2">
        <v>2.3462907734795699</v>
      </c>
      <c r="AI1698" s="2">
        <v>0.74656682268929198</v>
      </c>
      <c r="AJ1698" s="2">
        <v>1.28140845133659</v>
      </c>
      <c r="AK1698" s="2">
        <v>0.11986290568389001</v>
      </c>
      <c r="AL1698" s="2">
        <v>5.6969461721709497E-2</v>
      </c>
      <c r="AM1698" s="2">
        <v>15.5</v>
      </c>
      <c r="AN1698" s="2">
        <v>2.4</v>
      </c>
      <c r="AO1698" s="2">
        <v>10.9</v>
      </c>
      <c r="AP1698" s="2">
        <v>564</v>
      </c>
      <c r="AQ1698" s="2">
        <v>68</v>
      </c>
      <c r="AR1698" s="2">
        <v>1.5</v>
      </c>
      <c r="AS1698" s="2">
        <v>135</v>
      </c>
      <c r="AT1698" s="2">
        <v>0</v>
      </c>
      <c r="AU1698" s="2">
        <v>162</v>
      </c>
      <c r="AV1698" s="2">
        <v>9.1</v>
      </c>
      <c r="AW1698" s="2">
        <v>9.1999999999999993</v>
      </c>
      <c r="AX1698" s="2">
        <v>18.3</v>
      </c>
      <c r="AY1698" s="2">
        <v>0.34</v>
      </c>
      <c r="AZ1698" s="2">
        <v>7.3</v>
      </c>
      <c r="BA1698" s="2">
        <v>0.9</v>
      </c>
      <c r="BB1698" s="2">
        <v>7.5</v>
      </c>
      <c r="BC1698" s="2">
        <v>2.9</v>
      </c>
      <c r="BD1698" s="2">
        <f>+AN1698*EXP(-0.0495*Y1698)</f>
        <v>2.2509648982760884</v>
      </c>
      <c r="BE1698" s="2">
        <f>+AO1698*EXP(-0.024*Y1698)</f>
        <v>10.566401155757763</v>
      </c>
    </row>
    <row r="1699" spans="1:57" x14ac:dyDescent="0.2">
      <c r="A1699" s="2" t="s">
        <v>3346</v>
      </c>
      <c r="B1699" s="2" t="s">
        <v>19</v>
      </c>
      <c r="C1699" s="2" t="s">
        <v>3245</v>
      </c>
      <c r="D1699" s="2" t="s">
        <v>21</v>
      </c>
      <c r="E1699" s="2" t="s">
        <v>156</v>
      </c>
      <c r="F1699" s="2">
        <v>4</v>
      </c>
      <c r="G1699" s="2">
        <v>91</v>
      </c>
      <c r="H1699" s="2">
        <v>1</v>
      </c>
      <c r="I1699" s="2">
        <v>2</v>
      </c>
      <c r="J1699" s="2">
        <v>1</v>
      </c>
      <c r="K1699" s="2" t="s">
        <v>61</v>
      </c>
      <c r="L1699" s="6" t="s">
        <v>62</v>
      </c>
      <c r="M1699" s="5">
        <v>560000000</v>
      </c>
      <c r="N1699" s="2">
        <v>0</v>
      </c>
      <c r="O1699" s="2">
        <v>4.7176451679999998</v>
      </c>
      <c r="P1699" s="2">
        <v>-74.036926269999995</v>
      </c>
      <c r="Q1699" s="2" t="s">
        <v>3347</v>
      </c>
      <c r="R1699" s="2">
        <v>6153846.1540000001</v>
      </c>
      <c r="S1699" s="2">
        <v>0</v>
      </c>
      <c r="T1699" s="2" t="s">
        <v>55</v>
      </c>
      <c r="U1699" s="2" t="s">
        <v>56</v>
      </c>
      <c r="V1699" s="2" t="s">
        <v>28</v>
      </c>
      <c r="W1699" s="2" t="s">
        <v>55</v>
      </c>
      <c r="X1699" s="2" t="s">
        <v>57</v>
      </c>
      <c r="Y1699" s="2">
        <v>1.0867668494572</v>
      </c>
      <c r="Z1699" s="2">
        <v>4.71035</v>
      </c>
      <c r="AA1699" s="2">
        <v>-74.030416666666696</v>
      </c>
      <c r="AB1699" s="2">
        <v>2570</v>
      </c>
      <c r="AC1699" s="2" t="s">
        <v>31</v>
      </c>
      <c r="AD1699" s="2" t="s">
        <v>58</v>
      </c>
      <c r="AE1699" s="2" t="s">
        <v>33</v>
      </c>
      <c r="AF1699" s="2" t="s">
        <v>34</v>
      </c>
      <c r="AG1699" s="2" t="s">
        <v>59</v>
      </c>
      <c r="AH1699" s="2">
        <v>1.65743369980202</v>
      </c>
      <c r="AI1699" s="2">
        <v>1.4644461662877</v>
      </c>
      <c r="AJ1699" s="2">
        <v>0.89080691719389005</v>
      </c>
      <c r="AK1699" s="2">
        <v>8.7107609948819401E-2</v>
      </c>
      <c r="AL1699" s="2">
        <v>0.19445734076288601</v>
      </c>
      <c r="AM1699" s="2">
        <v>15.5</v>
      </c>
      <c r="AN1699" s="2">
        <v>2.4</v>
      </c>
      <c r="AO1699" s="2">
        <v>10.9</v>
      </c>
      <c r="AP1699" s="2">
        <v>564</v>
      </c>
      <c r="AQ1699" s="2">
        <v>68</v>
      </c>
      <c r="AR1699" s="2">
        <v>1.5</v>
      </c>
      <c r="AS1699" s="2">
        <v>135</v>
      </c>
      <c r="AT1699" s="2">
        <v>0</v>
      </c>
      <c r="AU1699" s="2">
        <v>162</v>
      </c>
      <c r="AV1699" s="2">
        <v>9.1</v>
      </c>
      <c r="AW1699" s="2">
        <v>9.1999999999999993</v>
      </c>
      <c r="AX1699" s="2">
        <v>18.3</v>
      </c>
      <c r="AY1699" s="2">
        <v>0.34</v>
      </c>
      <c r="AZ1699" s="2">
        <v>7.3</v>
      </c>
      <c r="BA1699" s="2">
        <v>0.9</v>
      </c>
      <c r="BB1699" s="2">
        <v>7.5</v>
      </c>
      <c r="BC1699" s="2">
        <v>2.9</v>
      </c>
      <c r="BD1699" s="2">
        <f>+AN1699*EXP(-0.0495*Y1699)</f>
        <v>2.27430333311995</v>
      </c>
      <c r="BE1699" s="2">
        <f>+AO1699*EXP(-0.024*Y1699)</f>
        <v>10.619377357397859</v>
      </c>
    </row>
    <row r="1700" spans="1:57" x14ac:dyDescent="0.2">
      <c r="A1700" s="2" t="s">
        <v>376</v>
      </c>
      <c r="B1700" s="2" t="s">
        <v>19</v>
      </c>
      <c r="C1700" s="2" t="s">
        <v>20</v>
      </c>
      <c r="D1700" s="2" t="s">
        <v>21</v>
      </c>
      <c r="E1700" s="2" t="s">
        <v>377</v>
      </c>
      <c r="F1700" s="2">
        <v>6</v>
      </c>
      <c r="G1700" s="2">
        <v>90</v>
      </c>
      <c r="H1700" s="2">
        <v>3</v>
      </c>
      <c r="I1700" s="2">
        <v>3</v>
      </c>
      <c r="J1700" s="2">
        <v>2</v>
      </c>
      <c r="K1700" s="2" t="s">
        <v>61</v>
      </c>
      <c r="L1700" s="6" t="s">
        <v>62</v>
      </c>
      <c r="M1700" s="5">
        <v>870000000</v>
      </c>
      <c r="N1700" s="2">
        <v>0</v>
      </c>
      <c r="O1700" s="2">
        <v>4.7022523879999998</v>
      </c>
      <c r="P1700" s="2">
        <v>-74.046173100000004</v>
      </c>
      <c r="Q1700" s="2" t="s">
        <v>378</v>
      </c>
      <c r="R1700" s="2">
        <v>9666666.6669999994</v>
      </c>
      <c r="S1700" s="2">
        <v>0</v>
      </c>
      <c r="T1700" s="2" t="s">
        <v>55</v>
      </c>
      <c r="U1700" s="2" t="s">
        <v>56</v>
      </c>
      <c r="V1700" s="2" t="s">
        <v>28</v>
      </c>
      <c r="W1700" s="2" t="s">
        <v>55</v>
      </c>
      <c r="X1700" s="2" t="s">
        <v>57</v>
      </c>
      <c r="Y1700" s="2">
        <v>1.9668147912065601</v>
      </c>
      <c r="Z1700" s="2">
        <v>4.71035</v>
      </c>
      <c r="AA1700" s="2">
        <v>-74.030416666666696</v>
      </c>
      <c r="AB1700" s="2">
        <v>2570</v>
      </c>
      <c r="AC1700" s="2" t="s">
        <v>31</v>
      </c>
      <c r="AD1700" s="2" t="s">
        <v>58</v>
      </c>
      <c r="AE1700" s="2" t="s">
        <v>33</v>
      </c>
      <c r="AF1700" s="2" t="s">
        <v>34</v>
      </c>
      <c r="AG1700" s="2" t="s">
        <v>59</v>
      </c>
      <c r="AH1700" s="2">
        <v>0.93095218106422495</v>
      </c>
      <c r="AI1700" s="2">
        <v>2.2759698984261298</v>
      </c>
      <c r="AJ1700" s="2">
        <v>1.07075409128418</v>
      </c>
      <c r="AK1700" s="2">
        <v>9.36421651773678E-2</v>
      </c>
      <c r="AL1700" s="2">
        <v>0.10632650898627</v>
      </c>
      <c r="AM1700" s="2">
        <v>15.5</v>
      </c>
      <c r="AN1700" s="2">
        <v>2.4</v>
      </c>
      <c r="AO1700" s="2">
        <v>10.9</v>
      </c>
      <c r="AP1700" s="2">
        <v>564</v>
      </c>
      <c r="AQ1700" s="2">
        <v>68</v>
      </c>
      <c r="AR1700" s="2">
        <v>1.5</v>
      </c>
      <c r="AS1700" s="2">
        <v>135</v>
      </c>
      <c r="AT1700" s="2">
        <v>0</v>
      </c>
      <c r="AU1700" s="2">
        <v>162</v>
      </c>
      <c r="AV1700" s="2">
        <v>9.1</v>
      </c>
      <c r="AW1700" s="2">
        <v>9.1999999999999993</v>
      </c>
      <c r="AX1700" s="2">
        <v>18.3</v>
      </c>
      <c r="AY1700" s="2">
        <v>0.34</v>
      </c>
      <c r="AZ1700" s="2">
        <v>7.3</v>
      </c>
      <c r="BA1700" s="2">
        <v>0.9</v>
      </c>
      <c r="BB1700" s="2">
        <v>7.5</v>
      </c>
      <c r="BC1700" s="2">
        <v>2.9</v>
      </c>
      <c r="BD1700" s="2">
        <f>+AN1700*EXP(-0.0495*Y1700)</f>
        <v>2.1773562362767551</v>
      </c>
      <c r="BE1700" s="2">
        <f>+AO1700*EXP(-0.024*Y1700)</f>
        <v>10.397435968349733</v>
      </c>
    </row>
    <row r="1701" spans="1:57" x14ac:dyDescent="0.2">
      <c r="A1701" s="2" t="s">
        <v>1363</v>
      </c>
      <c r="B1701" s="2" t="s">
        <v>19</v>
      </c>
      <c r="C1701" s="2" t="s">
        <v>20</v>
      </c>
      <c r="D1701" s="2" t="s">
        <v>21</v>
      </c>
      <c r="E1701" s="2" t="s">
        <v>283</v>
      </c>
      <c r="F1701" s="2">
        <v>4</v>
      </c>
      <c r="G1701" s="2">
        <v>90</v>
      </c>
      <c r="H1701" s="2">
        <v>3</v>
      </c>
      <c r="I1701" s="2">
        <v>2</v>
      </c>
      <c r="J1701" s="2">
        <v>1</v>
      </c>
      <c r="K1701" s="2" t="s">
        <v>61</v>
      </c>
      <c r="L1701" s="6" t="s">
        <v>113</v>
      </c>
      <c r="M1701" s="5">
        <v>390000000</v>
      </c>
      <c r="N1701" s="2">
        <v>0</v>
      </c>
      <c r="O1701" s="2">
        <v>4.7271447000000002</v>
      </c>
      <c r="P1701" s="2">
        <v>-74.026880000000006</v>
      </c>
      <c r="Q1701" s="2" t="s">
        <v>1364</v>
      </c>
      <c r="R1701" s="2">
        <v>4333333.3329999996</v>
      </c>
      <c r="S1701" s="2">
        <v>0</v>
      </c>
      <c r="T1701" s="2" t="s">
        <v>55</v>
      </c>
      <c r="U1701" s="2" t="s">
        <v>56</v>
      </c>
      <c r="V1701" s="2" t="s">
        <v>28</v>
      </c>
      <c r="W1701" s="2" t="s">
        <v>55</v>
      </c>
      <c r="X1701" s="2" t="s">
        <v>57</v>
      </c>
      <c r="Y1701" s="2">
        <v>1.91030639691557</v>
      </c>
      <c r="Z1701" s="2">
        <v>4.71035</v>
      </c>
      <c r="AA1701" s="2">
        <v>-74.030416666666696</v>
      </c>
      <c r="AB1701" s="2">
        <v>2570</v>
      </c>
      <c r="AC1701" s="2" t="s">
        <v>31</v>
      </c>
      <c r="AD1701" s="2" t="s">
        <v>58</v>
      </c>
      <c r="AE1701" s="2" t="s">
        <v>33</v>
      </c>
      <c r="AF1701" s="2" t="s">
        <v>34</v>
      </c>
      <c r="AG1701" s="2" t="s">
        <v>59</v>
      </c>
      <c r="AH1701" s="2">
        <v>2.57593183963272</v>
      </c>
      <c r="AI1701" s="2">
        <v>0.62372757205412599</v>
      </c>
      <c r="AJ1701" s="2">
        <v>1.58410374087373</v>
      </c>
      <c r="AK1701" s="2">
        <v>0.266367804276612</v>
      </c>
      <c r="AL1701" s="2">
        <v>0.34495876452316099</v>
      </c>
      <c r="AM1701" s="2">
        <v>15.5</v>
      </c>
      <c r="AN1701" s="2">
        <v>2.4</v>
      </c>
      <c r="AO1701" s="2">
        <v>10.9</v>
      </c>
      <c r="AP1701" s="2">
        <v>564</v>
      </c>
      <c r="AQ1701" s="2">
        <v>68</v>
      </c>
      <c r="AR1701" s="2">
        <v>1.5</v>
      </c>
      <c r="AS1701" s="2">
        <v>135</v>
      </c>
      <c r="AT1701" s="2">
        <v>0</v>
      </c>
      <c r="AU1701" s="2">
        <v>162</v>
      </c>
      <c r="AV1701" s="2">
        <v>9.1</v>
      </c>
      <c r="AW1701" s="2">
        <v>9.1999999999999993</v>
      </c>
      <c r="AX1701" s="2">
        <v>18.3</v>
      </c>
      <c r="AY1701" s="2">
        <v>0.34</v>
      </c>
      <c r="AZ1701" s="2">
        <v>7.3</v>
      </c>
      <c r="BA1701" s="2">
        <v>0.9</v>
      </c>
      <c r="BB1701" s="2">
        <v>7.5</v>
      </c>
      <c r="BC1701" s="2">
        <v>2.9</v>
      </c>
      <c r="BD1701" s="2">
        <f>+AN1701*EXP(-0.0495*Y1701)</f>
        <v>2.1834551879720756</v>
      </c>
      <c r="BE1701" s="2">
        <f>+AO1701*EXP(-0.024*Y1701)</f>
        <v>10.411546552455912</v>
      </c>
    </row>
    <row r="1702" spans="1:57" x14ac:dyDescent="0.2">
      <c r="A1702" s="2" t="s">
        <v>773</v>
      </c>
      <c r="B1702" s="2" t="s">
        <v>19</v>
      </c>
      <c r="C1702" s="2" t="s">
        <v>20</v>
      </c>
      <c r="D1702" s="2" t="s">
        <v>21</v>
      </c>
      <c r="E1702" s="2" t="s">
        <v>511</v>
      </c>
      <c r="F1702" s="2">
        <v>5</v>
      </c>
      <c r="G1702" s="2">
        <v>90</v>
      </c>
      <c r="H1702" s="2">
        <v>1</v>
      </c>
      <c r="I1702" s="2">
        <v>2</v>
      </c>
      <c r="J1702" s="2">
        <v>2</v>
      </c>
      <c r="K1702" s="2" t="s">
        <v>61</v>
      </c>
      <c r="L1702" s="6" t="s">
        <v>62</v>
      </c>
      <c r="M1702" s="5">
        <v>890000000</v>
      </c>
      <c r="N1702" s="2">
        <v>0</v>
      </c>
      <c r="O1702" s="2">
        <v>4.7145090100000004</v>
      </c>
      <c r="P1702" s="2">
        <v>-74.037246699999997</v>
      </c>
      <c r="Q1702" s="2" t="s">
        <v>774</v>
      </c>
      <c r="R1702" s="2">
        <v>9888888.8890000004</v>
      </c>
      <c r="S1702" s="2">
        <v>0</v>
      </c>
      <c r="T1702" s="2" t="s">
        <v>55</v>
      </c>
      <c r="U1702" s="2" t="s">
        <v>56</v>
      </c>
      <c r="V1702" s="2" t="s">
        <v>28</v>
      </c>
      <c r="W1702" s="2" t="s">
        <v>55</v>
      </c>
      <c r="X1702" s="2" t="s">
        <v>57</v>
      </c>
      <c r="Y1702" s="2">
        <v>0.88799094134168699</v>
      </c>
      <c r="Z1702" s="2">
        <v>4.71035</v>
      </c>
      <c r="AA1702" s="2">
        <v>-74.030416666666696</v>
      </c>
      <c r="AB1702" s="2">
        <v>2570</v>
      </c>
      <c r="AC1702" s="2" t="s">
        <v>31</v>
      </c>
      <c r="AD1702" s="2" t="s">
        <v>58</v>
      </c>
      <c r="AE1702" s="2" t="s">
        <v>33</v>
      </c>
      <c r="AF1702" s="2" t="s">
        <v>34</v>
      </c>
      <c r="AG1702" s="2" t="s">
        <v>59</v>
      </c>
      <c r="AH1702" s="2">
        <v>1.6976821403512701</v>
      </c>
      <c r="AI1702" s="2">
        <v>1.4086573649943499</v>
      </c>
      <c r="AJ1702" s="2">
        <v>0.64712604886780201</v>
      </c>
      <c r="AK1702" s="2">
        <v>0.27023566560201701</v>
      </c>
      <c r="AL1702" s="2">
        <v>0.28404166913471501</v>
      </c>
      <c r="AM1702" s="2">
        <v>15.5</v>
      </c>
      <c r="AN1702" s="2">
        <v>2.4</v>
      </c>
      <c r="AO1702" s="2">
        <v>10.9</v>
      </c>
      <c r="AP1702" s="2">
        <v>564</v>
      </c>
      <c r="AQ1702" s="2">
        <v>68</v>
      </c>
      <c r="AR1702" s="2">
        <v>1.5</v>
      </c>
      <c r="AS1702" s="2">
        <v>135</v>
      </c>
      <c r="AT1702" s="2">
        <v>0</v>
      </c>
      <c r="AU1702" s="2">
        <v>162</v>
      </c>
      <c r="AV1702" s="2">
        <v>9.1</v>
      </c>
      <c r="AW1702" s="2">
        <v>9.1999999999999993</v>
      </c>
      <c r="AX1702" s="2">
        <v>18.3</v>
      </c>
      <c r="AY1702" s="2">
        <v>0.34</v>
      </c>
      <c r="AZ1702" s="2">
        <v>7.3</v>
      </c>
      <c r="BA1702" s="2">
        <v>0.9</v>
      </c>
      <c r="BB1702" s="2">
        <v>7.5</v>
      </c>
      <c r="BC1702" s="2">
        <v>2.9</v>
      </c>
      <c r="BD1702" s="2">
        <f>+AN1702*EXP(-0.0495*Y1702)</f>
        <v>2.2967915843858022</v>
      </c>
      <c r="BE1702" s="2">
        <f>+AO1702*EXP(-0.024*Y1702)</f>
        <v>10.670159425173953</v>
      </c>
    </row>
    <row r="1703" spans="1:57" x14ac:dyDescent="0.2">
      <c r="A1703" s="2" t="s">
        <v>210</v>
      </c>
      <c r="B1703" s="2" t="s">
        <v>19</v>
      </c>
      <c r="C1703" s="2" t="s">
        <v>20</v>
      </c>
      <c r="D1703" s="2" t="s">
        <v>21</v>
      </c>
      <c r="E1703" s="2" t="s">
        <v>156</v>
      </c>
      <c r="F1703" s="2">
        <v>4</v>
      </c>
      <c r="G1703" s="2">
        <v>89.5</v>
      </c>
      <c r="H1703" s="2">
        <v>3</v>
      </c>
      <c r="I1703" s="2">
        <v>2</v>
      </c>
      <c r="J1703" s="2">
        <v>2</v>
      </c>
      <c r="K1703" s="2" t="s">
        <v>61</v>
      </c>
      <c r="L1703" s="6" t="s">
        <v>113</v>
      </c>
      <c r="M1703" s="5">
        <v>455000000</v>
      </c>
      <c r="N1703" s="2">
        <v>0</v>
      </c>
      <c r="O1703" s="2">
        <v>4.7178544999999996</v>
      </c>
      <c r="P1703" s="2">
        <v>-74.029747009999994</v>
      </c>
      <c r="Q1703" s="2" t="s">
        <v>211</v>
      </c>
      <c r="R1703" s="2">
        <v>5083798.8830000004</v>
      </c>
      <c r="S1703" s="2">
        <v>0</v>
      </c>
      <c r="T1703" s="2" t="s">
        <v>55</v>
      </c>
      <c r="U1703" s="2" t="s">
        <v>56</v>
      </c>
      <c r="V1703" s="2" t="s">
        <v>28</v>
      </c>
      <c r="W1703" s="2" t="s">
        <v>55</v>
      </c>
      <c r="X1703" s="2" t="s">
        <v>57</v>
      </c>
      <c r="Y1703" s="2">
        <v>0.83869416026502397</v>
      </c>
      <c r="Z1703" s="2">
        <v>4.71035</v>
      </c>
      <c r="AA1703" s="2">
        <v>-74.030416666666696</v>
      </c>
      <c r="AB1703" s="2">
        <v>2570</v>
      </c>
      <c r="AC1703" s="2" t="s">
        <v>31</v>
      </c>
      <c r="AD1703" s="2" t="s">
        <v>58</v>
      </c>
      <c r="AE1703" s="2" t="s">
        <v>33</v>
      </c>
      <c r="AF1703" s="2" t="s">
        <v>34</v>
      </c>
      <c r="AG1703" s="2" t="s">
        <v>59</v>
      </c>
      <c r="AH1703" s="2">
        <v>2.43484350642332</v>
      </c>
      <c r="AI1703" s="2">
        <v>0.71263369252854603</v>
      </c>
      <c r="AJ1703" s="2">
        <v>0.85489277087020699</v>
      </c>
      <c r="AK1703" s="2">
        <v>0.15914262422064401</v>
      </c>
      <c r="AL1703" s="2">
        <v>0.132634814564317</v>
      </c>
      <c r="AM1703" s="2">
        <v>15.5</v>
      </c>
      <c r="AN1703" s="2">
        <v>2.4</v>
      </c>
      <c r="AO1703" s="2">
        <v>10.9</v>
      </c>
      <c r="AP1703" s="2">
        <v>564</v>
      </c>
      <c r="AQ1703" s="2">
        <v>68</v>
      </c>
      <c r="AR1703" s="2">
        <v>1.5</v>
      </c>
      <c r="AS1703" s="2">
        <v>135</v>
      </c>
      <c r="AT1703" s="2">
        <v>0</v>
      </c>
      <c r="AU1703" s="2">
        <v>162</v>
      </c>
      <c r="AV1703" s="2">
        <v>9.1</v>
      </c>
      <c r="AW1703" s="2">
        <v>9.1999999999999993</v>
      </c>
      <c r="AX1703" s="2">
        <v>18.3</v>
      </c>
      <c r="AY1703" s="2">
        <v>0.34</v>
      </c>
      <c r="AZ1703" s="2">
        <v>7.3</v>
      </c>
      <c r="BA1703" s="2">
        <v>0.9</v>
      </c>
      <c r="BB1703" s="2">
        <v>7.5</v>
      </c>
      <c r="BC1703" s="2">
        <v>2.9</v>
      </c>
      <c r="BD1703" s="2">
        <f>+AN1703*EXP(-0.0495*Y1703)</f>
        <v>2.3024030374888254</v>
      </c>
      <c r="BE1703" s="2">
        <f>+AO1703*EXP(-0.024*Y1703)</f>
        <v>10.682791004372495</v>
      </c>
    </row>
    <row r="1704" spans="1:57" x14ac:dyDescent="0.2">
      <c r="A1704" s="2" t="s">
        <v>728</v>
      </c>
      <c r="B1704" s="2" t="s">
        <v>19</v>
      </c>
      <c r="C1704" s="2" t="s">
        <v>20</v>
      </c>
      <c r="D1704" s="2" t="s">
        <v>21</v>
      </c>
      <c r="E1704" s="2" t="s">
        <v>234</v>
      </c>
      <c r="F1704" s="2">
        <v>4</v>
      </c>
      <c r="G1704" s="2">
        <v>89</v>
      </c>
      <c r="H1704" s="2">
        <v>3</v>
      </c>
      <c r="I1704" s="2">
        <v>3</v>
      </c>
      <c r="J1704" s="2">
        <v>2</v>
      </c>
      <c r="K1704" s="2" t="s">
        <v>61</v>
      </c>
      <c r="L1704" s="6" t="s">
        <v>75</v>
      </c>
      <c r="M1704" s="5">
        <v>630000000</v>
      </c>
      <c r="N1704" s="2">
        <v>0</v>
      </c>
      <c r="O1704" s="2">
        <v>4.7302474999999999</v>
      </c>
      <c r="P1704" s="2">
        <v>-74.033709999999999</v>
      </c>
      <c r="Q1704" s="2" t="s">
        <v>729</v>
      </c>
      <c r="R1704" s="2">
        <v>7078651.6849999996</v>
      </c>
      <c r="S1704" s="2">
        <v>0</v>
      </c>
      <c r="T1704" s="2" t="s">
        <v>55</v>
      </c>
      <c r="U1704" s="2" t="s">
        <v>56</v>
      </c>
      <c r="V1704" s="2" t="s">
        <v>28</v>
      </c>
      <c r="W1704" s="2" t="s">
        <v>55</v>
      </c>
      <c r="X1704" s="2" t="s">
        <v>57</v>
      </c>
      <c r="Y1704" s="2">
        <v>2.2449117596306198</v>
      </c>
      <c r="Z1704" s="2">
        <v>4.71035</v>
      </c>
      <c r="AA1704" s="2">
        <v>-74.030416666666696</v>
      </c>
      <c r="AB1704" s="2">
        <v>2570</v>
      </c>
      <c r="AC1704" s="2" t="s">
        <v>31</v>
      </c>
      <c r="AD1704" s="2" t="s">
        <v>58</v>
      </c>
      <c r="AE1704" s="2" t="s">
        <v>33</v>
      </c>
      <c r="AF1704" s="2" t="s">
        <v>34</v>
      </c>
      <c r="AG1704" s="2" t="s">
        <v>59</v>
      </c>
      <c r="AH1704" s="2">
        <v>1.7859561065551901</v>
      </c>
      <c r="AI1704" s="2">
        <v>1.3262231808373199</v>
      </c>
      <c r="AJ1704" s="2">
        <v>0.75298353011663699</v>
      </c>
      <c r="AK1704" s="2">
        <v>0.327733752967169</v>
      </c>
      <c r="AL1704" s="2">
        <v>0.116670323085942</v>
      </c>
      <c r="AM1704" s="2">
        <v>15.5</v>
      </c>
      <c r="AN1704" s="2">
        <v>2.4</v>
      </c>
      <c r="AO1704" s="2">
        <v>10.9</v>
      </c>
      <c r="AP1704" s="2">
        <v>564</v>
      </c>
      <c r="AQ1704" s="2">
        <v>68</v>
      </c>
      <c r="AR1704" s="2">
        <v>1.5</v>
      </c>
      <c r="AS1704" s="2">
        <v>135</v>
      </c>
      <c r="AT1704" s="2">
        <v>0</v>
      </c>
      <c r="AU1704" s="2">
        <v>162</v>
      </c>
      <c r="AV1704" s="2">
        <v>9.1</v>
      </c>
      <c r="AW1704" s="2">
        <v>9.1999999999999993</v>
      </c>
      <c r="AX1704" s="2">
        <v>18.3</v>
      </c>
      <c r="AY1704" s="2">
        <v>0.34</v>
      </c>
      <c r="AZ1704" s="2">
        <v>7.3</v>
      </c>
      <c r="BA1704" s="2">
        <v>0.9</v>
      </c>
      <c r="BB1704" s="2">
        <v>7.5</v>
      </c>
      <c r="BC1704" s="2">
        <v>2.9</v>
      </c>
      <c r="BD1704" s="2">
        <f>+AN1704*EXP(-0.0495*Y1704)</f>
        <v>2.1475885440576081</v>
      </c>
      <c r="BE1704" s="2">
        <f>+AO1704*EXP(-0.024*Y1704)</f>
        <v>10.328271149290261</v>
      </c>
    </row>
    <row r="1705" spans="1:57" x14ac:dyDescent="0.2">
      <c r="A1705" s="2" t="s">
        <v>1767</v>
      </c>
      <c r="B1705" s="2" t="s">
        <v>19</v>
      </c>
      <c r="C1705" s="2" t="s">
        <v>20</v>
      </c>
      <c r="D1705" s="2" t="s">
        <v>21</v>
      </c>
      <c r="E1705" s="2" t="s">
        <v>144</v>
      </c>
      <c r="F1705" s="2">
        <v>5</v>
      </c>
      <c r="G1705" s="2">
        <v>89</v>
      </c>
      <c r="H1705" s="2">
        <v>2</v>
      </c>
      <c r="I1705" s="2">
        <v>3</v>
      </c>
      <c r="J1705" s="2">
        <v>2</v>
      </c>
      <c r="K1705" s="2" t="s">
        <v>61</v>
      </c>
      <c r="L1705" s="6" t="s">
        <v>62</v>
      </c>
      <c r="M1705" s="5">
        <v>870000000</v>
      </c>
      <c r="N1705" s="2">
        <v>0</v>
      </c>
      <c r="O1705" s="2">
        <v>4.7017321589999996</v>
      </c>
      <c r="P1705" s="2">
        <v>-74.031417849999997</v>
      </c>
      <c r="Q1705" s="2" t="s">
        <v>1768</v>
      </c>
      <c r="R1705" s="2">
        <v>9775280.8990000002</v>
      </c>
      <c r="S1705" s="2">
        <v>0</v>
      </c>
      <c r="T1705" s="2" t="s">
        <v>55</v>
      </c>
      <c r="U1705" s="2" t="s">
        <v>56</v>
      </c>
      <c r="V1705" s="2" t="s">
        <v>28</v>
      </c>
      <c r="W1705" s="2" t="s">
        <v>55</v>
      </c>
      <c r="X1705" s="2" t="s">
        <v>57</v>
      </c>
      <c r="Y1705" s="2">
        <v>0.96574264583204406</v>
      </c>
      <c r="Z1705" s="2">
        <v>4.71035</v>
      </c>
      <c r="AA1705" s="2">
        <v>-74.030416666666696</v>
      </c>
      <c r="AB1705" s="2">
        <v>2570</v>
      </c>
      <c r="AC1705" s="2" t="s">
        <v>31</v>
      </c>
      <c r="AD1705" s="2" t="s">
        <v>58</v>
      </c>
      <c r="AE1705" s="2" t="s">
        <v>33</v>
      </c>
      <c r="AF1705" s="2" t="s">
        <v>34</v>
      </c>
      <c r="AG1705" s="2" t="s">
        <v>59</v>
      </c>
      <c r="AH1705" s="2">
        <v>2.5491322364014</v>
      </c>
      <c r="AI1705" s="2">
        <v>0.65119484680859396</v>
      </c>
      <c r="AJ1705" s="2">
        <v>0.124099189631749</v>
      </c>
      <c r="AK1705" s="2">
        <v>8.2289613709770199E-2</v>
      </c>
      <c r="AL1705" s="2">
        <v>0.401798976017961</v>
      </c>
      <c r="AM1705" s="2">
        <v>15.5</v>
      </c>
      <c r="AN1705" s="2">
        <v>2.4</v>
      </c>
      <c r="AO1705" s="2">
        <v>10.9</v>
      </c>
      <c r="AP1705" s="2">
        <v>564</v>
      </c>
      <c r="AQ1705" s="2">
        <v>68</v>
      </c>
      <c r="AR1705" s="2">
        <v>1.5</v>
      </c>
      <c r="AS1705" s="2">
        <v>135</v>
      </c>
      <c r="AT1705" s="2">
        <v>0</v>
      </c>
      <c r="AU1705" s="2">
        <v>162</v>
      </c>
      <c r="AV1705" s="2">
        <v>9.1</v>
      </c>
      <c r="AW1705" s="2">
        <v>9.1999999999999993</v>
      </c>
      <c r="AX1705" s="2">
        <v>18.3</v>
      </c>
      <c r="AY1705" s="2">
        <v>0.34</v>
      </c>
      <c r="AZ1705" s="2">
        <v>7.3</v>
      </c>
      <c r="BA1705" s="2">
        <v>0.9</v>
      </c>
      <c r="BB1705" s="2">
        <v>7.5</v>
      </c>
      <c r="BC1705" s="2">
        <v>2.9</v>
      </c>
      <c r="BD1705" s="2">
        <f>+AN1705*EXP(-0.0495*Y1705)</f>
        <v>2.2879688899727153</v>
      </c>
      <c r="BE1705" s="2">
        <f>+AO1705*EXP(-0.024*Y1705)</f>
        <v>10.650267036971522</v>
      </c>
    </row>
    <row r="1706" spans="1:57" x14ac:dyDescent="0.2">
      <c r="A1706" s="2" t="s">
        <v>166</v>
      </c>
      <c r="B1706" s="2" t="s">
        <v>19</v>
      </c>
      <c r="C1706" s="2" t="s">
        <v>20</v>
      </c>
      <c r="D1706" s="2" t="s">
        <v>21</v>
      </c>
      <c r="E1706" s="2" t="s">
        <v>167</v>
      </c>
      <c r="F1706" s="2">
        <v>6</v>
      </c>
      <c r="G1706" s="2">
        <v>88.9</v>
      </c>
      <c r="H1706" s="2">
        <v>2</v>
      </c>
      <c r="I1706" s="2">
        <v>2</v>
      </c>
      <c r="J1706" s="2">
        <v>1</v>
      </c>
      <c r="K1706" s="2" t="s">
        <v>61</v>
      </c>
      <c r="L1706" s="6" t="s">
        <v>113</v>
      </c>
      <c r="M1706" s="5">
        <v>560000000</v>
      </c>
      <c r="N1706" s="2">
        <v>0</v>
      </c>
      <c r="O1706" s="2">
        <v>4.6956429479999997</v>
      </c>
      <c r="P1706" s="2">
        <v>-74.037605290000002</v>
      </c>
      <c r="Q1706" s="2" t="s">
        <v>168</v>
      </c>
      <c r="R1706" s="2">
        <v>6299212.5980000002</v>
      </c>
      <c r="S1706" s="2">
        <v>0</v>
      </c>
      <c r="T1706" s="2" t="s">
        <v>55</v>
      </c>
      <c r="U1706" s="2" t="s">
        <v>56</v>
      </c>
      <c r="V1706" s="2" t="s">
        <v>28</v>
      </c>
      <c r="W1706" s="2" t="s">
        <v>55</v>
      </c>
      <c r="X1706" s="2" t="s">
        <v>57</v>
      </c>
      <c r="Y1706" s="2">
        <v>1.8211075681322</v>
      </c>
      <c r="Z1706" s="2">
        <v>4.71035</v>
      </c>
      <c r="AA1706" s="2">
        <v>-74.030416666666696</v>
      </c>
      <c r="AB1706" s="2">
        <v>2570</v>
      </c>
      <c r="AC1706" s="2" t="s">
        <v>31</v>
      </c>
      <c r="AD1706" s="2" t="s">
        <v>58</v>
      </c>
      <c r="AE1706" s="2" t="s">
        <v>33</v>
      </c>
      <c r="AF1706" s="2" t="s">
        <v>34</v>
      </c>
      <c r="AG1706" s="2" t="s">
        <v>59</v>
      </c>
      <c r="AH1706" s="2">
        <v>1.98202877768904</v>
      </c>
      <c r="AI1706" s="2">
        <v>1.2946440845227301</v>
      </c>
      <c r="AJ1706" s="2">
        <v>0.84877524909145896</v>
      </c>
      <c r="AK1706" s="2">
        <v>3.2917575812414501E-2</v>
      </c>
      <c r="AL1706" s="2">
        <v>0.26586862287462099</v>
      </c>
      <c r="AM1706" s="2">
        <v>15.5</v>
      </c>
      <c r="AN1706" s="2">
        <v>2.4</v>
      </c>
      <c r="AO1706" s="2">
        <v>10.9</v>
      </c>
      <c r="AP1706" s="2">
        <v>564</v>
      </c>
      <c r="AQ1706" s="2">
        <v>68</v>
      </c>
      <c r="AR1706" s="2">
        <v>1.5</v>
      </c>
      <c r="AS1706" s="2">
        <v>135</v>
      </c>
      <c r="AT1706" s="2">
        <v>0</v>
      </c>
      <c r="AU1706" s="2">
        <v>162</v>
      </c>
      <c r="AV1706" s="2">
        <v>9.1</v>
      </c>
      <c r="AW1706" s="2">
        <v>9.1999999999999993</v>
      </c>
      <c r="AX1706" s="2">
        <v>18.3</v>
      </c>
      <c r="AY1706" s="2">
        <v>0.34</v>
      </c>
      <c r="AZ1706" s="2">
        <v>7.3</v>
      </c>
      <c r="BA1706" s="2">
        <v>0.9</v>
      </c>
      <c r="BB1706" s="2">
        <v>7.5</v>
      </c>
      <c r="BC1706" s="2">
        <v>2.9</v>
      </c>
      <c r="BD1706" s="2">
        <f>+AN1706*EXP(-0.0495*Y1706)</f>
        <v>2.1931172042791252</v>
      </c>
      <c r="BE1706" s="2">
        <f>+AO1706*EXP(-0.024*Y1706)</f>
        <v>10.433859173249495</v>
      </c>
    </row>
    <row r="1707" spans="1:57" x14ac:dyDescent="0.2">
      <c r="A1707" s="2" t="s">
        <v>1413</v>
      </c>
      <c r="B1707" s="2" t="s">
        <v>19</v>
      </c>
      <c r="C1707" s="2" t="s">
        <v>20</v>
      </c>
      <c r="D1707" s="2" t="s">
        <v>21</v>
      </c>
      <c r="E1707" s="2" t="s">
        <v>234</v>
      </c>
      <c r="F1707" s="2">
        <v>4</v>
      </c>
      <c r="G1707" s="2">
        <v>88</v>
      </c>
      <c r="H1707" s="2">
        <v>2</v>
      </c>
      <c r="I1707" s="2">
        <v>2</v>
      </c>
      <c r="J1707" s="2">
        <v>2</v>
      </c>
      <c r="K1707" s="2" t="s">
        <v>61</v>
      </c>
      <c r="L1707" s="6" t="s">
        <v>75</v>
      </c>
      <c r="M1707" s="5">
        <v>650000000</v>
      </c>
      <c r="N1707" s="2">
        <v>0</v>
      </c>
      <c r="O1707" s="2">
        <v>4.7273464199999999</v>
      </c>
      <c r="P1707" s="2">
        <v>-74.038963319999993</v>
      </c>
      <c r="Q1707" s="2" t="s">
        <v>1414</v>
      </c>
      <c r="R1707" s="2">
        <v>7386363.6359999999</v>
      </c>
      <c r="S1707" s="2">
        <v>0</v>
      </c>
      <c r="T1707" s="2" t="s">
        <v>55</v>
      </c>
      <c r="U1707" s="2" t="s">
        <v>56</v>
      </c>
      <c r="V1707" s="2" t="s">
        <v>28</v>
      </c>
      <c r="W1707" s="2" t="s">
        <v>55</v>
      </c>
      <c r="X1707" s="2" t="s">
        <v>57</v>
      </c>
      <c r="Y1707" s="2">
        <v>2.11632734312448</v>
      </c>
      <c r="Z1707" s="2">
        <v>4.71035</v>
      </c>
      <c r="AA1707" s="2">
        <v>-74.030416666666696</v>
      </c>
      <c r="AB1707" s="2">
        <v>2570</v>
      </c>
      <c r="AC1707" s="2" t="s">
        <v>31</v>
      </c>
      <c r="AD1707" s="2" t="s">
        <v>58</v>
      </c>
      <c r="AE1707" s="2" t="s">
        <v>33</v>
      </c>
      <c r="AF1707" s="2" t="s">
        <v>34</v>
      </c>
      <c r="AG1707" s="2" t="s">
        <v>59</v>
      </c>
      <c r="AH1707" s="2">
        <v>1.2649207007518399</v>
      </c>
      <c r="AI1707" s="2">
        <v>1.9028758017684699</v>
      </c>
      <c r="AJ1707" s="2">
        <v>0.62211506037911801</v>
      </c>
      <c r="AK1707" s="2">
        <v>0.47487930947010498</v>
      </c>
      <c r="AL1707" s="2">
        <v>0.19593186490197101</v>
      </c>
      <c r="AM1707" s="2">
        <v>15.5</v>
      </c>
      <c r="AN1707" s="2">
        <v>2.4</v>
      </c>
      <c r="AO1707" s="2">
        <v>10.9</v>
      </c>
      <c r="AP1707" s="2">
        <v>564</v>
      </c>
      <c r="AQ1707" s="2">
        <v>68</v>
      </c>
      <c r="AR1707" s="2">
        <v>1.5</v>
      </c>
      <c r="AS1707" s="2">
        <v>135</v>
      </c>
      <c r="AT1707" s="2">
        <v>0</v>
      </c>
      <c r="AU1707" s="2">
        <v>162</v>
      </c>
      <c r="AV1707" s="2">
        <v>9.1</v>
      </c>
      <c r="AW1707" s="2">
        <v>9.1999999999999993</v>
      </c>
      <c r="AX1707" s="2">
        <v>18.3</v>
      </c>
      <c r="AY1707" s="2">
        <v>0.34</v>
      </c>
      <c r="AZ1707" s="2">
        <v>7.3</v>
      </c>
      <c r="BA1707" s="2">
        <v>0.9</v>
      </c>
      <c r="BB1707" s="2">
        <v>7.5</v>
      </c>
      <c r="BC1707" s="2">
        <v>2.9</v>
      </c>
      <c r="BD1707" s="2">
        <f>+AN1707*EXP(-0.0495*Y1707)</f>
        <v>2.1613013861750598</v>
      </c>
      <c r="BE1707" s="2">
        <f>+AO1707*EXP(-0.024*Y1707)</f>
        <v>10.360193694119157</v>
      </c>
    </row>
    <row r="1708" spans="1:57" x14ac:dyDescent="0.2">
      <c r="A1708" s="2" t="s">
        <v>1348</v>
      </c>
      <c r="B1708" s="2" t="s">
        <v>19</v>
      </c>
      <c r="C1708" s="2" t="s">
        <v>20</v>
      </c>
      <c r="D1708" s="2" t="s">
        <v>21</v>
      </c>
      <c r="E1708" s="2" t="s">
        <v>141</v>
      </c>
      <c r="F1708" s="2">
        <v>6</v>
      </c>
      <c r="G1708" s="2">
        <v>87</v>
      </c>
      <c r="H1708" s="2">
        <v>2</v>
      </c>
      <c r="I1708" s="2">
        <v>3</v>
      </c>
      <c r="J1708" s="2">
        <v>1</v>
      </c>
      <c r="K1708" s="2" t="s">
        <v>23</v>
      </c>
      <c r="L1708" s="6" t="s">
        <v>24</v>
      </c>
      <c r="M1708" s="5">
        <v>927000000</v>
      </c>
      <c r="N1708" s="2">
        <v>0</v>
      </c>
      <c r="O1708" s="2">
        <v>4.6849183999999999</v>
      </c>
      <c r="P1708" s="2">
        <v>-74.045360000000002</v>
      </c>
      <c r="Q1708" s="2" t="s">
        <v>1349</v>
      </c>
      <c r="R1708" s="2">
        <v>10655172.41</v>
      </c>
      <c r="S1708" s="2">
        <v>0</v>
      </c>
      <c r="T1708" s="2" t="s">
        <v>55</v>
      </c>
      <c r="U1708" s="2" t="s">
        <v>56</v>
      </c>
      <c r="V1708" s="2" t="s">
        <v>28</v>
      </c>
      <c r="W1708" s="2" t="s">
        <v>55</v>
      </c>
      <c r="X1708" s="2" t="s">
        <v>57</v>
      </c>
      <c r="Y1708" s="2">
        <v>3.2807569802126602</v>
      </c>
      <c r="Z1708" s="2">
        <v>4.71035</v>
      </c>
      <c r="AA1708" s="2">
        <v>-74.030416666666696</v>
      </c>
      <c r="AB1708" s="2">
        <v>2570</v>
      </c>
      <c r="AC1708" s="2" t="s">
        <v>31</v>
      </c>
      <c r="AD1708" s="2" t="s">
        <v>58</v>
      </c>
      <c r="AE1708" s="2" t="s">
        <v>33</v>
      </c>
      <c r="AF1708" s="2" t="s">
        <v>34</v>
      </c>
      <c r="AG1708" s="2" t="s">
        <v>59</v>
      </c>
      <c r="AH1708" s="2">
        <v>1.37380277563854</v>
      </c>
      <c r="AI1708" s="2">
        <v>1.2243109840482</v>
      </c>
      <c r="AJ1708" s="2">
        <v>0.64771334240354606</v>
      </c>
      <c r="AK1708" s="2">
        <v>0.13319029730864199</v>
      </c>
      <c r="AL1708" s="2">
        <v>0.50879496026064197</v>
      </c>
      <c r="AM1708" s="2">
        <v>15.5</v>
      </c>
      <c r="AN1708" s="2">
        <v>2.4</v>
      </c>
      <c r="AO1708" s="2">
        <v>10.9</v>
      </c>
      <c r="AP1708" s="2">
        <v>564</v>
      </c>
      <c r="AQ1708" s="2">
        <v>68</v>
      </c>
      <c r="AR1708" s="2">
        <v>1.5</v>
      </c>
      <c r="AS1708" s="2">
        <v>135</v>
      </c>
      <c r="AT1708" s="2">
        <v>0</v>
      </c>
      <c r="AU1708" s="2">
        <v>162</v>
      </c>
      <c r="AV1708" s="2">
        <v>9.1</v>
      </c>
      <c r="AW1708" s="2">
        <v>9.1999999999999993</v>
      </c>
      <c r="AX1708" s="2">
        <v>18.3</v>
      </c>
      <c r="AY1708" s="2">
        <v>0.34</v>
      </c>
      <c r="AZ1708" s="2">
        <v>7.3</v>
      </c>
      <c r="BA1708" s="2">
        <v>0.9</v>
      </c>
      <c r="BB1708" s="2">
        <v>7.5</v>
      </c>
      <c r="BC1708" s="2">
        <v>2.9</v>
      </c>
      <c r="BD1708" s="2">
        <f>+AN1708*EXP(-0.0495*Y1708)</f>
        <v>2.0402477913615242</v>
      </c>
      <c r="BE1708" s="2">
        <f>+AO1708*EXP(-0.024*Y1708)</f>
        <v>10.074672707629528</v>
      </c>
    </row>
    <row r="1709" spans="1:57" x14ac:dyDescent="0.2">
      <c r="A1709" s="2" t="s">
        <v>602</v>
      </c>
      <c r="B1709" s="2" t="s">
        <v>19</v>
      </c>
      <c r="C1709" s="2" t="s">
        <v>20</v>
      </c>
      <c r="D1709" s="2" t="s">
        <v>21</v>
      </c>
      <c r="E1709" s="2" t="s">
        <v>161</v>
      </c>
      <c r="F1709" s="2">
        <v>6</v>
      </c>
      <c r="G1709" s="2">
        <v>87</v>
      </c>
      <c r="H1709" s="2">
        <v>2</v>
      </c>
      <c r="I1709" s="2">
        <v>2</v>
      </c>
      <c r="J1709" s="2">
        <v>2</v>
      </c>
      <c r="K1709" s="2" t="s">
        <v>61</v>
      </c>
      <c r="L1709" s="6" t="s">
        <v>113</v>
      </c>
      <c r="M1709" s="5">
        <v>590000000</v>
      </c>
      <c r="N1709" s="2">
        <v>0</v>
      </c>
      <c r="O1709" s="2">
        <v>4.6935469999999997</v>
      </c>
      <c r="P1709" s="2">
        <v>-74.044539999999998</v>
      </c>
      <c r="Q1709" s="2" t="s">
        <v>603</v>
      </c>
      <c r="R1709" s="2">
        <v>6781609.1950000003</v>
      </c>
      <c r="S1709" s="2">
        <v>0</v>
      </c>
      <c r="T1709" s="2" t="s">
        <v>55</v>
      </c>
      <c r="U1709" s="2" t="s">
        <v>56</v>
      </c>
      <c r="V1709" s="2" t="s">
        <v>28</v>
      </c>
      <c r="W1709" s="2" t="s">
        <v>55</v>
      </c>
      <c r="X1709" s="2" t="s">
        <v>57</v>
      </c>
      <c r="Y1709" s="2">
        <v>2.4400791268171602</v>
      </c>
      <c r="Z1709" s="2">
        <v>4.71035</v>
      </c>
      <c r="AA1709" s="2">
        <v>-74.030416666666696</v>
      </c>
      <c r="AB1709" s="2">
        <v>2570</v>
      </c>
      <c r="AC1709" s="2" t="s">
        <v>31</v>
      </c>
      <c r="AD1709" s="2" t="s">
        <v>58</v>
      </c>
      <c r="AE1709" s="2" t="s">
        <v>33</v>
      </c>
      <c r="AF1709" s="2" t="s">
        <v>34</v>
      </c>
      <c r="AG1709" s="2" t="s">
        <v>59</v>
      </c>
      <c r="AH1709" s="2">
        <v>1.29240259663572</v>
      </c>
      <c r="AI1709" s="2">
        <v>1.8838280519092501</v>
      </c>
      <c r="AJ1709" s="2">
        <v>0.58949864151287001</v>
      </c>
      <c r="AK1709" s="2">
        <v>0.17497685415591299</v>
      </c>
      <c r="AL1709" s="2">
        <v>0.10712375108261001</v>
      </c>
      <c r="AM1709" s="2">
        <v>15.5</v>
      </c>
      <c r="AN1709" s="2">
        <v>2.4</v>
      </c>
      <c r="AO1709" s="2">
        <v>10.9</v>
      </c>
      <c r="AP1709" s="2">
        <v>564</v>
      </c>
      <c r="AQ1709" s="2">
        <v>68</v>
      </c>
      <c r="AR1709" s="2">
        <v>1.5</v>
      </c>
      <c r="AS1709" s="2">
        <v>135</v>
      </c>
      <c r="AT1709" s="2">
        <v>0</v>
      </c>
      <c r="AU1709" s="2">
        <v>162</v>
      </c>
      <c r="AV1709" s="2">
        <v>9.1</v>
      </c>
      <c r="AW1709" s="2">
        <v>9.1999999999999993</v>
      </c>
      <c r="AX1709" s="2">
        <v>18.3</v>
      </c>
      <c r="AY1709" s="2">
        <v>0.34</v>
      </c>
      <c r="AZ1709" s="2">
        <v>7.3</v>
      </c>
      <c r="BA1709" s="2">
        <v>0.9</v>
      </c>
      <c r="BB1709" s="2">
        <v>7.5</v>
      </c>
      <c r="BC1709" s="2">
        <v>2.9</v>
      </c>
      <c r="BD1709" s="2">
        <f>+AN1709*EXP(-0.0495*Y1709)</f>
        <v>2.1269410496471384</v>
      </c>
      <c r="BE1709" s="2">
        <f>+AO1709*EXP(-0.024*Y1709)</f>
        <v>10.280006478092764</v>
      </c>
    </row>
    <row r="1710" spans="1:57" x14ac:dyDescent="0.2">
      <c r="A1710" s="2" t="s">
        <v>271</v>
      </c>
      <c r="B1710" s="2" t="s">
        <v>19</v>
      </c>
      <c r="C1710" s="2" t="s">
        <v>20</v>
      </c>
      <c r="D1710" s="2" t="s">
        <v>21</v>
      </c>
      <c r="E1710" s="2" t="s">
        <v>161</v>
      </c>
      <c r="F1710" s="2">
        <v>6</v>
      </c>
      <c r="G1710" s="2">
        <v>86</v>
      </c>
      <c r="H1710" s="2">
        <v>2</v>
      </c>
      <c r="I1710" s="2">
        <v>3</v>
      </c>
      <c r="J1710" s="2">
        <v>2</v>
      </c>
      <c r="K1710" s="2" t="s">
        <v>61</v>
      </c>
      <c r="L1710" s="6" t="s">
        <v>66</v>
      </c>
      <c r="M1710" s="5">
        <v>837600000</v>
      </c>
      <c r="N1710" s="2">
        <v>0</v>
      </c>
      <c r="O1710" s="2">
        <v>4.6926699999999997</v>
      </c>
      <c r="P1710" s="2">
        <v>-74.047219999999996</v>
      </c>
      <c r="Q1710" s="2" t="s">
        <v>272</v>
      </c>
      <c r="R1710" s="2">
        <v>9739534.8839999996</v>
      </c>
      <c r="S1710" s="2">
        <v>0</v>
      </c>
      <c r="T1710" s="2" t="s">
        <v>55</v>
      </c>
      <c r="U1710" s="2" t="s">
        <v>56</v>
      </c>
      <c r="V1710" s="2" t="s">
        <v>28</v>
      </c>
      <c r="W1710" s="2" t="s">
        <v>55</v>
      </c>
      <c r="X1710" s="2" t="s">
        <v>57</v>
      </c>
      <c r="Y1710" s="2">
        <v>2.7108924682444302</v>
      </c>
      <c r="Z1710" s="2">
        <v>4.71035</v>
      </c>
      <c r="AA1710" s="2">
        <v>-74.030416666666696</v>
      </c>
      <c r="AB1710" s="2">
        <v>2570</v>
      </c>
      <c r="AC1710" s="2" t="s">
        <v>31</v>
      </c>
      <c r="AD1710" s="2" t="s">
        <v>58</v>
      </c>
      <c r="AE1710" s="2" t="s">
        <v>33</v>
      </c>
      <c r="AF1710" s="2" t="s">
        <v>34</v>
      </c>
      <c r="AG1710" s="2" t="s">
        <v>59</v>
      </c>
      <c r="AH1710" s="2">
        <v>0.99434332851604501</v>
      </c>
      <c r="AI1710" s="2">
        <v>1.9720560251522301</v>
      </c>
      <c r="AJ1710" s="2">
        <v>0.29970299232604197</v>
      </c>
      <c r="AK1710" s="2">
        <v>9.1590902442201402E-2</v>
      </c>
      <c r="AL1710" s="2">
        <v>0.101624842250298</v>
      </c>
      <c r="AM1710" s="2">
        <v>15.5</v>
      </c>
      <c r="AN1710" s="2">
        <v>2.4</v>
      </c>
      <c r="AO1710" s="2">
        <v>10.9</v>
      </c>
      <c r="AP1710" s="2">
        <v>564</v>
      </c>
      <c r="AQ1710" s="2">
        <v>68</v>
      </c>
      <c r="AR1710" s="2">
        <v>1.5</v>
      </c>
      <c r="AS1710" s="2">
        <v>135</v>
      </c>
      <c r="AT1710" s="2">
        <v>0</v>
      </c>
      <c r="AU1710" s="2">
        <v>162</v>
      </c>
      <c r="AV1710" s="2">
        <v>9.1</v>
      </c>
      <c r="AW1710" s="2">
        <v>9.1999999999999993</v>
      </c>
      <c r="AX1710" s="2">
        <v>18.3</v>
      </c>
      <c r="AY1710" s="2">
        <v>0.34</v>
      </c>
      <c r="AZ1710" s="2">
        <v>7.3</v>
      </c>
      <c r="BA1710" s="2">
        <v>0.9</v>
      </c>
      <c r="BB1710" s="2">
        <v>7.5</v>
      </c>
      <c r="BC1710" s="2">
        <v>2.9</v>
      </c>
      <c r="BD1710" s="2">
        <f>+AN1710*EXP(-0.0495*Y1710)</f>
        <v>2.0986191066524365</v>
      </c>
      <c r="BE1710" s="2">
        <f>+AO1710*EXP(-0.024*Y1710)</f>
        <v>10.213408031811836</v>
      </c>
    </row>
    <row r="1711" spans="1:57" x14ac:dyDescent="0.2">
      <c r="A1711" s="2" t="s">
        <v>3915</v>
      </c>
      <c r="B1711" s="2" t="s">
        <v>19</v>
      </c>
      <c r="C1711" s="2" t="s">
        <v>3245</v>
      </c>
      <c r="D1711" s="2" t="s">
        <v>21</v>
      </c>
      <c r="E1711" s="2" t="s">
        <v>164</v>
      </c>
      <c r="F1711" s="2">
        <v>6</v>
      </c>
      <c r="G1711" s="2">
        <v>85</v>
      </c>
      <c r="H1711" s="2">
        <v>1</v>
      </c>
      <c r="I1711" s="2">
        <v>2</v>
      </c>
      <c r="J1711" s="2">
        <v>1</v>
      </c>
      <c r="K1711" s="2" t="s">
        <v>61</v>
      </c>
      <c r="L1711" s="6" t="s">
        <v>84</v>
      </c>
      <c r="M1711" s="5">
        <v>550000000</v>
      </c>
      <c r="N1711" s="2">
        <v>0</v>
      </c>
      <c r="O1711" s="2">
        <v>4.69956</v>
      </c>
      <c r="P1711" s="2">
        <v>-74.037490000000005</v>
      </c>
      <c r="Q1711" s="2" t="s">
        <v>3916</v>
      </c>
      <c r="R1711" s="2">
        <v>6470588.2350000003</v>
      </c>
      <c r="S1711" s="2">
        <v>0</v>
      </c>
      <c r="T1711" s="2" t="s">
        <v>55</v>
      </c>
      <c r="U1711" s="2" t="s">
        <v>56</v>
      </c>
      <c r="V1711" s="2" t="s">
        <v>28</v>
      </c>
      <c r="W1711" s="2" t="s">
        <v>55</v>
      </c>
      <c r="X1711" s="2" t="s">
        <v>57</v>
      </c>
      <c r="Y1711" s="2">
        <v>1.4347675736646499</v>
      </c>
      <c r="Z1711" s="2">
        <v>4.71035</v>
      </c>
      <c r="AA1711" s="2">
        <v>-74.030416666666696</v>
      </c>
      <c r="AB1711" s="2">
        <v>2570</v>
      </c>
      <c r="AC1711" s="2" t="s">
        <v>31</v>
      </c>
      <c r="AD1711" s="2" t="s">
        <v>58</v>
      </c>
      <c r="AE1711" s="2" t="s">
        <v>33</v>
      </c>
      <c r="AF1711" s="2" t="s">
        <v>34</v>
      </c>
      <c r="AG1711" s="2" t="s">
        <v>59</v>
      </c>
      <c r="AH1711" s="2">
        <v>1.9386007931873701</v>
      </c>
      <c r="AI1711" s="2">
        <v>1.28950681704543</v>
      </c>
      <c r="AJ1711" s="2">
        <v>0.59070699828860396</v>
      </c>
      <c r="AK1711" s="2">
        <v>0.14832403792936399</v>
      </c>
      <c r="AL1711" s="2">
        <v>0.116356760124915</v>
      </c>
      <c r="AM1711" s="2">
        <v>15.5</v>
      </c>
      <c r="AN1711" s="2">
        <v>2.4</v>
      </c>
      <c r="AO1711" s="2">
        <v>10.9</v>
      </c>
      <c r="AP1711" s="2">
        <v>564</v>
      </c>
      <c r="AQ1711" s="2">
        <v>68</v>
      </c>
      <c r="AR1711" s="2">
        <v>1.5</v>
      </c>
      <c r="AS1711" s="2">
        <v>135</v>
      </c>
      <c r="AT1711" s="2">
        <v>0</v>
      </c>
      <c r="AU1711" s="2">
        <v>162</v>
      </c>
      <c r="AV1711" s="2">
        <v>9.1</v>
      </c>
      <c r="AW1711" s="2">
        <v>9.1999999999999993</v>
      </c>
      <c r="AX1711" s="2">
        <v>18.3</v>
      </c>
      <c r="AY1711" s="2">
        <v>0.34</v>
      </c>
      <c r="AZ1711" s="2">
        <v>7.3</v>
      </c>
      <c r="BA1711" s="2">
        <v>0.9</v>
      </c>
      <c r="BB1711" s="2">
        <v>7.5</v>
      </c>
      <c r="BC1711" s="2">
        <v>2.9</v>
      </c>
      <c r="BD1711" s="2">
        <f>+AN1711*EXP(-0.0495*Y1711)</f>
        <v>2.2354616073286855</v>
      </c>
      <c r="BE1711" s="2">
        <f>+AO1711*EXP(-0.024*Y1711)</f>
        <v>10.531053487808169</v>
      </c>
    </row>
    <row r="1712" spans="1:57" x14ac:dyDescent="0.2">
      <c r="A1712" s="2" t="s">
        <v>1608</v>
      </c>
      <c r="B1712" s="2" t="s">
        <v>19</v>
      </c>
      <c r="C1712" s="2" t="s">
        <v>20</v>
      </c>
      <c r="D1712" s="2" t="s">
        <v>21</v>
      </c>
      <c r="E1712" s="2" t="s">
        <v>1609</v>
      </c>
      <c r="F1712" s="2">
        <v>6</v>
      </c>
      <c r="G1712" s="2">
        <v>84</v>
      </c>
      <c r="H1712" s="2">
        <v>2</v>
      </c>
      <c r="I1712" s="2">
        <v>2</v>
      </c>
      <c r="J1712" s="2">
        <v>1</v>
      </c>
      <c r="K1712" s="2" t="s">
        <v>61</v>
      </c>
      <c r="L1712" s="6" t="s">
        <v>75</v>
      </c>
      <c r="M1712" s="5">
        <v>752000000</v>
      </c>
      <c r="N1712" s="2">
        <v>0</v>
      </c>
      <c r="O1712" s="2">
        <v>4.6820199999999996</v>
      </c>
      <c r="P1712" s="2">
        <v>-74.054860000000005</v>
      </c>
      <c r="Q1712" s="2" t="s">
        <v>1610</v>
      </c>
      <c r="R1712" s="2">
        <v>8952380.9519999996</v>
      </c>
      <c r="S1712" s="2">
        <v>0</v>
      </c>
      <c r="T1712" s="2" t="s">
        <v>55</v>
      </c>
      <c r="U1712" s="2" t="s">
        <v>56</v>
      </c>
      <c r="V1712" s="2" t="s">
        <v>28</v>
      </c>
      <c r="W1712" s="2" t="s">
        <v>55</v>
      </c>
      <c r="X1712" s="2" t="s">
        <v>57</v>
      </c>
      <c r="Y1712" s="2">
        <v>4.1593295690382801</v>
      </c>
      <c r="Z1712" s="2">
        <v>4.71035</v>
      </c>
      <c r="AA1712" s="2">
        <v>-74.030416666666696</v>
      </c>
      <c r="AB1712" s="2">
        <v>2570</v>
      </c>
      <c r="AC1712" s="2" t="s">
        <v>31</v>
      </c>
      <c r="AD1712" s="2" t="s">
        <v>58</v>
      </c>
      <c r="AE1712" s="2" t="s">
        <v>33</v>
      </c>
      <c r="AF1712" s="2" t="s">
        <v>34</v>
      </c>
      <c r="AG1712" s="2" t="s">
        <v>81</v>
      </c>
      <c r="AH1712" s="2">
        <v>0.38142919751562199</v>
      </c>
      <c r="AI1712" s="2">
        <v>1.91966394936149</v>
      </c>
      <c r="AJ1712" s="2">
        <v>0.47171644105293897</v>
      </c>
      <c r="AK1712" s="2">
        <v>9.8080810734689203E-2</v>
      </c>
      <c r="AL1712" s="2">
        <v>0.41143055006240298</v>
      </c>
      <c r="AM1712" s="2">
        <v>15.5</v>
      </c>
      <c r="AN1712" s="2">
        <v>2.4</v>
      </c>
      <c r="AO1712" s="2">
        <v>10.9</v>
      </c>
      <c r="AP1712" s="2">
        <v>564</v>
      </c>
      <c r="AQ1712" s="2">
        <v>68</v>
      </c>
      <c r="AR1712" s="2">
        <v>1.5</v>
      </c>
      <c r="AS1712" s="2">
        <v>135</v>
      </c>
      <c r="AT1712" s="2">
        <v>0</v>
      </c>
      <c r="AU1712" s="2">
        <v>162</v>
      </c>
      <c r="AV1712" s="2">
        <v>9.1</v>
      </c>
      <c r="AW1712" s="2">
        <v>9.1999999999999993</v>
      </c>
      <c r="AX1712" s="2">
        <v>18.3</v>
      </c>
      <c r="AY1712" s="2">
        <v>0.34</v>
      </c>
      <c r="AZ1712" s="2">
        <v>7.3</v>
      </c>
      <c r="BA1712" s="2">
        <v>0.9</v>
      </c>
      <c r="BB1712" s="2">
        <v>7.5</v>
      </c>
      <c r="BC1712" s="2">
        <v>2.9</v>
      </c>
      <c r="BD1712" s="2">
        <f>+AN1712*EXP(-0.0495*Y1712)</f>
        <v>1.95342047106586</v>
      </c>
      <c r="BE1712" s="2">
        <f>+AO1712*EXP(-0.024*Y1712)</f>
        <v>9.8644647406437098</v>
      </c>
    </row>
    <row r="1713" spans="1:57" x14ac:dyDescent="0.2">
      <c r="A1713" s="2" t="s">
        <v>1823</v>
      </c>
      <c r="B1713" s="2" t="s">
        <v>19</v>
      </c>
      <c r="C1713" s="2" t="s">
        <v>20</v>
      </c>
      <c r="D1713" s="2" t="s">
        <v>21</v>
      </c>
      <c r="E1713" s="2" t="s">
        <v>234</v>
      </c>
      <c r="F1713" s="2">
        <v>4</v>
      </c>
      <c r="G1713" s="2">
        <v>84</v>
      </c>
      <c r="H1713" s="2">
        <v>2</v>
      </c>
      <c r="I1713" s="2">
        <v>3</v>
      </c>
      <c r="J1713" s="2">
        <v>0</v>
      </c>
      <c r="K1713" s="2" t="s">
        <v>61</v>
      </c>
      <c r="L1713" s="6" t="s">
        <v>113</v>
      </c>
      <c r="M1713" s="5">
        <v>395000000</v>
      </c>
      <c r="N1713" s="2">
        <v>0</v>
      </c>
      <c r="O1713" s="2">
        <v>4.729478877</v>
      </c>
      <c r="P1713" s="2">
        <v>-74.036237049999997</v>
      </c>
      <c r="Q1713" s="2" t="s">
        <v>1824</v>
      </c>
      <c r="R1713" s="2">
        <v>4702380.9519999996</v>
      </c>
      <c r="S1713" s="2">
        <v>0</v>
      </c>
      <c r="T1713" s="2" t="s">
        <v>55</v>
      </c>
      <c r="U1713" s="2" t="s">
        <v>56</v>
      </c>
      <c r="V1713" s="2" t="s">
        <v>28</v>
      </c>
      <c r="W1713" s="2" t="s">
        <v>55</v>
      </c>
      <c r="X1713" s="2" t="s">
        <v>57</v>
      </c>
      <c r="Y1713" s="2">
        <v>2.2251689281535199</v>
      </c>
      <c r="Z1713" s="2">
        <v>4.71035</v>
      </c>
      <c r="AA1713" s="2">
        <v>-74.030416666666696</v>
      </c>
      <c r="AB1713" s="2">
        <v>2570</v>
      </c>
      <c r="AC1713" s="2" t="s">
        <v>31</v>
      </c>
      <c r="AD1713" s="2" t="s">
        <v>58</v>
      </c>
      <c r="AE1713" s="2" t="s">
        <v>33</v>
      </c>
      <c r="AF1713" s="2" t="s">
        <v>34</v>
      </c>
      <c r="AG1713" s="2" t="s">
        <v>59</v>
      </c>
      <c r="AH1713" s="2">
        <v>1.51307285134285</v>
      </c>
      <c r="AI1713" s="2">
        <v>1.6180152980431399</v>
      </c>
      <c r="AJ1713" s="2">
        <v>0.55957807723693498</v>
      </c>
      <c r="AK1713" s="2">
        <v>0.28317972052481499</v>
      </c>
      <c r="AL1713" s="2">
        <v>6.4073812474183894E-2</v>
      </c>
      <c r="AM1713" s="2">
        <v>15.5</v>
      </c>
      <c r="AN1713" s="2">
        <v>2.4</v>
      </c>
      <c r="AO1713" s="2">
        <v>10.9</v>
      </c>
      <c r="AP1713" s="2">
        <v>564</v>
      </c>
      <c r="AQ1713" s="2">
        <v>68</v>
      </c>
      <c r="AR1713" s="2">
        <v>1.5</v>
      </c>
      <c r="AS1713" s="2">
        <v>135</v>
      </c>
      <c r="AT1713" s="2">
        <v>0</v>
      </c>
      <c r="AU1713" s="2">
        <v>162</v>
      </c>
      <c r="AV1713" s="2">
        <v>9.1</v>
      </c>
      <c r="AW1713" s="2">
        <v>9.1999999999999993</v>
      </c>
      <c r="AX1713" s="2">
        <v>18.3</v>
      </c>
      <c r="AY1713" s="2">
        <v>0.34</v>
      </c>
      <c r="AZ1713" s="2">
        <v>7.3</v>
      </c>
      <c r="BA1713" s="2">
        <v>0.9</v>
      </c>
      <c r="BB1713" s="2">
        <v>7.5</v>
      </c>
      <c r="BC1713" s="2">
        <v>2.9</v>
      </c>
      <c r="BD1713" s="2">
        <f>+AN1713*EXP(-0.0495*Y1713)</f>
        <v>2.1496883441224801</v>
      </c>
      <c r="BE1713" s="2">
        <f>+AO1713*EXP(-0.024*Y1713)</f>
        <v>10.333166132490625</v>
      </c>
    </row>
    <row r="1714" spans="1:57" x14ac:dyDescent="0.2">
      <c r="A1714" s="2" t="s">
        <v>158</v>
      </c>
      <c r="B1714" s="2" t="s">
        <v>19</v>
      </c>
      <c r="C1714" s="2" t="s">
        <v>20</v>
      </c>
      <c r="D1714" s="2" t="s">
        <v>21</v>
      </c>
      <c r="E1714" s="2" t="s">
        <v>24</v>
      </c>
      <c r="F1714" s="2">
        <v>5</v>
      </c>
      <c r="G1714" s="2">
        <v>83.9</v>
      </c>
      <c r="H1714" s="2">
        <v>2</v>
      </c>
      <c r="I1714" s="2">
        <v>2</v>
      </c>
      <c r="J1714" s="2">
        <v>2</v>
      </c>
      <c r="K1714" s="2" t="s">
        <v>61</v>
      </c>
      <c r="L1714" s="6" t="s">
        <v>75</v>
      </c>
      <c r="M1714" s="5">
        <v>850000000</v>
      </c>
      <c r="N1714" s="2">
        <v>0</v>
      </c>
      <c r="O1714" s="2">
        <v>4.7104086880000002</v>
      </c>
      <c r="P1714" s="2">
        <v>-74.049835209999998</v>
      </c>
      <c r="Q1714" s="2" t="s">
        <v>159</v>
      </c>
      <c r="R1714" s="2">
        <v>10131108.460000001</v>
      </c>
      <c r="S1714" s="2">
        <v>0</v>
      </c>
      <c r="T1714" s="2" t="s">
        <v>55</v>
      </c>
      <c r="U1714" s="2" t="s">
        <v>56</v>
      </c>
      <c r="V1714" s="2" t="s">
        <v>28</v>
      </c>
      <c r="W1714" s="2" t="s">
        <v>55</v>
      </c>
      <c r="X1714" s="2" t="s">
        <v>57</v>
      </c>
      <c r="Y1714" s="2">
        <v>2.1543713053432101</v>
      </c>
      <c r="Z1714" s="2">
        <v>4.71035</v>
      </c>
      <c r="AA1714" s="2">
        <v>-74.030416666666696</v>
      </c>
      <c r="AB1714" s="2">
        <v>2570</v>
      </c>
      <c r="AC1714" s="2" t="s">
        <v>31</v>
      </c>
      <c r="AD1714" s="2" t="s">
        <v>58</v>
      </c>
      <c r="AE1714" s="2" t="s">
        <v>33</v>
      </c>
      <c r="AF1714" s="2" t="s">
        <v>34</v>
      </c>
      <c r="AG1714" s="2" t="s">
        <v>59</v>
      </c>
      <c r="AH1714" s="2">
        <v>0.54906053604962701</v>
      </c>
      <c r="AI1714" s="2">
        <v>2.74860068256534</v>
      </c>
      <c r="AJ1714" s="2">
        <v>1.8914453331297101</v>
      </c>
      <c r="AK1714" s="2">
        <v>0.20344870071073301</v>
      </c>
      <c r="AL1714" s="2">
        <v>0.196661375402607</v>
      </c>
      <c r="AM1714" s="2">
        <v>15.5</v>
      </c>
      <c r="AN1714" s="2">
        <v>2.4</v>
      </c>
      <c r="AO1714" s="2">
        <v>10.9</v>
      </c>
      <c r="AP1714" s="2">
        <v>564</v>
      </c>
      <c r="AQ1714" s="2">
        <v>68</v>
      </c>
      <c r="AR1714" s="2">
        <v>1.5</v>
      </c>
      <c r="AS1714" s="2">
        <v>135</v>
      </c>
      <c r="AT1714" s="2">
        <v>0</v>
      </c>
      <c r="AU1714" s="2">
        <v>162</v>
      </c>
      <c r="AV1714" s="2">
        <v>9.1</v>
      </c>
      <c r="AW1714" s="2">
        <v>9.1999999999999993</v>
      </c>
      <c r="AX1714" s="2">
        <v>18.3</v>
      </c>
      <c r="AY1714" s="2">
        <v>0.34</v>
      </c>
      <c r="AZ1714" s="2">
        <v>7.3</v>
      </c>
      <c r="BA1714" s="2">
        <v>0.9</v>
      </c>
      <c r="BB1714" s="2">
        <v>7.5</v>
      </c>
      <c r="BC1714" s="2">
        <v>2.9</v>
      </c>
      <c r="BD1714" s="2">
        <f>+AN1714*EXP(-0.0495*Y1714)</f>
        <v>2.1572351049588199</v>
      </c>
      <c r="BE1714" s="2">
        <f>+AO1714*EXP(-0.024*Y1714)</f>
        <v>10.350738583674934</v>
      </c>
    </row>
    <row r="1715" spans="1:57" x14ac:dyDescent="0.2">
      <c r="A1715" s="2" t="s">
        <v>722</v>
      </c>
      <c r="B1715" s="2" t="s">
        <v>19</v>
      </c>
      <c r="C1715" s="2" t="s">
        <v>20</v>
      </c>
      <c r="D1715" s="2" t="s">
        <v>21</v>
      </c>
      <c r="E1715" s="2" t="s">
        <v>723</v>
      </c>
      <c r="F1715" s="2">
        <v>4</v>
      </c>
      <c r="G1715" s="2">
        <v>83</v>
      </c>
      <c r="H1715" s="2">
        <v>2</v>
      </c>
      <c r="I1715" s="2">
        <v>2</v>
      </c>
      <c r="J1715" s="2">
        <v>1</v>
      </c>
      <c r="K1715" s="2" t="s">
        <v>61</v>
      </c>
      <c r="L1715" s="6" t="s">
        <v>113</v>
      </c>
      <c r="M1715" s="5">
        <v>430000000</v>
      </c>
      <c r="N1715" s="2">
        <v>0</v>
      </c>
      <c r="O1715" s="2">
        <v>4.7206463809999999</v>
      </c>
      <c r="P1715" s="2">
        <v>-74.034042360000001</v>
      </c>
      <c r="Q1715" s="2" t="s">
        <v>724</v>
      </c>
      <c r="R1715" s="2">
        <v>5180722.892</v>
      </c>
      <c r="S1715" s="2">
        <v>0</v>
      </c>
      <c r="T1715" s="2" t="s">
        <v>55</v>
      </c>
      <c r="U1715" s="2" t="s">
        <v>56</v>
      </c>
      <c r="V1715" s="2" t="s">
        <v>28</v>
      </c>
      <c r="W1715" s="2" t="s">
        <v>55</v>
      </c>
      <c r="X1715" s="2" t="s">
        <v>57</v>
      </c>
      <c r="Y1715" s="2">
        <v>1.21472098314703</v>
      </c>
      <c r="Z1715" s="2">
        <v>4.71035</v>
      </c>
      <c r="AA1715" s="2">
        <v>-74.030416666666696</v>
      </c>
      <c r="AB1715" s="2">
        <v>2570</v>
      </c>
      <c r="AC1715" s="2" t="s">
        <v>31</v>
      </c>
      <c r="AD1715" s="2" t="s">
        <v>58</v>
      </c>
      <c r="AE1715" s="2" t="s">
        <v>33</v>
      </c>
      <c r="AF1715" s="2" t="s">
        <v>34</v>
      </c>
      <c r="AG1715" s="2" t="s">
        <v>59</v>
      </c>
      <c r="AH1715" s="2">
        <v>1.9318979393339399</v>
      </c>
      <c r="AI1715" s="2">
        <v>1.16734783633649</v>
      </c>
      <c r="AJ1715" s="2">
        <v>1.10351702467297</v>
      </c>
      <c r="AK1715" s="2">
        <v>0.19590994815735699</v>
      </c>
      <c r="AL1715" s="2">
        <v>9.8374094684001503E-3</v>
      </c>
      <c r="AM1715" s="2">
        <v>15.5</v>
      </c>
      <c r="AN1715" s="2">
        <v>2.4</v>
      </c>
      <c r="AO1715" s="2">
        <v>10.9</v>
      </c>
      <c r="AP1715" s="2">
        <v>564</v>
      </c>
      <c r="AQ1715" s="2">
        <v>68</v>
      </c>
      <c r="AR1715" s="2">
        <v>1.5</v>
      </c>
      <c r="AS1715" s="2">
        <v>135</v>
      </c>
      <c r="AT1715" s="2">
        <v>0</v>
      </c>
      <c r="AU1715" s="2">
        <v>162</v>
      </c>
      <c r="AV1715" s="2">
        <v>9.1</v>
      </c>
      <c r="AW1715" s="2">
        <v>9.1999999999999993</v>
      </c>
      <c r="AX1715" s="2">
        <v>18.3</v>
      </c>
      <c r="AY1715" s="2">
        <v>0.34</v>
      </c>
      <c r="AZ1715" s="2">
        <v>7.3</v>
      </c>
      <c r="BA1715" s="2">
        <v>0.9</v>
      </c>
      <c r="BB1715" s="2">
        <v>7.5</v>
      </c>
      <c r="BC1715" s="2">
        <v>2.9</v>
      </c>
      <c r="BD1715" s="2">
        <f>+AN1715*EXP(-0.0495*Y1715)</f>
        <v>2.2599440327058824</v>
      </c>
      <c r="BE1715" s="2">
        <f>+AO1715*EXP(-0.024*Y1715)</f>
        <v>10.586816341263679</v>
      </c>
    </row>
    <row r="1716" spans="1:57" x14ac:dyDescent="0.2">
      <c r="A1716" s="2" t="s">
        <v>1027</v>
      </c>
      <c r="B1716" s="2" t="s">
        <v>19</v>
      </c>
      <c r="C1716" s="2" t="s">
        <v>20</v>
      </c>
      <c r="D1716" s="2" t="s">
        <v>21</v>
      </c>
      <c r="E1716" s="2" t="s">
        <v>138</v>
      </c>
      <c r="F1716" s="2">
        <v>6</v>
      </c>
      <c r="G1716" s="2">
        <v>82.53</v>
      </c>
      <c r="H1716" s="2">
        <v>2</v>
      </c>
      <c r="I1716" s="2">
        <v>2</v>
      </c>
      <c r="J1716" s="2">
        <v>2</v>
      </c>
      <c r="K1716" s="2" t="s">
        <v>61</v>
      </c>
      <c r="L1716" s="6" t="s">
        <v>66</v>
      </c>
      <c r="M1716" s="5">
        <v>920000000</v>
      </c>
      <c r="N1716" s="2">
        <v>0</v>
      </c>
      <c r="O1716" s="2">
        <v>4.6721930499999997</v>
      </c>
      <c r="P1716" s="2">
        <v>-74.043189999999996</v>
      </c>
      <c r="Q1716" s="2" t="s">
        <v>1028</v>
      </c>
      <c r="R1716" s="2">
        <v>11147461.529999999</v>
      </c>
      <c r="S1716" s="2">
        <v>0</v>
      </c>
      <c r="T1716" s="2" t="s">
        <v>55</v>
      </c>
      <c r="U1716" s="2" t="s">
        <v>56</v>
      </c>
      <c r="V1716" s="2" t="s">
        <v>28</v>
      </c>
      <c r="W1716" s="2" t="s">
        <v>55</v>
      </c>
      <c r="X1716" s="2" t="s">
        <v>57</v>
      </c>
      <c r="Y1716" s="2">
        <v>4.4777834455575096</v>
      </c>
      <c r="Z1716" s="2">
        <v>4.71035</v>
      </c>
      <c r="AA1716" s="2">
        <v>-74.030416666666696</v>
      </c>
      <c r="AB1716" s="2">
        <v>2570</v>
      </c>
      <c r="AC1716" s="2" t="s">
        <v>31</v>
      </c>
      <c r="AD1716" s="2" t="s">
        <v>58</v>
      </c>
      <c r="AE1716" s="2" t="s">
        <v>33</v>
      </c>
      <c r="AF1716" s="2" t="s">
        <v>34</v>
      </c>
      <c r="AG1716" s="2" t="s">
        <v>81</v>
      </c>
      <c r="AH1716" s="2">
        <v>1.8048523301614501</v>
      </c>
      <c r="AI1716" s="2">
        <v>0.395130297236577</v>
      </c>
      <c r="AJ1716" s="2">
        <v>1.20676835615079</v>
      </c>
      <c r="AK1716" s="2">
        <v>0.40002901448099998</v>
      </c>
      <c r="AL1716" s="2">
        <v>0.90959075573493198</v>
      </c>
      <c r="AM1716" s="2">
        <v>15.5</v>
      </c>
      <c r="AN1716" s="2">
        <v>2.4</v>
      </c>
      <c r="AO1716" s="2">
        <v>10.9</v>
      </c>
      <c r="AP1716" s="2">
        <v>564</v>
      </c>
      <c r="AQ1716" s="2">
        <v>68</v>
      </c>
      <c r="AR1716" s="2">
        <v>1.5</v>
      </c>
      <c r="AS1716" s="2">
        <v>135</v>
      </c>
      <c r="AT1716" s="2">
        <v>0</v>
      </c>
      <c r="AU1716" s="2">
        <v>162</v>
      </c>
      <c r="AV1716" s="2">
        <v>9.1</v>
      </c>
      <c r="AW1716" s="2">
        <v>9.1999999999999993</v>
      </c>
      <c r="AX1716" s="2">
        <v>18.3</v>
      </c>
      <c r="AY1716" s="2">
        <v>0.34</v>
      </c>
      <c r="AZ1716" s="2">
        <v>7.3</v>
      </c>
      <c r="BA1716" s="2">
        <v>0.9</v>
      </c>
      <c r="BB1716" s="2">
        <v>7.5</v>
      </c>
      <c r="BC1716" s="2">
        <v>2.9</v>
      </c>
      <c r="BD1716" s="2">
        <f>+AN1716*EXP(-0.0495*Y1716)</f>
        <v>1.9228692215866823</v>
      </c>
      <c r="BE1716" s="2">
        <f>+AO1716*EXP(-0.024*Y1716)</f>
        <v>9.7893590696742194</v>
      </c>
    </row>
    <row r="1717" spans="1:57" x14ac:dyDescent="0.2">
      <c r="A1717" s="2" t="s">
        <v>4042</v>
      </c>
      <c r="B1717" s="2" t="s">
        <v>19</v>
      </c>
      <c r="C1717" s="2" t="s">
        <v>3245</v>
      </c>
      <c r="D1717" s="2" t="s">
        <v>21</v>
      </c>
      <c r="E1717" s="2" t="s">
        <v>83</v>
      </c>
      <c r="F1717" s="2">
        <v>6</v>
      </c>
      <c r="G1717" s="2">
        <v>82</v>
      </c>
      <c r="H1717" s="2">
        <v>2</v>
      </c>
      <c r="I1717" s="2">
        <v>2</v>
      </c>
      <c r="J1717" s="2">
        <v>2</v>
      </c>
      <c r="K1717" s="2" t="s">
        <v>61</v>
      </c>
      <c r="L1717" s="6" t="s">
        <v>113</v>
      </c>
      <c r="M1717" s="5">
        <v>890000000</v>
      </c>
      <c r="N1717" s="2">
        <v>0</v>
      </c>
      <c r="O1717" s="2">
        <v>4.6721931000000003</v>
      </c>
      <c r="P1717" s="2">
        <v>-74.043192599999998</v>
      </c>
      <c r="Q1717" s="2" t="s">
        <v>4043</v>
      </c>
      <c r="R1717" s="2">
        <v>10853658.539999999</v>
      </c>
      <c r="S1717" s="2">
        <v>0</v>
      </c>
      <c r="T1717" s="2" t="s">
        <v>55</v>
      </c>
      <c r="U1717" s="2" t="s">
        <v>56</v>
      </c>
      <c r="V1717" s="2" t="s">
        <v>28</v>
      </c>
      <c r="W1717" s="2" t="s">
        <v>55</v>
      </c>
      <c r="X1717" s="2" t="s">
        <v>57</v>
      </c>
      <c r="Y1717" s="2">
        <v>4.4778694681211402</v>
      </c>
      <c r="Z1717" s="2">
        <v>4.71035</v>
      </c>
      <c r="AA1717" s="2">
        <v>-74.030416666666696</v>
      </c>
      <c r="AB1717" s="2">
        <v>2570</v>
      </c>
      <c r="AC1717" s="2" t="s">
        <v>31</v>
      </c>
      <c r="AD1717" s="2" t="s">
        <v>58</v>
      </c>
      <c r="AE1717" s="2" t="s">
        <v>33</v>
      </c>
      <c r="AF1717" s="2" t="s">
        <v>34</v>
      </c>
      <c r="AG1717" s="2" t="s">
        <v>81</v>
      </c>
      <c r="AH1717" s="2">
        <v>1.80457068310657</v>
      </c>
      <c r="AI1717" s="2">
        <v>0.39517305639239098</v>
      </c>
      <c r="AJ1717" s="2">
        <v>1.20691208619532</v>
      </c>
      <c r="AK1717" s="2">
        <v>0.40016226560937901</v>
      </c>
      <c r="AL1717" s="2">
        <v>0.90938528985109801</v>
      </c>
      <c r="AM1717" s="2">
        <v>15.5</v>
      </c>
      <c r="AN1717" s="2">
        <v>2.4</v>
      </c>
      <c r="AO1717" s="2">
        <v>10.9</v>
      </c>
      <c r="AP1717" s="2">
        <v>564</v>
      </c>
      <c r="AQ1717" s="2">
        <v>68</v>
      </c>
      <c r="AR1717" s="2">
        <v>1.5</v>
      </c>
      <c r="AS1717" s="2">
        <v>135</v>
      </c>
      <c r="AT1717" s="2">
        <v>0</v>
      </c>
      <c r="AU1717" s="2">
        <v>162</v>
      </c>
      <c r="AV1717" s="2">
        <v>9.1</v>
      </c>
      <c r="AW1717" s="2">
        <v>9.1999999999999993</v>
      </c>
      <c r="AX1717" s="2">
        <v>18.3</v>
      </c>
      <c r="AY1717" s="2">
        <v>0.34</v>
      </c>
      <c r="AZ1717" s="2">
        <v>7.3</v>
      </c>
      <c r="BA1717" s="2">
        <v>0.9</v>
      </c>
      <c r="BB1717" s="2">
        <v>7.5</v>
      </c>
      <c r="BC1717" s="2">
        <v>2.9</v>
      </c>
      <c r="BD1717" s="2">
        <f>+AN1717*EXP(-0.0495*Y1717)</f>
        <v>1.9228610338021863</v>
      </c>
      <c r="BE1717" s="2">
        <f>+AO1717*EXP(-0.024*Y1717)</f>
        <v>9.7893388591567589</v>
      </c>
    </row>
    <row r="1718" spans="1:57" x14ac:dyDescent="0.2">
      <c r="A1718" s="2" t="s">
        <v>873</v>
      </c>
      <c r="B1718" s="2" t="s">
        <v>19</v>
      </c>
      <c r="C1718" s="2" t="s">
        <v>20</v>
      </c>
      <c r="D1718" s="2" t="s">
        <v>21</v>
      </c>
      <c r="E1718" s="2" t="s">
        <v>874</v>
      </c>
      <c r="F1718" s="2">
        <v>4</v>
      </c>
      <c r="G1718" s="2">
        <v>82</v>
      </c>
      <c r="H1718" s="2">
        <v>3</v>
      </c>
      <c r="I1718" s="2">
        <v>2</v>
      </c>
      <c r="J1718" s="2">
        <v>1</v>
      </c>
      <c r="K1718" s="2" t="s">
        <v>61</v>
      </c>
      <c r="L1718" s="6" t="s">
        <v>75</v>
      </c>
      <c r="M1718" s="5">
        <v>610000000</v>
      </c>
      <c r="N1718" s="2">
        <v>0</v>
      </c>
      <c r="O1718" s="2">
        <v>4.7333100000000004</v>
      </c>
      <c r="P1718" s="2">
        <v>-74.038444999999996</v>
      </c>
      <c r="Q1718" s="2" t="s">
        <v>875</v>
      </c>
      <c r="R1718" s="2">
        <v>7439024.3899999997</v>
      </c>
      <c r="S1718" s="2">
        <v>0</v>
      </c>
      <c r="T1718" s="2" t="s">
        <v>55</v>
      </c>
      <c r="U1718" s="2" t="s">
        <v>56</v>
      </c>
      <c r="V1718" s="2" t="s">
        <v>28</v>
      </c>
      <c r="W1718" s="2" t="s">
        <v>55</v>
      </c>
      <c r="X1718" s="2" t="s">
        <v>57</v>
      </c>
      <c r="Y1718" s="2">
        <v>2.7066412809916001</v>
      </c>
      <c r="Z1718" s="2">
        <v>4.71035</v>
      </c>
      <c r="AA1718" s="2">
        <v>-74.030416666666696</v>
      </c>
      <c r="AB1718" s="2">
        <v>2570</v>
      </c>
      <c r="AC1718" s="2" t="s">
        <v>31</v>
      </c>
      <c r="AD1718" s="2" t="s">
        <v>58</v>
      </c>
      <c r="AE1718" s="2" t="s">
        <v>33</v>
      </c>
      <c r="AF1718" s="2" t="s">
        <v>34</v>
      </c>
      <c r="AG1718" s="2" t="s">
        <v>59</v>
      </c>
      <c r="AH1718" s="2">
        <v>1.2036582747678199</v>
      </c>
      <c r="AI1718" s="2">
        <v>1.8250592975445601</v>
      </c>
      <c r="AJ1718" s="2">
        <v>0.175766767817122</v>
      </c>
      <c r="AK1718" s="2">
        <v>0.37513594120706001</v>
      </c>
      <c r="AL1718" s="2">
        <v>0.20925653368352401</v>
      </c>
      <c r="AM1718" s="2">
        <v>15.5</v>
      </c>
      <c r="AN1718" s="2">
        <v>2.4</v>
      </c>
      <c r="AO1718" s="2">
        <v>10.9</v>
      </c>
      <c r="AP1718" s="2">
        <v>564</v>
      </c>
      <c r="AQ1718" s="2">
        <v>68</v>
      </c>
      <c r="AR1718" s="2">
        <v>1.5</v>
      </c>
      <c r="AS1718" s="2">
        <v>135</v>
      </c>
      <c r="AT1718" s="2">
        <v>0</v>
      </c>
      <c r="AU1718" s="2">
        <v>162</v>
      </c>
      <c r="AV1718" s="2">
        <v>9.1</v>
      </c>
      <c r="AW1718" s="2">
        <v>9.1999999999999993</v>
      </c>
      <c r="AX1718" s="2">
        <v>18.3</v>
      </c>
      <c r="AY1718" s="2">
        <v>0.34</v>
      </c>
      <c r="AZ1718" s="2">
        <v>7.3</v>
      </c>
      <c r="BA1718" s="2">
        <v>0.9</v>
      </c>
      <c r="BB1718" s="2">
        <v>7.5</v>
      </c>
      <c r="BC1718" s="2">
        <v>2.9</v>
      </c>
      <c r="BD1718" s="2">
        <f>+AN1718*EXP(-0.0495*Y1718)</f>
        <v>2.0990607734499509</v>
      </c>
      <c r="BE1718" s="2">
        <f>+AO1718*EXP(-0.024*Y1718)</f>
        <v>10.214450143614268</v>
      </c>
    </row>
    <row r="1719" spans="1:57" x14ac:dyDescent="0.2">
      <c r="A1719" s="2" t="s">
        <v>718</v>
      </c>
      <c r="B1719" s="2" t="s">
        <v>19</v>
      </c>
      <c r="C1719" s="2" t="s">
        <v>20</v>
      </c>
      <c r="D1719" s="2" t="s">
        <v>21</v>
      </c>
      <c r="E1719" s="2" t="s">
        <v>419</v>
      </c>
      <c r="F1719" s="2">
        <v>6</v>
      </c>
      <c r="G1719" s="2">
        <v>81.66</v>
      </c>
      <c r="H1719" s="2">
        <v>2</v>
      </c>
      <c r="I1719" s="2">
        <v>3</v>
      </c>
      <c r="J1719" s="2">
        <v>2</v>
      </c>
      <c r="K1719" s="2" t="s">
        <v>61</v>
      </c>
      <c r="L1719" s="6" t="s">
        <v>75</v>
      </c>
      <c r="M1719" s="5">
        <v>800000000</v>
      </c>
      <c r="N1719" s="2">
        <v>0</v>
      </c>
      <c r="O1719" s="2">
        <v>4.6903347970000002</v>
      </c>
      <c r="P1719" s="2">
        <v>-74.049911499999993</v>
      </c>
      <c r="Q1719" s="2" t="s">
        <v>719</v>
      </c>
      <c r="R1719" s="2">
        <v>9796718.0989999995</v>
      </c>
      <c r="S1719" s="2">
        <v>0</v>
      </c>
      <c r="T1719" s="2" t="s">
        <v>55</v>
      </c>
      <c r="U1719" s="2" t="s">
        <v>56</v>
      </c>
      <c r="V1719" s="2" t="s">
        <v>28</v>
      </c>
      <c r="W1719" s="2" t="s">
        <v>55</v>
      </c>
      <c r="X1719" s="2" t="s">
        <v>57</v>
      </c>
      <c r="Y1719" s="2">
        <v>3.1052050429505602</v>
      </c>
      <c r="Z1719" s="2">
        <v>4.71035</v>
      </c>
      <c r="AA1719" s="2">
        <v>-74.030416666666696</v>
      </c>
      <c r="AB1719" s="2">
        <v>2570</v>
      </c>
      <c r="AC1719" s="2" t="s">
        <v>31</v>
      </c>
      <c r="AD1719" s="2" t="s">
        <v>58</v>
      </c>
      <c r="AE1719" s="2" t="s">
        <v>33</v>
      </c>
      <c r="AF1719" s="2" t="s">
        <v>34</v>
      </c>
      <c r="AG1719" s="2" t="s">
        <v>59</v>
      </c>
      <c r="AH1719" s="2">
        <v>0.75437722868725099</v>
      </c>
      <c r="AI1719" s="2">
        <v>1.9956067403818101</v>
      </c>
      <c r="AJ1719" s="2">
        <v>0.262708504998036</v>
      </c>
      <c r="AK1719" s="2">
        <v>0.15001771543525499</v>
      </c>
      <c r="AL1719" s="2">
        <v>0.19916123768553701</v>
      </c>
      <c r="AM1719" s="2">
        <v>15.5</v>
      </c>
      <c r="AN1719" s="2">
        <v>2.4</v>
      </c>
      <c r="AO1719" s="2">
        <v>10.9</v>
      </c>
      <c r="AP1719" s="2">
        <v>564</v>
      </c>
      <c r="AQ1719" s="2">
        <v>68</v>
      </c>
      <c r="AR1719" s="2">
        <v>1.5</v>
      </c>
      <c r="AS1719" s="2">
        <v>135</v>
      </c>
      <c r="AT1719" s="2">
        <v>0</v>
      </c>
      <c r="AU1719" s="2">
        <v>162</v>
      </c>
      <c r="AV1719" s="2">
        <v>9.1</v>
      </c>
      <c r="AW1719" s="2">
        <v>9.1999999999999993</v>
      </c>
      <c r="AX1719" s="2">
        <v>18.3</v>
      </c>
      <c r="AY1719" s="2">
        <v>0.34</v>
      </c>
      <c r="AZ1719" s="2">
        <v>7.3</v>
      </c>
      <c r="BA1719" s="2">
        <v>0.9</v>
      </c>
      <c r="BB1719" s="2">
        <v>7.5</v>
      </c>
      <c r="BC1719" s="2">
        <v>2.9</v>
      </c>
      <c r="BD1719" s="2">
        <f>+AN1719*EXP(-0.0495*Y1719)</f>
        <v>2.0580544354702206</v>
      </c>
      <c r="BE1719" s="2">
        <f>+AO1719*EXP(-0.024*Y1719)</f>
        <v>10.117209332815678</v>
      </c>
    </row>
    <row r="1720" spans="1:57" x14ac:dyDescent="0.2">
      <c r="A1720" s="2" t="s">
        <v>4349</v>
      </c>
      <c r="B1720" s="2" t="s">
        <v>19</v>
      </c>
      <c r="C1720" s="2" t="s">
        <v>3245</v>
      </c>
      <c r="D1720" s="2" t="s">
        <v>21</v>
      </c>
      <c r="E1720" s="2" t="s">
        <v>180</v>
      </c>
      <c r="F1720" s="2">
        <v>6</v>
      </c>
      <c r="G1720" s="2">
        <v>81.56</v>
      </c>
      <c r="H1720" s="2">
        <v>1</v>
      </c>
      <c r="I1720" s="2">
        <v>1</v>
      </c>
      <c r="J1720" s="2">
        <v>2</v>
      </c>
      <c r="K1720" s="2" t="s">
        <v>61</v>
      </c>
      <c r="L1720" s="6" t="s">
        <v>113</v>
      </c>
      <c r="M1720" s="5">
        <v>660000000</v>
      </c>
      <c r="N1720" s="2">
        <v>0</v>
      </c>
      <c r="O1720" s="2">
        <v>4.6760858179999998</v>
      </c>
      <c r="P1720" s="2">
        <v>-74.048690429999994</v>
      </c>
      <c r="Q1720" s="2" t="s">
        <v>4350</v>
      </c>
      <c r="R1720" s="2">
        <v>8092202.0599999996</v>
      </c>
      <c r="S1720" s="2">
        <v>0</v>
      </c>
      <c r="T1720" s="2" t="s">
        <v>55</v>
      </c>
      <c r="U1720" s="2" t="s">
        <v>56</v>
      </c>
      <c r="V1720" s="2" t="s">
        <v>28</v>
      </c>
      <c r="W1720" s="2" t="s">
        <v>55</v>
      </c>
      <c r="X1720" s="2" t="s">
        <v>57</v>
      </c>
      <c r="Y1720" s="2">
        <v>4.3196108789472101</v>
      </c>
      <c r="Z1720" s="2">
        <v>4.71035</v>
      </c>
      <c r="AA1720" s="2">
        <v>-74.030416666666696</v>
      </c>
      <c r="AB1720" s="2">
        <v>2570</v>
      </c>
      <c r="AC1720" s="2" t="s">
        <v>31</v>
      </c>
      <c r="AD1720" s="2" t="s">
        <v>58</v>
      </c>
      <c r="AE1720" s="2" t="s">
        <v>33</v>
      </c>
      <c r="AF1720" s="2" t="s">
        <v>34</v>
      </c>
      <c r="AG1720" s="2" t="s">
        <v>81</v>
      </c>
      <c r="AH1720" s="2">
        <v>1.1453456949590499</v>
      </c>
      <c r="AI1720" s="2">
        <v>1.03816565238674</v>
      </c>
      <c r="AJ1720" s="2">
        <v>1.12983192355895</v>
      </c>
      <c r="AK1720" s="2">
        <v>0.10367604174046099</v>
      </c>
      <c r="AL1720" s="2">
        <v>1.0569623305118301</v>
      </c>
      <c r="AM1720" s="2">
        <v>15.5</v>
      </c>
      <c r="AN1720" s="2">
        <v>2.4</v>
      </c>
      <c r="AO1720" s="2">
        <v>10.9</v>
      </c>
      <c r="AP1720" s="2">
        <v>564</v>
      </c>
      <c r="AQ1720" s="2">
        <v>68</v>
      </c>
      <c r="AR1720" s="2">
        <v>1.5</v>
      </c>
      <c r="AS1720" s="2">
        <v>135</v>
      </c>
      <c r="AT1720" s="2">
        <v>0</v>
      </c>
      <c r="AU1720" s="2">
        <v>162</v>
      </c>
      <c r="AV1720" s="2">
        <v>9.1</v>
      </c>
      <c r="AW1720" s="2">
        <v>9.1999999999999993</v>
      </c>
      <c r="AX1720" s="2">
        <v>18.3</v>
      </c>
      <c r="AY1720" s="2">
        <v>0.34</v>
      </c>
      <c r="AZ1720" s="2">
        <v>7.3</v>
      </c>
      <c r="BA1720" s="2">
        <v>0.9</v>
      </c>
      <c r="BB1720" s="2">
        <v>7.5</v>
      </c>
      <c r="BC1720" s="2">
        <v>2.9</v>
      </c>
      <c r="BD1720" s="2">
        <f>+AN1720*EXP(-0.0495*Y1720)</f>
        <v>1.937983498731727</v>
      </c>
      <c r="BE1720" s="2">
        <f>+AO1720*EXP(-0.024*Y1720)</f>
        <v>9.8265914879164953</v>
      </c>
    </row>
    <row r="1721" spans="1:57" x14ac:dyDescent="0.2">
      <c r="A1721" s="2" t="s">
        <v>1868</v>
      </c>
      <c r="B1721" s="2" t="s">
        <v>19</v>
      </c>
      <c r="C1721" s="2" t="s">
        <v>20</v>
      </c>
      <c r="D1721" s="2" t="s">
        <v>21</v>
      </c>
      <c r="E1721" s="2" t="s">
        <v>419</v>
      </c>
      <c r="F1721" s="2">
        <v>6</v>
      </c>
      <c r="G1721" s="2">
        <v>80</v>
      </c>
      <c r="H1721" s="2">
        <v>2</v>
      </c>
      <c r="I1721" s="2">
        <v>3</v>
      </c>
      <c r="J1721" s="2">
        <v>2</v>
      </c>
      <c r="K1721" s="2" t="s">
        <v>61</v>
      </c>
      <c r="L1721" s="6" t="s">
        <v>84</v>
      </c>
      <c r="M1721" s="5">
        <v>790000000</v>
      </c>
      <c r="N1721" s="2">
        <v>0</v>
      </c>
      <c r="O1721" s="2">
        <v>4.688467503</v>
      </c>
      <c r="P1721" s="2">
        <v>-74.047592159999994</v>
      </c>
      <c r="Q1721" s="2" t="s">
        <v>1869</v>
      </c>
      <c r="R1721" s="2">
        <v>9875000</v>
      </c>
      <c r="S1721" s="2">
        <v>0</v>
      </c>
      <c r="T1721" s="2" t="s">
        <v>55</v>
      </c>
      <c r="U1721" s="2" t="s">
        <v>56</v>
      </c>
      <c r="V1721" s="2" t="s">
        <v>28</v>
      </c>
      <c r="W1721" s="2" t="s">
        <v>55</v>
      </c>
      <c r="X1721" s="2" t="s">
        <v>57</v>
      </c>
      <c r="Y1721" s="2">
        <v>3.0927214191458101</v>
      </c>
      <c r="Z1721" s="2">
        <v>4.71035</v>
      </c>
      <c r="AA1721" s="2">
        <v>-74.030416666666696</v>
      </c>
      <c r="AB1721" s="2">
        <v>2570</v>
      </c>
      <c r="AC1721" s="2" t="s">
        <v>31</v>
      </c>
      <c r="AD1721" s="2" t="s">
        <v>58</v>
      </c>
      <c r="AE1721" s="2" t="s">
        <v>33</v>
      </c>
      <c r="AF1721" s="2" t="s">
        <v>34</v>
      </c>
      <c r="AG1721" s="2" t="s">
        <v>59</v>
      </c>
      <c r="AH1721" s="2">
        <v>1.07526440315779</v>
      </c>
      <c r="AI1721" s="2">
        <v>1.6662068080055401</v>
      </c>
      <c r="AJ1721" s="2">
        <v>0.35501544528700302</v>
      </c>
      <c r="AK1721" s="2">
        <v>8.1231071843779392E-3</v>
      </c>
      <c r="AL1721" s="2">
        <v>0.28060741260778299</v>
      </c>
      <c r="AM1721" s="2">
        <v>15.5</v>
      </c>
      <c r="AN1721" s="2">
        <v>2.4</v>
      </c>
      <c r="AO1721" s="2">
        <v>10.9</v>
      </c>
      <c r="AP1721" s="2">
        <v>564</v>
      </c>
      <c r="AQ1721" s="2">
        <v>68</v>
      </c>
      <c r="AR1721" s="2">
        <v>1.5</v>
      </c>
      <c r="AS1721" s="2">
        <v>135</v>
      </c>
      <c r="AT1721" s="2">
        <v>0</v>
      </c>
      <c r="AU1721" s="2">
        <v>162</v>
      </c>
      <c r="AV1721" s="2">
        <v>9.1</v>
      </c>
      <c r="AW1721" s="2">
        <v>9.1999999999999993</v>
      </c>
      <c r="AX1721" s="2">
        <v>18.3</v>
      </c>
      <c r="AY1721" s="2">
        <v>0.34</v>
      </c>
      <c r="AZ1721" s="2">
        <v>7.3</v>
      </c>
      <c r="BA1721" s="2">
        <v>0.9</v>
      </c>
      <c r="BB1721" s="2">
        <v>7.5</v>
      </c>
      <c r="BC1721" s="2">
        <v>2.9</v>
      </c>
      <c r="BD1721" s="2">
        <f>+AN1721*EXP(-0.0495*Y1721)</f>
        <v>2.0593265813626953</v>
      </c>
      <c r="BE1721" s="2">
        <f>+AO1721*EXP(-0.024*Y1721)</f>
        <v>10.120240973389681</v>
      </c>
    </row>
    <row r="1722" spans="1:57" x14ac:dyDescent="0.2">
      <c r="A1722" s="2" t="s">
        <v>1854</v>
      </c>
      <c r="B1722" s="2" t="s">
        <v>19</v>
      </c>
      <c r="C1722" s="2" t="s">
        <v>20</v>
      </c>
      <c r="D1722" s="2" t="s">
        <v>21</v>
      </c>
      <c r="E1722" s="2" t="s">
        <v>53</v>
      </c>
      <c r="F1722" s="2">
        <v>6</v>
      </c>
      <c r="G1722" s="2">
        <v>80</v>
      </c>
      <c r="H1722" s="2">
        <v>2</v>
      </c>
      <c r="I1722" s="2">
        <v>3</v>
      </c>
      <c r="J1722" s="2">
        <v>1</v>
      </c>
      <c r="K1722" s="2" t="s">
        <v>61</v>
      </c>
      <c r="L1722" s="6" t="s">
        <v>62</v>
      </c>
      <c r="M1722" s="5">
        <v>928000000</v>
      </c>
      <c r="N1722" s="2">
        <v>0</v>
      </c>
      <c r="O1722" s="2">
        <v>4.7008565999999998</v>
      </c>
      <c r="P1722" s="2">
        <v>-74.046896899999993</v>
      </c>
      <c r="Q1722" s="2" t="s">
        <v>1855</v>
      </c>
      <c r="R1722" s="2">
        <v>11600000</v>
      </c>
      <c r="S1722" s="2">
        <v>0</v>
      </c>
      <c r="T1722" s="2" t="s">
        <v>55</v>
      </c>
      <c r="U1722" s="2" t="s">
        <v>56</v>
      </c>
      <c r="V1722" s="2" t="s">
        <v>28</v>
      </c>
      <c r="W1722" s="2" t="s">
        <v>55</v>
      </c>
      <c r="X1722" s="2" t="s">
        <v>57</v>
      </c>
      <c r="Y1722" s="2">
        <v>2.1118305127202999</v>
      </c>
      <c r="Z1722" s="2">
        <v>4.71035</v>
      </c>
      <c r="AA1722" s="2">
        <v>-74.030416666666696</v>
      </c>
      <c r="AB1722" s="2">
        <v>2570</v>
      </c>
      <c r="AC1722" s="2" t="s">
        <v>31</v>
      </c>
      <c r="AD1722" s="2" t="s">
        <v>58</v>
      </c>
      <c r="AE1722" s="2" t="s">
        <v>33</v>
      </c>
      <c r="AF1722" s="2" t="s">
        <v>34</v>
      </c>
      <c r="AG1722" s="2" t="s">
        <v>59</v>
      </c>
      <c r="AH1722" s="2">
        <v>0.91378262870558002</v>
      </c>
      <c r="AI1722" s="2">
        <v>2.33999377711873</v>
      </c>
      <c r="AJ1722" s="2">
        <v>0.89769759461134202</v>
      </c>
      <c r="AK1722" s="2">
        <v>0.11936753501660601</v>
      </c>
      <c r="AL1722" s="2">
        <v>5.9118437846452002E-2</v>
      </c>
      <c r="AM1722" s="2">
        <v>15.5</v>
      </c>
      <c r="AN1722" s="2">
        <v>2.4</v>
      </c>
      <c r="AO1722" s="2">
        <v>10.9</v>
      </c>
      <c r="AP1722" s="2">
        <v>564</v>
      </c>
      <c r="AQ1722" s="2">
        <v>68</v>
      </c>
      <c r="AR1722" s="2">
        <v>1.5</v>
      </c>
      <c r="AS1722" s="2">
        <v>135</v>
      </c>
      <c r="AT1722" s="2">
        <v>0</v>
      </c>
      <c r="AU1722" s="2">
        <v>162</v>
      </c>
      <c r="AV1722" s="2">
        <v>9.1</v>
      </c>
      <c r="AW1722" s="2">
        <v>9.1999999999999993</v>
      </c>
      <c r="AX1722" s="2">
        <v>18.3</v>
      </c>
      <c r="AY1722" s="2">
        <v>0.34</v>
      </c>
      <c r="AZ1722" s="2">
        <v>7.3</v>
      </c>
      <c r="BA1722" s="2">
        <v>0.9</v>
      </c>
      <c r="BB1722" s="2">
        <v>7.5</v>
      </c>
      <c r="BC1722" s="2">
        <v>2.9</v>
      </c>
      <c r="BD1722" s="2">
        <f>+AN1722*EXP(-0.0495*Y1722)</f>
        <v>2.1617825305091833</v>
      </c>
      <c r="BE1722" s="2">
        <f>+AO1722*EXP(-0.024*Y1722)</f>
        <v>10.361311867272818</v>
      </c>
    </row>
    <row r="1723" spans="1:57" x14ac:dyDescent="0.2">
      <c r="A1723" s="2" t="s">
        <v>421</v>
      </c>
      <c r="B1723" s="2" t="s">
        <v>19</v>
      </c>
      <c r="C1723" s="2" t="s">
        <v>20</v>
      </c>
      <c r="D1723" s="2" t="s">
        <v>21</v>
      </c>
      <c r="E1723" s="2" t="s">
        <v>422</v>
      </c>
      <c r="F1723" s="2">
        <v>5</v>
      </c>
      <c r="G1723" s="2">
        <v>79</v>
      </c>
      <c r="H1723" s="2">
        <v>2</v>
      </c>
      <c r="I1723" s="2">
        <v>1</v>
      </c>
      <c r="J1723" s="2">
        <v>1</v>
      </c>
      <c r="K1723" s="2" t="s">
        <v>61</v>
      </c>
      <c r="L1723" s="6" t="s">
        <v>113</v>
      </c>
      <c r="M1723" s="5">
        <v>380000000</v>
      </c>
      <c r="N1723" s="2">
        <v>0</v>
      </c>
      <c r="O1723" s="2">
        <v>4.7004967000000004</v>
      </c>
      <c r="P1723" s="2">
        <v>-74.061719999999994</v>
      </c>
      <c r="Q1723" s="2" t="s">
        <v>423</v>
      </c>
      <c r="R1723" s="2">
        <v>4810126.5820000004</v>
      </c>
      <c r="S1723" s="2">
        <v>0</v>
      </c>
      <c r="T1723" s="2" t="s">
        <v>55</v>
      </c>
      <c r="U1723" s="2" t="s">
        <v>56</v>
      </c>
      <c r="V1723" s="2" t="s">
        <v>28</v>
      </c>
      <c r="W1723" s="2" t="s">
        <v>55</v>
      </c>
      <c r="X1723" s="2" t="s">
        <v>57</v>
      </c>
      <c r="Y1723" s="2">
        <v>3.6420227489458301</v>
      </c>
      <c r="Z1723" s="2">
        <v>4.71035</v>
      </c>
      <c r="AA1723" s="2">
        <v>-74.030416666666696</v>
      </c>
      <c r="AB1723" s="2">
        <v>2570</v>
      </c>
      <c r="AC1723" s="2" t="s">
        <v>31</v>
      </c>
      <c r="AD1723" s="2" t="s">
        <v>58</v>
      </c>
      <c r="AE1723" s="2" t="s">
        <v>33</v>
      </c>
      <c r="AF1723" s="2" t="s">
        <v>34</v>
      </c>
      <c r="AG1723" s="2" t="s">
        <v>72</v>
      </c>
      <c r="AH1723" s="2">
        <v>0.75756888975998804</v>
      </c>
      <c r="AI1723" s="2">
        <v>3.7202487128067099</v>
      </c>
      <c r="AJ1723" s="2">
        <v>0.92340850872952396</v>
      </c>
      <c r="AK1723" s="2">
        <v>0.307749617967711</v>
      </c>
      <c r="AL1723" s="2">
        <v>5.18520084881786E-2</v>
      </c>
      <c r="AM1723" s="2">
        <v>15.5</v>
      </c>
      <c r="AN1723" s="2">
        <v>2.4</v>
      </c>
      <c r="AO1723" s="2">
        <v>10.9</v>
      </c>
      <c r="AP1723" s="2">
        <v>564</v>
      </c>
      <c r="AQ1723" s="2">
        <v>68</v>
      </c>
      <c r="AR1723" s="2">
        <v>1.5</v>
      </c>
      <c r="AS1723" s="2">
        <v>135</v>
      </c>
      <c r="AT1723" s="2">
        <v>0</v>
      </c>
      <c r="AU1723" s="2">
        <v>162</v>
      </c>
      <c r="AV1723" s="2">
        <v>9.1</v>
      </c>
      <c r="AW1723" s="2">
        <v>9.1999999999999993</v>
      </c>
      <c r="AX1723" s="2">
        <v>18.3</v>
      </c>
      <c r="AY1723" s="2">
        <v>0.34</v>
      </c>
      <c r="AZ1723" s="2">
        <v>7.3</v>
      </c>
      <c r="BA1723" s="2">
        <v>0.9</v>
      </c>
      <c r="BB1723" s="2">
        <v>7.5</v>
      </c>
      <c r="BC1723" s="2">
        <v>2.9</v>
      </c>
      <c r="BD1723" s="2">
        <f>+AN1723*EXP(-0.0495*Y1723)</f>
        <v>2.0040870317189552</v>
      </c>
      <c r="BE1723" s="2">
        <f>+AO1723*EXP(-0.024*Y1723)</f>
        <v>9.9876990745119372</v>
      </c>
    </row>
    <row r="1724" spans="1:57" x14ac:dyDescent="0.2">
      <c r="A1724" s="2" t="s">
        <v>3273</v>
      </c>
      <c r="B1724" s="2" t="s">
        <v>19</v>
      </c>
      <c r="C1724" s="2" t="s">
        <v>3245</v>
      </c>
      <c r="D1724" s="2" t="s">
        <v>21</v>
      </c>
      <c r="E1724" s="2" t="s">
        <v>83</v>
      </c>
      <c r="F1724" s="2">
        <v>6</v>
      </c>
      <c r="G1724" s="2">
        <v>78</v>
      </c>
      <c r="H1724" s="2">
        <v>1</v>
      </c>
      <c r="I1724" s="2">
        <v>2</v>
      </c>
      <c r="J1724" s="2">
        <v>1</v>
      </c>
      <c r="K1724" s="2" t="s">
        <v>61</v>
      </c>
      <c r="L1724" s="6" t="s">
        <v>62</v>
      </c>
      <c r="M1724" s="5">
        <v>1180000000</v>
      </c>
      <c r="N1724" s="2">
        <v>0</v>
      </c>
      <c r="O1724" s="2">
        <v>4.6843132350000003</v>
      </c>
      <c r="P1724" s="2">
        <v>-74.054000740000006</v>
      </c>
      <c r="Q1724" s="2" t="s">
        <v>3274</v>
      </c>
      <c r="R1724" s="2">
        <v>15128205.130000001</v>
      </c>
      <c r="S1724" s="2">
        <v>0</v>
      </c>
      <c r="T1724" s="2" t="s">
        <v>55</v>
      </c>
      <c r="U1724" s="2" t="s">
        <v>56</v>
      </c>
      <c r="V1724" s="2" t="s">
        <v>28</v>
      </c>
      <c r="W1724" s="2" t="s">
        <v>55</v>
      </c>
      <c r="X1724" s="2" t="s">
        <v>57</v>
      </c>
      <c r="Y1724" s="2">
        <v>3.9047467942215799</v>
      </c>
      <c r="Z1724" s="2">
        <v>4.71035</v>
      </c>
      <c r="AA1724" s="2">
        <v>-74.030416666666696</v>
      </c>
      <c r="AB1724" s="2">
        <v>2570</v>
      </c>
      <c r="AC1724" s="2" t="s">
        <v>31</v>
      </c>
      <c r="AD1724" s="2" t="s">
        <v>58</v>
      </c>
      <c r="AE1724" s="2" t="s">
        <v>33</v>
      </c>
      <c r="AF1724" s="2" t="s">
        <v>34</v>
      </c>
      <c r="AG1724" s="2" t="s">
        <v>81</v>
      </c>
      <c r="AH1724" s="2">
        <v>0.413497516819401</v>
      </c>
      <c r="AI1724" s="2">
        <v>1.97054084136958</v>
      </c>
      <c r="AJ1724" s="2">
        <v>0.20741324272460401</v>
      </c>
      <c r="AK1724" s="2">
        <v>0.137227636179684</v>
      </c>
      <c r="AL1724" s="2">
        <v>0.47280760637686697</v>
      </c>
      <c r="AM1724" s="2">
        <v>15.5</v>
      </c>
      <c r="AN1724" s="2">
        <v>2.4</v>
      </c>
      <c r="AO1724" s="2">
        <v>10.9</v>
      </c>
      <c r="AP1724" s="2">
        <v>564</v>
      </c>
      <c r="AQ1724" s="2">
        <v>68</v>
      </c>
      <c r="AR1724" s="2">
        <v>1.5</v>
      </c>
      <c r="AS1724" s="2">
        <v>135</v>
      </c>
      <c r="AT1724" s="2">
        <v>0</v>
      </c>
      <c r="AU1724" s="2">
        <v>162</v>
      </c>
      <c r="AV1724" s="2">
        <v>9.1</v>
      </c>
      <c r="AW1724" s="2">
        <v>9.1999999999999993</v>
      </c>
      <c r="AX1724" s="2">
        <v>18.3</v>
      </c>
      <c r="AY1724" s="2">
        <v>0.34</v>
      </c>
      <c r="AZ1724" s="2">
        <v>7.3</v>
      </c>
      <c r="BA1724" s="2">
        <v>0.9</v>
      </c>
      <c r="BB1724" s="2">
        <v>7.5</v>
      </c>
      <c r="BC1724" s="2">
        <v>2.9</v>
      </c>
      <c r="BD1724" s="2">
        <f>+AN1724*EXP(-0.0495*Y1724)</f>
        <v>1.9781929392556417</v>
      </c>
      <c r="BE1724" s="2">
        <f>+AO1724*EXP(-0.024*Y1724)</f>
        <v>9.9249209933496836</v>
      </c>
    </row>
    <row r="1725" spans="1:57" x14ac:dyDescent="0.2">
      <c r="A1725" s="2" t="s">
        <v>4230</v>
      </c>
      <c r="B1725" s="2" t="s">
        <v>19</v>
      </c>
      <c r="C1725" s="2" t="s">
        <v>3245</v>
      </c>
      <c r="D1725" s="2" t="s">
        <v>21</v>
      </c>
      <c r="E1725" s="2" t="s">
        <v>164</v>
      </c>
      <c r="F1725" s="2">
        <v>6</v>
      </c>
      <c r="G1725" s="2">
        <v>78</v>
      </c>
      <c r="H1725" s="2">
        <v>1</v>
      </c>
      <c r="I1725" s="2">
        <v>2</v>
      </c>
      <c r="J1725" s="2">
        <v>1</v>
      </c>
      <c r="K1725" s="2" t="s">
        <v>61</v>
      </c>
      <c r="L1725" s="6" t="s">
        <v>75</v>
      </c>
      <c r="M1725" s="5">
        <v>700000000</v>
      </c>
      <c r="N1725" s="2">
        <v>0</v>
      </c>
      <c r="O1725" s="2">
        <v>4.6976771350000002</v>
      </c>
      <c r="P1725" s="2">
        <v>-74.039558409999998</v>
      </c>
      <c r="Q1725" s="2" t="s">
        <v>4231</v>
      </c>
      <c r="R1725" s="2">
        <v>8974358.9739999995</v>
      </c>
      <c r="S1725" s="2">
        <v>0</v>
      </c>
      <c r="T1725" s="2" t="s">
        <v>55</v>
      </c>
      <c r="U1725" s="2" t="s">
        <v>56</v>
      </c>
      <c r="V1725" s="2" t="s">
        <v>28</v>
      </c>
      <c r="W1725" s="2" t="s">
        <v>55</v>
      </c>
      <c r="X1725" s="2" t="s">
        <v>57</v>
      </c>
      <c r="Y1725" s="2">
        <v>1.73747912514823</v>
      </c>
      <c r="Z1725" s="2">
        <v>4.71035</v>
      </c>
      <c r="AA1725" s="2">
        <v>-74.030416666666696</v>
      </c>
      <c r="AB1725" s="2">
        <v>2570</v>
      </c>
      <c r="AC1725" s="2" t="s">
        <v>31</v>
      </c>
      <c r="AD1725" s="2" t="s">
        <v>58</v>
      </c>
      <c r="AE1725" s="2" t="s">
        <v>33</v>
      </c>
      <c r="AF1725" s="2" t="s">
        <v>34</v>
      </c>
      <c r="AG1725" s="2" t="s">
        <v>59</v>
      </c>
      <c r="AH1725" s="2">
        <v>1.7470750877980601</v>
      </c>
      <c r="AI1725" s="2">
        <v>1.5177654035499</v>
      </c>
      <c r="AJ1725" s="2">
        <v>0.88430257242613197</v>
      </c>
      <c r="AK1725" s="2">
        <v>2.5822837559881E-2</v>
      </c>
      <c r="AL1725" s="2">
        <v>3.8004743448727903E-2</v>
      </c>
      <c r="AM1725" s="2">
        <v>15.5</v>
      </c>
      <c r="AN1725" s="2">
        <v>2.4</v>
      </c>
      <c r="AO1725" s="2">
        <v>10.9</v>
      </c>
      <c r="AP1725" s="2">
        <v>564</v>
      </c>
      <c r="AQ1725" s="2">
        <v>68</v>
      </c>
      <c r="AR1725" s="2">
        <v>1.5</v>
      </c>
      <c r="AS1725" s="2">
        <v>135</v>
      </c>
      <c r="AT1725" s="2">
        <v>0</v>
      </c>
      <c r="AU1725" s="2">
        <v>162</v>
      </c>
      <c r="AV1725" s="2">
        <v>9.1</v>
      </c>
      <c r="AW1725" s="2">
        <v>9.1999999999999993</v>
      </c>
      <c r="AX1725" s="2">
        <v>18.3</v>
      </c>
      <c r="AY1725" s="2">
        <v>0.34</v>
      </c>
      <c r="AZ1725" s="2">
        <v>7.3</v>
      </c>
      <c r="BA1725" s="2">
        <v>0.9</v>
      </c>
      <c r="BB1725" s="2">
        <v>7.5</v>
      </c>
      <c r="BC1725" s="2">
        <v>2.9</v>
      </c>
      <c r="BD1725" s="2">
        <f>+AN1725*EXP(-0.0495*Y1725)</f>
        <v>2.2022146666165145</v>
      </c>
      <c r="BE1725" s="2">
        <f>+AO1725*EXP(-0.024*Y1725)</f>
        <v>10.454821820622444</v>
      </c>
    </row>
    <row r="1726" spans="1:57" x14ac:dyDescent="0.2">
      <c r="A1726" s="2" t="s">
        <v>2571</v>
      </c>
      <c r="B1726" s="2" t="s">
        <v>19</v>
      </c>
      <c r="C1726" s="2" t="s">
        <v>1907</v>
      </c>
      <c r="D1726" s="2" t="s">
        <v>21</v>
      </c>
      <c r="E1726" s="2" t="s">
        <v>156</v>
      </c>
      <c r="F1726" s="2">
        <v>4</v>
      </c>
      <c r="G1726" s="2">
        <v>75.349999999999994</v>
      </c>
      <c r="H1726" s="2">
        <v>3</v>
      </c>
      <c r="I1726" s="2">
        <v>2</v>
      </c>
      <c r="J1726" s="2">
        <v>2</v>
      </c>
      <c r="K1726" s="2" t="s">
        <v>61</v>
      </c>
      <c r="L1726" s="6" t="s">
        <v>113</v>
      </c>
      <c r="M1726" s="5">
        <v>550000000</v>
      </c>
      <c r="N1726" s="2">
        <v>0</v>
      </c>
      <c r="O1726" s="2">
        <v>4.7213700000000003</v>
      </c>
      <c r="P1726" s="2">
        <v>-74.034480000000002</v>
      </c>
      <c r="Q1726" s="2" t="s">
        <v>2572</v>
      </c>
      <c r="R1726" s="2">
        <v>7299270.0729999999</v>
      </c>
      <c r="S1726" s="2">
        <v>0</v>
      </c>
      <c r="T1726" s="2" t="s">
        <v>55</v>
      </c>
      <c r="U1726" s="2" t="s">
        <v>56</v>
      </c>
      <c r="V1726" s="2" t="s">
        <v>28</v>
      </c>
      <c r="W1726" s="2" t="s">
        <v>55</v>
      </c>
      <c r="X1726" s="2" t="s">
        <v>57</v>
      </c>
      <c r="Y1726" s="2">
        <v>1.3069471378923301</v>
      </c>
      <c r="Z1726" s="2">
        <v>4.71035</v>
      </c>
      <c r="AA1726" s="2">
        <v>-74.030416666666696</v>
      </c>
      <c r="AB1726" s="2">
        <v>2570</v>
      </c>
      <c r="AC1726" s="2" t="s">
        <v>31</v>
      </c>
      <c r="AD1726" s="2" t="s">
        <v>58</v>
      </c>
      <c r="AE1726" s="2" t="s">
        <v>33</v>
      </c>
      <c r="AF1726" s="2" t="s">
        <v>34</v>
      </c>
      <c r="AG1726" s="2" t="s">
        <v>59</v>
      </c>
      <c r="AH1726" s="2">
        <v>1.87694957910909</v>
      </c>
      <c r="AI1726" s="2">
        <v>1.2249210093904399</v>
      </c>
      <c r="AJ1726" s="2">
        <v>1.18960595646759</v>
      </c>
      <c r="AK1726" s="2">
        <v>0.27125593277607102</v>
      </c>
      <c r="AL1726" s="2">
        <v>6.3080856097725305E-2</v>
      </c>
      <c r="AM1726" s="2">
        <v>15.5</v>
      </c>
      <c r="AN1726" s="2">
        <v>2.4</v>
      </c>
      <c r="AO1726" s="2">
        <v>10.9</v>
      </c>
      <c r="AP1726" s="2">
        <v>564</v>
      </c>
      <c r="AQ1726" s="2">
        <v>68</v>
      </c>
      <c r="AR1726" s="2">
        <v>1.5</v>
      </c>
      <c r="AS1726" s="2">
        <v>135</v>
      </c>
      <c r="AT1726" s="2">
        <v>0</v>
      </c>
      <c r="AU1726" s="2">
        <v>162</v>
      </c>
      <c r="AV1726" s="2">
        <v>9.1</v>
      </c>
      <c r="AW1726" s="2">
        <v>9.1999999999999993</v>
      </c>
      <c r="AX1726" s="2">
        <v>18.3</v>
      </c>
      <c r="AY1726" s="2">
        <v>0.34</v>
      </c>
      <c r="AZ1726" s="2">
        <v>7.3</v>
      </c>
      <c r="BA1726" s="2">
        <v>0.9</v>
      </c>
      <c r="BB1726" s="2">
        <v>7.5</v>
      </c>
      <c r="BC1726" s="2">
        <v>2.9</v>
      </c>
      <c r="BD1726" s="2">
        <f>+AN1726*EXP(-0.0495*Y1726)</f>
        <v>2.249650462229956</v>
      </c>
      <c r="BE1726" s="2">
        <f>+AO1726*EXP(-0.024*Y1726)</f>
        <v>10.563409103243279</v>
      </c>
    </row>
    <row r="1727" spans="1:57" x14ac:dyDescent="0.2">
      <c r="A1727" s="2" t="s">
        <v>1212</v>
      </c>
      <c r="B1727" s="2" t="s">
        <v>19</v>
      </c>
      <c r="C1727" s="2" t="s">
        <v>20</v>
      </c>
      <c r="D1727" s="2" t="s">
        <v>21</v>
      </c>
      <c r="E1727" s="2" t="s">
        <v>1213</v>
      </c>
      <c r="F1727" s="2">
        <v>4</v>
      </c>
      <c r="G1727" s="2">
        <v>75</v>
      </c>
      <c r="H1727" s="2">
        <v>3</v>
      </c>
      <c r="I1727" s="2">
        <v>3</v>
      </c>
      <c r="J1727" s="2">
        <v>2</v>
      </c>
      <c r="K1727" s="2" t="s">
        <v>61</v>
      </c>
      <c r="L1727" s="6" t="s">
        <v>113</v>
      </c>
      <c r="M1727" s="5">
        <v>510000000</v>
      </c>
      <c r="N1727" s="2">
        <v>0</v>
      </c>
      <c r="O1727" s="2">
        <v>4.7342579999999996</v>
      </c>
      <c r="P1727" s="2">
        <v>-74.036779999999993</v>
      </c>
      <c r="Q1727" s="2" t="s">
        <v>1214</v>
      </c>
      <c r="R1727" s="2">
        <v>6800000</v>
      </c>
      <c r="S1727" s="2">
        <v>0</v>
      </c>
      <c r="T1727" s="2" t="s">
        <v>55</v>
      </c>
      <c r="U1727" s="2" t="s">
        <v>56</v>
      </c>
      <c r="V1727" s="2" t="s">
        <v>28</v>
      </c>
      <c r="W1727" s="2" t="s">
        <v>55</v>
      </c>
      <c r="X1727" s="2" t="s">
        <v>57</v>
      </c>
      <c r="Y1727" s="2">
        <v>2.7534646722752099</v>
      </c>
      <c r="Z1727" s="2">
        <v>4.71035</v>
      </c>
      <c r="AA1727" s="2">
        <v>-74.030416666666696</v>
      </c>
      <c r="AB1727" s="2">
        <v>2570</v>
      </c>
      <c r="AC1727" s="2" t="s">
        <v>31</v>
      </c>
      <c r="AD1727" s="2" t="s">
        <v>58</v>
      </c>
      <c r="AE1727" s="2" t="s">
        <v>33</v>
      </c>
      <c r="AF1727" s="2" t="s">
        <v>34</v>
      </c>
      <c r="AG1727" s="2" t="s">
        <v>59</v>
      </c>
      <c r="AH1727" s="2">
        <v>1.3804201810441801</v>
      </c>
      <c r="AI1727" s="2">
        <v>1.64839574587613</v>
      </c>
      <c r="AJ1727" s="2">
        <v>0.38514079960139902</v>
      </c>
      <c r="AK1727" s="2">
        <v>0.57548988742636598</v>
      </c>
      <c r="AL1727" s="2">
        <v>0.38249973547104898</v>
      </c>
      <c r="AM1727" s="2">
        <v>15.5</v>
      </c>
      <c r="AN1727" s="2">
        <v>2.4</v>
      </c>
      <c r="AO1727" s="2">
        <v>10.9</v>
      </c>
      <c r="AP1727" s="2">
        <v>564</v>
      </c>
      <c r="AQ1727" s="2">
        <v>68</v>
      </c>
      <c r="AR1727" s="2">
        <v>1.5</v>
      </c>
      <c r="AS1727" s="2">
        <v>135</v>
      </c>
      <c r="AT1727" s="2">
        <v>0</v>
      </c>
      <c r="AU1727" s="2">
        <v>162</v>
      </c>
      <c r="AV1727" s="2">
        <v>9.1</v>
      </c>
      <c r="AW1727" s="2">
        <v>9.1999999999999993</v>
      </c>
      <c r="AX1727" s="2">
        <v>18.3</v>
      </c>
      <c r="AY1727" s="2">
        <v>0.34</v>
      </c>
      <c r="AZ1727" s="2">
        <v>7.3</v>
      </c>
      <c r="BA1727" s="2">
        <v>0.9</v>
      </c>
      <c r="BB1727" s="2">
        <v>7.5</v>
      </c>
      <c r="BC1727" s="2">
        <v>2.9</v>
      </c>
      <c r="BD1727" s="2">
        <f>+AN1727*EXP(-0.0495*Y1727)</f>
        <v>2.0942012925512197</v>
      </c>
      <c r="BE1727" s="2">
        <f>+AO1727*EXP(-0.024*Y1727)</f>
        <v>10.202977986105685</v>
      </c>
    </row>
    <row r="1728" spans="1:57" x14ac:dyDescent="0.2">
      <c r="A1728" s="2" t="s">
        <v>3815</v>
      </c>
      <c r="B1728" s="2" t="s">
        <v>19</v>
      </c>
      <c r="C1728" s="2" t="s">
        <v>3245</v>
      </c>
      <c r="D1728" s="2" t="s">
        <v>21</v>
      </c>
      <c r="E1728" s="2" t="s">
        <v>842</v>
      </c>
      <c r="F1728" s="2">
        <v>6</v>
      </c>
      <c r="G1728" s="2">
        <v>74.569999999999993</v>
      </c>
      <c r="H1728" s="2">
        <v>1</v>
      </c>
      <c r="I1728" s="2">
        <v>1</v>
      </c>
      <c r="J1728" s="2">
        <v>2</v>
      </c>
      <c r="K1728" s="2" t="s">
        <v>61</v>
      </c>
      <c r="L1728" s="6" t="s">
        <v>75</v>
      </c>
      <c r="M1728" s="5">
        <v>880000000</v>
      </c>
      <c r="N1728" s="2">
        <v>0</v>
      </c>
      <c r="O1728" s="2">
        <v>4.6778523999999999</v>
      </c>
      <c r="P1728" s="2">
        <v>-74.042402499999994</v>
      </c>
      <c r="Q1728" s="2" t="s">
        <v>3816</v>
      </c>
      <c r="R1728" s="2">
        <v>11800992.359999999</v>
      </c>
      <c r="S1728" s="2">
        <v>0</v>
      </c>
      <c r="T1728" s="2" t="s">
        <v>55</v>
      </c>
      <c r="U1728" s="2" t="s">
        <v>56</v>
      </c>
      <c r="V1728" s="2" t="s">
        <v>28</v>
      </c>
      <c r="W1728" s="2" t="s">
        <v>55</v>
      </c>
      <c r="X1728" s="2" t="s">
        <v>57</v>
      </c>
      <c r="Y1728" s="2">
        <v>3.85427897624806</v>
      </c>
      <c r="Z1728" s="2">
        <v>4.71035</v>
      </c>
      <c r="AA1728" s="2">
        <v>-74.030416666666696</v>
      </c>
      <c r="AB1728" s="2">
        <v>2570</v>
      </c>
      <c r="AC1728" s="2" t="s">
        <v>31</v>
      </c>
      <c r="AD1728" s="2" t="s">
        <v>58</v>
      </c>
      <c r="AE1728" s="2" t="s">
        <v>33</v>
      </c>
      <c r="AF1728" s="2" t="s">
        <v>34</v>
      </c>
      <c r="AG1728" s="2" t="s">
        <v>81</v>
      </c>
      <c r="AH1728" s="2">
        <v>1.8263909464158401</v>
      </c>
      <c r="AI1728" s="2">
        <v>0.521924925078871</v>
      </c>
      <c r="AJ1728" s="2">
        <v>0.61338488226806398</v>
      </c>
      <c r="AK1728" s="2">
        <v>0.17738460847531901</v>
      </c>
      <c r="AL1728" s="2">
        <v>1.05281598216896</v>
      </c>
      <c r="AM1728" s="2">
        <v>15.5</v>
      </c>
      <c r="AN1728" s="2">
        <v>2.4</v>
      </c>
      <c r="AO1728" s="2">
        <v>10.9</v>
      </c>
      <c r="AP1728" s="2">
        <v>564</v>
      </c>
      <c r="AQ1728" s="2">
        <v>68</v>
      </c>
      <c r="AR1728" s="2">
        <v>1.5</v>
      </c>
      <c r="AS1728" s="2">
        <v>135</v>
      </c>
      <c r="AT1728" s="2">
        <v>0</v>
      </c>
      <c r="AU1728" s="2">
        <v>162</v>
      </c>
      <c r="AV1728" s="2">
        <v>9.1</v>
      </c>
      <c r="AW1728" s="2">
        <v>9.1999999999999993</v>
      </c>
      <c r="AX1728" s="2">
        <v>18.3</v>
      </c>
      <c r="AY1728" s="2">
        <v>0.34</v>
      </c>
      <c r="AZ1728" s="2">
        <v>7.3</v>
      </c>
      <c r="BA1728" s="2">
        <v>0.9</v>
      </c>
      <c r="BB1728" s="2">
        <v>7.5</v>
      </c>
      <c r="BC1728" s="2">
        <v>2.9</v>
      </c>
      <c r="BD1728" s="2">
        <f>+AN1728*EXP(-0.0495*Y1728)</f>
        <v>1.983140953658888</v>
      </c>
      <c r="BE1728" s="2">
        <f>+AO1728*EXP(-0.024*Y1728)</f>
        <v>9.9369496151248971</v>
      </c>
    </row>
    <row r="1729" spans="1:57" x14ac:dyDescent="0.2">
      <c r="A1729" s="2" t="s">
        <v>1046</v>
      </c>
      <c r="B1729" s="2" t="s">
        <v>19</v>
      </c>
      <c r="C1729" s="2" t="s">
        <v>20</v>
      </c>
      <c r="D1729" s="2" t="s">
        <v>21</v>
      </c>
      <c r="E1729" s="2" t="s">
        <v>161</v>
      </c>
      <c r="F1729" s="2">
        <v>6</v>
      </c>
      <c r="G1729" s="2">
        <v>73.319999999999993</v>
      </c>
      <c r="H1729" s="2">
        <v>2</v>
      </c>
      <c r="I1729" s="2">
        <v>3</v>
      </c>
      <c r="J1729" s="2">
        <v>2</v>
      </c>
      <c r="K1729" s="2" t="s">
        <v>23</v>
      </c>
      <c r="L1729" s="6" t="s">
        <v>24</v>
      </c>
      <c r="M1729" s="5">
        <v>1394143400</v>
      </c>
      <c r="N1729" s="2">
        <v>0</v>
      </c>
      <c r="O1729" s="2">
        <v>4.6971930000000004</v>
      </c>
      <c r="P1729" s="2">
        <v>-74.052099999999996</v>
      </c>
      <c r="Q1729" s="2" t="s">
        <v>1047</v>
      </c>
      <c r="R1729" s="2">
        <v>19014503.550000001</v>
      </c>
      <c r="S1729" s="2">
        <v>0</v>
      </c>
      <c r="T1729" s="2" t="s">
        <v>55</v>
      </c>
      <c r="U1729" s="2" t="s">
        <v>56</v>
      </c>
      <c r="V1729" s="2" t="s">
        <v>28</v>
      </c>
      <c r="W1729" s="2" t="s">
        <v>55</v>
      </c>
      <c r="X1729" s="2" t="s">
        <v>57</v>
      </c>
      <c r="Y1729" s="2">
        <v>2.8164312341552802</v>
      </c>
      <c r="Z1729" s="2">
        <v>4.71035</v>
      </c>
      <c r="AA1729" s="2">
        <v>-74.030416666666696</v>
      </c>
      <c r="AB1729" s="2">
        <v>2570</v>
      </c>
      <c r="AC1729" s="2" t="s">
        <v>31</v>
      </c>
      <c r="AD1729" s="2" t="s">
        <v>58</v>
      </c>
      <c r="AE1729" s="2" t="s">
        <v>33</v>
      </c>
      <c r="AF1729" s="2" t="s">
        <v>34</v>
      </c>
      <c r="AG1729" s="2" t="s">
        <v>59</v>
      </c>
      <c r="AH1729" s="2">
        <v>0.3704520231708</v>
      </c>
      <c r="AI1729" s="2">
        <v>2.7029258595346799</v>
      </c>
      <c r="AJ1729" s="2">
        <v>0.497922585731226</v>
      </c>
      <c r="AK1729" s="2">
        <v>0.183439943781117</v>
      </c>
      <c r="AL1729" s="2">
        <v>0.29890318697298801</v>
      </c>
      <c r="AM1729" s="2">
        <v>15.5</v>
      </c>
      <c r="AN1729" s="2">
        <v>2.4</v>
      </c>
      <c r="AO1729" s="2">
        <v>10.9</v>
      </c>
      <c r="AP1729" s="2">
        <v>564</v>
      </c>
      <c r="AQ1729" s="2">
        <v>68</v>
      </c>
      <c r="AR1729" s="2">
        <v>1.5</v>
      </c>
      <c r="AS1729" s="2">
        <v>135</v>
      </c>
      <c r="AT1729" s="2">
        <v>0</v>
      </c>
      <c r="AU1729" s="2">
        <v>162</v>
      </c>
      <c r="AV1729" s="2">
        <v>9.1</v>
      </c>
      <c r="AW1729" s="2">
        <v>9.1999999999999993</v>
      </c>
      <c r="AX1729" s="2">
        <v>18.3</v>
      </c>
      <c r="AY1729" s="2">
        <v>0.34</v>
      </c>
      <c r="AZ1729" s="2">
        <v>7.3</v>
      </c>
      <c r="BA1729" s="2">
        <v>0.9</v>
      </c>
      <c r="BB1729" s="2">
        <v>7.5</v>
      </c>
      <c r="BC1729" s="2">
        <v>2.9</v>
      </c>
      <c r="BD1729" s="2">
        <f>+AN1729*EXP(-0.0495*Y1729)</f>
        <v>2.0876841538460198</v>
      </c>
      <c r="BE1729" s="2">
        <f>+AO1729*EXP(-0.024*Y1729)</f>
        <v>10.187570915927299</v>
      </c>
    </row>
    <row r="1730" spans="1:57" x14ac:dyDescent="0.2">
      <c r="A1730" s="2" t="s">
        <v>1553</v>
      </c>
      <c r="B1730" s="2" t="s">
        <v>19</v>
      </c>
      <c r="C1730" s="2" t="s">
        <v>20</v>
      </c>
      <c r="D1730" s="2" t="s">
        <v>21</v>
      </c>
      <c r="E1730" s="2" t="s">
        <v>1554</v>
      </c>
      <c r="F1730" s="2">
        <v>4</v>
      </c>
      <c r="G1730" s="2">
        <v>72.099999999999994</v>
      </c>
      <c r="H1730" s="2">
        <v>3</v>
      </c>
      <c r="I1730" s="2">
        <v>2</v>
      </c>
      <c r="J1730" s="2">
        <v>1</v>
      </c>
      <c r="K1730" s="2" t="s">
        <v>61</v>
      </c>
      <c r="L1730" s="6" t="s">
        <v>113</v>
      </c>
      <c r="M1730" s="5">
        <v>480000000</v>
      </c>
      <c r="N1730" s="2">
        <v>0</v>
      </c>
      <c r="O1730" s="2">
        <v>4.7312500000000002</v>
      </c>
      <c r="P1730" s="2">
        <v>-74.037360000000007</v>
      </c>
      <c r="Q1730" s="2" t="s">
        <v>1555</v>
      </c>
      <c r="R1730" s="2">
        <v>6657420.25</v>
      </c>
      <c r="S1730" s="2">
        <v>0</v>
      </c>
      <c r="T1730" s="2" t="s">
        <v>55</v>
      </c>
      <c r="U1730" s="2" t="s">
        <v>56</v>
      </c>
      <c r="V1730" s="2" t="s">
        <v>28</v>
      </c>
      <c r="W1730" s="2" t="s">
        <v>55</v>
      </c>
      <c r="X1730" s="2" t="s">
        <v>57</v>
      </c>
      <c r="Y1730" s="2">
        <v>2.4507822999455602</v>
      </c>
      <c r="Z1730" s="2">
        <v>4.71035</v>
      </c>
      <c r="AA1730" s="2">
        <v>-74.030416666666696</v>
      </c>
      <c r="AB1730" s="2">
        <v>2570</v>
      </c>
      <c r="AC1730" s="2" t="s">
        <v>31</v>
      </c>
      <c r="AD1730" s="2" t="s">
        <v>58</v>
      </c>
      <c r="AE1730" s="2" t="s">
        <v>33</v>
      </c>
      <c r="AF1730" s="2" t="s">
        <v>34</v>
      </c>
      <c r="AG1730" s="2" t="s">
        <v>59</v>
      </c>
      <c r="AH1730" s="2">
        <v>1.3663881364033601</v>
      </c>
      <c r="AI1730" s="2">
        <v>1.7107189569304799</v>
      </c>
      <c r="AJ1730" s="2">
        <v>0.34132476541290901</v>
      </c>
      <c r="AK1730" s="2">
        <v>0.51465440535250895</v>
      </c>
      <c r="AL1730" s="2">
        <v>5.2260444008099899E-2</v>
      </c>
      <c r="AM1730" s="2">
        <v>15.5</v>
      </c>
      <c r="AN1730" s="2">
        <v>2.4</v>
      </c>
      <c r="AO1730" s="2">
        <v>10.9</v>
      </c>
      <c r="AP1730" s="2">
        <v>564</v>
      </c>
      <c r="AQ1730" s="2">
        <v>68</v>
      </c>
      <c r="AR1730" s="2">
        <v>1.5</v>
      </c>
      <c r="AS1730" s="2">
        <v>135</v>
      </c>
      <c r="AT1730" s="2">
        <v>0</v>
      </c>
      <c r="AU1730" s="2">
        <v>162</v>
      </c>
      <c r="AV1730" s="2">
        <v>9.1</v>
      </c>
      <c r="AW1730" s="2">
        <v>9.1999999999999993</v>
      </c>
      <c r="AX1730" s="2">
        <v>18.3</v>
      </c>
      <c r="AY1730" s="2">
        <v>0.34</v>
      </c>
      <c r="AZ1730" s="2">
        <v>7.3</v>
      </c>
      <c r="BA1730" s="2">
        <v>0.9</v>
      </c>
      <c r="BB1730" s="2">
        <v>7.5</v>
      </c>
      <c r="BC1730" s="2">
        <v>2.9</v>
      </c>
      <c r="BD1730" s="2">
        <f>+AN1730*EXP(-0.0495*Y1730)</f>
        <v>2.1258144797005816</v>
      </c>
      <c r="BE1730" s="2">
        <f>+AO1730*EXP(-0.024*Y1730)</f>
        <v>10.277366128690376</v>
      </c>
    </row>
    <row r="1731" spans="1:57" x14ac:dyDescent="0.2">
      <c r="A1731" s="2" t="s">
        <v>3077</v>
      </c>
      <c r="B1731" s="2" t="s">
        <v>19</v>
      </c>
      <c r="C1731" s="2" t="s">
        <v>1907</v>
      </c>
      <c r="D1731" s="2" t="s">
        <v>21</v>
      </c>
      <c r="E1731" s="2" t="s">
        <v>1515</v>
      </c>
      <c r="F1731" s="2">
        <v>3</v>
      </c>
      <c r="G1731" s="2">
        <v>72</v>
      </c>
      <c r="H1731" s="2">
        <v>5</v>
      </c>
      <c r="I1731" s="2">
        <v>3</v>
      </c>
      <c r="J1731" s="2">
        <v>1</v>
      </c>
      <c r="K1731" s="2" t="s">
        <v>61</v>
      </c>
      <c r="L1731" s="6" t="s">
        <v>84</v>
      </c>
      <c r="M1731" s="5">
        <v>600000000</v>
      </c>
      <c r="N1731" s="2">
        <v>0</v>
      </c>
      <c r="O1731" s="2">
        <v>4.7353100000000001</v>
      </c>
      <c r="P1731" s="2">
        <v>-74.027199999999993</v>
      </c>
      <c r="Q1731" s="2" t="s">
        <v>3078</v>
      </c>
      <c r="R1731" s="2">
        <v>8333333.3329999996</v>
      </c>
      <c r="S1731" s="2">
        <v>0</v>
      </c>
      <c r="T1731" s="2" t="s">
        <v>55</v>
      </c>
      <c r="U1731" s="2" t="s">
        <v>56</v>
      </c>
      <c r="V1731" s="2" t="s">
        <v>28</v>
      </c>
      <c r="W1731" s="2" t="s">
        <v>55</v>
      </c>
      <c r="X1731" s="2" t="s">
        <v>57</v>
      </c>
      <c r="Y1731" s="2">
        <v>2.80135758631247</v>
      </c>
      <c r="Z1731" s="2">
        <v>4.71035</v>
      </c>
      <c r="AA1731" s="2">
        <v>-74.030416666666696</v>
      </c>
      <c r="AB1731" s="2">
        <v>2570</v>
      </c>
      <c r="AC1731" s="2" t="s">
        <v>31</v>
      </c>
      <c r="AD1731" s="2" t="s">
        <v>58</v>
      </c>
      <c r="AE1731" s="2" t="s">
        <v>33</v>
      </c>
      <c r="AF1731" s="2" t="s">
        <v>34</v>
      </c>
      <c r="AG1731" s="2" t="s">
        <v>59</v>
      </c>
      <c r="AH1731" s="2">
        <v>2.41892388082056</v>
      </c>
      <c r="AI1731" s="2">
        <v>0.64615338548579904</v>
      </c>
      <c r="AJ1731" s="2">
        <v>1.3220921752402099</v>
      </c>
      <c r="AK1731" s="2">
        <v>0.26642327471710697</v>
      </c>
      <c r="AL1731" s="2">
        <v>4.4920693773464998E-2</v>
      </c>
      <c r="AM1731" s="2">
        <v>15.5</v>
      </c>
      <c r="AN1731" s="2">
        <v>2.4</v>
      </c>
      <c r="AO1731" s="2">
        <v>10.9</v>
      </c>
      <c r="AP1731" s="2">
        <v>564</v>
      </c>
      <c r="AQ1731" s="2">
        <v>68</v>
      </c>
      <c r="AR1731" s="2">
        <v>1.5</v>
      </c>
      <c r="AS1731" s="2">
        <v>135</v>
      </c>
      <c r="AT1731" s="2">
        <v>0</v>
      </c>
      <c r="AU1731" s="2">
        <v>162</v>
      </c>
      <c r="AV1731" s="2">
        <v>9.1</v>
      </c>
      <c r="AW1731" s="2">
        <v>9.1999999999999993</v>
      </c>
      <c r="AX1731" s="2">
        <v>18.3</v>
      </c>
      <c r="AY1731" s="2">
        <v>0.34</v>
      </c>
      <c r="AZ1731" s="2">
        <v>7.3</v>
      </c>
      <c r="BA1731" s="2">
        <v>0.9</v>
      </c>
      <c r="BB1731" s="2">
        <v>7.5</v>
      </c>
      <c r="BC1731" s="2">
        <v>2.9</v>
      </c>
      <c r="BD1731" s="2">
        <f>+AN1731*EXP(-0.0495*Y1731)</f>
        <v>2.0892424514113679</v>
      </c>
      <c r="BE1731" s="2">
        <f>+AO1731*EXP(-0.024*Y1731)</f>
        <v>10.191257115213384</v>
      </c>
    </row>
    <row r="1732" spans="1:57" x14ac:dyDescent="0.2">
      <c r="A1732" s="2" t="s">
        <v>1184</v>
      </c>
      <c r="B1732" s="2" t="s">
        <v>19</v>
      </c>
      <c r="C1732" s="2" t="s">
        <v>20</v>
      </c>
      <c r="D1732" s="2" t="s">
        <v>21</v>
      </c>
      <c r="E1732" s="2" t="s">
        <v>234</v>
      </c>
      <c r="F1732" s="2">
        <v>4</v>
      </c>
      <c r="G1732" s="2">
        <v>72</v>
      </c>
      <c r="H1732" s="2">
        <v>3</v>
      </c>
      <c r="I1732" s="2">
        <v>3</v>
      </c>
      <c r="J1732" s="2">
        <v>1</v>
      </c>
      <c r="K1732" s="2" t="s">
        <v>61</v>
      </c>
      <c r="L1732" s="6" t="s">
        <v>113</v>
      </c>
      <c r="M1732" s="5">
        <v>390000000</v>
      </c>
      <c r="N1732" s="2">
        <v>0</v>
      </c>
      <c r="O1732" s="2">
        <v>4.7259187699999998</v>
      </c>
      <c r="P1732" s="2">
        <v>-74.034790040000004</v>
      </c>
      <c r="Q1732" s="2" t="s">
        <v>1185</v>
      </c>
      <c r="R1732" s="2">
        <v>5416666.6670000004</v>
      </c>
      <c r="S1732" s="2">
        <v>0</v>
      </c>
      <c r="T1732" s="2" t="s">
        <v>55</v>
      </c>
      <c r="U1732" s="2" t="s">
        <v>56</v>
      </c>
      <c r="V1732" s="2" t="s">
        <v>28</v>
      </c>
      <c r="W1732" s="2" t="s">
        <v>55</v>
      </c>
      <c r="X1732" s="2" t="s">
        <v>57</v>
      </c>
      <c r="Y1732" s="2">
        <v>1.7997424908579001</v>
      </c>
      <c r="Z1732" s="2">
        <v>4.71035</v>
      </c>
      <c r="AA1732" s="2">
        <v>-74.030416666666696</v>
      </c>
      <c r="AB1732" s="2">
        <v>2570</v>
      </c>
      <c r="AC1732" s="2" t="s">
        <v>31</v>
      </c>
      <c r="AD1732" s="2" t="s">
        <v>58</v>
      </c>
      <c r="AE1732" s="2" t="s">
        <v>33</v>
      </c>
      <c r="AF1732" s="2" t="s">
        <v>34</v>
      </c>
      <c r="AG1732" s="2" t="s">
        <v>59</v>
      </c>
      <c r="AH1732" s="2">
        <v>1.74521847645453</v>
      </c>
      <c r="AI1732" s="2">
        <v>1.4189637426474699</v>
      </c>
      <c r="AJ1732" s="2">
        <v>0.96054613443186998</v>
      </c>
      <c r="AK1732" s="2">
        <v>0.169270743703125</v>
      </c>
      <c r="AL1732" s="2">
        <v>2.7045982394045501E-2</v>
      </c>
      <c r="AM1732" s="2">
        <v>15.5</v>
      </c>
      <c r="AN1732" s="2">
        <v>2.4</v>
      </c>
      <c r="AO1732" s="2">
        <v>10.9</v>
      </c>
      <c r="AP1732" s="2">
        <v>564</v>
      </c>
      <c r="AQ1732" s="2">
        <v>68</v>
      </c>
      <c r="AR1732" s="2">
        <v>1.5</v>
      </c>
      <c r="AS1732" s="2">
        <v>135</v>
      </c>
      <c r="AT1732" s="2">
        <v>0</v>
      </c>
      <c r="AU1732" s="2">
        <v>162</v>
      </c>
      <c r="AV1732" s="2">
        <v>9.1</v>
      </c>
      <c r="AW1732" s="2">
        <v>9.1999999999999993</v>
      </c>
      <c r="AX1732" s="2">
        <v>18.3</v>
      </c>
      <c r="AY1732" s="2">
        <v>0.34</v>
      </c>
      <c r="AZ1732" s="2">
        <v>7.3</v>
      </c>
      <c r="BA1732" s="2">
        <v>0.9</v>
      </c>
      <c r="BB1732" s="2">
        <v>7.5</v>
      </c>
      <c r="BC1732" s="2">
        <v>2.9</v>
      </c>
      <c r="BD1732" s="2">
        <f>+AN1732*EXP(-0.0495*Y1732)</f>
        <v>2.1954378090331366</v>
      </c>
      <c r="BE1732" s="2">
        <f>+AO1732*EXP(-0.024*Y1732)</f>
        <v>10.439210630123853</v>
      </c>
    </row>
    <row r="1733" spans="1:57" x14ac:dyDescent="0.2">
      <c r="A1733" s="2" t="s">
        <v>3367</v>
      </c>
      <c r="B1733" s="2" t="s">
        <v>19</v>
      </c>
      <c r="C1733" s="2" t="s">
        <v>3245</v>
      </c>
      <c r="D1733" s="2" t="s">
        <v>21</v>
      </c>
      <c r="E1733" s="2" t="s">
        <v>393</v>
      </c>
      <c r="F1733" s="2">
        <v>5</v>
      </c>
      <c r="G1733" s="2">
        <v>72</v>
      </c>
      <c r="H1733" s="2">
        <v>1</v>
      </c>
      <c r="I1733" s="2">
        <v>2</v>
      </c>
      <c r="J1733" s="2">
        <v>1</v>
      </c>
      <c r="K1733" s="2" t="s">
        <v>61</v>
      </c>
      <c r="L1733" s="6" t="s">
        <v>62</v>
      </c>
      <c r="M1733" s="5">
        <v>635000000</v>
      </c>
      <c r="N1733" s="2">
        <v>0</v>
      </c>
      <c r="O1733" s="2">
        <v>4.7178244999999999</v>
      </c>
      <c r="P1733" s="2">
        <v>-74.042205999999993</v>
      </c>
      <c r="Q1733" s="2" t="s">
        <v>3368</v>
      </c>
      <c r="R1733" s="2">
        <v>8819444.4440000001</v>
      </c>
      <c r="S1733" s="2">
        <v>0</v>
      </c>
      <c r="T1733" s="2" t="s">
        <v>55</v>
      </c>
      <c r="U1733" s="2" t="s">
        <v>56</v>
      </c>
      <c r="V1733" s="2" t="s">
        <v>28</v>
      </c>
      <c r="W1733" s="2" t="s">
        <v>55</v>
      </c>
      <c r="X1733" s="2" t="s">
        <v>57</v>
      </c>
      <c r="Y1733" s="2">
        <v>1.5501725098713299</v>
      </c>
      <c r="Z1733" s="2">
        <v>4.71035</v>
      </c>
      <c r="AA1733" s="2">
        <v>-74.030416666666696</v>
      </c>
      <c r="AB1733" s="2">
        <v>2570</v>
      </c>
      <c r="AC1733" s="2" t="s">
        <v>31</v>
      </c>
      <c r="AD1733" s="2" t="s">
        <v>58</v>
      </c>
      <c r="AE1733" s="2" t="s">
        <v>33</v>
      </c>
      <c r="AF1733" s="2" t="s">
        <v>34</v>
      </c>
      <c r="AG1733" s="2" t="s">
        <v>59</v>
      </c>
      <c r="AH1733" s="2">
        <v>1.09008123382068</v>
      </c>
      <c r="AI1733" s="2">
        <v>2.0257726136212102</v>
      </c>
      <c r="AJ1733" s="2">
        <v>1.3058629073512</v>
      </c>
      <c r="AK1733" s="2">
        <v>0.110950991271987</v>
      </c>
      <c r="AL1733" s="2">
        <v>0.40065625403189897</v>
      </c>
      <c r="AM1733" s="2">
        <v>15.5</v>
      </c>
      <c r="AN1733" s="2">
        <v>2.4</v>
      </c>
      <c r="AO1733" s="2">
        <v>10.9</v>
      </c>
      <c r="AP1733" s="2">
        <v>564</v>
      </c>
      <c r="AQ1733" s="2">
        <v>68</v>
      </c>
      <c r="AR1733" s="2">
        <v>1.5</v>
      </c>
      <c r="AS1733" s="2">
        <v>135</v>
      </c>
      <c r="AT1733" s="2">
        <v>0</v>
      </c>
      <c r="AU1733" s="2">
        <v>162</v>
      </c>
      <c r="AV1733" s="2">
        <v>9.1</v>
      </c>
      <c r="AW1733" s="2">
        <v>9.1999999999999993</v>
      </c>
      <c r="AX1733" s="2">
        <v>18.3</v>
      </c>
      <c r="AY1733" s="2">
        <v>0.34</v>
      </c>
      <c r="AZ1733" s="2">
        <v>7.3</v>
      </c>
      <c r="BA1733" s="2">
        <v>0.9</v>
      </c>
      <c r="BB1733" s="2">
        <v>7.5</v>
      </c>
      <c r="BC1733" s="2">
        <v>2.9</v>
      </c>
      <c r="BD1733" s="2">
        <f>+AN1733*EXP(-0.0495*Y1733)</f>
        <v>2.2227278395067036</v>
      </c>
      <c r="BE1733" s="2">
        <f>+AO1733*EXP(-0.024*Y1733)</f>
        <v>10.501925790846199</v>
      </c>
    </row>
    <row r="1734" spans="1:57" x14ac:dyDescent="0.2">
      <c r="A1734" s="2" t="s">
        <v>357</v>
      </c>
      <c r="B1734" s="2" t="s">
        <v>19</v>
      </c>
      <c r="C1734" s="2" t="s">
        <v>20</v>
      </c>
      <c r="D1734" s="2" t="s">
        <v>21</v>
      </c>
      <c r="E1734" s="2" t="s">
        <v>358</v>
      </c>
      <c r="F1734" s="2">
        <v>4</v>
      </c>
      <c r="G1734" s="2">
        <v>71.25</v>
      </c>
      <c r="H1734" s="2">
        <v>3</v>
      </c>
      <c r="I1734" s="2">
        <v>2</v>
      </c>
      <c r="J1734" s="2">
        <v>1</v>
      </c>
      <c r="K1734" s="2" t="s">
        <v>61</v>
      </c>
      <c r="L1734" s="6" t="s">
        <v>113</v>
      </c>
      <c r="M1734" s="5">
        <v>370000000</v>
      </c>
      <c r="N1734" s="2">
        <v>0</v>
      </c>
      <c r="O1734" s="2">
        <v>4.7316431999999997</v>
      </c>
      <c r="P1734" s="2">
        <v>-74.034103389999999</v>
      </c>
      <c r="Q1734" s="2" t="s">
        <v>359</v>
      </c>
      <c r="R1734" s="2">
        <v>5192982.4560000002</v>
      </c>
      <c r="S1734" s="2">
        <v>0</v>
      </c>
      <c r="T1734" s="2" t="s">
        <v>55</v>
      </c>
      <c r="U1734" s="2" t="s">
        <v>56</v>
      </c>
      <c r="V1734" s="2" t="s">
        <v>28</v>
      </c>
      <c r="W1734" s="2" t="s">
        <v>55</v>
      </c>
      <c r="X1734" s="2" t="s">
        <v>57</v>
      </c>
      <c r="Y1734" s="2">
        <v>2.40537754573299</v>
      </c>
      <c r="Z1734" s="2">
        <v>4.71035</v>
      </c>
      <c r="AA1734" s="2">
        <v>-74.030416666666696</v>
      </c>
      <c r="AB1734" s="2">
        <v>2570</v>
      </c>
      <c r="AC1734" s="2" t="s">
        <v>31</v>
      </c>
      <c r="AD1734" s="2" t="s">
        <v>58</v>
      </c>
      <c r="AE1734" s="2" t="s">
        <v>33</v>
      </c>
      <c r="AF1734" s="2" t="s">
        <v>34</v>
      </c>
      <c r="AG1734" s="2" t="s">
        <v>59</v>
      </c>
      <c r="AH1734" s="2">
        <v>1.70800167669043</v>
      </c>
      <c r="AI1734" s="2">
        <v>1.3472200689554099</v>
      </c>
      <c r="AJ1734" s="2">
        <v>0.66500117734785802</v>
      </c>
      <c r="AK1734" s="2">
        <v>0.4681795969368</v>
      </c>
      <c r="AL1734" s="2">
        <v>0.23914461847830801</v>
      </c>
      <c r="AM1734" s="2">
        <v>15.5</v>
      </c>
      <c r="AN1734" s="2">
        <v>2.4</v>
      </c>
      <c r="AO1734" s="2">
        <v>10.9</v>
      </c>
      <c r="AP1734" s="2">
        <v>564</v>
      </c>
      <c r="AQ1734" s="2">
        <v>68</v>
      </c>
      <c r="AR1734" s="2">
        <v>1.5</v>
      </c>
      <c r="AS1734" s="2">
        <v>135</v>
      </c>
      <c r="AT1734" s="2">
        <v>0</v>
      </c>
      <c r="AU1734" s="2">
        <v>162</v>
      </c>
      <c r="AV1734" s="2">
        <v>9.1</v>
      </c>
      <c r="AW1734" s="2">
        <v>9.1999999999999993</v>
      </c>
      <c r="AX1734" s="2">
        <v>18.3</v>
      </c>
      <c r="AY1734" s="2">
        <v>0.34</v>
      </c>
      <c r="AZ1734" s="2">
        <v>7.3</v>
      </c>
      <c r="BA1734" s="2">
        <v>0.9</v>
      </c>
      <c r="BB1734" s="2">
        <v>7.5</v>
      </c>
      <c r="BC1734" s="2">
        <v>2.9</v>
      </c>
      <c r="BD1734" s="2">
        <f>+AN1734*EXP(-0.0495*Y1734)</f>
        <v>2.1305976960666166</v>
      </c>
      <c r="BE1734" s="2">
        <f>+AO1734*EXP(-0.024*Y1734)</f>
        <v>10.288571623767139</v>
      </c>
    </row>
    <row r="1735" spans="1:57" x14ac:dyDescent="0.2">
      <c r="A1735" s="2" t="s">
        <v>604</v>
      </c>
      <c r="B1735" s="2" t="s">
        <v>19</v>
      </c>
      <c r="C1735" s="2" t="s">
        <v>20</v>
      </c>
      <c r="D1735" s="2" t="s">
        <v>21</v>
      </c>
      <c r="E1735" s="2" t="s">
        <v>605</v>
      </c>
      <c r="F1735" s="2">
        <v>5</v>
      </c>
      <c r="G1735" s="2">
        <v>70.66</v>
      </c>
      <c r="H1735" s="2">
        <v>2</v>
      </c>
      <c r="I1735" s="2">
        <v>3</v>
      </c>
      <c r="J1735" s="2">
        <v>2</v>
      </c>
      <c r="K1735" s="2" t="s">
        <v>61</v>
      </c>
      <c r="L1735" s="6" t="s">
        <v>62</v>
      </c>
      <c r="M1735" s="5">
        <v>690000000</v>
      </c>
      <c r="N1735" s="2">
        <v>0</v>
      </c>
      <c r="O1735" s="2">
        <v>4.7023169999999999</v>
      </c>
      <c r="P1735" s="2">
        <v>-74.031943999999996</v>
      </c>
      <c r="Q1735" s="2" t="s">
        <v>606</v>
      </c>
      <c r="R1735" s="2">
        <v>9765072.1769999992</v>
      </c>
      <c r="S1735" s="2">
        <v>0</v>
      </c>
      <c r="T1735" s="2" t="s">
        <v>55</v>
      </c>
      <c r="U1735" s="2" t="s">
        <v>56</v>
      </c>
      <c r="V1735" s="2" t="s">
        <v>28</v>
      </c>
      <c r="W1735" s="2" t="s">
        <v>55</v>
      </c>
      <c r="X1735" s="2" t="s">
        <v>57</v>
      </c>
      <c r="Y1735" s="2">
        <v>0.91014241160763598</v>
      </c>
      <c r="Z1735" s="2">
        <v>4.71035</v>
      </c>
      <c r="AA1735" s="2">
        <v>-74.030416666666696</v>
      </c>
      <c r="AB1735" s="2">
        <v>2570</v>
      </c>
      <c r="AC1735" s="2" t="s">
        <v>31</v>
      </c>
      <c r="AD1735" s="2" t="s">
        <v>58</v>
      </c>
      <c r="AE1735" s="2" t="s">
        <v>33</v>
      </c>
      <c r="AF1735" s="2" t="s">
        <v>34</v>
      </c>
      <c r="AG1735" s="2" t="s">
        <v>59</v>
      </c>
      <c r="AH1735" s="2">
        <v>2.4837609804411298</v>
      </c>
      <c r="AI1735" s="2">
        <v>0.70687567813085705</v>
      </c>
      <c r="AJ1735" s="2">
        <v>0.123037313107957</v>
      </c>
      <c r="AK1735" s="2">
        <v>0.1129704373448</v>
      </c>
      <c r="AL1735" s="2">
        <v>0.42451931823592198</v>
      </c>
      <c r="AM1735" s="2">
        <v>15.5</v>
      </c>
      <c r="AN1735" s="2">
        <v>2.4</v>
      </c>
      <c r="AO1735" s="2">
        <v>10.9</v>
      </c>
      <c r="AP1735" s="2">
        <v>564</v>
      </c>
      <c r="AQ1735" s="2">
        <v>68</v>
      </c>
      <c r="AR1735" s="2">
        <v>1.5</v>
      </c>
      <c r="AS1735" s="2">
        <v>135</v>
      </c>
      <c r="AT1735" s="2">
        <v>0</v>
      </c>
      <c r="AU1735" s="2">
        <v>162</v>
      </c>
      <c r="AV1735" s="2">
        <v>9.1</v>
      </c>
      <c r="AW1735" s="2">
        <v>9.1999999999999993</v>
      </c>
      <c r="AX1735" s="2">
        <v>18.3</v>
      </c>
      <c r="AY1735" s="2">
        <v>0.34</v>
      </c>
      <c r="AZ1735" s="2">
        <v>7.3</v>
      </c>
      <c r="BA1735" s="2">
        <v>0.9</v>
      </c>
      <c r="BB1735" s="2">
        <v>7.5</v>
      </c>
      <c r="BC1735" s="2">
        <v>2.9</v>
      </c>
      <c r="BD1735" s="2">
        <f>+AN1735*EXP(-0.0495*Y1735)</f>
        <v>2.2942745377368339</v>
      </c>
      <c r="BE1735" s="2">
        <f>+AO1735*EXP(-0.024*Y1735)</f>
        <v>10.664488299531024</v>
      </c>
    </row>
    <row r="1736" spans="1:57" x14ac:dyDescent="0.2">
      <c r="A1736" s="2" t="s">
        <v>1215</v>
      </c>
      <c r="B1736" s="2" t="s">
        <v>19</v>
      </c>
      <c r="C1736" s="2" t="s">
        <v>20</v>
      </c>
      <c r="D1736" s="2" t="s">
        <v>21</v>
      </c>
      <c r="E1736" s="2" t="s">
        <v>177</v>
      </c>
      <c r="F1736" s="2">
        <v>6</v>
      </c>
      <c r="G1736" s="2">
        <v>70</v>
      </c>
      <c r="H1736" s="2">
        <v>2</v>
      </c>
      <c r="I1736" s="2">
        <v>2</v>
      </c>
      <c r="J1736" s="2">
        <v>1</v>
      </c>
      <c r="K1736" s="2" t="s">
        <v>61</v>
      </c>
      <c r="L1736" s="6" t="s">
        <v>84</v>
      </c>
      <c r="M1736" s="5">
        <v>690000000</v>
      </c>
      <c r="N1736" s="2">
        <v>0</v>
      </c>
      <c r="O1736" s="2">
        <v>4.6909890000000001</v>
      </c>
      <c r="P1736" s="2">
        <v>-74.04365</v>
      </c>
      <c r="Q1736" s="2" t="s">
        <v>1216</v>
      </c>
      <c r="R1736" s="2">
        <v>9857142.8570000008</v>
      </c>
      <c r="S1736" s="2">
        <v>0</v>
      </c>
      <c r="T1736" s="2" t="s">
        <v>55</v>
      </c>
      <c r="U1736" s="2" t="s">
        <v>56</v>
      </c>
      <c r="V1736" s="2" t="s">
        <v>28</v>
      </c>
      <c r="W1736" s="2" t="s">
        <v>55</v>
      </c>
      <c r="X1736" s="2" t="s">
        <v>57</v>
      </c>
      <c r="Y1736" s="2">
        <v>2.6078081007118099</v>
      </c>
      <c r="Z1736" s="2">
        <v>4.71035</v>
      </c>
      <c r="AA1736" s="2">
        <v>-74.030416666666696</v>
      </c>
      <c r="AB1736" s="2">
        <v>2570</v>
      </c>
      <c r="AC1736" s="2" t="s">
        <v>31</v>
      </c>
      <c r="AD1736" s="2" t="s">
        <v>58</v>
      </c>
      <c r="AE1736" s="2" t="s">
        <v>33</v>
      </c>
      <c r="AF1736" s="2" t="s">
        <v>34</v>
      </c>
      <c r="AG1736" s="2" t="s">
        <v>59</v>
      </c>
      <c r="AH1736" s="2">
        <v>1.40693795339193</v>
      </c>
      <c r="AI1736" s="2">
        <v>1.5905931700017899</v>
      </c>
      <c r="AJ1736" s="2">
        <v>0.733163402484585</v>
      </c>
      <c r="AK1736" s="2">
        <v>4.7622235811161803E-2</v>
      </c>
      <c r="AL1736" s="2">
        <v>0.15666174552138701</v>
      </c>
      <c r="AM1736" s="2">
        <v>15.5</v>
      </c>
      <c r="AN1736" s="2">
        <v>2.4</v>
      </c>
      <c r="AO1736" s="2">
        <v>10.9</v>
      </c>
      <c r="AP1736" s="2">
        <v>564</v>
      </c>
      <c r="AQ1736" s="2">
        <v>68</v>
      </c>
      <c r="AR1736" s="2">
        <v>1.5</v>
      </c>
      <c r="AS1736" s="2">
        <v>135</v>
      </c>
      <c r="AT1736" s="2">
        <v>0</v>
      </c>
      <c r="AU1736" s="2">
        <v>162</v>
      </c>
      <c r="AV1736" s="2">
        <v>9.1</v>
      </c>
      <c r="AW1736" s="2">
        <v>9.1999999999999993</v>
      </c>
      <c r="AX1736" s="2">
        <v>18.3</v>
      </c>
      <c r="AY1736" s="2">
        <v>0.34</v>
      </c>
      <c r="AZ1736" s="2">
        <v>7.3</v>
      </c>
      <c r="BA1736" s="2">
        <v>0.9</v>
      </c>
      <c r="BB1736" s="2">
        <v>7.5</v>
      </c>
      <c r="BC1736" s="2">
        <v>2.9</v>
      </c>
      <c r="BD1736" s="2">
        <f>+AN1736*EXP(-0.0495*Y1736)</f>
        <v>2.1093550481277585</v>
      </c>
      <c r="BE1736" s="2">
        <f>+AO1736*EXP(-0.024*Y1736)</f>
        <v>10.238707539688109</v>
      </c>
    </row>
    <row r="1737" spans="1:57" x14ac:dyDescent="0.2">
      <c r="A1737" s="2" t="s">
        <v>4560</v>
      </c>
      <c r="B1737" s="2" t="s">
        <v>19</v>
      </c>
      <c r="C1737" s="2" t="s">
        <v>3245</v>
      </c>
      <c r="D1737" s="2" t="s">
        <v>21</v>
      </c>
      <c r="E1737" s="2" t="s">
        <v>144</v>
      </c>
      <c r="F1737" s="2">
        <v>5</v>
      </c>
      <c r="G1737" s="2">
        <v>69</v>
      </c>
      <c r="H1737" s="2">
        <v>1</v>
      </c>
      <c r="I1737" s="2">
        <v>2</v>
      </c>
      <c r="J1737" s="2">
        <v>1</v>
      </c>
      <c r="K1737" s="2" t="s">
        <v>61</v>
      </c>
      <c r="L1737" s="6" t="s">
        <v>62</v>
      </c>
      <c r="M1737" s="5">
        <v>650000000</v>
      </c>
      <c r="N1737" s="2">
        <v>0</v>
      </c>
      <c r="O1737" s="2">
        <v>4.7001295089999999</v>
      </c>
      <c r="P1737" s="2">
        <v>-74.031204220000006</v>
      </c>
      <c r="Q1737" s="2" t="s">
        <v>4561</v>
      </c>
      <c r="R1737" s="2">
        <v>9420289.8550000004</v>
      </c>
      <c r="S1737" s="2">
        <v>0</v>
      </c>
      <c r="T1737" s="2" t="s">
        <v>55</v>
      </c>
      <c r="U1737" s="2" t="s">
        <v>56</v>
      </c>
      <c r="V1737" s="2" t="s">
        <v>28</v>
      </c>
      <c r="W1737" s="2" t="s">
        <v>55</v>
      </c>
      <c r="X1737" s="2" t="s">
        <v>57</v>
      </c>
      <c r="Y1737" s="2">
        <v>1.1410899577981799</v>
      </c>
      <c r="Z1737" s="2">
        <v>4.71035</v>
      </c>
      <c r="AA1737" s="2">
        <v>-74.030416666666696</v>
      </c>
      <c r="AB1737" s="2">
        <v>2570</v>
      </c>
      <c r="AC1737" s="2" t="s">
        <v>31</v>
      </c>
      <c r="AD1737" s="2" t="s">
        <v>58</v>
      </c>
      <c r="AE1737" s="2" t="s">
        <v>33</v>
      </c>
      <c r="AF1737" s="2" t="s">
        <v>34</v>
      </c>
      <c r="AG1737" s="2" t="s">
        <v>59</v>
      </c>
      <c r="AH1737" s="2">
        <v>2.6006983265293999</v>
      </c>
      <c r="AI1737" s="2">
        <v>0.60001674882111</v>
      </c>
      <c r="AJ1737" s="2">
        <v>0.19293446033520401</v>
      </c>
      <c r="AK1737" s="2">
        <v>2.3457528056725602E-2</v>
      </c>
      <c r="AL1737" s="2">
        <v>0.45199537179007498</v>
      </c>
      <c r="AM1737" s="2">
        <v>15.5</v>
      </c>
      <c r="AN1737" s="2">
        <v>2.4</v>
      </c>
      <c r="AO1737" s="2">
        <v>10.9</v>
      </c>
      <c r="AP1737" s="2">
        <v>564</v>
      </c>
      <c r="AQ1737" s="2">
        <v>68</v>
      </c>
      <c r="AR1737" s="2">
        <v>1.5</v>
      </c>
      <c r="AS1737" s="2">
        <v>135</v>
      </c>
      <c r="AT1737" s="2">
        <v>0</v>
      </c>
      <c r="AU1737" s="2">
        <v>162</v>
      </c>
      <c r="AV1737" s="2">
        <v>9.1</v>
      </c>
      <c r="AW1737" s="2">
        <v>9.1999999999999993</v>
      </c>
      <c r="AX1737" s="2">
        <v>18.3</v>
      </c>
      <c r="AY1737" s="2">
        <v>0.34</v>
      </c>
      <c r="AZ1737" s="2">
        <v>7.3</v>
      </c>
      <c r="BA1737" s="2">
        <v>0.9</v>
      </c>
      <c r="BB1737" s="2">
        <v>7.5</v>
      </c>
      <c r="BC1737" s="2">
        <v>2.9</v>
      </c>
      <c r="BD1737" s="2">
        <f>+AN1737*EXP(-0.0495*Y1737)</f>
        <v>2.2681959604387374</v>
      </c>
      <c r="BE1737" s="2">
        <f>+AO1737*EXP(-0.024*Y1737)</f>
        <v>10.605541316677781</v>
      </c>
    </row>
    <row r="1738" spans="1:57" x14ac:dyDescent="0.2">
      <c r="A1738" s="2" t="s">
        <v>4012</v>
      </c>
      <c r="B1738" s="2" t="s">
        <v>19</v>
      </c>
      <c r="C1738" s="2" t="s">
        <v>3245</v>
      </c>
      <c r="D1738" s="2" t="s">
        <v>21</v>
      </c>
      <c r="E1738" s="2" t="s">
        <v>147</v>
      </c>
      <c r="F1738" s="2">
        <v>6</v>
      </c>
      <c r="G1738" s="2">
        <v>68</v>
      </c>
      <c r="H1738" s="2">
        <v>1</v>
      </c>
      <c r="I1738" s="2">
        <v>1</v>
      </c>
      <c r="J1738" s="2">
        <v>2</v>
      </c>
      <c r="K1738" s="2" t="s">
        <v>61</v>
      </c>
      <c r="L1738" s="6" t="s">
        <v>75</v>
      </c>
      <c r="M1738" s="5">
        <v>780000000</v>
      </c>
      <c r="N1738" s="2">
        <v>0</v>
      </c>
      <c r="O1738" s="2">
        <v>4.6814017300000001</v>
      </c>
      <c r="P1738" s="2">
        <v>-74.04263306</v>
      </c>
      <c r="Q1738" s="2" t="s">
        <v>4013</v>
      </c>
      <c r="R1738" s="2">
        <v>11470588.24</v>
      </c>
      <c r="S1738" s="2">
        <v>0</v>
      </c>
      <c r="T1738" s="2" t="s">
        <v>55</v>
      </c>
      <c r="U1738" s="2" t="s">
        <v>56</v>
      </c>
      <c r="V1738" s="2" t="s">
        <v>28</v>
      </c>
      <c r="W1738" s="2" t="s">
        <v>55</v>
      </c>
      <c r="X1738" s="2" t="s">
        <v>57</v>
      </c>
      <c r="Y1738" s="2">
        <v>3.4959324970911898</v>
      </c>
      <c r="Z1738" s="2">
        <v>4.71035</v>
      </c>
      <c r="AA1738" s="2">
        <v>-74.030416666666696</v>
      </c>
      <c r="AB1738" s="2">
        <v>2570</v>
      </c>
      <c r="AC1738" s="2" t="s">
        <v>31</v>
      </c>
      <c r="AD1738" s="2" t="s">
        <v>58</v>
      </c>
      <c r="AE1738" s="2" t="s">
        <v>33</v>
      </c>
      <c r="AF1738" s="2" t="s">
        <v>34</v>
      </c>
      <c r="AG1738" s="2" t="s">
        <v>81</v>
      </c>
      <c r="AH1738" s="2">
        <v>1.69552976259352</v>
      </c>
      <c r="AI1738" s="2">
        <v>0.75843293498101105</v>
      </c>
      <c r="AJ1738" s="2">
        <v>0.39205278633423302</v>
      </c>
      <c r="AK1738" s="2">
        <v>7.0116424271965697E-2</v>
      </c>
      <c r="AL1738" s="2">
        <v>0.71412153392205202</v>
      </c>
      <c r="AM1738" s="2">
        <v>15.5</v>
      </c>
      <c r="AN1738" s="2">
        <v>2.4</v>
      </c>
      <c r="AO1738" s="2">
        <v>10.9</v>
      </c>
      <c r="AP1738" s="2">
        <v>564</v>
      </c>
      <c r="AQ1738" s="2">
        <v>68</v>
      </c>
      <c r="AR1738" s="2">
        <v>1.5</v>
      </c>
      <c r="AS1738" s="2">
        <v>135</v>
      </c>
      <c r="AT1738" s="2">
        <v>0</v>
      </c>
      <c r="AU1738" s="2">
        <v>162</v>
      </c>
      <c r="AV1738" s="2">
        <v>9.1</v>
      </c>
      <c r="AW1738" s="2">
        <v>9.1999999999999993</v>
      </c>
      <c r="AX1738" s="2">
        <v>18.3</v>
      </c>
      <c r="AY1738" s="2">
        <v>0.34</v>
      </c>
      <c r="AZ1738" s="2">
        <v>7.3</v>
      </c>
      <c r="BA1738" s="2">
        <v>0.9</v>
      </c>
      <c r="BB1738" s="2">
        <v>7.5</v>
      </c>
      <c r="BC1738" s="2">
        <v>2.9</v>
      </c>
      <c r="BD1738" s="2">
        <f>+AN1738*EXP(-0.0495*Y1738)</f>
        <v>2.0186320494157601</v>
      </c>
      <c r="BE1738" s="2">
        <f>+AO1738*EXP(-0.024*Y1738)</f>
        <v>10.022779068073815</v>
      </c>
    </row>
    <row r="1739" spans="1:57" x14ac:dyDescent="0.2">
      <c r="A1739" s="2" t="s">
        <v>609</v>
      </c>
      <c r="B1739" s="2" t="s">
        <v>19</v>
      </c>
      <c r="C1739" s="2" t="s">
        <v>20</v>
      </c>
      <c r="D1739" s="2" t="s">
        <v>21</v>
      </c>
      <c r="E1739" s="2" t="s">
        <v>130</v>
      </c>
      <c r="F1739" s="2">
        <v>6</v>
      </c>
      <c r="G1739" s="2">
        <v>67.58</v>
      </c>
      <c r="H1739" s="2">
        <v>1</v>
      </c>
      <c r="I1739" s="2">
        <v>2</v>
      </c>
      <c r="J1739" s="2">
        <v>2</v>
      </c>
      <c r="K1739" s="2" t="s">
        <v>61</v>
      </c>
      <c r="L1739" s="6" t="s">
        <v>75</v>
      </c>
      <c r="M1739" s="5">
        <v>940000000</v>
      </c>
      <c r="N1739" s="2">
        <v>0</v>
      </c>
      <c r="O1739" s="2">
        <v>4.6786265</v>
      </c>
      <c r="P1739" s="2">
        <v>-74.040390000000002</v>
      </c>
      <c r="Q1739" s="2" t="s">
        <v>610</v>
      </c>
      <c r="R1739" s="2">
        <v>13909440.66</v>
      </c>
      <c r="S1739" s="2">
        <v>0</v>
      </c>
      <c r="T1739" s="2" t="s">
        <v>55</v>
      </c>
      <c r="U1739" s="2" t="s">
        <v>56</v>
      </c>
      <c r="V1739" s="2" t="s">
        <v>28</v>
      </c>
      <c r="W1739" s="2" t="s">
        <v>55</v>
      </c>
      <c r="X1739" s="2" t="s">
        <v>57</v>
      </c>
      <c r="Y1739" s="2">
        <v>3.7007353514620598</v>
      </c>
      <c r="Z1739" s="2">
        <v>4.71035</v>
      </c>
      <c r="AA1739" s="2">
        <v>-74.030416666666696</v>
      </c>
      <c r="AB1739" s="2">
        <v>2570</v>
      </c>
      <c r="AC1739" s="2" t="s">
        <v>31</v>
      </c>
      <c r="AD1739" s="2" t="s">
        <v>58</v>
      </c>
      <c r="AE1739" s="2" t="s">
        <v>33</v>
      </c>
      <c r="AF1739" s="2" t="s">
        <v>34</v>
      </c>
      <c r="AG1739" s="2" t="s">
        <v>81</v>
      </c>
      <c r="AH1739" s="2">
        <v>2.0087653542858801</v>
      </c>
      <c r="AI1739" s="2">
        <v>0.39594206325509501</v>
      </c>
      <c r="AJ1739" s="2">
        <v>0.43685361322014798</v>
      </c>
      <c r="AK1739" s="2">
        <v>7.9160411310383705E-2</v>
      </c>
      <c r="AL1739" s="2">
        <v>0.87628157374841897</v>
      </c>
      <c r="AM1739" s="2">
        <v>15.5</v>
      </c>
      <c r="AN1739" s="2">
        <v>2.4</v>
      </c>
      <c r="AO1739" s="2">
        <v>10.9</v>
      </c>
      <c r="AP1739" s="2">
        <v>564</v>
      </c>
      <c r="AQ1739" s="2">
        <v>68</v>
      </c>
      <c r="AR1739" s="2">
        <v>1.5</v>
      </c>
      <c r="AS1739" s="2">
        <v>135</v>
      </c>
      <c r="AT1739" s="2">
        <v>0</v>
      </c>
      <c r="AU1739" s="2">
        <v>162</v>
      </c>
      <c r="AV1739" s="2">
        <v>9.1</v>
      </c>
      <c r="AW1739" s="2">
        <v>9.1999999999999993</v>
      </c>
      <c r="AX1739" s="2">
        <v>18.3</v>
      </c>
      <c r="AY1739" s="2">
        <v>0.34</v>
      </c>
      <c r="AZ1739" s="2">
        <v>7.3</v>
      </c>
      <c r="BA1739" s="2">
        <v>0.9</v>
      </c>
      <c r="BB1739" s="2">
        <v>7.5</v>
      </c>
      <c r="BC1739" s="2">
        <v>2.9</v>
      </c>
      <c r="BD1739" s="2">
        <f>+AN1739*EXP(-0.0495*Y1739)</f>
        <v>1.9982710615311847</v>
      </c>
      <c r="BE1739" s="2">
        <f>+AO1739*EXP(-0.024*Y1739)</f>
        <v>9.9736352941532171</v>
      </c>
    </row>
    <row r="1740" spans="1:57" x14ac:dyDescent="0.2">
      <c r="A1740" s="2" t="s">
        <v>4585</v>
      </c>
      <c r="B1740" s="2" t="s">
        <v>19</v>
      </c>
      <c r="C1740" s="2" t="s">
        <v>3245</v>
      </c>
      <c r="D1740" s="2" t="s">
        <v>21</v>
      </c>
      <c r="E1740" s="2" t="s">
        <v>161</v>
      </c>
      <c r="F1740" s="2">
        <v>6</v>
      </c>
      <c r="G1740" s="2">
        <v>67</v>
      </c>
      <c r="H1740" s="2">
        <v>1</v>
      </c>
      <c r="I1740" s="2">
        <v>2</v>
      </c>
      <c r="J1740" s="2">
        <v>1</v>
      </c>
      <c r="K1740" s="2" t="s">
        <v>61</v>
      </c>
      <c r="L1740" s="6" t="s">
        <v>75</v>
      </c>
      <c r="M1740" s="5">
        <v>550000000</v>
      </c>
      <c r="N1740" s="2">
        <v>0</v>
      </c>
      <c r="O1740" s="2">
        <v>4.6922845840000003</v>
      </c>
      <c r="P1740" s="2">
        <v>-74.049102779999998</v>
      </c>
      <c r="Q1740" s="2" t="s">
        <v>4586</v>
      </c>
      <c r="R1740" s="2">
        <v>8208955.2240000004</v>
      </c>
      <c r="S1740" s="2">
        <v>0</v>
      </c>
      <c r="T1740" s="2" t="s">
        <v>55</v>
      </c>
      <c r="U1740" s="2" t="s">
        <v>56</v>
      </c>
      <c r="V1740" s="2" t="s">
        <v>28</v>
      </c>
      <c r="W1740" s="2" t="s">
        <v>55</v>
      </c>
      <c r="X1740" s="2" t="s">
        <v>57</v>
      </c>
      <c r="Y1740" s="2">
        <v>2.8882730942418502</v>
      </c>
      <c r="Z1740" s="2">
        <v>4.71035</v>
      </c>
      <c r="AA1740" s="2">
        <v>-74.030416666666696</v>
      </c>
      <c r="AB1740" s="2">
        <v>2570</v>
      </c>
      <c r="AC1740" s="2" t="s">
        <v>31</v>
      </c>
      <c r="AD1740" s="2" t="s">
        <v>58</v>
      </c>
      <c r="AE1740" s="2" t="s">
        <v>33</v>
      </c>
      <c r="AF1740" s="2" t="s">
        <v>34</v>
      </c>
      <c r="AG1740" s="2" t="s">
        <v>59</v>
      </c>
      <c r="AH1740" s="2">
        <v>0.78876433369708698</v>
      </c>
      <c r="AI1740" s="2">
        <v>2.07853900495379</v>
      </c>
      <c r="AJ1740" s="2">
        <v>0.138938450766359</v>
      </c>
      <c r="AK1740" s="2">
        <v>3.8534205259644197E-2</v>
      </c>
      <c r="AL1740" s="2">
        <v>3.2435433803562001E-2</v>
      </c>
      <c r="AM1740" s="2">
        <v>15.5</v>
      </c>
      <c r="AN1740" s="2">
        <v>2.4</v>
      </c>
      <c r="AO1740" s="2">
        <v>10.9</v>
      </c>
      <c r="AP1740" s="2">
        <v>564</v>
      </c>
      <c r="AQ1740" s="2">
        <v>68</v>
      </c>
      <c r="AR1740" s="2">
        <v>1.5</v>
      </c>
      <c r="AS1740" s="2">
        <v>135</v>
      </c>
      <c r="AT1740" s="2">
        <v>0</v>
      </c>
      <c r="AU1740" s="2">
        <v>162</v>
      </c>
      <c r="AV1740" s="2">
        <v>9.1</v>
      </c>
      <c r="AW1740" s="2">
        <v>9.1999999999999993</v>
      </c>
      <c r="AX1740" s="2">
        <v>18.3</v>
      </c>
      <c r="AY1740" s="2">
        <v>0.34</v>
      </c>
      <c r="AZ1740" s="2">
        <v>7.3</v>
      </c>
      <c r="BA1740" s="2">
        <v>0.9</v>
      </c>
      <c r="BB1740" s="2">
        <v>7.5</v>
      </c>
      <c r="BC1740" s="2">
        <v>2.9</v>
      </c>
      <c r="BD1740" s="2">
        <f>+AN1740*EXP(-0.0495*Y1740)</f>
        <v>2.0802731749264805</v>
      </c>
      <c r="BE1740" s="2">
        <f>+AO1740*EXP(-0.024*Y1740)</f>
        <v>10.17002059338428</v>
      </c>
    </row>
    <row r="1741" spans="1:57" x14ac:dyDescent="0.2">
      <c r="A1741" s="2" t="s">
        <v>3897</v>
      </c>
      <c r="B1741" s="2" t="s">
        <v>19</v>
      </c>
      <c r="C1741" s="2" t="s">
        <v>3245</v>
      </c>
      <c r="D1741" s="2" t="s">
        <v>21</v>
      </c>
      <c r="E1741" s="2" t="s">
        <v>144</v>
      </c>
      <c r="F1741" s="2">
        <v>5</v>
      </c>
      <c r="G1741" s="2">
        <v>67</v>
      </c>
      <c r="H1741" s="2">
        <v>1</v>
      </c>
      <c r="I1741" s="2">
        <v>2</v>
      </c>
      <c r="J1741" s="2">
        <v>1</v>
      </c>
      <c r="K1741" s="2" t="s">
        <v>61</v>
      </c>
      <c r="L1741" s="6" t="s">
        <v>84</v>
      </c>
      <c r="M1741" s="5">
        <v>600000000</v>
      </c>
      <c r="N1741" s="2">
        <v>0</v>
      </c>
      <c r="O1741" s="2">
        <v>4.7000026999999998</v>
      </c>
      <c r="P1741" s="2">
        <v>-74.030709999999999</v>
      </c>
      <c r="Q1741" s="2" t="s">
        <v>3898</v>
      </c>
      <c r="R1741" s="2">
        <v>8955223.8809999991</v>
      </c>
      <c r="S1741" s="2">
        <v>0</v>
      </c>
      <c r="T1741" s="2" t="s">
        <v>55</v>
      </c>
      <c r="U1741" s="2" t="s">
        <v>56</v>
      </c>
      <c r="V1741" s="2" t="s">
        <v>28</v>
      </c>
      <c r="W1741" s="2" t="s">
        <v>55</v>
      </c>
      <c r="X1741" s="2" t="s">
        <v>57</v>
      </c>
      <c r="Y1741" s="2">
        <v>1.15231580755547</v>
      </c>
      <c r="Z1741" s="2">
        <v>4.71035</v>
      </c>
      <c r="AA1741" s="2">
        <v>-74.030416666666696</v>
      </c>
      <c r="AB1741" s="2">
        <v>2570</v>
      </c>
      <c r="AC1741" s="2" t="s">
        <v>31</v>
      </c>
      <c r="AD1741" s="2" t="s">
        <v>58</v>
      </c>
      <c r="AE1741" s="2" t="s">
        <v>33</v>
      </c>
      <c r="AF1741" s="2" t="s">
        <v>34</v>
      </c>
      <c r="AG1741" s="2" t="s">
        <v>59</v>
      </c>
      <c r="AH1741" s="2">
        <v>2.6571679032110298</v>
      </c>
      <c r="AI1741" s="2">
        <v>0.54409728465528395</v>
      </c>
      <c r="AJ1741" s="2">
        <v>0.243851179917209</v>
      </c>
      <c r="AK1741" s="2">
        <v>6.3976932393585801E-3</v>
      </c>
      <c r="AL1741" s="2">
        <v>0.475018715437038</v>
      </c>
      <c r="AM1741" s="2">
        <v>15.5</v>
      </c>
      <c r="AN1741" s="2">
        <v>2.4</v>
      </c>
      <c r="AO1741" s="2">
        <v>10.9</v>
      </c>
      <c r="AP1741" s="2">
        <v>564</v>
      </c>
      <c r="AQ1741" s="2">
        <v>68</v>
      </c>
      <c r="AR1741" s="2">
        <v>1.5</v>
      </c>
      <c r="AS1741" s="2">
        <v>135</v>
      </c>
      <c r="AT1741" s="2">
        <v>0</v>
      </c>
      <c r="AU1741" s="2">
        <v>162</v>
      </c>
      <c r="AV1741" s="2">
        <v>9.1</v>
      </c>
      <c r="AW1741" s="2">
        <v>9.1999999999999993</v>
      </c>
      <c r="AX1741" s="2">
        <v>18.3</v>
      </c>
      <c r="AY1741" s="2">
        <v>0.34</v>
      </c>
      <c r="AZ1741" s="2">
        <v>7.3</v>
      </c>
      <c r="BA1741" s="2">
        <v>0.9</v>
      </c>
      <c r="BB1741" s="2">
        <v>7.5</v>
      </c>
      <c r="BC1741" s="2">
        <v>2.9</v>
      </c>
      <c r="BD1741" s="2">
        <f>+AN1741*EXP(-0.0495*Y1741)</f>
        <v>2.266935920420341</v>
      </c>
      <c r="BE1741" s="2">
        <f>+AO1741*EXP(-0.024*Y1741)</f>
        <v>10.602684352435302</v>
      </c>
    </row>
    <row r="1742" spans="1:57" x14ac:dyDescent="0.2">
      <c r="A1742" s="2" t="s">
        <v>4329</v>
      </c>
      <c r="B1742" s="2" t="s">
        <v>19</v>
      </c>
      <c r="C1742" s="2" t="s">
        <v>3245</v>
      </c>
      <c r="D1742" s="2" t="s">
        <v>21</v>
      </c>
      <c r="E1742" s="2" t="s">
        <v>511</v>
      </c>
      <c r="F1742" s="2">
        <v>5</v>
      </c>
      <c r="G1742" s="2">
        <v>67</v>
      </c>
      <c r="H1742" s="2">
        <v>1</v>
      </c>
      <c r="I1742" s="2">
        <v>2</v>
      </c>
      <c r="J1742" s="2">
        <v>1</v>
      </c>
      <c r="K1742" s="2" t="s">
        <v>61</v>
      </c>
      <c r="L1742" s="6" t="s">
        <v>84</v>
      </c>
      <c r="M1742" s="5">
        <v>520000000</v>
      </c>
      <c r="N1742" s="2">
        <v>0</v>
      </c>
      <c r="O1742" s="2">
        <v>4.7140070999999999</v>
      </c>
      <c r="P1742" s="2">
        <v>-74.035749899999999</v>
      </c>
      <c r="Q1742" s="2" t="s">
        <v>4330</v>
      </c>
      <c r="R1742" s="2">
        <v>7761194.0300000003</v>
      </c>
      <c r="S1742" s="2">
        <v>0</v>
      </c>
      <c r="T1742" s="2" t="s">
        <v>55</v>
      </c>
      <c r="U1742" s="2" t="s">
        <v>56</v>
      </c>
      <c r="V1742" s="2" t="s">
        <v>28</v>
      </c>
      <c r="W1742" s="2" t="s">
        <v>55</v>
      </c>
      <c r="X1742" s="2" t="s">
        <v>57</v>
      </c>
      <c r="Y1742" s="2">
        <v>0.71821177829871996</v>
      </c>
      <c r="Z1742" s="2">
        <v>4.71035</v>
      </c>
      <c r="AA1742" s="2">
        <v>-74.030416666666696</v>
      </c>
      <c r="AB1742" s="2">
        <v>2570</v>
      </c>
      <c r="AC1742" s="2" t="s">
        <v>31</v>
      </c>
      <c r="AD1742" s="2" t="s">
        <v>58</v>
      </c>
      <c r="AE1742" s="2" t="s">
        <v>33</v>
      </c>
      <c r="AF1742" s="2" t="s">
        <v>34</v>
      </c>
      <c r="AG1742" s="2" t="s">
        <v>59</v>
      </c>
      <c r="AH1742" s="2">
        <v>1.86462703552869</v>
      </c>
      <c r="AI1742" s="2">
        <v>1.2366562386327999</v>
      </c>
      <c r="AJ1742" s="2">
        <v>0.48863967474381798</v>
      </c>
      <c r="AK1742" s="2">
        <v>9.5902332109238805E-2</v>
      </c>
      <c r="AL1742" s="2">
        <v>0.12524929220726599</v>
      </c>
      <c r="AM1742" s="2">
        <v>15.5</v>
      </c>
      <c r="AN1742" s="2">
        <v>2.4</v>
      </c>
      <c r="AO1742" s="2">
        <v>10.9</v>
      </c>
      <c r="AP1742" s="2">
        <v>564</v>
      </c>
      <c r="AQ1742" s="2">
        <v>68</v>
      </c>
      <c r="AR1742" s="2">
        <v>1.5</v>
      </c>
      <c r="AS1742" s="2">
        <v>135</v>
      </c>
      <c r="AT1742" s="2">
        <v>0</v>
      </c>
      <c r="AU1742" s="2">
        <v>162</v>
      </c>
      <c r="AV1742" s="2">
        <v>9.1</v>
      </c>
      <c r="AW1742" s="2">
        <v>9.1999999999999993</v>
      </c>
      <c r="AX1742" s="2">
        <v>18.3</v>
      </c>
      <c r="AY1742" s="2">
        <v>0.34</v>
      </c>
      <c r="AZ1742" s="2">
        <v>7.3</v>
      </c>
      <c r="BA1742" s="2">
        <v>0.9</v>
      </c>
      <c r="BB1742" s="2">
        <v>7.5</v>
      </c>
      <c r="BC1742" s="2">
        <v>2.9</v>
      </c>
      <c r="BD1742" s="2">
        <f>+AN1742*EXP(-0.0495*Y1742)</f>
        <v>2.3161753153689473</v>
      </c>
      <c r="BE1742" s="2">
        <f>+AO1742*EXP(-0.024*Y1742)</f>
        <v>10.713725822575213</v>
      </c>
    </row>
    <row r="1743" spans="1:57" x14ac:dyDescent="0.2">
      <c r="A1743" s="2" t="s">
        <v>942</v>
      </c>
      <c r="B1743" s="2" t="s">
        <v>19</v>
      </c>
      <c r="C1743" s="2" t="s">
        <v>20</v>
      </c>
      <c r="D1743" s="2" t="s">
        <v>21</v>
      </c>
      <c r="E1743" s="2" t="s">
        <v>943</v>
      </c>
      <c r="F1743" s="2">
        <v>5</v>
      </c>
      <c r="G1743" s="2">
        <v>67</v>
      </c>
      <c r="H1743" s="2">
        <v>1</v>
      </c>
      <c r="I1743" s="2">
        <v>2</v>
      </c>
      <c r="J1743" s="2">
        <v>1</v>
      </c>
      <c r="K1743" s="2" t="s">
        <v>61</v>
      </c>
      <c r="L1743" s="6" t="s">
        <v>84</v>
      </c>
      <c r="M1743" s="5">
        <v>535000000</v>
      </c>
      <c r="N1743" s="2">
        <v>0</v>
      </c>
      <c r="O1743" s="2">
        <v>4.7082352639999998</v>
      </c>
      <c r="P1743" s="2">
        <v>-74.029983520000002</v>
      </c>
      <c r="Q1743" s="2" t="s">
        <v>944</v>
      </c>
      <c r="R1743" s="2">
        <v>7985074.6270000003</v>
      </c>
      <c r="S1743" s="2">
        <v>0</v>
      </c>
      <c r="T1743" s="2" t="s">
        <v>55</v>
      </c>
      <c r="U1743" s="2" t="s">
        <v>56</v>
      </c>
      <c r="V1743" s="2" t="s">
        <v>28</v>
      </c>
      <c r="W1743" s="2" t="s">
        <v>55</v>
      </c>
      <c r="X1743" s="2" t="s">
        <v>57</v>
      </c>
      <c r="Y1743" s="2">
        <v>0.24026603738066099</v>
      </c>
      <c r="Z1743" s="2">
        <v>4.71035</v>
      </c>
      <c r="AA1743" s="2">
        <v>-74.030416666666696</v>
      </c>
      <c r="AB1743" s="2">
        <v>2570</v>
      </c>
      <c r="AC1743" s="2" t="s">
        <v>31</v>
      </c>
      <c r="AD1743" s="2" t="s">
        <v>58</v>
      </c>
      <c r="AE1743" s="2" t="s">
        <v>33</v>
      </c>
      <c r="AF1743" s="2" t="s">
        <v>34</v>
      </c>
      <c r="AG1743" s="2" t="s">
        <v>59</v>
      </c>
      <c r="AH1743" s="2">
        <v>2.5986998823663701</v>
      </c>
      <c r="AI1743" s="2">
        <v>0.55524256855285403</v>
      </c>
      <c r="AJ1743" s="2">
        <v>0.41563471778544198</v>
      </c>
      <c r="AK1743" s="2">
        <v>0.31783408245766298</v>
      </c>
      <c r="AL1743" s="2">
        <v>0.35232688347004998</v>
      </c>
      <c r="AM1743" s="2">
        <v>15.5</v>
      </c>
      <c r="AN1743" s="2">
        <v>2.4</v>
      </c>
      <c r="AO1743" s="2">
        <v>10.9</v>
      </c>
      <c r="AP1743" s="2">
        <v>564</v>
      </c>
      <c r="AQ1743" s="2">
        <v>68</v>
      </c>
      <c r="AR1743" s="2">
        <v>1.5</v>
      </c>
      <c r="AS1743" s="2">
        <v>135</v>
      </c>
      <c r="AT1743" s="2">
        <v>0</v>
      </c>
      <c r="AU1743" s="2">
        <v>162</v>
      </c>
      <c r="AV1743" s="2">
        <v>9.1</v>
      </c>
      <c r="AW1743" s="2">
        <v>9.1999999999999993</v>
      </c>
      <c r="AX1743" s="2">
        <v>18.3</v>
      </c>
      <c r="AY1743" s="2">
        <v>0.34</v>
      </c>
      <c r="AZ1743" s="2">
        <v>7.3</v>
      </c>
      <c r="BA1743" s="2">
        <v>0.9</v>
      </c>
      <c r="BB1743" s="2">
        <v>7.5</v>
      </c>
      <c r="BC1743" s="2">
        <v>2.9</v>
      </c>
      <c r="BD1743" s="2">
        <f>+AN1743*EXP(-0.0495*Y1743)</f>
        <v>2.3716254608100944</v>
      </c>
      <c r="BE1743" s="2">
        <f>+AO1743*EXP(-0.024*Y1743)</f>
        <v>10.837327275808159</v>
      </c>
    </row>
    <row r="1744" spans="1:57" x14ac:dyDescent="0.2">
      <c r="A1744" s="2" t="s">
        <v>3657</v>
      </c>
      <c r="B1744" s="2" t="s">
        <v>19</v>
      </c>
      <c r="C1744" s="2" t="s">
        <v>3245</v>
      </c>
      <c r="D1744" s="2" t="s">
        <v>21</v>
      </c>
      <c r="E1744" s="2" t="s">
        <v>288</v>
      </c>
      <c r="F1744" s="2">
        <v>5</v>
      </c>
      <c r="G1744" s="2">
        <v>66</v>
      </c>
      <c r="H1744" s="2">
        <v>1</v>
      </c>
      <c r="I1744" s="2">
        <v>2</v>
      </c>
      <c r="J1744" s="2">
        <v>2</v>
      </c>
      <c r="K1744" s="2" t="s">
        <v>61</v>
      </c>
      <c r="L1744" s="6" t="s">
        <v>84</v>
      </c>
      <c r="M1744" s="5">
        <v>643438000</v>
      </c>
      <c r="N1744" s="2">
        <v>0</v>
      </c>
      <c r="O1744" s="2">
        <v>4.7021989819999996</v>
      </c>
      <c r="P1744" s="2">
        <v>-74.046165470000005</v>
      </c>
      <c r="Q1744" s="2" t="s">
        <v>3658</v>
      </c>
      <c r="R1744" s="2">
        <v>9749060.6060000006</v>
      </c>
      <c r="S1744" s="2">
        <v>0</v>
      </c>
      <c r="T1744" s="2" t="s">
        <v>55</v>
      </c>
      <c r="U1744" s="2" t="s">
        <v>56</v>
      </c>
      <c r="V1744" s="2" t="s">
        <v>28</v>
      </c>
      <c r="W1744" s="2" t="s">
        <v>55</v>
      </c>
      <c r="X1744" s="2" t="s">
        <v>57</v>
      </c>
      <c r="Y1744" s="2">
        <v>1.9687954027387899</v>
      </c>
      <c r="Z1744" s="2">
        <v>4.71035</v>
      </c>
      <c r="AA1744" s="2">
        <v>-74.030416666666696</v>
      </c>
      <c r="AB1744" s="2">
        <v>2570</v>
      </c>
      <c r="AC1744" s="2" t="s">
        <v>31</v>
      </c>
      <c r="AD1744" s="2" t="s">
        <v>58</v>
      </c>
      <c r="AE1744" s="2" t="s">
        <v>33</v>
      </c>
      <c r="AF1744" s="2" t="s">
        <v>34</v>
      </c>
      <c r="AG1744" s="2" t="s">
        <v>59</v>
      </c>
      <c r="AH1744" s="2">
        <v>0.93345180573924602</v>
      </c>
      <c r="AI1744" s="2">
        <v>2.27436423353865</v>
      </c>
      <c r="AJ1744" s="2">
        <v>1.0656232721188601</v>
      </c>
      <c r="AK1744" s="2">
        <v>8.8323844737440496E-2</v>
      </c>
      <c r="AL1744" s="2">
        <v>0.10064725515641</v>
      </c>
      <c r="AM1744" s="2">
        <v>15.5</v>
      </c>
      <c r="AN1744" s="2">
        <v>2.4</v>
      </c>
      <c r="AO1744" s="2">
        <v>10.9</v>
      </c>
      <c r="AP1744" s="2">
        <v>564</v>
      </c>
      <c r="AQ1744" s="2">
        <v>68</v>
      </c>
      <c r="AR1744" s="2">
        <v>1.5</v>
      </c>
      <c r="AS1744" s="2">
        <v>135</v>
      </c>
      <c r="AT1744" s="2">
        <v>0</v>
      </c>
      <c r="AU1744" s="2">
        <v>162</v>
      </c>
      <c r="AV1744" s="2">
        <v>9.1</v>
      </c>
      <c r="AW1744" s="2">
        <v>9.1999999999999993</v>
      </c>
      <c r="AX1744" s="2">
        <v>18.3</v>
      </c>
      <c r="AY1744" s="2">
        <v>0.34</v>
      </c>
      <c r="AZ1744" s="2">
        <v>7.3</v>
      </c>
      <c r="BA1744" s="2">
        <v>0.9</v>
      </c>
      <c r="BB1744" s="2">
        <v>7.5</v>
      </c>
      <c r="BC1744" s="2">
        <v>2.9</v>
      </c>
      <c r="BD1744" s="2">
        <f>+AN1744*EXP(-0.0495*Y1744)</f>
        <v>2.1771427781455412</v>
      </c>
      <c r="BE1744" s="2">
        <f>+AO1744*EXP(-0.024*Y1744)</f>
        <v>10.396941741338257</v>
      </c>
    </row>
    <row r="1745" spans="1:57" x14ac:dyDescent="0.2">
      <c r="A1745" s="2" t="s">
        <v>4019</v>
      </c>
      <c r="B1745" s="2" t="s">
        <v>19</v>
      </c>
      <c r="C1745" s="2" t="s">
        <v>3245</v>
      </c>
      <c r="D1745" s="2" t="s">
        <v>21</v>
      </c>
      <c r="E1745" s="2" t="s">
        <v>164</v>
      </c>
      <c r="F1745" s="2">
        <v>6</v>
      </c>
      <c r="G1745" s="2">
        <v>66</v>
      </c>
      <c r="H1745" s="2">
        <v>1</v>
      </c>
      <c r="I1745" s="2">
        <v>2</v>
      </c>
      <c r="J1745" s="2">
        <v>2</v>
      </c>
      <c r="K1745" s="2" t="s">
        <v>61</v>
      </c>
      <c r="L1745" s="6" t="s">
        <v>75</v>
      </c>
      <c r="M1745" s="5">
        <v>533000000</v>
      </c>
      <c r="N1745" s="2">
        <v>0</v>
      </c>
      <c r="O1745" s="2">
        <v>4.6963505740000002</v>
      </c>
      <c r="P1745" s="2">
        <v>-74.037864690000006</v>
      </c>
      <c r="Q1745" s="2" t="s">
        <v>4020</v>
      </c>
      <c r="R1745" s="2">
        <v>8075757.5760000004</v>
      </c>
      <c r="S1745" s="2">
        <v>0</v>
      </c>
      <c r="T1745" s="2" t="s">
        <v>55</v>
      </c>
      <c r="U1745" s="2" t="s">
        <v>56</v>
      </c>
      <c r="V1745" s="2" t="s">
        <v>28</v>
      </c>
      <c r="W1745" s="2" t="s">
        <v>55</v>
      </c>
      <c r="X1745" s="2" t="s">
        <v>57</v>
      </c>
      <c r="Y1745" s="2">
        <v>1.76392752602729</v>
      </c>
      <c r="Z1745" s="2">
        <v>4.71035</v>
      </c>
      <c r="AA1745" s="2">
        <v>-74.030416666666696</v>
      </c>
      <c r="AB1745" s="2">
        <v>2570</v>
      </c>
      <c r="AC1745" s="2" t="s">
        <v>31</v>
      </c>
      <c r="AD1745" s="2" t="s">
        <v>58</v>
      </c>
      <c r="AE1745" s="2" t="s">
        <v>33</v>
      </c>
      <c r="AF1745" s="2" t="s">
        <v>34</v>
      </c>
      <c r="AG1745" s="2" t="s">
        <v>59</v>
      </c>
      <c r="AH1745" s="2">
        <v>1.9441012921835701</v>
      </c>
      <c r="AI1745" s="2">
        <v>1.3366211406371</v>
      </c>
      <c r="AJ1745" s="2">
        <v>0.81350709715824299</v>
      </c>
      <c r="AK1745" s="2">
        <v>6.0867358754098697E-2</v>
      </c>
      <c r="AL1745" s="2">
        <v>0.23312500943747999</v>
      </c>
      <c r="AM1745" s="2">
        <v>15.5</v>
      </c>
      <c r="AN1745" s="2">
        <v>2.4</v>
      </c>
      <c r="AO1745" s="2">
        <v>10.9</v>
      </c>
      <c r="AP1745" s="2">
        <v>564</v>
      </c>
      <c r="AQ1745" s="2">
        <v>68</v>
      </c>
      <c r="AR1745" s="2">
        <v>1.5</v>
      </c>
      <c r="AS1745" s="2">
        <v>135</v>
      </c>
      <c r="AT1745" s="2">
        <v>0</v>
      </c>
      <c r="AU1745" s="2">
        <v>162</v>
      </c>
      <c r="AV1745" s="2">
        <v>9.1</v>
      </c>
      <c r="AW1745" s="2">
        <v>9.1999999999999993</v>
      </c>
      <c r="AX1745" s="2">
        <v>18.3</v>
      </c>
      <c r="AY1745" s="2">
        <v>0.34</v>
      </c>
      <c r="AZ1745" s="2">
        <v>7.3</v>
      </c>
      <c r="BA1745" s="2">
        <v>0.9</v>
      </c>
      <c r="BB1745" s="2">
        <v>7.5</v>
      </c>
      <c r="BC1745" s="2">
        <v>2.9</v>
      </c>
      <c r="BD1745" s="2">
        <f>+AN1745*EXP(-0.0495*Y1745)</f>
        <v>2.1993334227962089</v>
      </c>
      <c r="BE1745" s="2">
        <f>+AO1745*EXP(-0.024*Y1745)</f>
        <v>10.448187606770226</v>
      </c>
    </row>
    <row r="1746" spans="1:57" x14ac:dyDescent="0.2">
      <c r="A1746" s="2" t="s">
        <v>3823</v>
      </c>
      <c r="B1746" s="2" t="s">
        <v>19</v>
      </c>
      <c r="C1746" s="2" t="s">
        <v>3245</v>
      </c>
      <c r="D1746" s="2" t="s">
        <v>21</v>
      </c>
      <c r="E1746" s="2" t="s">
        <v>164</v>
      </c>
      <c r="F1746" s="2">
        <v>6</v>
      </c>
      <c r="G1746" s="2">
        <v>66</v>
      </c>
      <c r="H1746" s="2">
        <v>1</v>
      </c>
      <c r="I1746" s="2">
        <v>2</v>
      </c>
      <c r="J1746" s="2">
        <v>2</v>
      </c>
      <c r="K1746" s="2" t="s">
        <v>61</v>
      </c>
      <c r="L1746" s="6" t="s">
        <v>75</v>
      </c>
      <c r="M1746" s="5">
        <v>533000000</v>
      </c>
      <c r="N1746" s="2">
        <v>0</v>
      </c>
      <c r="O1746" s="2">
        <v>4.6963507</v>
      </c>
      <c r="P1746" s="2">
        <v>-74.037861300000003</v>
      </c>
      <c r="Q1746" s="2" t="s">
        <v>3824</v>
      </c>
      <c r="R1746" s="2">
        <v>8075757.5760000004</v>
      </c>
      <c r="S1746" s="2">
        <v>0</v>
      </c>
      <c r="T1746" s="2" t="s">
        <v>55</v>
      </c>
      <c r="U1746" s="2" t="s">
        <v>56</v>
      </c>
      <c r="V1746" s="2" t="s">
        <v>28</v>
      </c>
      <c r="W1746" s="2" t="s">
        <v>55</v>
      </c>
      <c r="X1746" s="2" t="s">
        <v>57</v>
      </c>
      <c r="Y1746" s="2">
        <v>1.7637389775560599</v>
      </c>
      <c r="Z1746" s="2">
        <v>4.71035</v>
      </c>
      <c r="AA1746" s="2">
        <v>-74.030416666666696</v>
      </c>
      <c r="AB1746" s="2">
        <v>2570</v>
      </c>
      <c r="AC1746" s="2" t="s">
        <v>31</v>
      </c>
      <c r="AD1746" s="2" t="s">
        <v>58</v>
      </c>
      <c r="AE1746" s="2" t="s">
        <v>33</v>
      </c>
      <c r="AF1746" s="2" t="s">
        <v>34</v>
      </c>
      <c r="AG1746" s="2" t="s">
        <v>59</v>
      </c>
      <c r="AH1746" s="2">
        <v>1.94447384042542</v>
      </c>
      <c r="AI1746" s="2">
        <v>1.3362457420078999</v>
      </c>
      <c r="AJ1746" s="2">
        <v>0.81322104319488797</v>
      </c>
      <c r="AK1746" s="2">
        <v>6.0877623542385503E-2</v>
      </c>
      <c r="AL1746" s="2">
        <v>0.23349968541764901</v>
      </c>
      <c r="AM1746" s="2">
        <v>15.5</v>
      </c>
      <c r="AN1746" s="2">
        <v>2.4</v>
      </c>
      <c r="AO1746" s="2">
        <v>10.9</v>
      </c>
      <c r="AP1746" s="2">
        <v>564</v>
      </c>
      <c r="AQ1746" s="2">
        <v>68</v>
      </c>
      <c r="AR1746" s="2">
        <v>1.5</v>
      </c>
      <c r="AS1746" s="2">
        <v>135</v>
      </c>
      <c r="AT1746" s="2">
        <v>0</v>
      </c>
      <c r="AU1746" s="2">
        <v>162</v>
      </c>
      <c r="AV1746" s="2">
        <v>9.1</v>
      </c>
      <c r="AW1746" s="2">
        <v>9.1999999999999993</v>
      </c>
      <c r="AX1746" s="2">
        <v>18.3</v>
      </c>
      <c r="AY1746" s="2">
        <v>0.34</v>
      </c>
      <c r="AZ1746" s="2">
        <v>7.3</v>
      </c>
      <c r="BA1746" s="2">
        <v>0.9</v>
      </c>
      <c r="BB1746" s="2">
        <v>7.5</v>
      </c>
      <c r="BC1746" s="2">
        <v>2.9</v>
      </c>
      <c r="BD1746" s="2">
        <f>+AN1746*EXP(-0.0495*Y1746)</f>
        <v>2.1993539495992511</v>
      </c>
      <c r="BE1746" s="2">
        <f>+AO1746*EXP(-0.024*Y1746)</f>
        <v>10.448234886632411</v>
      </c>
    </row>
    <row r="1747" spans="1:57" x14ac:dyDescent="0.2">
      <c r="A1747" s="2" t="s">
        <v>3829</v>
      </c>
      <c r="B1747" s="2" t="s">
        <v>19</v>
      </c>
      <c r="C1747" s="2" t="s">
        <v>3245</v>
      </c>
      <c r="D1747" s="2" t="s">
        <v>21</v>
      </c>
      <c r="E1747" s="2" t="s">
        <v>156</v>
      </c>
      <c r="F1747" s="2">
        <v>5</v>
      </c>
      <c r="G1747" s="2">
        <v>66</v>
      </c>
      <c r="H1747" s="2">
        <v>1</v>
      </c>
      <c r="I1747" s="2">
        <v>2</v>
      </c>
      <c r="J1747" s="2">
        <v>1</v>
      </c>
      <c r="K1747" s="2" t="s">
        <v>61</v>
      </c>
      <c r="L1747" s="6" t="s">
        <v>62</v>
      </c>
      <c r="M1747" s="5">
        <v>635000000</v>
      </c>
      <c r="N1747" s="2">
        <v>0</v>
      </c>
      <c r="O1747" s="2">
        <v>4.7199823299999997</v>
      </c>
      <c r="P1747" s="2">
        <v>-74.040250439999994</v>
      </c>
      <c r="Q1747" s="2" t="s">
        <v>3830</v>
      </c>
      <c r="R1747" s="2">
        <v>9621212.1209999993</v>
      </c>
      <c r="S1747" s="2">
        <v>0</v>
      </c>
      <c r="T1747" s="2" t="s">
        <v>55</v>
      </c>
      <c r="U1747" s="2" t="s">
        <v>56</v>
      </c>
      <c r="V1747" s="2" t="s">
        <v>28</v>
      </c>
      <c r="W1747" s="2" t="s">
        <v>55</v>
      </c>
      <c r="X1747" s="2" t="s">
        <v>57</v>
      </c>
      <c r="Y1747" s="2">
        <v>1.5297073647939501</v>
      </c>
      <c r="Z1747" s="2">
        <v>4.71035</v>
      </c>
      <c r="AA1747" s="2">
        <v>-74.030416666666696</v>
      </c>
      <c r="AB1747" s="2">
        <v>2570</v>
      </c>
      <c r="AC1747" s="2" t="s">
        <v>31</v>
      </c>
      <c r="AD1747" s="2" t="s">
        <v>58</v>
      </c>
      <c r="AE1747" s="2" t="s">
        <v>33</v>
      </c>
      <c r="AF1747" s="2" t="s">
        <v>34</v>
      </c>
      <c r="AG1747" s="2" t="s">
        <v>59</v>
      </c>
      <c r="AH1747" s="2">
        <v>1.24953262448724</v>
      </c>
      <c r="AI1747" s="2">
        <v>1.8511674586558</v>
      </c>
      <c r="AJ1747" s="2">
        <v>1.3149838317954099</v>
      </c>
      <c r="AK1747" s="2">
        <v>8.6400997184623393E-2</v>
      </c>
      <c r="AL1747" s="2">
        <v>9.7196787423361505E-2</v>
      </c>
      <c r="AM1747" s="2">
        <v>15.5</v>
      </c>
      <c r="AN1747" s="2">
        <v>2.4</v>
      </c>
      <c r="AO1747" s="2">
        <v>10.9</v>
      </c>
      <c r="AP1747" s="2">
        <v>564</v>
      </c>
      <c r="AQ1747" s="2">
        <v>68</v>
      </c>
      <c r="AR1747" s="2">
        <v>1.5</v>
      </c>
      <c r="AS1747" s="2">
        <v>135</v>
      </c>
      <c r="AT1747" s="2">
        <v>0</v>
      </c>
      <c r="AU1747" s="2">
        <v>162</v>
      </c>
      <c r="AV1747" s="2">
        <v>9.1</v>
      </c>
      <c r="AW1747" s="2">
        <v>9.1999999999999993</v>
      </c>
      <c r="AX1747" s="2">
        <v>18.3</v>
      </c>
      <c r="AY1747" s="2">
        <v>0.34</v>
      </c>
      <c r="AZ1747" s="2">
        <v>7.3</v>
      </c>
      <c r="BA1747" s="2">
        <v>0.9</v>
      </c>
      <c r="BB1747" s="2">
        <v>7.5</v>
      </c>
      <c r="BC1747" s="2">
        <v>2.9</v>
      </c>
      <c r="BD1747" s="2">
        <f>+AN1747*EXP(-0.0495*Y1747)</f>
        <v>2.2249806585559968</v>
      </c>
      <c r="BE1747" s="2">
        <f>+AO1747*EXP(-0.024*Y1747)</f>
        <v>10.507085220241768</v>
      </c>
    </row>
    <row r="1748" spans="1:57" x14ac:dyDescent="0.2">
      <c r="A1748" s="2" t="s">
        <v>3978</v>
      </c>
      <c r="B1748" s="2" t="s">
        <v>19</v>
      </c>
      <c r="C1748" s="2" t="s">
        <v>3245</v>
      </c>
      <c r="D1748" s="2" t="s">
        <v>21</v>
      </c>
      <c r="E1748" s="2" t="s">
        <v>53</v>
      </c>
      <c r="F1748" s="2">
        <v>6</v>
      </c>
      <c r="G1748" s="2">
        <v>65</v>
      </c>
      <c r="H1748" s="2">
        <v>1</v>
      </c>
      <c r="I1748" s="2">
        <v>2</v>
      </c>
      <c r="J1748" s="2">
        <v>2</v>
      </c>
      <c r="K1748" s="2" t="s">
        <v>61</v>
      </c>
      <c r="L1748" s="6" t="s">
        <v>75</v>
      </c>
      <c r="M1748" s="5">
        <v>739000000</v>
      </c>
      <c r="N1748" s="2">
        <v>0</v>
      </c>
      <c r="O1748" s="2">
        <v>4.7035334860000004</v>
      </c>
      <c r="P1748" s="2">
        <v>-74.052582979999997</v>
      </c>
      <c r="Q1748" s="2" t="s">
        <v>3979</v>
      </c>
      <c r="R1748" s="2">
        <v>11369230.77</v>
      </c>
      <c r="S1748" s="2">
        <v>0</v>
      </c>
      <c r="T1748" s="2" t="s">
        <v>55</v>
      </c>
      <c r="U1748" s="2" t="s">
        <v>56</v>
      </c>
      <c r="V1748" s="2" t="s">
        <v>28</v>
      </c>
      <c r="W1748" s="2" t="s">
        <v>55</v>
      </c>
      <c r="X1748" s="2" t="s">
        <v>57</v>
      </c>
      <c r="Y1748" s="2">
        <v>2.57362796515454</v>
      </c>
      <c r="Z1748" s="2">
        <v>4.71035</v>
      </c>
      <c r="AA1748" s="2">
        <v>-74.030416666666696</v>
      </c>
      <c r="AB1748" s="2">
        <v>2570</v>
      </c>
      <c r="AC1748" s="2" t="s">
        <v>31</v>
      </c>
      <c r="AD1748" s="2" t="s">
        <v>58</v>
      </c>
      <c r="AE1748" s="2" t="s">
        <v>33</v>
      </c>
      <c r="AF1748" s="2" t="s">
        <v>34</v>
      </c>
      <c r="AG1748" s="2" t="s">
        <v>59</v>
      </c>
      <c r="AH1748" s="2">
        <v>0.219309359001226</v>
      </c>
      <c r="AI1748" s="2">
        <v>2.9985093506326899</v>
      </c>
      <c r="AJ1748" s="2">
        <v>1.1715054106638001</v>
      </c>
      <c r="AK1748" s="2">
        <v>0.111010394283763</v>
      </c>
      <c r="AL1748" s="2">
        <v>0.128236234686469</v>
      </c>
      <c r="AM1748" s="2">
        <v>15.5</v>
      </c>
      <c r="AN1748" s="2">
        <v>2.4</v>
      </c>
      <c r="AO1748" s="2">
        <v>10.9</v>
      </c>
      <c r="AP1748" s="2">
        <v>564</v>
      </c>
      <c r="AQ1748" s="2">
        <v>68</v>
      </c>
      <c r="AR1748" s="2">
        <v>1.5</v>
      </c>
      <c r="AS1748" s="2">
        <v>135</v>
      </c>
      <c r="AT1748" s="2">
        <v>0</v>
      </c>
      <c r="AU1748" s="2">
        <v>162</v>
      </c>
      <c r="AV1748" s="2">
        <v>9.1</v>
      </c>
      <c r="AW1748" s="2">
        <v>9.1999999999999993</v>
      </c>
      <c r="AX1748" s="2">
        <v>18.3</v>
      </c>
      <c r="AY1748" s="2">
        <v>0.34</v>
      </c>
      <c r="AZ1748" s="2">
        <v>7.3</v>
      </c>
      <c r="BA1748" s="2">
        <v>0.9</v>
      </c>
      <c r="BB1748" s="2">
        <v>7.5</v>
      </c>
      <c r="BC1748" s="2">
        <v>2.9</v>
      </c>
      <c r="BD1748" s="2">
        <f>+AN1748*EXP(-0.0495*Y1748)</f>
        <v>2.1129269219856561</v>
      </c>
      <c r="BE1748" s="2">
        <f>+AO1748*EXP(-0.024*Y1748)</f>
        <v>10.247110035477567</v>
      </c>
    </row>
    <row r="1749" spans="1:57" x14ac:dyDescent="0.2">
      <c r="A1749" s="2" t="s">
        <v>4265</v>
      </c>
      <c r="B1749" s="2" t="s">
        <v>19</v>
      </c>
      <c r="C1749" s="2" t="s">
        <v>3245</v>
      </c>
      <c r="D1749" s="2" t="s">
        <v>21</v>
      </c>
      <c r="E1749" s="2" t="s">
        <v>53</v>
      </c>
      <c r="F1749" s="2">
        <v>6</v>
      </c>
      <c r="G1749" s="2">
        <v>65</v>
      </c>
      <c r="H1749" s="2">
        <v>1</v>
      </c>
      <c r="I1749" s="2">
        <v>2</v>
      </c>
      <c r="J1749" s="2">
        <v>2</v>
      </c>
      <c r="K1749" s="2" t="s">
        <v>61</v>
      </c>
      <c r="L1749" s="6" t="s">
        <v>113</v>
      </c>
      <c r="M1749" s="5">
        <v>460000000</v>
      </c>
      <c r="N1749" s="2">
        <v>0</v>
      </c>
      <c r="O1749" s="2">
        <v>4.6965453000000004</v>
      </c>
      <c r="P1749" s="2">
        <v>-74.036391499999993</v>
      </c>
      <c r="Q1749" s="2" t="s">
        <v>4266</v>
      </c>
      <c r="R1749" s="2">
        <v>7076923.0769999996</v>
      </c>
      <c r="S1749" s="2">
        <v>0</v>
      </c>
      <c r="T1749" s="2" t="s">
        <v>55</v>
      </c>
      <c r="U1749" s="2" t="s">
        <v>56</v>
      </c>
      <c r="V1749" s="2" t="s">
        <v>28</v>
      </c>
      <c r="W1749" s="2" t="s">
        <v>55</v>
      </c>
      <c r="X1749" s="2" t="s">
        <v>57</v>
      </c>
      <c r="Y1749" s="2">
        <v>1.6736038457183999</v>
      </c>
      <c r="Z1749" s="2">
        <v>4.71035</v>
      </c>
      <c r="AA1749" s="2">
        <v>-74.030416666666696</v>
      </c>
      <c r="AB1749" s="2">
        <v>2570</v>
      </c>
      <c r="AC1749" s="2" t="s">
        <v>31</v>
      </c>
      <c r="AD1749" s="2" t="s">
        <v>58</v>
      </c>
      <c r="AE1749" s="2" t="s">
        <v>33</v>
      </c>
      <c r="AF1749" s="2" t="s">
        <v>34</v>
      </c>
      <c r="AG1749" s="2" t="s">
        <v>59</v>
      </c>
      <c r="AH1749" s="2">
        <v>2.1047781836941102</v>
      </c>
      <c r="AI1749" s="2">
        <v>1.1719589284048899</v>
      </c>
      <c r="AJ1749" s="2">
        <v>0.68528921011659805</v>
      </c>
      <c r="AK1749" s="2">
        <v>0.165946810946942</v>
      </c>
      <c r="AL1749" s="2">
        <v>0.15993812693321199</v>
      </c>
      <c r="AM1749" s="2">
        <v>15.5</v>
      </c>
      <c r="AN1749" s="2">
        <v>2.4</v>
      </c>
      <c r="AO1749" s="2">
        <v>10.9</v>
      </c>
      <c r="AP1749" s="2">
        <v>564</v>
      </c>
      <c r="AQ1749" s="2">
        <v>68</v>
      </c>
      <c r="AR1749" s="2">
        <v>1.5</v>
      </c>
      <c r="AS1749" s="2">
        <v>135</v>
      </c>
      <c r="AT1749" s="2">
        <v>0</v>
      </c>
      <c r="AU1749" s="2">
        <v>162</v>
      </c>
      <c r="AV1749" s="2">
        <v>9.1</v>
      </c>
      <c r="AW1749" s="2">
        <v>9.1999999999999993</v>
      </c>
      <c r="AX1749" s="2">
        <v>18.3</v>
      </c>
      <c r="AY1749" s="2">
        <v>0.34</v>
      </c>
      <c r="AZ1749" s="2">
        <v>7.3</v>
      </c>
      <c r="BA1749" s="2">
        <v>0.9</v>
      </c>
      <c r="BB1749" s="2">
        <v>7.5</v>
      </c>
      <c r="BC1749" s="2">
        <v>2.9</v>
      </c>
      <c r="BD1749" s="2">
        <f>+AN1749*EXP(-0.0495*Y1749)</f>
        <v>2.2091887064790452</v>
      </c>
      <c r="BE1749" s="2">
        <f>+AO1749*EXP(-0.024*Y1749)</f>
        <v>10.470861423855222</v>
      </c>
    </row>
    <row r="1750" spans="1:57" x14ac:dyDescent="0.2">
      <c r="A1750" s="2" t="s">
        <v>344</v>
      </c>
      <c r="B1750" s="2" t="s">
        <v>19</v>
      </c>
      <c r="C1750" s="2" t="s">
        <v>20</v>
      </c>
      <c r="D1750" s="2" t="s">
        <v>21</v>
      </c>
      <c r="E1750" s="2" t="s">
        <v>345</v>
      </c>
      <c r="F1750" s="2">
        <v>4</v>
      </c>
      <c r="G1750" s="2">
        <v>64.349999999999994</v>
      </c>
      <c r="H1750" s="2">
        <v>2</v>
      </c>
      <c r="I1750" s="2">
        <v>2</v>
      </c>
      <c r="J1750" s="2">
        <v>1</v>
      </c>
      <c r="K1750" s="2" t="s">
        <v>61</v>
      </c>
      <c r="L1750" s="6" t="s">
        <v>84</v>
      </c>
      <c r="M1750" s="5">
        <v>625000000</v>
      </c>
      <c r="N1750" s="2">
        <v>0</v>
      </c>
      <c r="O1750" s="2">
        <v>4.7227100120000003</v>
      </c>
      <c r="P1750" s="2">
        <v>-74.032938869999995</v>
      </c>
      <c r="Q1750" s="2" t="s">
        <v>346</v>
      </c>
      <c r="R1750" s="2">
        <v>9712509.7129999995</v>
      </c>
      <c r="S1750" s="2">
        <v>0</v>
      </c>
      <c r="T1750" s="2" t="s">
        <v>55</v>
      </c>
      <c r="U1750" s="2" t="s">
        <v>56</v>
      </c>
      <c r="V1750" s="2" t="s">
        <v>28</v>
      </c>
      <c r="W1750" s="2" t="s">
        <v>55</v>
      </c>
      <c r="X1750" s="2" t="s">
        <v>57</v>
      </c>
      <c r="Y1750" s="2">
        <v>1.40407550130124</v>
      </c>
      <c r="Z1750" s="2">
        <v>4.71035</v>
      </c>
      <c r="AA1750" s="2">
        <v>-74.030416666666696</v>
      </c>
      <c r="AB1750" s="2">
        <v>2570</v>
      </c>
      <c r="AC1750" s="2" t="s">
        <v>31</v>
      </c>
      <c r="AD1750" s="2" t="s">
        <v>58</v>
      </c>
      <c r="AE1750" s="2" t="s">
        <v>33</v>
      </c>
      <c r="AF1750" s="2" t="s">
        <v>34</v>
      </c>
      <c r="AG1750" s="2" t="s">
        <v>59</v>
      </c>
      <c r="AH1750" s="2">
        <v>2.0004533369717401</v>
      </c>
      <c r="AI1750" s="2">
        <v>1.09136033558659</v>
      </c>
      <c r="AJ1750" s="2">
        <v>1.32275695328287</v>
      </c>
      <c r="AK1750" s="2">
        <v>0.23642437616838499</v>
      </c>
      <c r="AL1750" s="2">
        <v>9.7099978888481701E-3</v>
      </c>
      <c r="AM1750" s="2">
        <v>15.5</v>
      </c>
      <c r="AN1750" s="2">
        <v>2.4</v>
      </c>
      <c r="AO1750" s="2">
        <v>10.9</v>
      </c>
      <c r="AP1750" s="2">
        <v>564</v>
      </c>
      <c r="AQ1750" s="2">
        <v>68</v>
      </c>
      <c r="AR1750" s="2">
        <v>1.5</v>
      </c>
      <c r="AS1750" s="2">
        <v>135</v>
      </c>
      <c r="AT1750" s="2">
        <v>0</v>
      </c>
      <c r="AU1750" s="2">
        <v>162</v>
      </c>
      <c r="AV1750" s="2">
        <v>9.1</v>
      </c>
      <c r="AW1750" s="2">
        <v>9.1999999999999993</v>
      </c>
      <c r="AX1750" s="2">
        <v>18.3</v>
      </c>
      <c r="AY1750" s="2">
        <v>0.34</v>
      </c>
      <c r="AZ1750" s="2">
        <v>7.3</v>
      </c>
      <c r="BA1750" s="2">
        <v>0.9</v>
      </c>
      <c r="BB1750" s="2">
        <v>7.5</v>
      </c>
      <c r="BC1750" s="2">
        <v>2.9</v>
      </c>
      <c r="BD1750" s="2">
        <f>+AN1750*EXP(-0.0495*Y1750)</f>
        <v>2.2388604305150648</v>
      </c>
      <c r="BE1750" s="2">
        <f>+AO1750*EXP(-0.024*Y1750)</f>
        <v>10.538813622089579</v>
      </c>
    </row>
    <row r="1751" spans="1:57" x14ac:dyDescent="0.2">
      <c r="A1751" s="2" t="s">
        <v>3780</v>
      </c>
      <c r="B1751" s="2" t="s">
        <v>19</v>
      </c>
      <c r="C1751" s="2" t="s">
        <v>3245</v>
      </c>
      <c r="D1751" s="2" t="s">
        <v>21</v>
      </c>
      <c r="E1751" s="2" t="s">
        <v>419</v>
      </c>
      <c r="F1751" s="2">
        <v>6</v>
      </c>
      <c r="G1751" s="2">
        <v>64</v>
      </c>
      <c r="H1751" s="2">
        <v>1</v>
      </c>
      <c r="I1751" s="2">
        <v>2</v>
      </c>
      <c r="J1751" s="2">
        <v>2</v>
      </c>
      <c r="K1751" s="2" t="s">
        <v>61</v>
      </c>
      <c r="L1751" s="6" t="s">
        <v>84</v>
      </c>
      <c r="M1751" s="5">
        <v>650000000</v>
      </c>
      <c r="N1751" s="2">
        <v>0</v>
      </c>
      <c r="O1751" s="2">
        <v>4.6882853510000002</v>
      </c>
      <c r="P1751" s="2">
        <v>-74.056343080000005</v>
      </c>
      <c r="Q1751" s="2" t="s">
        <v>3781</v>
      </c>
      <c r="R1751" s="2">
        <v>10156250</v>
      </c>
      <c r="S1751" s="2">
        <v>0</v>
      </c>
      <c r="T1751" s="2" t="s">
        <v>55</v>
      </c>
      <c r="U1751" s="2" t="s">
        <v>56</v>
      </c>
      <c r="V1751" s="2" t="s">
        <v>28</v>
      </c>
      <c r="W1751" s="2" t="s">
        <v>55</v>
      </c>
      <c r="X1751" s="2" t="s">
        <v>57</v>
      </c>
      <c r="Y1751" s="2">
        <v>3.78243250256349</v>
      </c>
      <c r="Z1751" s="2">
        <v>4.71035</v>
      </c>
      <c r="AA1751" s="2">
        <v>-74.030416666666696</v>
      </c>
      <c r="AB1751" s="2">
        <v>2570</v>
      </c>
      <c r="AC1751" s="2" t="s">
        <v>31</v>
      </c>
      <c r="AD1751" s="2" t="s">
        <v>58</v>
      </c>
      <c r="AE1751" s="2" t="s">
        <v>33</v>
      </c>
      <c r="AF1751" s="2" t="s">
        <v>34</v>
      </c>
      <c r="AG1751" s="2" t="s">
        <v>59</v>
      </c>
      <c r="AH1751" s="2">
        <v>0.50264639446748405</v>
      </c>
      <c r="AI1751" s="2">
        <v>2.44251531614182</v>
      </c>
      <c r="AJ1751" s="2">
        <v>0.481202234828355</v>
      </c>
      <c r="AK1751" s="2">
        <v>9.3501132057014005E-3</v>
      </c>
      <c r="AL1751" s="2">
        <v>0.55523347444754301</v>
      </c>
      <c r="AM1751" s="2">
        <v>15.5</v>
      </c>
      <c r="AN1751" s="2">
        <v>2.4</v>
      </c>
      <c r="AO1751" s="2">
        <v>10.9</v>
      </c>
      <c r="AP1751" s="2">
        <v>564</v>
      </c>
      <c r="AQ1751" s="2">
        <v>68</v>
      </c>
      <c r="AR1751" s="2">
        <v>1.5</v>
      </c>
      <c r="AS1751" s="2">
        <v>135</v>
      </c>
      <c r="AT1751" s="2">
        <v>0</v>
      </c>
      <c r="AU1751" s="2">
        <v>162</v>
      </c>
      <c r="AV1751" s="2">
        <v>9.1</v>
      </c>
      <c r="AW1751" s="2">
        <v>9.1999999999999993</v>
      </c>
      <c r="AX1751" s="2">
        <v>18.3</v>
      </c>
      <c r="AY1751" s="2">
        <v>0.34</v>
      </c>
      <c r="AZ1751" s="2">
        <v>7.3</v>
      </c>
      <c r="BA1751" s="2">
        <v>0.9</v>
      </c>
      <c r="BB1751" s="2">
        <v>7.5</v>
      </c>
      <c r="BC1751" s="2">
        <v>2.9</v>
      </c>
      <c r="BD1751" s="2">
        <f>+AN1751*EXP(-0.0495*Y1751)</f>
        <v>1.9902063532819803</v>
      </c>
      <c r="BE1751" s="2">
        <f>+AO1751*EXP(-0.024*Y1751)</f>
        <v>9.9540988311408398</v>
      </c>
    </row>
    <row r="1752" spans="1:57" x14ac:dyDescent="0.2">
      <c r="A1752" s="2" t="s">
        <v>3281</v>
      </c>
      <c r="B1752" s="2" t="s">
        <v>19</v>
      </c>
      <c r="C1752" s="2" t="s">
        <v>3245</v>
      </c>
      <c r="D1752" s="2" t="s">
        <v>21</v>
      </c>
      <c r="E1752" s="2" t="s">
        <v>419</v>
      </c>
      <c r="F1752" s="2">
        <v>6</v>
      </c>
      <c r="G1752" s="2">
        <v>64</v>
      </c>
      <c r="H1752" s="2">
        <v>1</v>
      </c>
      <c r="I1752" s="2">
        <v>2</v>
      </c>
      <c r="J1752" s="2">
        <v>2</v>
      </c>
      <c r="K1752" s="2" t="s">
        <v>61</v>
      </c>
      <c r="L1752" s="6" t="s">
        <v>75</v>
      </c>
      <c r="M1752" s="5">
        <v>640000000</v>
      </c>
      <c r="N1752" s="2">
        <v>0</v>
      </c>
      <c r="O1752" s="2">
        <v>4.6880545900000001</v>
      </c>
      <c r="P1752" s="2">
        <v>-74.053326510000005</v>
      </c>
      <c r="Q1752" s="2" t="s">
        <v>3282</v>
      </c>
      <c r="R1752" s="2">
        <v>10000000</v>
      </c>
      <c r="S1752" s="2">
        <v>0</v>
      </c>
      <c r="T1752" s="2" t="s">
        <v>55</v>
      </c>
      <c r="U1752" s="2" t="s">
        <v>56</v>
      </c>
      <c r="V1752" s="2" t="s">
        <v>28</v>
      </c>
      <c r="W1752" s="2" t="s">
        <v>55</v>
      </c>
      <c r="X1752" s="2" t="s">
        <v>57</v>
      </c>
      <c r="Y1752" s="2">
        <v>3.5525109557693102</v>
      </c>
      <c r="Z1752" s="2">
        <v>4.71035</v>
      </c>
      <c r="AA1752" s="2">
        <v>-74.030416666666696</v>
      </c>
      <c r="AB1752" s="2">
        <v>2570</v>
      </c>
      <c r="AC1752" s="2" t="s">
        <v>31</v>
      </c>
      <c r="AD1752" s="2" t="s">
        <v>58</v>
      </c>
      <c r="AE1752" s="2" t="s">
        <v>33</v>
      </c>
      <c r="AF1752" s="2" t="s">
        <v>34</v>
      </c>
      <c r="AG1752" s="2" t="s">
        <v>59</v>
      </c>
      <c r="AH1752" s="2">
        <v>0.62997516436339596</v>
      </c>
      <c r="AI1752" s="2">
        <v>2.1526907022691901</v>
      </c>
      <c r="AJ1752" s="2">
        <v>0.26009314089255098</v>
      </c>
      <c r="AK1752" s="2">
        <v>7.8407789626115401E-2</v>
      </c>
      <c r="AL1752" s="2">
        <v>0.56104207029264297</v>
      </c>
      <c r="AM1752" s="2">
        <v>15.5</v>
      </c>
      <c r="AN1752" s="2">
        <v>2.4</v>
      </c>
      <c r="AO1752" s="2">
        <v>10.9</v>
      </c>
      <c r="AP1752" s="2">
        <v>564</v>
      </c>
      <c r="AQ1752" s="2">
        <v>68</v>
      </c>
      <c r="AR1752" s="2">
        <v>1.5</v>
      </c>
      <c r="AS1752" s="2">
        <v>135</v>
      </c>
      <c r="AT1752" s="2">
        <v>0</v>
      </c>
      <c r="AU1752" s="2">
        <v>162</v>
      </c>
      <c r="AV1752" s="2">
        <v>9.1</v>
      </c>
      <c r="AW1752" s="2">
        <v>9.1999999999999993</v>
      </c>
      <c r="AX1752" s="2">
        <v>18.3</v>
      </c>
      <c r="AY1752" s="2">
        <v>0.34</v>
      </c>
      <c r="AZ1752" s="2">
        <v>7.3</v>
      </c>
      <c r="BA1752" s="2">
        <v>0.9</v>
      </c>
      <c r="BB1752" s="2">
        <v>7.5</v>
      </c>
      <c r="BC1752" s="2">
        <v>2.9</v>
      </c>
      <c r="BD1752" s="2">
        <f>+AN1752*EXP(-0.0495*Y1752)</f>
        <v>2.0129865096955464</v>
      </c>
      <c r="BE1752" s="2">
        <f>+AO1752*EXP(-0.024*Y1752)</f>
        <v>10.009178542732489</v>
      </c>
    </row>
    <row r="1753" spans="1:57" x14ac:dyDescent="0.2">
      <c r="A1753" s="2" t="s">
        <v>4400</v>
      </c>
      <c r="B1753" s="2" t="s">
        <v>19</v>
      </c>
      <c r="C1753" s="2" t="s">
        <v>3245</v>
      </c>
      <c r="D1753" s="2" t="s">
        <v>21</v>
      </c>
      <c r="E1753" s="2" t="s">
        <v>983</v>
      </c>
      <c r="F1753" s="2">
        <v>5</v>
      </c>
      <c r="G1753" s="2">
        <v>64</v>
      </c>
      <c r="H1753" s="2">
        <v>1</v>
      </c>
      <c r="I1753" s="2">
        <v>2</v>
      </c>
      <c r="J1753" s="2">
        <v>1</v>
      </c>
      <c r="K1753" s="2" t="s">
        <v>61</v>
      </c>
      <c r="L1753" s="6" t="s">
        <v>62</v>
      </c>
      <c r="M1753" s="5">
        <v>570000000</v>
      </c>
      <c r="N1753" s="2">
        <v>0</v>
      </c>
      <c r="O1753" s="2">
        <v>4.7239199999999997</v>
      </c>
      <c r="P1753" s="2">
        <v>-74.047669999999997</v>
      </c>
      <c r="Q1753" s="2" t="s">
        <v>4401</v>
      </c>
      <c r="R1753" s="2">
        <v>8906250</v>
      </c>
      <c r="S1753" s="2">
        <v>0</v>
      </c>
      <c r="T1753" s="2" t="s">
        <v>55</v>
      </c>
      <c r="U1753" s="2" t="s">
        <v>56</v>
      </c>
      <c r="V1753" s="2" t="s">
        <v>28</v>
      </c>
      <c r="W1753" s="2" t="s">
        <v>55</v>
      </c>
      <c r="X1753" s="2" t="s">
        <v>57</v>
      </c>
      <c r="Y1753" s="2">
        <v>2.4384032250499401</v>
      </c>
      <c r="Z1753" s="2">
        <v>4.71035</v>
      </c>
      <c r="AA1753" s="2">
        <v>-74.030416666666696</v>
      </c>
      <c r="AB1753" s="2">
        <v>2570</v>
      </c>
      <c r="AC1753" s="2" t="s">
        <v>31</v>
      </c>
      <c r="AD1753" s="2" t="s">
        <v>58</v>
      </c>
      <c r="AE1753" s="2" t="s">
        <v>33</v>
      </c>
      <c r="AF1753" s="2" t="s">
        <v>34</v>
      </c>
      <c r="AG1753" s="2" t="s">
        <v>59</v>
      </c>
      <c r="AH1753" s="2">
        <v>0.45115127747047001</v>
      </c>
      <c r="AI1753" s="2">
        <v>2.7136473914754502</v>
      </c>
      <c r="AJ1753" s="2">
        <v>1.3075688856596901</v>
      </c>
      <c r="AK1753" s="2">
        <v>0.129621914528147</v>
      </c>
      <c r="AL1753" s="2">
        <v>5.00283951342059E-2</v>
      </c>
      <c r="AM1753" s="2">
        <v>15.5</v>
      </c>
      <c r="AN1753" s="2">
        <v>2.4</v>
      </c>
      <c r="AO1753" s="2">
        <v>10.9</v>
      </c>
      <c r="AP1753" s="2">
        <v>564</v>
      </c>
      <c r="AQ1753" s="2">
        <v>68</v>
      </c>
      <c r="AR1753" s="2">
        <v>1.5</v>
      </c>
      <c r="AS1753" s="2">
        <v>135</v>
      </c>
      <c r="AT1753" s="2">
        <v>0</v>
      </c>
      <c r="AU1753" s="2">
        <v>162</v>
      </c>
      <c r="AV1753" s="2">
        <v>9.1</v>
      </c>
      <c r="AW1753" s="2">
        <v>9.1999999999999993</v>
      </c>
      <c r="AX1753" s="2">
        <v>18.3</v>
      </c>
      <c r="AY1753" s="2">
        <v>0.34</v>
      </c>
      <c r="AZ1753" s="2">
        <v>7.3</v>
      </c>
      <c r="BA1753" s="2">
        <v>0.9</v>
      </c>
      <c r="BB1753" s="2">
        <v>7.5</v>
      </c>
      <c r="BC1753" s="2">
        <v>2.9</v>
      </c>
      <c r="BD1753" s="2">
        <f>+AN1753*EXP(-0.0495*Y1753)</f>
        <v>2.1271175019070863</v>
      </c>
      <c r="BE1753" s="2">
        <f>+AO1753*EXP(-0.024*Y1753)</f>
        <v>10.28041996515284</v>
      </c>
    </row>
    <row r="1754" spans="1:57" x14ac:dyDescent="0.2">
      <c r="A1754" s="2" t="s">
        <v>764</v>
      </c>
      <c r="B1754" s="2" t="s">
        <v>19</v>
      </c>
      <c r="C1754" s="2" t="s">
        <v>20</v>
      </c>
      <c r="D1754" s="2" t="s">
        <v>21</v>
      </c>
      <c r="E1754" s="2" t="s">
        <v>283</v>
      </c>
      <c r="F1754" s="2">
        <v>4</v>
      </c>
      <c r="G1754" s="2">
        <v>64</v>
      </c>
      <c r="H1754" s="2">
        <v>2</v>
      </c>
      <c r="I1754" s="2">
        <v>2</v>
      </c>
      <c r="J1754" s="2">
        <v>1</v>
      </c>
      <c r="K1754" s="2" t="s">
        <v>61</v>
      </c>
      <c r="L1754" s="6" t="s">
        <v>75</v>
      </c>
      <c r="M1754" s="5">
        <v>395000000</v>
      </c>
      <c r="N1754" s="2">
        <v>0</v>
      </c>
      <c r="O1754" s="2">
        <v>4.7280530929999998</v>
      </c>
      <c r="P1754" s="2">
        <v>-74.027740480000006</v>
      </c>
      <c r="Q1754" s="2" t="s">
        <v>765</v>
      </c>
      <c r="R1754" s="2">
        <v>6171875</v>
      </c>
      <c r="S1754" s="2">
        <v>0</v>
      </c>
      <c r="T1754" s="2" t="s">
        <v>55</v>
      </c>
      <c r="U1754" s="2" t="s">
        <v>56</v>
      </c>
      <c r="V1754" s="2" t="s">
        <v>28</v>
      </c>
      <c r="W1754" s="2" t="s">
        <v>55</v>
      </c>
      <c r="X1754" s="2" t="s">
        <v>57</v>
      </c>
      <c r="Y1754" s="2">
        <v>1.9929391332712201</v>
      </c>
      <c r="Z1754" s="2">
        <v>4.71035</v>
      </c>
      <c r="AA1754" s="2">
        <v>-74.030416666666696</v>
      </c>
      <c r="AB1754" s="2">
        <v>2570</v>
      </c>
      <c r="AC1754" s="2" t="s">
        <v>31</v>
      </c>
      <c r="AD1754" s="2" t="s">
        <v>58</v>
      </c>
      <c r="AE1754" s="2" t="s">
        <v>33</v>
      </c>
      <c r="AF1754" s="2" t="s">
        <v>34</v>
      </c>
      <c r="AG1754" s="2" t="s">
        <v>59</v>
      </c>
      <c r="AH1754" s="2">
        <v>2.4670544301298598</v>
      </c>
      <c r="AI1754" s="2">
        <v>0.70382183496654205</v>
      </c>
      <c r="AJ1754" s="2">
        <v>1.4574793744129999</v>
      </c>
      <c r="AK1754" s="2">
        <v>0.35990075588348502</v>
      </c>
      <c r="AL1754" s="2">
        <v>0.20911356941301701</v>
      </c>
      <c r="AM1754" s="2">
        <v>15.5</v>
      </c>
      <c r="AN1754" s="2">
        <v>2.4</v>
      </c>
      <c r="AO1754" s="2">
        <v>10.9</v>
      </c>
      <c r="AP1754" s="2">
        <v>564</v>
      </c>
      <c r="AQ1754" s="2">
        <v>68</v>
      </c>
      <c r="AR1754" s="2">
        <v>1.5</v>
      </c>
      <c r="AS1754" s="2">
        <v>135</v>
      </c>
      <c r="AT1754" s="2">
        <v>0</v>
      </c>
      <c r="AU1754" s="2">
        <v>162</v>
      </c>
      <c r="AV1754" s="2">
        <v>9.1</v>
      </c>
      <c r="AW1754" s="2">
        <v>9.1999999999999993</v>
      </c>
      <c r="AX1754" s="2">
        <v>18.3</v>
      </c>
      <c r="AY1754" s="2">
        <v>0.34</v>
      </c>
      <c r="AZ1754" s="2">
        <v>7.3</v>
      </c>
      <c r="BA1754" s="2">
        <v>0.9</v>
      </c>
      <c r="BB1754" s="2">
        <v>7.5</v>
      </c>
      <c r="BC1754" s="2">
        <v>2.9</v>
      </c>
      <c r="BD1754" s="2">
        <f>+AN1754*EXP(-0.0495*Y1754)</f>
        <v>2.1745423970777953</v>
      </c>
      <c r="BE1754" s="2">
        <f>+AO1754*EXP(-0.024*Y1754)</f>
        <v>10.390918983414565</v>
      </c>
    </row>
    <row r="1755" spans="1:57" x14ac:dyDescent="0.2">
      <c r="A1755" s="2" t="s">
        <v>1866</v>
      </c>
      <c r="B1755" s="2" t="s">
        <v>19</v>
      </c>
      <c r="C1755" s="2" t="s">
        <v>20</v>
      </c>
      <c r="D1755" s="2" t="s">
        <v>21</v>
      </c>
      <c r="E1755" s="2" t="s">
        <v>943</v>
      </c>
      <c r="F1755" s="2">
        <v>5</v>
      </c>
      <c r="G1755" s="2">
        <v>64</v>
      </c>
      <c r="H1755" s="2">
        <v>2</v>
      </c>
      <c r="I1755" s="2">
        <v>2</v>
      </c>
      <c r="J1755" s="2">
        <v>1</v>
      </c>
      <c r="K1755" s="2" t="s">
        <v>61</v>
      </c>
      <c r="L1755" s="6" t="s">
        <v>113</v>
      </c>
      <c r="M1755" s="5">
        <v>418000000</v>
      </c>
      <c r="N1755" s="2">
        <v>0</v>
      </c>
      <c r="O1755" s="2">
        <v>4.7084350590000001</v>
      </c>
      <c r="P1755" s="2">
        <v>-74.032066349999994</v>
      </c>
      <c r="Q1755" s="2" t="s">
        <v>1867</v>
      </c>
      <c r="R1755" s="2">
        <v>6531250</v>
      </c>
      <c r="S1755" s="2">
        <v>0</v>
      </c>
      <c r="T1755" s="2" t="s">
        <v>55</v>
      </c>
      <c r="U1755" s="2" t="s">
        <v>56</v>
      </c>
      <c r="V1755" s="2" t="s">
        <v>28</v>
      </c>
      <c r="W1755" s="2" t="s">
        <v>55</v>
      </c>
      <c r="X1755" s="2" t="s">
        <v>57</v>
      </c>
      <c r="Y1755" s="2">
        <v>0.280960108704219</v>
      </c>
      <c r="Z1755" s="2">
        <v>4.71035</v>
      </c>
      <c r="AA1755" s="2">
        <v>-74.030416666666696</v>
      </c>
      <c r="AB1755" s="2">
        <v>2570</v>
      </c>
      <c r="AC1755" s="2" t="s">
        <v>31</v>
      </c>
      <c r="AD1755" s="2" t="s">
        <v>58</v>
      </c>
      <c r="AE1755" s="2" t="s">
        <v>33</v>
      </c>
      <c r="AF1755" s="2" t="s">
        <v>34</v>
      </c>
      <c r="AG1755" s="2" t="s">
        <v>59</v>
      </c>
      <c r="AH1755" s="2">
        <v>2.3706857918812201</v>
      </c>
      <c r="AI1755" s="2">
        <v>0.780216593205453</v>
      </c>
      <c r="AJ1755" s="2">
        <v>0.26685352829366299</v>
      </c>
      <c r="AK1755" s="2">
        <v>0.22316809955991401</v>
      </c>
      <c r="AL1755" s="2">
        <v>0.174531668758103</v>
      </c>
      <c r="AM1755" s="2">
        <v>15.5</v>
      </c>
      <c r="AN1755" s="2">
        <v>2.4</v>
      </c>
      <c r="AO1755" s="2">
        <v>10.9</v>
      </c>
      <c r="AP1755" s="2">
        <v>564</v>
      </c>
      <c r="AQ1755" s="2">
        <v>68</v>
      </c>
      <c r="AR1755" s="2">
        <v>1.5</v>
      </c>
      <c r="AS1755" s="2">
        <v>135</v>
      </c>
      <c r="AT1755" s="2">
        <v>0</v>
      </c>
      <c r="AU1755" s="2">
        <v>162</v>
      </c>
      <c r="AV1755" s="2">
        <v>9.1</v>
      </c>
      <c r="AW1755" s="2">
        <v>9.1999999999999993</v>
      </c>
      <c r="AX1755" s="2">
        <v>18.3</v>
      </c>
      <c r="AY1755" s="2">
        <v>0.34</v>
      </c>
      <c r="AZ1755" s="2">
        <v>7.3</v>
      </c>
      <c r="BA1755" s="2">
        <v>0.9</v>
      </c>
      <c r="BB1755" s="2">
        <v>7.5</v>
      </c>
      <c r="BC1755" s="2">
        <v>2.9</v>
      </c>
      <c r="BD1755" s="2">
        <f>+AN1755*EXP(-0.0495*Y1755)</f>
        <v>2.3668529699380016</v>
      </c>
      <c r="BE1755" s="2">
        <f>+AO1755*EXP(-0.024*Y1755)</f>
        <v>10.826748083515106</v>
      </c>
    </row>
    <row r="1756" spans="1:57" x14ac:dyDescent="0.2">
      <c r="A1756" s="2" t="s">
        <v>392</v>
      </c>
      <c r="B1756" s="2" t="s">
        <v>19</v>
      </c>
      <c r="C1756" s="2" t="s">
        <v>20</v>
      </c>
      <c r="D1756" s="2" t="s">
        <v>21</v>
      </c>
      <c r="E1756" s="2" t="s">
        <v>393</v>
      </c>
      <c r="F1756" s="2">
        <v>5</v>
      </c>
      <c r="G1756" s="2">
        <v>63</v>
      </c>
      <c r="H1756" s="2">
        <v>2</v>
      </c>
      <c r="I1756" s="2">
        <v>2</v>
      </c>
      <c r="J1756" s="2">
        <v>1</v>
      </c>
      <c r="K1756" s="2" t="s">
        <v>61</v>
      </c>
      <c r="L1756" s="6" t="s">
        <v>84</v>
      </c>
      <c r="M1756" s="5">
        <v>560000000</v>
      </c>
      <c r="N1756" s="2">
        <v>0</v>
      </c>
      <c r="O1756" s="2">
        <v>4.7177457809999996</v>
      </c>
      <c r="P1756" s="2">
        <v>-74.040634159999996</v>
      </c>
      <c r="Q1756" s="2" t="s">
        <v>394</v>
      </c>
      <c r="R1756" s="2">
        <v>8888888.8890000004</v>
      </c>
      <c r="S1756" s="2">
        <v>0</v>
      </c>
      <c r="T1756" s="2" t="s">
        <v>55</v>
      </c>
      <c r="U1756" s="2" t="s">
        <v>56</v>
      </c>
      <c r="V1756" s="2" t="s">
        <v>28</v>
      </c>
      <c r="W1756" s="2" t="s">
        <v>55</v>
      </c>
      <c r="X1756" s="2" t="s">
        <v>57</v>
      </c>
      <c r="Y1756" s="2">
        <v>1.4009886102518501</v>
      </c>
      <c r="Z1756" s="2">
        <v>4.71035</v>
      </c>
      <c r="AA1756" s="2">
        <v>-74.030416666666696</v>
      </c>
      <c r="AB1756" s="2">
        <v>2570</v>
      </c>
      <c r="AC1756" s="2" t="s">
        <v>31</v>
      </c>
      <c r="AD1756" s="2" t="s">
        <v>58</v>
      </c>
      <c r="AE1756" s="2" t="s">
        <v>33</v>
      </c>
      <c r="AF1756" s="2" t="s">
        <v>34</v>
      </c>
      <c r="AG1756" s="2" t="s">
        <v>59</v>
      </c>
      <c r="AH1756" s="2">
        <v>1.2580654351190901</v>
      </c>
      <c r="AI1756" s="2">
        <v>1.8562545453772601</v>
      </c>
      <c r="AJ1756" s="2">
        <v>1.1652340890930499</v>
      </c>
      <c r="AK1756" s="2">
        <v>0.24906873933819301</v>
      </c>
      <c r="AL1756" s="2">
        <v>0.34157867666839598</v>
      </c>
      <c r="AM1756" s="2">
        <v>15.5</v>
      </c>
      <c r="AN1756" s="2">
        <v>2.4</v>
      </c>
      <c r="AO1756" s="2">
        <v>10.9</v>
      </c>
      <c r="AP1756" s="2">
        <v>564</v>
      </c>
      <c r="AQ1756" s="2">
        <v>68</v>
      </c>
      <c r="AR1756" s="2">
        <v>1.5</v>
      </c>
      <c r="AS1756" s="2">
        <v>135</v>
      </c>
      <c r="AT1756" s="2">
        <v>0</v>
      </c>
      <c r="AU1756" s="2">
        <v>162</v>
      </c>
      <c r="AV1756" s="2">
        <v>9.1</v>
      </c>
      <c r="AW1756" s="2">
        <v>9.1999999999999993</v>
      </c>
      <c r="AX1756" s="2">
        <v>18.3</v>
      </c>
      <c r="AY1756" s="2">
        <v>0.34</v>
      </c>
      <c r="AZ1756" s="2">
        <v>7.3</v>
      </c>
      <c r="BA1756" s="2">
        <v>0.9</v>
      </c>
      <c r="BB1756" s="2">
        <v>7.5</v>
      </c>
      <c r="BC1756" s="2">
        <v>2.9</v>
      </c>
      <c r="BD1756" s="2">
        <f>+AN1756*EXP(-0.0495*Y1756)</f>
        <v>2.2392025570051297</v>
      </c>
      <c r="BE1756" s="2">
        <f>+AO1756*EXP(-0.024*Y1756)</f>
        <v>10.539594423078782</v>
      </c>
    </row>
    <row r="1757" spans="1:57" x14ac:dyDescent="0.2">
      <c r="A1757" s="2" t="s">
        <v>4256</v>
      </c>
      <c r="B1757" s="2" t="s">
        <v>19</v>
      </c>
      <c r="C1757" s="2" t="s">
        <v>3245</v>
      </c>
      <c r="D1757" s="2" t="s">
        <v>21</v>
      </c>
      <c r="E1757" s="2" t="s">
        <v>186</v>
      </c>
      <c r="F1757" s="2">
        <v>6</v>
      </c>
      <c r="G1757" s="2">
        <v>62</v>
      </c>
      <c r="H1757" s="2">
        <v>1</v>
      </c>
      <c r="I1757" s="2">
        <v>1</v>
      </c>
      <c r="J1757" s="2">
        <v>1</v>
      </c>
      <c r="K1757" s="2" t="s">
        <v>61</v>
      </c>
      <c r="L1757" s="6" t="s">
        <v>75</v>
      </c>
      <c r="M1757" s="5">
        <v>465000000</v>
      </c>
      <c r="N1757" s="2">
        <v>0</v>
      </c>
      <c r="O1757" s="2">
        <v>4.7064471240000003</v>
      </c>
      <c r="P1757" s="2">
        <v>-74.041030879999994</v>
      </c>
      <c r="Q1757" s="2" t="s">
        <v>4257</v>
      </c>
      <c r="R1757" s="2">
        <v>7500000</v>
      </c>
      <c r="S1757" s="2">
        <v>0</v>
      </c>
      <c r="T1757" s="2" t="s">
        <v>55</v>
      </c>
      <c r="U1757" s="2" t="s">
        <v>56</v>
      </c>
      <c r="V1757" s="2" t="s">
        <v>28</v>
      </c>
      <c r="W1757" s="2" t="s">
        <v>55</v>
      </c>
      <c r="X1757" s="2" t="s">
        <v>57</v>
      </c>
      <c r="Y1757" s="2">
        <v>1.25517287540246</v>
      </c>
      <c r="Z1757" s="2">
        <v>4.71035</v>
      </c>
      <c r="AA1757" s="2">
        <v>-74.030416666666696</v>
      </c>
      <c r="AB1757" s="2">
        <v>2570</v>
      </c>
      <c r="AC1757" s="2" t="s">
        <v>31</v>
      </c>
      <c r="AD1757" s="2" t="s">
        <v>58</v>
      </c>
      <c r="AE1757" s="2" t="s">
        <v>33</v>
      </c>
      <c r="AF1757" s="2" t="s">
        <v>34</v>
      </c>
      <c r="AG1757" s="2" t="s">
        <v>59</v>
      </c>
      <c r="AH1757" s="2">
        <v>1.4765106054858399</v>
      </c>
      <c r="AI1757" s="2">
        <v>1.7755446049766199</v>
      </c>
      <c r="AJ1757" s="2">
        <v>1.0307541173691099</v>
      </c>
      <c r="AK1757" s="2">
        <v>0.115674055818224</v>
      </c>
      <c r="AL1757" s="2">
        <v>0.22367940653292001</v>
      </c>
      <c r="AM1757" s="2">
        <v>15.5</v>
      </c>
      <c r="AN1757" s="2">
        <v>2.4</v>
      </c>
      <c r="AO1757" s="2">
        <v>10.9</v>
      </c>
      <c r="AP1757" s="2">
        <v>564</v>
      </c>
      <c r="AQ1757" s="2">
        <v>68</v>
      </c>
      <c r="AR1757" s="2">
        <v>1.5</v>
      </c>
      <c r="AS1757" s="2">
        <v>135</v>
      </c>
      <c r="AT1757" s="2">
        <v>0</v>
      </c>
      <c r="AU1757" s="2">
        <v>162</v>
      </c>
      <c r="AV1757" s="2">
        <v>9.1</v>
      </c>
      <c r="AW1757" s="2">
        <v>9.1999999999999993</v>
      </c>
      <c r="AX1757" s="2">
        <v>18.3</v>
      </c>
      <c r="AY1757" s="2">
        <v>0.34</v>
      </c>
      <c r="AZ1757" s="2">
        <v>7.3</v>
      </c>
      <c r="BA1757" s="2">
        <v>0.9</v>
      </c>
      <c r="BB1757" s="2">
        <v>7.5</v>
      </c>
      <c r="BC1757" s="2">
        <v>2.9</v>
      </c>
      <c r="BD1757" s="2">
        <f>+AN1757*EXP(-0.0495*Y1757)</f>
        <v>2.2554233191644726</v>
      </c>
      <c r="BE1757" s="2">
        <f>+AO1757*EXP(-0.024*Y1757)</f>
        <v>10.576543166807584</v>
      </c>
    </row>
    <row r="1758" spans="1:57" x14ac:dyDescent="0.2">
      <c r="A1758" s="2" t="s">
        <v>4252</v>
      </c>
      <c r="B1758" s="2" t="s">
        <v>19</v>
      </c>
      <c r="C1758" s="2" t="s">
        <v>3245</v>
      </c>
      <c r="D1758" s="2" t="s">
        <v>21</v>
      </c>
      <c r="E1758" s="2" t="s">
        <v>161</v>
      </c>
      <c r="F1758" s="2">
        <v>6</v>
      </c>
      <c r="G1758" s="2">
        <v>60</v>
      </c>
      <c r="H1758" s="2">
        <v>1</v>
      </c>
      <c r="I1758" s="2">
        <v>1</v>
      </c>
      <c r="J1758" s="2">
        <v>2</v>
      </c>
      <c r="K1758" s="2" t="s">
        <v>61</v>
      </c>
      <c r="L1758" s="6" t="s">
        <v>62</v>
      </c>
      <c r="M1758" s="5">
        <v>660000000</v>
      </c>
      <c r="N1758" s="2">
        <v>0</v>
      </c>
      <c r="O1758" s="2">
        <v>4.6972243000000002</v>
      </c>
      <c r="P1758" s="2">
        <v>-74.052445300000002</v>
      </c>
      <c r="Q1758" s="2" t="s">
        <v>4253</v>
      </c>
      <c r="R1758" s="2">
        <v>11000000</v>
      </c>
      <c r="S1758" s="2">
        <v>0</v>
      </c>
      <c r="T1758" s="2" t="s">
        <v>55</v>
      </c>
      <c r="U1758" s="2" t="s">
        <v>56</v>
      </c>
      <c r="V1758" s="2" t="s">
        <v>28</v>
      </c>
      <c r="W1758" s="2" t="s">
        <v>55</v>
      </c>
      <c r="X1758" s="2" t="s">
        <v>57</v>
      </c>
      <c r="Y1758" s="2">
        <v>2.8474329906596099</v>
      </c>
      <c r="Z1758" s="2">
        <v>4.71035</v>
      </c>
      <c r="AA1758" s="2">
        <v>-74.030416666666696</v>
      </c>
      <c r="AB1758" s="2">
        <v>2570</v>
      </c>
      <c r="AC1758" s="2" t="s">
        <v>31</v>
      </c>
      <c r="AD1758" s="2" t="s">
        <v>58</v>
      </c>
      <c r="AE1758" s="2" t="s">
        <v>33</v>
      </c>
      <c r="AF1758" s="2" t="s">
        <v>34</v>
      </c>
      <c r="AG1758" s="2" t="s">
        <v>59</v>
      </c>
      <c r="AH1758" s="2">
        <v>0.332799032929046</v>
      </c>
      <c r="AI1758" s="2">
        <v>2.73085405645431</v>
      </c>
      <c r="AJ1758" s="2">
        <v>0.52104123698244398</v>
      </c>
      <c r="AK1758" s="2">
        <v>0.22187603289503299</v>
      </c>
      <c r="AL1758" s="2">
        <v>0.32687301100944799</v>
      </c>
      <c r="AM1758" s="2">
        <v>15.5</v>
      </c>
      <c r="AN1758" s="2">
        <v>2.4</v>
      </c>
      <c r="AO1758" s="2">
        <v>10.9</v>
      </c>
      <c r="AP1758" s="2">
        <v>564</v>
      </c>
      <c r="AQ1758" s="2">
        <v>68</v>
      </c>
      <c r="AR1758" s="2">
        <v>1.5</v>
      </c>
      <c r="AS1758" s="2">
        <v>135</v>
      </c>
      <c r="AT1758" s="2">
        <v>0</v>
      </c>
      <c r="AU1758" s="2">
        <v>162</v>
      </c>
      <c r="AV1758" s="2">
        <v>9.1</v>
      </c>
      <c r="AW1758" s="2">
        <v>9.1999999999999993</v>
      </c>
      <c r="AX1758" s="2">
        <v>18.3</v>
      </c>
      <c r="AY1758" s="2">
        <v>0.34</v>
      </c>
      <c r="AZ1758" s="2">
        <v>7.3</v>
      </c>
      <c r="BA1758" s="2">
        <v>0.9</v>
      </c>
      <c r="BB1758" s="2">
        <v>7.5</v>
      </c>
      <c r="BC1758" s="2">
        <v>2.9</v>
      </c>
      <c r="BD1758" s="2">
        <f>+AN1758*EXP(-0.0495*Y1758)</f>
        <v>2.0844828779404914</v>
      </c>
      <c r="BE1758" s="2">
        <f>+AO1758*EXP(-0.024*Y1758)</f>
        <v>10.179993752911464</v>
      </c>
    </row>
    <row r="1759" spans="1:57" x14ac:dyDescent="0.2">
      <c r="A1759" s="2" t="s">
        <v>3702</v>
      </c>
      <c r="B1759" s="2" t="s">
        <v>19</v>
      </c>
      <c r="C1759" s="2" t="s">
        <v>3245</v>
      </c>
      <c r="D1759" s="2" t="s">
        <v>21</v>
      </c>
      <c r="E1759" s="2" t="s">
        <v>223</v>
      </c>
      <c r="F1759" s="2">
        <v>5</v>
      </c>
      <c r="G1759" s="2">
        <v>60</v>
      </c>
      <c r="H1759" s="2">
        <v>1</v>
      </c>
      <c r="I1759" s="2">
        <v>2</v>
      </c>
      <c r="J1759" s="2">
        <v>1</v>
      </c>
      <c r="K1759" s="2" t="s">
        <v>61</v>
      </c>
      <c r="L1759" s="6" t="s">
        <v>62</v>
      </c>
      <c r="M1759" s="5">
        <v>1121000000</v>
      </c>
      <c r="N1759" s="2">
        <v>0</v>
      </c>
      <c r="O1759" s="2">
        <v>4.6881442370000004</v>
      </c>
      <c r="P1759" s="2">
        <v>-74.033904559999996</v>
      </c>
      <c r="Q1759" s="2" t="s">
        <v>3703</v>
      </c>
      <c r="R1759" s="2">
        <v>18683333.329999998</v>
      </c>
      <c r="S1759" s="2">
        <v>0</v>
      </c>
      <c r="T1759" s="2" t="s">
        <v>55</v>
      </c>
      <c r="U1759" s="2" t="s">
        <v>56</v>
      </c>
      <c r="V1759" s="2" t="s">
        <v>28</v>
      </c>
      <c r="W1759" s="2" t="s">
        <v>55</v>
      </c>
      <c r="X1759" s="2" t="s">
        <v>57</v>
      </c>
      <c r="Y1759" s="2">
        <v>2.5020393675807799</v>
      </c>
      <c r="Z1759" s="2">
        <v>4.71035</v>
      </c>
      <c r="AA1759" s="2">
        <v>-74.030416666666696</v>
      </c>
      <c r="AB1759" s="2">
        <v>2570</v>
      </c>
      <c r="AC1759" s="2" t="s">
        <v>31</v>
      </c>
      <c r="AD1759" s="2" t="s">
        <v>58</v>
      </c>
      <c r="AE1759" s="2" t="s">
        <v>33</v>
      </c>
      <c r="AF1759" s="2" t="s">
        <v>34</v>
      </c>
      <c r="AG1759" s="2" t="s">
        <v>59</v>
      </c>
      <c r="AH1759" s="2">
        <v>2.5273530526547798</v>
      </c>
      <c r="AI1759" s="2">
        <v>0.83064884828922003</v>
      </c>
      <c r="AJ1759" s="2">
        <v>0.83488423526992495</v>
      </c>
      <c r="AK1759" s="2">
        <v>0.29053019912184902</v>
      </c>
      <c r="AL1759" s="2">
        <v>0.38616598419004899</v>
      </c>
      <c r="AM1759" s="2">
        <v>15.5</v>
      </c>
      <c r="AN1759" s="2">
        <v>2.4</v>
      </c>
      <c r="AO1759" s="2">
        <v>10.9</v>
      </c>
      <c r="AP1759" s="2">
        <v>564</v>
      </c>
      <c r="AQ1759" s="2">
        <v>68</v>
      </c>
      <c r="AR1759" s="2">
        <v>1.5</v>
      </c>
      <c r="AS1759" s="2">
        <v>135</v>
      </c>
      <c r="AT1759" s="2">
        <v>0</v>
      </c>
      <c r="AU1759" s="2">
        <v>162</v>
      </c>
      <c r="AV1759" s="2">
        <v>9.1</v>
      </c>
      <c r="AW1759" s="2">
        <v>9.1999999999999993</v>
      </c>
      <c r="AX1759" s="2">
        <v>18.3</v>
      </c>
      <c r="AY1759" s="2">
        <v>0.34</v>
      </c>
      <c r="AZ1759" s="2">
        <v>7.3</v>
      </c>
      <c r="BA1759" s="2">
        <v>0.9</v>
      </c>
      <c r="BB1759" s="2">
        <v>7.5</v>
      </c>
      <c r="BC1759" s="2">
        <v>2.9</v>
      </c>
      <c r="BD1759" s="2">
        <f>+AN1759*EXP(-0.0495*Y1759)</f>
        <v>2.1204276470731802</v>
      </c>
      <c r="BE1759" s="2">
        <f>+AO1759*EXP(-0.024*Y1759)</f>
        <v>10.264730998342076</v>
      </c>
    </row>
    <row r="1760" spans="1:57" x14ac:dyDescent="0.2">
      <c r="A1760" s="2" t="s">
        <v>3507</v>
      </c>
      <c r="B1760" s="2" t="s">
        <v>19</v>
      </c>
      <c r="C1760" s="2" t="s">
        <v>3245</v>
      </c>
      <c r="D1760" s="2" t="s">
        <v>21</v>
      </c>
      <c r="E1760" s="2" t="s">
        <v>699</v>
      </c>
      <c r="F1760" s="2">
        <v>6</v>
      </c>
      <c r="G1760" s="2">
        <v>60</v>
      </c>
      <c r="H1760" s="2">
        <v>1</v>
      </c>
      <c r="I1760" s="2">
        <v>2</v>
      </c>
      <c r="J1760" s="2">
        <v>1</v>
      </c>
      <c r="K1760" s="2" t="s">
        <v>61</v>
      </c>
      <c r="L1760" s="6" t="s">
        <v>84</v>
      </c>
      <c r="M1760" s="5">
        <v>557300000</v>
      </c>
      <c r="N1760" s="2">
        <v>0</v>
      </c>
      <c r="O1760" s="2">
        <v>4.6941600000000001</v>
      </c>
      <c r="P1760" s="2">
        <v>-74.043109999999999</v>
      </c>
      <c r="Q1760" s="2" t="s">
        <v>3508</v>
      </c>
      <c r="R1760" s="2">
        <v>9288333.3330000006</v>
      </c>
      <c r="S1760" s="2">
        <v>0</v>
      </c>
      <c r="T1760" s="2" t="s">
        <v>55</v>
      </c>
      <c r="U1760" s="2" t="s">
        <v>56</v>
      </c>
      <c r="V1760" s="2" t="s">
        <v>28</v>
      </c>
      <c r="W1760" s="2" t="s">
        <v>55</v>
      </c>
      <c r="X1760" s="2" t="s">
        <v>57</v>
      </c>
      <c r="Y1760" s="2">
        <v>2.2872133490276298</v>
      </c>
      <c r="Z1760" s="2">
        <v>4.71035</v>
      </c>
      <c r="AA1760" s="2">
        <v>-74.030416666666696</v>
      </c>
      <c r="AB1760" s="2">
        <v>2570</v>
      </c>
      <c r="AC1760" s="2" t="s">
        <v>31</v>
      </c>
      <c r="AD1760" s="2" t="s">
        <v>58</v>
      </c>
      <c r="AE1760" s="2" t="s">
        <v>33</v>
      </c>
      <c r="AF1760" s="2" t="s">
        <v>34</v>
      </c>
      <c r="AG1760" s="2" t="s">
        <v>59</v>
      </c>
      <c r="AH1760" s="2">
        <v>1.4218495185350499</v>
      </c>
      <c r="AI1760" s="2">
        <v>1.84291297765823</v>
      </c>
      <c r="AJ1760" s="2">
        <v>0.753498910489655</v>
      </c>
      <c r="AK1760" s="2">
        <v>0.194233346174919</v>
      </c>
      <c r="AL1760" s="2">
        <v>0.25817009153130099</v>
      </c>
      <c r="AM1760" s="2">
        <v>15.5</v>
      </c>
      <c r="AN1760" s="2">
        <v>2.4</v>
      </c>
      <c r="AO1760" s="2">
        <v>10.9</v>
      </c>
      <c r="AP1760" s="2">
        <v>564</v>
      </c>
      <c r="AQ1760" s="2">
        <v>68</v>
      </c>
      <c r="AR1760" s="2">
        <v>1.5</v>
      </c>
      <c r="AS1760" s="2">
        <v>135</v>
      </c>
      <c r="AT1760" s="2">
        <v>0</v>
      </c>
      <c r="AU1760" s="2">
        <v>162</v>
      </c>
      <c r="AV1760" s="2">
        <v>9.1</v>
      </c>
      <c r="AW1760" s="2">
        <v>9.1999999999999993</v>
      </c>
      <c r="AX1760" s="2">
        <v>18.3</v>
      </c>
      <c r="AY1760" s="2">
        <v>0.34</v>
      </c>
      <c r="AZ1760" s="2">
        <v>7.3</v>
      </c>
      <c r="BA1760" s="2">
        <v>0.9</v>
      </c>
      <c r="BB1760" s="2">
        <v>7.5</v>
      </c>
      <c r="BC1760" s="2">
        <v>2.9</v>
      </c>
      <c r="BD1760" s="2">
        <f>+AN1760*EXP(-0.0495*Y1760)</f>
        <v>2.1430963516293966</v>
      </c>
      <c r="BE1760" s="2">
        <f>+AO1760*EXP(-0.024*Y1760)</f>
        <v>10.317790815359716</v>
      </c>
    </row>
    <row r="1761" spans="1:57" x14ac:dyDescent="0.2">
      <c r="A1761" s="2" t="s">
        <v>4343</v>
      </c>
      <c r="B1761" s="2" t="s">
        <v>19</v>
      </c>
      <c r="C1761" s="2" t="s">
        <v>3245</v>
      </c>
      <c r="D1761" s="2" t="s">
        <v>21</v>
      </c>
      <c r="E1761" s="2" t="s">
        <v>288</v>
      </c>
      <c r="F1761" s="2">
        <v>6</v>
      </c>
      <c r="G1761" s="2">
        <v>60</v>
      </c>
      <c r="H1761" s="2">
        <v>1</v>
      </c>
      <c r="I1761" s="2">
        <v>1</v>
      </c>
      <c r="J1761" s="2">
        <v>1</v>
      </c>
      <c r="K1761" s="2" t="s">
        <v>61</v>
      </c>
      <c r="L1761" s="6" t="s">
        <v>62</v>
      </c>
      <c r="M1761" s="5">
        <v>620000000</v>
      </c>
      <c r="N1761" s="2">
        <v>0</v>
      </c>
      <c r="O1761" s="2">
        <v>4.7025270849999998</v>
      </c>
      <c r="P1761" s="2">
        <v>-74.043613149999999</v>
      </c>
      <c r="Q1761" s="2" t="s">
        <v>4344</v>
      </c>
      <c r="R1761" s="2">
        <v>10333333.33</v>
      </c>
      <c r="S1761" s="2">
        <v>0</v>
      </c>
      <c r="T1761" s="2" t="s">
        <v>55</v>
      </c>
      <c r="U1761" s="2" t="s">
        <v>56</v>
      </c>
      <c r="V1761" s="2" t="s">
        <v>28</v>
      </c>
      <c r="W1761" s="2" t="s">
        <v>55</v>
      </c>
      <c r="X1761" s="2" t="s">
        <v>57</v>
      </c>
      <c r="Y1761" s="2">
        <v>1.7034892644716999</v>
      </c>
      <c r="Z1761" s="2">
        <v>4.71035</v>
      </c>
      <c r="AA1761" s="2">
        <v>-74.030416666666696</v>
      </c>
      <c r="AB1761" s="2">
        <v>2570</v>
      </c>
      <c r="AC1761" s="2" t="s">
        <v>31</v>
      </c>
      <c r="AD1761" s="2" t="s">
        <v>58</v>
      </c>
      <c r="AE1761" s="2" t="s">
        <v>33</v>
      </c>
      <c r="AF1761" s="2" t="s">
        <v>34</v>
      </c>
      <c r="AG1761" s="2" t="s">
        <v>59</v>
      </c>
      <c r="AH1761" s="2">
        <v>1.1995650787648</v>
      </c>
      <c r="AI1761" s="2">
        <v>1.9996994467623299</v>
      </c>
      <c r="AJ1761" s="2">
        <v>1.2327155257029101</v>
      </c>
      <c r="AK1761" s="2">
        <v>6.5673594944654107E-2</v>
      </c>
      <c r="AL1761" s="2">
        <v>0.18313005572417099</v>
      </c>
      <c r="AM1761" s="2">
        <v>15.5</v>
      </c>
      <c r="AN1761" s="2">
        <v>2.4</v>
      </c>
      <c r="AO1761" s="2">
        <v>10.9</v>
      </c>
      <c r="AP1761" s="2">
        <v>564</v>
      </c>
      <c r="AQ1761" s="2">
        <v>68</v>
      </c>
      <c r="AR1761" s="2">
        <v>1.5</v>
      </c>
      <c r="AS1761" s="2">
        <v>135</v>
      </c>
      <c r="AT1761" s="2">
        <v>0</v>
      </c>
      <c r="AU1761" s="2">
        <v>162</v>
      </c>
      <c r="AV1761" s="2">
        <v>9.1</v>
      </c>
      <c r="AW1761" s="2">
        <v>9.1999999999999993</v>
      </c>
      <c r="AX1761" s="2">
        <v>18.3</v>
      </c>
      <c r="AY1761" s="2">
        <v>0.34</v>
      </c>
      <c r="AZ1761" s="2">
        <v>7.3</v>
      </c>
      <c r="BA1761" s="2">
        <v>0.9</v>
      </c>
      <c r="BB1761" s="2">
        <v>7.5</v>
      </c>
      <c r="BC1761" s="2">
        <v>2.9</v>
      </c>
      <c r="BD1761" s="2">
        <f>+AN1761*EXP(-0.0495*Y1761)</f>
        <v>2.2059230073799241</v>
      </c>
      <c r="BE1761" s="2">
        <f>+AO1761*EXP(-0.024*Y1761)</f>
        <v>10.463353890685713</v>
      </c>
    </row>
    <row r="1762" spans="1:57" x14ac:dyDescent="0.2">
      <c r="A1762" s="2" t="s">
        <v>4486</v>
      </c>
      <c r="B1762" s="2" t="s">
        <v>19</v>
      </c>
      <c r="C1762" s="2" t="s">
        <v>3245</v>
      </c>
      <c r="D1762" s="2" t="s">
        <v>21</v>
      </c>
      <c r="E1762" s="2" t="s">
        <v>156</v>
      </c>
      <c r="F1762" s="2">
        <v>4</v>
      </c>
      <c r="G1762" s="2">
        <v>60</v>
      </c>
      <c r="H1762" s="2">
        <v>1</v>
      </c>
      <c r="I1762" s="2">
        <v>2</v>
      </c>
      <c r="J1762" s="2">
        <v>1</v>
      </c>
      <c r="K1762" s="2" t="s">
        <v>61</v>
      </c>
      <c r="L1762" s="6" t="s">
        <v>84</v>
      </c>
      <c r="M1762" s="5">
        <v>420000000</v>
      </c>
      <c r="N1762" s="2">
        <v>0</v>
      </c>
      <c r="O1762" s="2">
        <v>4.7214010000000002</v>
      </c>
      <c r="P1762" s="2">
        <v>-74.034492</v>
      </c>
      <c r="Q1762" s="2" t="s">
        <v>4487</v>
      </c>
      <c r="R1762" s="2">
        <v>7000000</v>
      </c>
      <c r="S1762" s="2">
        <v>0</v>
      </c>
      <c r="T1762" s="2" t="s">
        <v>55</v>
      </c>
      <c r="U1762" s="2" t="s">
        <v>56</v>
      </c>
      <c r="V1762" s="2" t="s">
        <v>28</v>
      </c>
      <c r="W1762" s="2" t="s">
        <v>55</v>
      </c>
      <c r="X1762" s="2" t="s">
        <v>57</v>
      </c>
      <c r="Y1762" s="2">
        <v>1.3106454614154099</v>
      </c>
      <c r="Z1762" s="2">
        <v>4.71035</v>
      </c>
      <c r="AA1762" s="2">
        <v>-74.030416666666696</v>
      </c>
      <c r="AB1762" s="2">
        <v>2570</v>
      </c>
      <c r="AC1762" s="2" t="s">
        <v>31</v>
      </c>
      <c r="AD1762" s="2" t="s">
        <v>58</v>
      </c>
      <c r="AE1762" s="2" t="s">
        <v>33</v>
      </c>
      <c r="AF1762" s="2" t="s">
        <v>34</v>
      </c>
      <c r="AG1762" s="2" t="s">
        <v>59</v>
      </c>
      <c r="AH1762" s="2">
        <v>1.8745869526194701</v>
      </c>
      <c r="AI1762" s="2">
        <v>1.2267465932736501</v>
      </c>
      <c r="AJ1762" s="2">
        <v>1.1931997034161299</v>
      </c>
      <c r="AK1762" s="2">
        <v>0.27471290415582</v>
      </c>
      <c r="AL1762" s="2">
        <v>6.5677896025963106E-2</v>
      </c>
      <c r="AM1762" s="2">
        <v>15.5</v>
      </c>
      <c r="AN1762" s="2">
        <v>2.4</v>
      </c>
      <c r="AO1762" s="2">
        <v>10.9</v>
      </c>
      <c r="AP1762" s="2">
        <v>564</v>
      </c>
      <c r="AQ1762" s="2">
        <v>68</v>
      </c>
      <c r="AR1762" s="2">
        <v>1.5</v>
      </c>
      <c r="AS1762" s="2">
        <v>135</v>
      </c>
      <c r="AT1762" s="2">
        <v>0</v>
      </c>
      <c r="AU1762" s="2">
        <v>162</v>
      </c>
      <c r="AV1762" s="2">
        <v>9.1</v>
      </c>
      <c r="AW1762" s="2">
        <v>9.1999999999999993</v>
      </c>
      <c r="AX1762" s="2">
        <v>18.3</v>
      </c>
      <c r="AY1762" s="2">
        <v>0.34</v>
      </c>
      <c r="AZ1762" s="2">
        <v>7.3</v>
      </c>
      <c r="BA1762" s="2">
        <v>0.9</v>
      </c>
      <c r="BB1762" s="2">
        <v>7.5</v>
      </c>
      <c r="BC1762" s="2">
        <v>2.9</v>
      </c>
      <c r="BD1762" s="2">
        <f>+AN1762*EXP(-0.0495*Y1762)</f>
        <v>2.2492386631309751</v>
      </c>
      <c r="BE1762" s="2">
        <f>+AO1762*EXP(-0.024*Y1762)</f>
        <v>10.562471539147987</v>
      </c>
    </row>
    <row r="1763" spans="1:57" x14ac:dyDescent="0.2">
      <c r="A1763" s="2" t="s">
        <v>1033</v>
      </c>
      <c r="B1763" s="2" t="s">
        <v>19</v>
      </c>
      <c r="C1763" s="2" t="s">
        <v>20</v>
      </c>
      <c r="D1763" s="2" t="s">
        <v>21</v>
      </c>
      <c r="E1763" s="2" t="s">
        <v>1034</v>
      </c>
      <c r="F1763" s="2">
        <v>3</v>
      </c>
      <c r="G1763" s="2">
        <v>60</v>
      </c>
      <c r="H1763" s="2">
        <v>2</v>
      </c>
      <c r="I1763" s="2">
        <v>2</v>
      </c>
      <c r="J1763" s="2">
        <v>1</v>
      </c>
      <c r="K1763" s="2" t="s">
        <v>61</v>
      </c>
      <c r="L1763" s="6" t="s">
        <v>113</v>
      </c>
      <c r="M1763" s="5">
        <v>310000000</v>
      </c>
      <c r="N1763" s="2">
        <v>0</v>
      </c>
      <c r="O1763" s="2">
        <v>4.7053303719999997</v>
      </c>
      <c r="P1763" s="2">
        <v>-74.023307799999998</v>
      </c>
      <c r="Q1763" s="2" t="s">
        <v>1035</v>
      </c>
      <c r="R1763" s="2">
        <v>5166666.6670000004</v>
      </c>
      <c r="S1763" s="2">
        <v>0</v>
      </c>
      <c r="T1763" s="2" t="s">
        <v>55</v>
      </c>
      <c r="U1763" s="2" t="s">
        <v>56</v>
      </c>
      <c r="V1763" s="2" t="s">
        <v>28</v>
      </c>
      <c r="W1763" s="2" t="s">
        <v>55</v>
      </c>
      <c r="X1763" s="2" t="s">
        <v>57</v>
      </c>
      <c r="Y1763" s="2">
        <v>0.96657262975876401</v>
      </c>
      <c r="Z1763" s="2">
        <v>4.71035</v>
      </c>
      <c r="AA1763" s="2">
        <v>-74.030416666666696</v>
      </c>
      <c r="AB1763" s="2">
        <v>2570</v>
      </c>
      <c r="AC1763" s="2" t="s">
        <v>31</v>
      </c>
      <c r="AD1763" s="2" t="s">
        <v>58</v>
      </c>
      <c r="AE1763" s="2" t="s">
        <v>33</v>
      </c>
      <c r="AF1763" s="2" t="s">
        <v>34</v>
      </c>
      <c r="AG1763" s="2" t="s">
        <v>59</v>
      </c>
      <c r="AH1763" s="2">
        <v>3.3997224702412998</v>
      </c>
      <c r="AI1763" s="2">
        <v>7.7195044546456398E-2</v>
      </c>
      <c r="AJ1763" s="2">
        <v>1.10715054919475</v>
      </c>
      <c r="AK1763" s="2">
        <v>0.67282175735336702</v>
      </c>
      <c r="AL1763" s="2">
        <v>4.3492534179177499E-2</v>
      </c>
      <c r="AM1763" s="2">
        <v>15.5</v>
      </c>
      <c r="AN1763" s="2">
        <v>2.4</v>
      </c>
      <c r="AO1763" s="2">
        <v>10.9</v>
      </c>
      <c r="AP1763" s="2">
        <v>564</v>
      </c>
      <c r="AQ1763" s="2">
        <v>68</v>
      </c>
      <c r="AR1763" s="2">
        <v>1.5</v>
      </c>
      <c r="AS1763" s="2">
        <v>135</v>
      </c>
      <c r="AT1763" s="2">
        <v>0</v>
      </c>
      <c r="AU1763" s="2">
        <v>162</v>
      </c>
      <c r="AV1763" s="2">
        <v>9.1</v>
      </c>
      <c r="AW1763" s="2">
        <v>9.1999999999999993</v>
      </c>
      <c r="AX1763" s="2">
        <v>18.3</v>
      </c>
      <c r="AY1763" s="2">
        <v>0.34</v>
      </c>
      <c r="AZ1763" s="2">
        <v>7.3</v>
      </c>
      <c r="BA1763" s="2">
        <v>0.9</v>
      </c>
      <c r="BB1763" s="2">
        <v>7.5</v>
      </c>
      <c r="BC1763" s="2">
        <v>2.9</v>
      </c>
      <c r="BD1763" s="2">
        <f>+AN1763*EXP(-0.0495*Y1763)</f>
        <v>2.2878748925221597</v>
      </c>
      <c r="BE1763" s="2">
        <f>+AO1763*EXP(-0.024*Y1763)</f>
        <v>10.65005488987353</v>
      </c>
    </row>
    <row r="1764" spans="1:57" x14ac:dyDescent="0.2">
      <c r="A1764" s="2" t="s">
        <v>190</v>
      </c>
      <c r="B1764" s="2" t="s">
        <v>19</v>
      </c>
      <c r="C1764" s="2" t="s">
        <v>20</v>
      </c>
      <c r="D1764" s="2" t="s">
        <v>21</v>
      </c>
      <c r="E1764" s="2" t="s">
        <v>130</v>
      </c>
      <c r="F1764" s="2">
        <v>6</v>
      </c>
      <c r="G1764" s="2">
        <v>59.38</v>
      </c>
      <c r="H1764" s="2">
        <v>1</v>
      </c>
      <c r="I1764" s="2">
        <v>2</v>
      </c>
      <c r="J1764" s="2">
        <v>2</v>
      </c>
      <c r="K1764" s="2" t="s">
        <v>61</v>
      </c>
      <c r="L1764" s="6" t="s">
        <v>84</v>
      </c>
      <c r="M1764" s="5">
        <v>1000000000</v>
      </c>
      <c r="N1764" s="2">
        <v>0</v>
      </c>
      <c r="O1764" s="2">
        <v>4.6788992880000002</v>
      </c>
      <c r="P1764" s="2">
        <v>-74.042648319999998</v>
      </c>
      <c r="Q1764" s="2" t="s">
        <v>191</v>
      </c>
      <c r="R1764" s="2">
        <v>16840687.100000001</v>
      </c>
      <c r="S1764" s="2">
        <v>0</v>
      </c>
      <c r="T1764" s="2" t="s">
        <v>55</v>
      </c>
      <c r="U1764" s="2" t="s">
        <v>56</v>
      </c>
      <c r="V1764" s="2" t="s">
        <v>28</v>
      </c>
      <c r="W1764" s="2" t="s">
        <v>55</v>
      </c>
      <c r="X1764" s="2" t="s">
        <v>57</v>
      </c>
      <c r="Y1764" s="2">
        <v>3.7548815455014601</v>
      </c>
      <c r="Z1764" s="2">
        <v>4.71035</v>
      </c>
      <c r="AA1764" s="2">
        <v>-74.030416666666696</v>
      </c>
      <c r="AB1764" s="2">
        <v>2570</v>
      </c>
      <c r="AC1764" s="2" t="s">
        <v>31</v>
      </c>
      <c r="AD1764" s="2" t="s">
        <v>58</v>
      </c>
      <c r="AE1764" s="2" t="s">
        <v>33</v>
      </c>
      <c r="AF1764" s="2" t="s">
        <v>34</v>
      </c>
      <c r="AG1764" s="2" t="s">
        <v>81</v>
      </c>
      <c r="AH1764" s="2">
        <v>1.7610738727125299</v>
      </c>
      <c r="AI1764" s="2">
        <v>0.62654957370189701</v>
      </c>
      <c r="AJ1764" s="2">
        <v>0.54127183066032203</v>
      </c>
      <c r="AK1764" s="2">
        <v>0.17343089123179001</v>
      </c>
      <c r="AL1764" s="2">
        <v>0.96151579662007902</v>
      </c>
      <c r="AM1764" s="2">
        <v>15.5</v>
      </c>
      <c r="AN1764" s="2">
        <v>2.4</v>
      </c>
      <c r="AO1764" s="2">
        <v>10.9</v>
      </c>
      <c r="AP1764" s="2">
        <v>564</v>
      </c>
      <c r="AQ1764" s="2">
        <v>68</v>
      </c>
      <c r="AR1764" s="2">
        <v>1.5</v>
      </c>
      <c r="AS1764" s="2">
        <v>135</v>
      </c>
      <c r="AT1764" s="2">
        <v>0</v>
      </c>
      <c r="AU1764" s="2">
        <v>162</v>
      </c>
      <c r="AV1764" s="2">
        <v>9.1</v>
      </c>
      <c r="AW1764" s="2">
        <v>9.1999999999999993</v>
      </c>
      <c r="AX1764" s="2">
        <v>18.3</v>
      </c>
      <c r="AY1764" s="2">
        <v>0.34</v>
      </c>
      <c r="AZ1764" s="2">
        <v>7.3</v>
      </c>
      <c r="BA1764" s="2">
        <v>0.9</v>
      </c>
      <c r="BB1764" s="2">
        <v>7.5</v>
      </c>
      <c r="BC1764" s="2">
        <v>2.9</v>
      </c>
      <c r="BD1764" s="2">
        <f>+AN1764*EXP(-0.0495*Y1764)</f>
        <v>1.9929223933355196</v>
      </c>
      <c r="BE1764" s="2">
        <f>+AO1764*EXP(-0.024*Y1764)</f>
        <v>9.9606828864529664</v>
      </c>
    </row>
    <row r="1765" spans="1:57" x14ac:dyDescent="0.2">
      <c r="A1765" s="2" t="s">
        <v>3304</v>
      </c>
      <c r="B1765" s="2" t="s">
        <v>19</v>
      </c>
      <c r="C1765" s="2" t="s">
        <v>3245</v>
      </c>
      <c r="D1765" s="2" t="s">
        <v>21</v>
      </c>
      <c r="E1765" s="2" t="s">
        <v>53</v>
      </c>
      <c r="F1765" s="2">
        <v>6</v>
      </c>
      <c r="G1765" s="2">
        <v>59</v>
      </c>
      <c r="H1765" s="2">
        <v>1</v>
      </c>
      <c r="I1765" s="2">
        <v>2</v>
      </c>
      <c r="J1765" s="2">
        <v>1</v>
      </c>
      <c r="K1765" s="2" t="s">
        <v>61</v>
      </c>
      <c r="L1765" s="6" t="s">
        <v>75</v>
      </c>
      <c r="M1765" s="5">
        <v>530000000</v>
      </c>
      <c r="N1765" s="2">
        <v>0</v>
      </c>
      <c r="O1765" s="2">
        <v>4.7030699</v>
      </c>
      <c r="P1765" s="2">
        <v>-74.043489300000005</v>
      </c>
      <c r="Q1765" s="2" t="s">
        <v>3305</v>
      </c>
      <c r="R1765" s="2">
        <v>8983050.8469999991</v>
      </c>
      <c r="S1765" s="2">
        <v>0</v>
      </c>
      <c r="T1765" s="2" t="s">
        <v>55</v>
      </c>
      <c r="U1765" s="2" t="s">
        <v>56</v>
      </c>
      <c r="V1765" s="2" t="s">
        <v>28</v>
      </c>
      <c r="W1765" s="2" t="s">
        <v>55</v>
      </c>
      <c r="X1765" s="2" t="s">
        <v>57</v>
      </c>
      <c r="Y1765" s="2">
        <v>1.66139616873459</v>
      </c>
      <c r="Z1765" s="2">
        <v>4.71035</v>
      </c>
      <c r="AA1765" s="2">
        <v>-74.030416666666696</v>
      </c>
      <c r="AB1765" s="2">
        <v>2570</v>
      </c>
      <c r="AC1765" s="2" t="s">
        <v>31</v>
      </c>
      <c r="AD1765" s="2" t="s">
        <v>58</v>
      </c>
      <c r="AE1765" s="2" t="s">
        <v>33</v>
      </c>
      <c r="AF1765" s="2" t="s">
        <v>34</v>
      </c>
      <c r="AG1765" s="2" t="s">
        <v>59</v>
      </c>
      <c r="AH1765" s="2">
        <v>1.20293302629863</v>
      </c>
      <c r="AI1765" s="2">
        <v>1.98894183409812</v>
      </c>
      <c r="AJ1765" s="2">
        <v>1.2373919431556299</v>
      </c>
      <c r="AK1765" s="2">
        <v>4.0090907953289803E-2</v>
      </c>
      <c r="AL1765" s="2">
        <v>0.244581916173295</v>
      </c>
      <c r="AM1765" s="2">
        <v>15.5</v>
      </c>
      <c r="AN1765" s="2">
        <v>2.4</v>
      </c>
      <c r="AO1765" s="2">
        <v>10.9</v>
      </c>
      <c r="AP1765" s="2">
        <v>564</v>
      </c>
      <c r="AQ1765" s="2">
        <v>68</v>
      </c>
      <c r="AR1765" s="2">
        <v>1.5</v>
      </c>
      <c r="AS1765" s="2">
        <v>135</v>
      </c>
      <c r="AT1765" s="2">
        <v>0</v>
      </c>
      <c r="AU1765" s="2">
        <v>162</v>
      </c>
      <c r="AV1765" s="2">
        <v>9.1</v>
      </c>
      <c r="AW1765" s="2">
        <v>9.1999999999999993</v>
      </c>
      <c r="AX1765" s="2">
        <v>18.3</v>
      </c>
      <c r="AY1765" s="2">
        <v>0.34</v>
      </c>
      <c r="AZ1765" s="2">
        <v>7.3</v>
      </c>
      <c r="BA1765" s="2">
        <v>0.9</v>
      </c>
      <c r="BB1765" s="2">
        <v>7.5</v>
      </c>
      <c r="BC1765" s="2">
        <v>2.9</v>
      </c>
      <c r="BD1765" s="2">
        <f>+AN1765*EXP(-0.0495*Y1765)</f>
        <v>2.2105240784829014</v>
      </c>
      <c r="BE1765" s="2">
        <f>+AO1765*EXP(-0.024*Y1765)</f>
        <v>10.473929670763392</v>
      </c>
    </row>
    <row r="1766" spans="1:57" x14ac:dyDescent="0.2">
      <c r="A1766" s="2" t="s">
        <v>3607</v>
      </c>
      <c r="B1766" s="2" t="s">
        <v>19</v>
      </c>
      <c r="C1766" s="2" t="s">
        <v>3245</v>
      </c>
      <c r="D1766" s="2" t="s">
        <v>21</v>
      </c>
      <c r="E1766" s="2" t="s">
        <v>180</v>
      </c>
      <c r="F1766" s="2">
        <v>6</v>
      </c>
      <c r="G1766" s="2">
        <v>58.78</v>
      </c>
      <c r="H1766" s="2">
        <v>1</v>
      </c>
      <c r="I1766" s="2">
        <v>2</v>
      </c>
      <c r="J1766" s="2">
        <v>1</v>
      </c>
      <c r="K1766" s="2" t="s">
        <v>61</v>
      </c>
      <c r="L1766" s="6" t="s">
        <v>62</v>
      </c>
      <c r="M1766" s="5">
        <v>827101854</v>
      </c>
      <c r="N1766" s="2">
        <v>0</v>
      </c>
      <c r="O1766" s="2">
        <v>4.6844400000000004</v>
      </c>
      <c r="P1766" s="2">
        <v>-74.054159999999996</v>
      </c>
      <c r="Q1766" s="2" t="s">
        <v>3608</v>
      </c>
      <c r="R1766" s="2">
        <v>14071144.16</v>
      </c>
      <c r="S1766" s="2">
        <v>0</v>
      </c>
      <c r="T1766" s="2" t="s">
        <v>55</v>
      </c>
      <c r="U1766" s="2" t="s">
        <v>56</v>
      </c>
      <c r="V1766" s="2" t="s">
        <v>28</v>
      </c>
      <c r="W1766" s="2" t="s">
        <v>55</v>
      </c>
      <c r="X1766" s="2" t="s">
        <v>57</v>
      </c>
      <c r="Y1766" s="2">
        <v>3.90617731145369</v>
      </c>
      <c r="Z1766" s="2">
        <v>4.71035</v>
      </c>
      <c r="AA1766" s="2">
        <v>-74.030416666666696</v>
      </c>
      <c r="AB1766" s="2">
        <v>2570</v>
      </c>
      <c r="AC1766" s="2" t="s">
        <v>31</v>
      </c>
      <c r="AD1766" s="2" t="s">
        <v>58</v>
      </c>
      <c r="AE1766" s="2" t="s">
        <v>33</v>
      </c>
      <c r="AF1766" s="2" t="s">
        <v>34</v>
      </c>
      <c r="AG1766" s="2" t="s">
        <v>81</v>
      </c>
      <c r="AH1766" s="2">
        <v>0.39759296503921499</v>
      </c>
      <c r="AI1766" s="2">
        <v>1.9930279803633999</v>
      </c>
      <c r="AJ1766" s="2">
        <v>0.20909573825494099</v>
      </c>
      <c r="AK1766" s="2">
        <v>0.115576375562105</v>
      </c>
      <c r="AL1766" s="2">
        <v>0.45794393133286898</v>
      </c>
      <c r="AM1766" s="2">
        <v>15.5</v>
      </c>
      <c r="AN1766" s="2">
        <v>2.4</v>
      </c>
      <c r="AO1766" s="2">
        <v>10.9</v>
      </c>
      <c r="AP1766" s="2">
        <v>564</v>
      </c>
      <c r="AQ1766" s="2">
        <v>68</v>
      </c>
      <c r="AR1766" s="2">
        <v>1.5</v>
      </c>
      <c r="AS1766" s="2">
        <v>135</v>
      </c>
      <c r="AT1766" s="2">
        <v>0</v>
      </c>
      <c r="AU1766" s="2">
        <v>162</v>
      </c>
      <c r="AV1766" s="2">
        <v>9.1</v>
      </c>
      <c r="AW1766" s="2">
        <v>9.1999999999999993</v>
      </c>
      <c r="AX1766" s="2">
        <v>18.3</v>
      </c>
      <c r="AY1766" s="2">
        <v>0.34</v>
      </c>
      <c r="AZ1766" s="2">
        <v>7.3</v>
      </c>
      <c r="BA1766" s="2">
        <v>0.9</v>
      </c>
      <c r="BB1766" s="2">
        <v>7.5</v>
      </c>
      <c r="BC1766" s="2">
        <v>2.9</v>
      </c>
      <c r="BD1766" s="2">
        <f>+AN1766*EXP(-0.0495*Y1766)</f>
        <v>1.9780528671801361</v>
      </c>
      <c r="BE1766" s="2">
        <f>+AO1766*EXP(-0.024*Y1766)</f>
        <v>9.9245802527067415</v>
      </c>
    </row>
    <row r="1767" spans="1:57" x14ac:dyDescent="0.2">
      <c r="A1767" s="2" t="s">
        <v>3895</v>
      </c>
      <c r="B1767" s="2" t="s">
        <v>19</v>
      </c>
      <c r="C1767" s="2" t="s">
        <v>3245</v>
      </c>
      <c r="D1767" s="2" t="s">
        <v>21</v>
      </c>
      <c r="E1767" s="2" t="s">
        <v>156</v>
      </c>
      <c r="F1767" s="2">
        <v>4</v>
      </c>
      <c r="G1767" s="2">
        <v>58.6</v>
      </c>
      <c r="H1767" s="2">
        <v>1</v>
      </c>
      <c r="I1767" s="2">
        <v>2</v>
      </c>
      <c r="J1767" s="2">
        <v>1</v>
      </c>
      <c r="K1767" s="2" t="s">
        <v>61</v>
      </c>
      <c r="L1767" s="6" t="s">
        <v>62</v>
      </c>
      <c r="M1767" s="5">
        <v>499000000</v>
      </c>
      <c r="N1767" s="2">
        <v>0</v>
      </c>
      <c r="O1767" s="2">
        <v>4.7190899999999996</v>
      </c>
      <c r="P1767" s="2">
        <v>-74.037930000000003</v>
      </c>
      <c r="Q1767" s="2" t="s">
        <v>3896</v>
      </c>
      <c r="R1767" s="2">
        <v>8515358.3619999997</v>
      </c>
      <c r="S1767" s="2">
        <v>0</v>
      </c>
      <c r="T1767" s="2" t="s">
        <v>55</v>
      </c>
      <c r="U1767" s="2" t="s">
        <v>56</v>
      </c>
      <c r="V1767" s="2" t="s">
        <v>28</v>
      </c>
      <c r="W1767" s="2" t="s">
        <v>55</v>
      </c>
      <c r="X1767" s="2" t="s">
        <v>57</v>
      </c>
      <c r="Y1767" s="2">
        <v>1.28117274244429</v>
      </c>
      <c r="Z1767" s="2">
        <v>4.71035</v>
      </c>
      <c r="AA1767" s="2">
        <v>-74.030416666666696</v>
      </c>
      <c r="AB1767" s="2">
        <v>2570</v>
      </c>
      <c r="AC1767" s="2" t="s">
        <v>31</v>
      </c>
      <c r="AD1767" s="2" t="s">
        <v>58</v>
      </c>
      <c r="AE1767" s="2" t="s">
        <v>33</v>
      </c>
      <c r="AF1767" s="2" t="s">
        <v>34</v>
      </c>
      <c r="AG1767" s="2" t="s">
        <v>59</v>
      </c>
      <c r="AH1767" s="2">
        <v>1.51734727359189</v>
      </c>
      <c r="AI1767" s="2">
        <v>1.59438704474847</v>
      </c>
      <c r="AJ1767" s="2">
        <v>1.0850836816202001</v>
      </c>
      <c r="AK1767" s="2">
        <v>5.3425375415082299E-2</v>
      </c>
      <c r="AL1767" s="2">
        <v>8.9125596770770699E-2</v>
      </c>
      <c r="AM1767" s="2">
        <v>15.5</v>
      </c>
      <c r="AN1767" s="2">
        <v>2.4</v>
      </c>
      <c r="AO1767" s="2">
        <v>10.9</v>
      </c>
      <c r="AP1767" s="2">
        <v>564</v>
      </c>
      <c r="AQ1767" s="2">
        <v>68</v>
      </c>
      <c r="AR1767" s="2">
        <v>1.5</v>
      </c>
      <c r="AS1767" s="2">
        <v>135</v>
      </c>
      <c r="AT1767" s="2">
        <v>0</v>
      </c>
      <c r="AU1767" s="2">
        <v>162</v>
      </c>
      <c r="AV1767" s="2">
        <v>9.1</v>
      </c>
      <c r="AW1767" s="2">
        <v>9.1999999999999993</v>
      </c>
      <c r="AX1767" s="2">
        <v>18.3</v>
      </c>
      <c r="AY1767" s="2">
        <v>0.34</v>
      </c>
      <c r="AZ1767" s="2">
        <v>7.3</v>
      </c>
      <c r="BA1767" s="2">
        <v>0.9</v>
      </c>
      <c r="BB1767" s="2">
        <v>7.5</v>
      </c>
      <c r="BC1767" s="2">
        <v>2.9</v>
      </c>
      <c r="BD1767" s="2">
        <f>+AN1767*EXP(-0.0495*Y1767)</f>
        <v>2.2525224712830854</v>
      </c>
      <c r="BE1767" s="2">
        <f>+AO1767*EXP(-0.024*Y1767)</f>
        <v>10.569945496297956</v>
      </c>
    </row>
    <row r="1768" spans="1:57" x14ac:dyDescent="0.2">
      <c r="A1768" s="2" t="s">
        <v>3819</v>
      </c>
      <c r="B1768" s="2" t="s">
        <v>19</v>
      </c>
      <c r="C1768" s="2" t="s">
        <v>3245</v>
      </c>
      <c r="D1768" s="2" t="s">
        <v>21</v>
      </c>
      <c r="E1768" s="2" t="s">
        <v>83</v>
      </c>
      <c r="F1768" s="2">
        <v>6</v>
      </c>
      <c r="G1768" s="2">
        <v>58.1</v>
      </c>
      <c r="H1768" s="2">
        <v>1</v>
      </c>
      <c r="I1768" s="2">
        <v>2</v>
      </c>
      <c r="J1768" s="2">
        <v>1</v>
      </c>
      <c r="K1768" s="2" t="s">
        <v>61</v>
      </c>
      <c r="L1768" s="6" t="s">
        <v>62</v>
      </c>
      <c r="M1768" s="5">
        <v>824333093</v>
      </c>
      <c r="N1768" s="2">
        <v>0</v>
      </c>
      <c r="O1768" s="2">
        <v>4.6845999999999997</v>
      </c>
      <c r="P1768" s="2">
        <v>-74.054019999999994</v>
      </c>
      <c r="Q1768" s="2" t="s">
        <v>3820</v>
      </c>
      <c r="R1768" s="2">
        <v>14188177.16</v>
      </c>
      <c r="S1768" s="2">
        <v>0</v>
      </c>
      <c r="T1768" s="2" t="s">
        <v>55</v>
      </c>
      <c r="U1768" s="2" t="s">
        <v>56</v>
      </c>
      <c r="V1768" s="2" t="s">
        <v>28</v>
      </c>
      <c r="W1768" s="2" t="s">
        <v>55</v>
      </c>
      <c r="X1768" s="2" t="s">
        <v>57</v>
      </c>
      <c r="Y1768" s="2">
        <v>3.88255096081466</v>
      </c>
      <c r="Z1768" s="2">
        <v>4.71035</v>
      </c>
      <c r="AA1768" s="2">
        <v>-74.030416666666696</v>
      </c>
      <c r="AB1768" s="2">
        <v>2570</v>
      </c>
      <c r="AC1768" s="2" t="s">
        <v>31</v>
      </c>
      <c r="AD1768" s="2" t="s">
        <v>58</v>
      </c>
      <c r="AE1768" s="2" t="s">
        <v>33</v>
      </c>
      <c r="AF1768" s="2" t="s">
        <v>34</v>
      </c>
      <c r="AG1768" s="2" t="s">
        <v>81</v>
      </c>
      <c r="AH1768" s="2">
        <v>0.415667521863894</v>
      </c>
      <c r="AI1768" s="2">
        <v>1.99038536765679</v>
      </c>
      <c r="AJ1768" s="2">
        <v>0.18564880160038899</v>
      </c>
      <c r="AK1768" s="2">
        <v>0.111909818523976</v>
      </c>
      <c r="AL1768" s="2">
        <v>0.47686228605832598</v>
      </c>
      <c r="AM1768" s="2">
        <v>15.5</v>
      </c>
      <c r="AN1768" s="2">
        <v>2.4</v>
      </c>
      <c r="AO1768" s="2">
        <v>10.9</v>
      </c>
      <c r="AP1768" s="2">
        <v>564</v>
      </c>
      <c r="AQ1768" s="2">
        <v>68</v>
      </c>
      <c r="AR1768" s="2">
        <v>1.5</v>
      </c>
      <c r="AS1768" s="2">
        <v>135</v>
      </c>
      <c r="AT1768" s="2">
        <v>0</v>
      </c>
      <c r="AU1768" s="2">
        <v>162</v>
      </c>
      <c r="AV1768" s="2">
        <v>9.1</v>
      </c>
      <c r="AW1768" s="2">
        <v>9.1999999999999993</v>
      </c>
      <c r="AX1768" s="2">
        <v>18.3</v>
      </c>
      <c r="AY1768" s="2">
        <v>0.34</v>
      </c>
      <c r="AZ1768" s="2">
        <v>7.3</v>
      </c>
      <c r="BA1768" s="2">
        <v>0.9</v>
      </c>
      <c r="BB1768" s="2">
        <v>7.5</v>
      </c>
      <c r="BC1768" s="2">
        <v>2.9</v>
      </c>
      <c r="BD1768" s="2">
        <f>+AN1768*EXP(-0.0495*Y1768)</f>
        <v>1.9803675618848973</v>
      </c>
      <c r="BE1768" s="2">
        <f>+AO1768*EXP(-0.024*Y1768)</f>
        <v>9.9302094072243516</v>
      </c>
    </row>
    <row r="1769" spans="1:57" x14ac:dyDescent="0.2">
      <c r="A1769" s="2" t="s">
        <v>3489</v>
      </c>
      <c r="B1769" s="2" t="s">
        <v>19</v>
      </c>
      <c r="C1769" s="2" t="s">
        <v>3245</v>
      </c>
      <c r="D1769" s="2" t="s">
        <v>21</v>
      </c>
      <c r="E1769" s="2" t="s">
        <v>83</v>
      </c>
      <c r="F1769" s="2">
        <v>6</v>
      </c>
      <c r="G1769" s="2">
        <v>58.01</v>
      </c>
      <c r="H1769" s="2">
        <v>1</v>
      </c>
      <c r="I1769" s="2">
        <v>2</v>
      </c>
      <c r="J1769" s="2">
        <v>1</v>
      </c>
      <c r="K1769" s="2" t="s">
        <v>61</v>
      </c>
      <c r="L1769" s="6" t="s">
        <v>62</v>
      </c>
      <c r="M1769" s="5">
        <v>827101854</v>
      </c>
      <c r="N1769" s="2">
        <v>0</v>
      </c>
      <c r="O1769" s="2">
        <v>4.6846399999999999</v>
      </c>
      <c r="P1769" s="2">
        <v>-74.054289999999995</v>
      </c>
      <c r="Q1769" s="2" t="s">
        <v>3490</v>
      </c>
      <c r="R1769" s="2">
        <v>14257918.529999999</v>
      </c>
      <c r="S1769" s="2">
        <v>0</v>
      </c>
      <c r="T1769" s="2" t="s">
        <v>55</v>
      </c>
      <c r="U1769" s="2" t="s">
        <v>56</v>
      </c>
      <c r="V1769" s="2" t="s">
        <v>28</v>
      </c>
      <c r="W1769" s="2" t="s">
        <v>55</v>
      </c>
      <c r="X1769" s="2" t="s">
        <v>57</v>
      </c>
      <c r="Y1769" s="2">
        <v>3.8995484543052199</v>
      </c>
      <c r="Z1769" s="2">
        <v>4.71035</v>
      </c>
      <c r="AA1769" s="2">
        <v>-74.030416666666696</v>
      </c>
      <c r="AB1769" s="2">
        <v>2570</v>
      </c>
      <c r="AC1769" s="2" t="s">
        <v>31</v>
      </c>
      <c r="AD1769" s="2" t="s">
        <v>58</v>
      </c>
      <c r="AE1769" s="2" t="s">
        <v>33</v>
      </c>
      <c r="AF1769" s="2" t="s">
        <v>34</v>
      </c>
      <c r="AG1769" s="2" t="s">
        <v>81</v>
      </c>
      <c r="AH1769" s="2">
        <v>0.38706304438813999</v>
      </c>
      <c r="AI1769" s="2">
        <v>2.0174504722659199</v>
      </c>
      <c r="AJ1769" s="2">
        <v>0.20565440530319301</v>
      </c>
      <c r="AK1769" s="2">
        <v>8.9192608910603904E-2</v>
      </c>
      <c r="AL1769" s="2">
        <v>0.44883987910914802</v>
      </c>
      <c r="AM1769" s="2">
        <v>15.5</v>
      </c>
      <c r="AN1769" s="2">
        <v>2.4</v>
      </c>
      <c r="AO1769" s="2">
        <v>10.9</v>
      </c>
      <c r="AP1769" s="2">
        <v>564</v>
      </c>
      <c r="AQ1769" s="2">
        <v>68</v>
      </c>
      <c r="AR1769" s="2">
        <v>1.5</v>
      </c>
      <c r="AS1769" s="2">
        <v>135</v>
      </c>
      <c r="AT1769" s="2">
        <v>0</v>
      </c>
      <c r="AU1769" s="2">
        <v>162</v>
      </c>
      <c r="AV1769" s="2">
        <v>9.1</v>
      </c>
      <c r="AW1769" s="2">
        <v>9.1999999999999993</v>
      </c>
      <c r="AX1769" s="2">
        <v>18.3</v>
      </c>
      <c r="AY1769" s="2">
        <v>0.34</v>
      </c>
      <c r="AZ1769" s="2">
        <v>7.3</v>
      </c>
      <c r="BA1769" s="2">
        <v>0.9</v>
      </c>
      <c r="BB1769" s="2">
        <v>7.5</v>
      </c>
      <c r="BC1769" s="2">
        <v>2.9</v>
      </c>
      <c r="BD1769" s="2">
        <f>+AN1769*EXP(-0.0495*Y1769)</f>
        <v>1.9787020290580337</v>
      </c>
      <c r="BE1769" s="2">
        <f>+AO1769*EXP(-0.024*Y1769)</f>
        <v>9.9261593053052692</v>
      </c>
    </row>
    <row r="1770" spans="1:57" x14ac:dyDescent="0.2">
      <c r="A1770" s="2" t="s">
        <v>3661</v>
      </c>
      <c r="B1770" s="2" t="s">
        <v>19</v>
      </c>
      <c r="C1770" s="2" t="s">
        <v>3245</v>
      </c>
      <c r="D1770" s="2" t="s">
        <v>21</v>
      </c>
      <c r="E1770" s="2" t="s">
        <v>180</v>
      </c>
      <c r="F1770" s="2">
        <v>6</v>
      </c>
      <c r="G1770" s="2">
        <v>58</v>
      </c>
      <c r="H1770" s="2">
        <v>1</v>
      </c>
      <c r="I1770" s="2">
        <v>2</v>
      </c>
      <c r="J1770" s="2">
        <v>1</v>
      </c>
      <c r="K1770" s="2" t="s">
        <v>61</v>
      </c>
      <c r="L1770" s="6" t="s">
        <v>62</v>
      </c>
      <c r="M1770" s="5">
        <v>800000000</v>
      </c>
      <c r="N1770" s="2">
        <v>0</v>
      </c>
      <c r="O1770" s="2">
        <v>4.6846399999999999</v>
      </c>
      <c r="P1770" s="2">
        <v>-74.054289999999995</v>
      </c>
      <c r="Q1770" s="2" t="s">
        <v>3662</v>
      </c>
      <c r="R1770" s="2">
        <v>13793103.449999999</v>
      </c>
      <c r="S1770" s="2">
        <v>0</v>
      </c>
      <c r="T1770" s="2" t="s">
        <v>55</v>
      </c>
      <c r="U1770" s="2" t="s">
        <v>56</v>
      </c>
      <c r="V1770" s="2" t="s">
        <v>28</v>
      </c>
      <c r="W1770" s="2" t="s">
        <v>55</v>
      </c>
      <c r="X1770" s="2" t="s">
        <v>57</v>
      </c>
      <c r="Y1770" s="2">
        <v>3.8995484543052199</v>
      </c>
      <c r="Z1770" s="2">
        <v>4.71035</v>
      </c>
      <c r="AA1770" s="2">
        <v>-74.030416666666696</v>
      </c>
      <c r="AB1770" s="2">
        <v>2570</v>
      </c>
      <c r="AC1770" s="2" t="s">
        <v>31</v>
      </c>
      <c r="AD1770" s="2" t="s">
        <v>58</v>
      </c>
      <c r="AE1770" s="2" t="s">
        <v>33</v>
      </c>
      <c r="AF1770" s="2" t="s">
        <v>34</v>
      </c>
      <c r="AG1770" s="2" t="s">
        <v>81</v>
      </c>
      <c r="AH1770" s="2">
        <v>0.38706304438813999</v>
      </c>
      <c r="AI1770" s="2">
        <v>2.0174504722659199</v>
      </c>
      <c r="AJ1770" s="2">
        <v>0.20565440530319301</v>
      </c>
      <c r="AK1770" s="2">
        <v>8.9192608910603904E-2</v>
      </c>
      <c r="AL1770" s="2">
        <v>0.44883987910914802</v>
      </c>
      <c r="AM1770" s="2">
        <v>15.5</v>
      </c>
      <c r="AN1770" s="2">
        <v>2.4</v>
      </c>
      <c r="AO1770" s="2">
        <v>10.9</v>
      </c>
      <c r="AP1770" s="2">
        <v>564</v>
      </c>
      <c r="AQ1770" s="2">
        <v>68</v>
      </c>
      <c r="AR1770" s="2">
        <v>1.5</v>
      </c>
      <c r="AS1770" s="2">
        <v>135</v>
      </c>
      <c r="AT1770" s="2">
        <v>0</v>
      </c>
      <c r="AU1770" s="2">
        <v>162</v>
      </c>
      <c r="AV1770" s="2">
        <v>9.1</v>
      </c>
      <c r="AW1770" s="2">
        <v>9.1999999999999993</v>
      </c>
      <c r="AX1770" s="2">
        <v>18.3</v>
      </c>
      <c r="AY1770" s="2">
        <v>0.34</v>
      </c>
      <c r="AZ1770" s="2">
        <v>7.3</v>
      </c>
      <c r="BA1770" s="2">
        <v>0.9</v>
      </c>
      <c r="BB1770" s="2">
        <v>7.5</v>
      </c>
      <c r="BC1770" s="2">
        <v>2.9</v>
      </c>
      <c r="BD1770" s="2">
        <f>+AN1770*EXP(-0.0495*Y1770)</f>
        <v>1.9787020290580337</v>
      </c>
      <c r="BE1770" s="2">
        <f>+AO1770*EXP(-0.024*Y1770)</f>
        <v>9.9261593053052692</v>
      </c>
    </row>
    <row r="1771" spans="1:57" x14ac:dyDescent="0.2">
      <c r="A1771" s="2" t="s">
        <v>3316</v>
      </c>
      <c r="B1771" s="2" t="s">
        <v>19</v>
      </c>
      <c r="C1771" s="2" t="s">
        <v>3245</v>
      </c>
      <c r="D1771" s="2" t="s">
        <v>21</v>
      </c>
      <c r="E1771" s="2" t="s">
        <v>83</v>
      </c>
      <c r="F1771" s="2">
        <v>6</v>
      </c>
      <c r="G1771" s="2">
        <v>58</v>
      </c>
      <c r="H1771" s="2">
        <v>1</v>
      </c>
      <c r="I1771" s="2">
        <v>2</v>
      </c>
      <c r="J1771" s="2">
        <v>1</v>
      </c>
      <c r="K1771" s="2" t="s">
        <v>61</v>
      </c>
      <c r="L1771" s="6" t="s">
        <v>62</v>
      </c>
      <c r="M1771" s="5">
        <v>900000000</v>
      </c>
      <c r="N1771" s="2">
        <v>0</v>
      </c>
      <c r="O1771" s="2">
        <v>4.6844000340000003</v>
      </c>
      <c r="P1771" s="2">
        <v>-74.054009629999996</v>
      </c>
      <c r="Q1771" s="2" t="s">
        <v>3317</v>
      </c>
      <c r="R1771" s="2">
        <v>15517241.380000001</v>
      </c>
      <c r="S1771" s="2">
        <v>0</v>
      </c>
      <c r="T1771" s="2" t="s">
        <v>55</v>
      </c>
      <c r="U1771" s="2" t="s">
        <v>56</v>
      </c>
      <c r="V1771" s="2" t="s">
        <v>28</v>
      </c>
      <c r="W1771" s="2" t="s">
        <v>55</v>
      </c>
      <c r="X1771" s="2" t="s">
        <v>57</v>
      </c>
      <c r="Y1771" s="2">
        <v>3.898242083245</v>
      </c>
      <c r="Z1771" s="2">
        <v>4.71035</v>
      </c>
      <c r="AA1771" s="2">
        <v>-74.030416666666696</v>
      </c>
      <c r="AB1771" s="2">
        <v>2570</v>
      </c>
      <c r="AC1771" s="2" t="s">
        <v>31</v>
      </c>
      <c r="AD1771" s="2" t="s">
        <v>58</v>
      </c>
      <c r="AE1771" s="2" t="s">
        <v>33</v>
      </c>
      <c r="AF1771" s="2" t="s">
        <v>34</v>
      </c>
      <c r="AG1771" s="2" t="s">
        <v>81</v>
      </c>
      <c r="AH1771" s="2">
        <v>0.41356152206965502</v>
      </c>
      <c r="AI1771" s="2">
        <v>1.97679369903242</v>
      </c>
      <c r="AJ1771" s="2">
        <v>0.200769062839533</v>
      </c>
      <c r="AK1771" s="2">
        <v>0.12905058399987099</v>
      </c>
      <c r="AL1771" s="2">
        <v>0.47348018995317098</v>
      </c>
      <c r="AM1771" s="2">
        <v>15.5</v>
      </c>
      <c r="AN1771" s="2">
        <v>2.4</v>
      </c>
      <c r="AO1771" s="2">
        <v>10.9</v>
      </c>
      <c r="AP1771" s="2">
        <v>564</v>
      </c>
      <c r="AQ1771" s="2">
        <v>68</v>
      </c>
      <c r="AR1771" s="2">
        <v>1.5</v>
      </c>
      <c r="AS1771" s="2">
        <v>135</v>
      </c>
      <c r="AT1771" s="2">
        <v>0</v>
      </c>
      <c r="AU1771" s="2">
        <v>162</v>
      </c>
      <c r="AV1771" s="2">
        <v>9.1</v>
      </c>
      <c r="AW1771" s="2">
        <v>9.1999999999999993</v>
      </c>
      <c r="AX1771" s="2">
        <v>18.3</v>
      </c>
      <c r="AY1771" s="2">
        <v>0.34</v>
      </c>
      <c r="AZ1771" s="2">
        <v>7.3</v>
      </c>
      <c r="BA1771" s="2">
        <v>0.9</v>
      </c>
      <c r="BB1771" s="2">
        <v>7.5</v>
      </c>
      <c r="BC1771" s="2">
        <v>2.9</v>
      </c>
      <c r="BD1771" s="2">
        <f>+AN1771*EXP(-0.0495*Y1771)</f>
        <v>1.9788299866890471</v>
      </c>
      <c r="BE1771" s="2">
        <f>+AO1771*EXP(-0.024*Y1771)</f>
        <v>9.9264705241181854</v>
      </c>
    </row>
    <row r="1772" spans="1:57" x14ac:dyDescent="0.2">
      <c r="A1772" s="2" t="s">
        <v>4450</v>
      </c>
      <c r="B1772" s="2" t="s">
        <v>19</v>
      </c>
      <c r="C1772" s="2" t="s">
        <v>3245</v>
      </c>
      <c r="D1772" s="2" t="s">
        <v>21</v>
      </c>
      <c r="E1772" s="2" t="s">
        <v>180</v>
      </c>
      <c r="F1772" s="2">
        <v>6</v>
      </c>
      <c r="G1772" s="2">
        <v>58</v>
      </c>
      <c r="H1772" s="2">
        <v>1</v>
      </c>
      <c r="I1772" s="2">
        <v>2</v>
      </c>
      <c r="J1772" s="2">
        <v>0</v>
      </c>
      <c r="K1772" s="2" t="s">
        <v>61</v>
      </c>
      <c r="L1772" s="6" t="s">
        <v>62</v>
      </c>
      <c r="M1772" s="5">
        <v>750000000</v>
      </c>
      <c r="N1772" s="2">
        <v>0</v>
      </c>
      <c r="O1772" s="2">
        <v>4.6816199999999997</v>
      </c>
      <c r="P1772" s="2">
        <v>-74.047139999999999</v>
      </c>
      <c r="Q1772" s="2" t="s">
        <v>4451</v>
      </c>
      <c r="R1772" s="2">
        <v>12931034.48</v>
      </c>
      <c r="S1772" s="2">
        <v>0</v>
      </c>
      <c r="T1772" s="2" t="s">
        <v>55</v>
      </c>
      <c r="U1772" s="2" t="s">
        <v>56</v>
      </c>
      <c r="V1772" s="2" t="s">
        <v>28</v>
      </c>
      <c r="W1772" s="2" t="s">
        <v>55</v>
      </c>
      <c r="X1772" s="2" t="s">
        <v>57</v>
      </c>
      <c r="Y1772" s="2">
        <v>3.6974300751556402</v>
      </c>
      <c r="Z1772" s="2">
        <v>4.71035</v>
      </c>
      <c r="AA1772" s="2">
        <v>-74.030416666666696</v>
      </c>
      <c r="AB1772" s="2">
        <v>2570</v>
      </c>
      <c r="AC1772" s="2" t="s">
        <v>31</v>
      </c>
      <c r="AD1772" s="2" t="s">
        <v>58</v>
      </c>
      <c r="AE1772" s="2" t="s">
        <v>33</v>
      </c>
      <c r="AF1772" s="2" t="s">
        <v>34</v>
      </c>
      <c r="AG1772" s="2" t="s">
        <v>81</v>
      </c>
      <c r="AH1772" s="2">
        <v>1.20019307229707</v>
      </c>
      <c r="AI1772" s="2">
        <v>1.18883715800353</v>
      </c>
      <c r="AJ1772" s="2">
        <v>0.65498137780241705</v>
      </c>
      <c r="AK1772" s="2">
        <v>9.2125053842393195E-2</v>
      </c>
      <c r="AL1772" s="2">
        <v>0.92328563608887004</v>
      </c>
      <c r="AM1772" s="2">
        <v>15.5</v>
      </c>
      <c r="AN1772" s="2">
        <v>2.4</v>
      </c>
      <c r="AO1772" s="2">
        <v>10.9</v>
      </c>
      <c r="AP1772" s="2">
        <v>564</v>
      </c>
      <c r="AQ1772" s="2">
        <v>68</v>
      </c>
      <c r="AR1772" s="2">
        <v>1.5</v>
      </c>
      <c r="AS1772" s="2">
        <v>135</v>
      </c>
      <c r="AT1772" s="2">
        <v>0</v>
      </c>
      <c r="AU1772" s="2">
        <v>162</v>
      </c>
      <c r="AV1772" s="2">
        <v>9.1</v>
      </c>
      <c r="AW1772" s="2">
        <v>9.1999999999999993</v>
      </c>
      <c r="AX1772" s="2">
        <v>18.3</v>
      </c>
      <c r="AY1772" s="2">
        <v>0.34</v>
      </c>
      <c r="AZ1772" s="2">
        <v>7.3</v>
      </c>
      <c r="BA1772" s="2">
        <v>0.9</v>
      </c>
      <c r="BB1772" s="2">
        <v>7.5</v>
      </c>
      <c r="BC1772" s="2">
        <v>2.9</v>
      </c>
      <c r="BD1772" s="2">
        <f>+AN1772*EXP(-0.0495*Y1772)</f>
        <v>1.9985980277587974</v>
      </c>
      <c r="BE1772" s="2">
        <f>+AO1772*EXP(-0.024*Y1772)</f>
        <v>9.9744265004249044</v>
      </c>
    </row>
    <row r="1773" spans="1:57" x14ac:dyDescent="0.2">
      <c r="A1773" s="2" t="s">
        <v>3839</v>
      </c>
      <c r="B1773" s="2" t="s">
        <v>19</v>
      </c>
      <c r="C1773" s="2" t="s">
        <v>3245</v>
      </c>
      <c r="D1773" s="2" t="s">
        <v>21</v>
      </c>
      <c r="E1773" s="2" t="s">
        <v>141</v>
      </c>
      <c r="F1773" s="2">
        <v>6</v>
      </c>
      <c r="G1773" s="2">
        <v>58</v>
      </c>
      <c r="H1773" s="2">
        <v>1</v>
      </c>
      <c r="I1773" s="2">
        <v>2</v>
      </c>
      <c r="J1773" s="2">
        <v>2</v>
      </c>
      <c r="K1773" s="2" t="s">
        <v>61</v>
      </c>
      <c r="L1773" s="6" t="s">
        <v>62</v>
      </c>
      <c r="M1773" s="5">
        <v>630000000</v>
      </c>
      <c r="N1773" s="2">
        <v>0</v>
      </c>
      <c r="O1773" s="2">
        <v>4.6855516430000002</v>
      </c>
      <c r="P1773" s="2">
        <v>-74.046821589999993</v>
      </c>
      <c r="Q1773" s="2" t="s">
        <v>3840</v>
      </c>
      <c r="R1773" s="2">
        <v>10862068.970000001</v>
      </c>
      <c r="S1773" s="2">
        <v>0</v>
      </c>
      <c r="T1773" s="2" t="s">
        <v>55</v>
      </c>
      <c r="U1773" s="2" t="s">
        <v>56</v>
      </c>
      <c r="V1773" s="2" t="s">
        <v>28</v>
      </c>
      <c r="W1773" s="2" t="s">
        <v>55</v>
      </c>
      <c r="X1773" s="2" t="s">
        <v>57</v>
      </c>
      <c r="Y1773" s="2">
        <v>3.3065350486031599</v>
      </c>
      <c r="Z1773" s="2">
        <v>4.71035</v>
      </c>
      <c r="AA1773" s="2">
        <v>-74.030416666666696</v>
      </c>
      <c r="AB1773" s="2">
        <v>2570</v>
      </c>
      <c r="AC1773" s="2" t="s">
        <v>31</v>
      </c>
      <c r="AD1773" s="2" t="s">
        <v>58</v>
      </c>
      <c r="AE1773" s="2" t="s">
        <v>33</v>
      </c>
      <c r="AF1773" s="2" t="s">
        <v>34</v>
      </c>
      <c r="AG1773" s="2" t="s">
        <v>59</v>
      </c>
      <c r="AH1773" s="2">
        <v>1.22047390342675</v>
      </c>
      <c r="AI1773" s="2">
        <v>1.3963319308167601</v>
      </c>
      <c r="AJ1773" s="2">
        <v>0.47692486086577601</v>
      </c>
      <c r="AK1773" s="2">
        <v>0.12464680248371</v>
      </c>
      <c r="AL1773" s="2">
        <v>0.53020068907777695</v>
      </c>
      <c r="AM1773" s="2">
        <v>15.5</v>
      </c>
      <c r="AN1773" s="2">
        <v>2.4</v>
      </c>
      <c r="AO1773" s="2">
        <v>10.9</v>
      </c>
      <c r="AP1773" s="2">
        <v>564</v>
      </c>
      <c r="AQ1773" s="2">
        <v>68</v>
      </c>
      <c r="AR1773" s="2">
        <v>1.5</v>
      </c>
      <c r="AS1773" s="2">
        <v>135</v>
      </c>
      <c r="AT1773" s="2">
        <v>0</v>
      </c>
      <c r="AU1773" s="2">
        <v>162</v>
      </c>
      <c r="AV1773" s="2">
        <v>9.1</v>
      </c>
      <c r="AW1773" s="2">
        <v>9.1999999999999993</v>
      </c>
      <c r="AX1773" s="2">
        <v>18.3</v>
      </c>
      <c r="AY1773" s="2">
        <v>0.34</v>
      </c>
      <c r="AZ1773" s="2">
        <v>7.3</v>
      </c>
      <c r="BA1773" s="2">
        <v>0.9</v>
      </c>
      <c r="BB1773" s="2">
        <v>7.5</v>
      </c>
      <c r="BC1773" s="2">
        <v>2.9</v>
      </c>
      <c r="BD1773" s="2">
        <f>+AN1773*EXP(-0.0495*Y1773)</f>
        <v>2.0376460661025519</v>
      </c>
      <c r="BE1773" s="2">
        <f>+AO1773*EXP(-0.024*Y1773)</f>
        <v>10.06844170085844</v>
      </c>
    </row>
    <row r="1774" spans="1:57" x14ac:dyDescent="0.2">
      <c r="A1774" s="2" t="s">
        <v>3667</v>
      </c>
      <c r="B1774" s="2" t="s">
        <v>19</v>
      </c>
      <c r="C1774" s="2" t="s">
        <v>3245</v>
      </c>
      <c r="D1774" s="2" t="s">
        <v>21</v>
      </c>
      <c r="E1774" s="2" t="s">
        <v>53</v>
      </c>
      <c r="F1774" s="2">
        <v>6</v>
      </c>
      <c r="G1774" s="2">
        <v>57.95</v>
      </c>
      <c r="H1774" s="2">
        <v>1</v>
      </c>
      <c r="I1774" s="2">
        <v>2</v>
      </c>
      <c r="J1774" s="2">
        <v>1</v>
      </c>
      <c r="K1774" s="2" t="s">
        <v>61</v>
      </c>
      <c r="L1774" s="6" t="s">
        <v>62</v>
      </c>
      <c r="M1774" s="5">
        <v>672000000</v>
      </c>
      <c r="N1774" s="2">
        <v>0</v>
      </c>
      <c r="O1774" s="2">
        <v>4.7001799999999996</v>
      </c>
      <c r="P1774" s="2">
        <v>-74.046980000000005</v>
      </c>
      <c r="Q1774" s="2" t="s">
        <v>3668</v>
      </c>
      <c r="R1774" s="2">
        <v>11596203.619999999</v>
      </c>
      <c r="S1774" s="2">
        <v>0</v>
      </c>
      <c r="T1774" s="2" t="s">
        <v>55</v>
      </c>
      <c r="U1774" s="2" t="s">
        <v>56</v>
      </c>
      <c r="V1774" s="2" t="s">
        <v>28</v>
      </c>
      <c r="W1774" s="2" t="s">
        <v>55</v>
      </c>
      <c r="X1774" s="2" t="s">
        <v>57</v>
      </c>
      <c r="Y1774" s="2">
        <v>2.15835507986688</v>
      </c>
      <c r="Z1774" s="2">
        <v>4.71035</v>
      </c>
      <c r="AA1774" s="2">
        <v>-74.030416666666696</v>
      </c>
      <c r="AB1774" s="2">
        <v>2570</v>
      </c>
      <c r="AC1774" s="2" t="s">
        <v>31</v>
      </c>
      <c r="AD1774" s="2" t="s">
        <v>58</v>
      </c>
      <c r="AE1774" s="2" t="s">
        <v>33</v>
      </c>
      <c r="AF1774" s="2" t="s">
        <v>34</v>
      </c>
      <c r="AG1774" s="2" t="s">
        <v>59</v>
      </c>
      <c r="AH1774" s="2">
        <v>0.94245533860353203</v>
      </c>
      <c r="AI1774" s="2">
        <v>2.3438666426082202</v>
      </c>
      <c r="AJ1774" s="2">
        <v>0.82492945529386197</v>
      </c>
      <c r="AK1774" s="2">
        <v>8.2565042794526297E-2</v>
      </c>
      <c r="AL1774" s="2">
        <v>0.13438200619400001</v>
      </c>
      <c r="AM1774" s="2">
        <v>15.5</v>
      </c>
      <c r="AN1774" s="2">
        <v>2.4</v>
      </c>
      <c r="AO1774" s="2">
        <v>10.9</v>
      </c>
      <c r="AP1774" s="2">
        <v>564</v>
      </c>
      <c r="AQ1774" s="2">
        <v>68</v>
      </c>
      <c r="AR1774" s="2">
        <v>1.5</v>
      </c>
      <c r="AS1774" s="2">
        <v>135</v>
      </c>
      <c r="AT1774" s="2">
        <v>0</v>
      </c>
      <c r="AU1774" s="2">
        <v>162</v>
      </c>
      <c r="AV1774" s="2">
        <v>9.1</v>
      </c>
      <c r="AW1774" s="2">
        <v>9.1999999999999993</v>
      </c>
      <c r="AX1774" s="2">
        <v>18.3</v>
      </c>
      <c r="AY1774" s="2">
        <v>0.34</v>
      </c>
      <c r="AZ1774" s="2">
        <v>7.3</v>
      </c>
      <c r="BA1774" s="2">
        <v>0.9</v>
      </c>
      <c r="BB1774" s="2">
        <v>7.5</v>
      </c>
      <c r="BC1774" s="2">
        <v>2.9</v>
      </c>
      <c r="BD1774" s="2">
        <f>+AN1774*EXP(-0.0495*Y1774)</f>
        <v>2.1568097469563163</v>
      </c>
      <c r="BE1774" s="2">
        <f>+AO1774*EXP(-0.024*Y1774)</f>
        <v>10.349748990775367</v>
      </c>
    </row>
    <row r="1775" spans="1:57" x14ac:dyDescent="0.2">
      <c r="A1775" s="2" t="s">
        <v>4289</v>
      </c>
      <c r="B1775" s="2" t="s">
        <v>19</v>
      </c>
      <c r="C1775" s="2" t="s">
        <v>3245</v>
      </c>
      <c r="D1775" s="2" t="s">
        <v>21</v>
      </c>
      <c r="E1775" s="2" t="s">
        <v>234</v>
      </c>
      <c r="F1775" s="2">
        <v>4</v>
      </c>
      <c r="G1775" s="2">
        <v>57.71</v>
      </c>
      <c r="H1775" s="2">
        <v>1</v>
      </c>
      <c r="I1775" s="2">
        <v>2</v>
      </c>
      <c r="J1775" s="2">
        <v>1</v>
      </c>
      <c r="K1775" s="2" t="s">
        <v>61</v>
      </c>
      <c r="L1775" s="6" t="s">
        <v>84</v>
      </c>
      <c r="M1775" s="5">
        <v>360000000</v>
      </c>
      <c r="N1775" s="2">
        <v>0</v>
      </c>
      <c r="O1775" s="2">
        <v>4.7258559309999999</v>
      </c>
      <c r="P1775" s="2">
        <v>-74.03420448</v>
      </c>
      <c r="Q1775" s="2" t="s">
        <v>4290</v>
      </c>
      <c r="R1775" s="2">
        <v>6238086.9869999997</v>
      </c>
      <c r="S1775" s="2">
        <v>0</v>
      </c>
      <c r="T1775" s="2" t="s">
        <v>55</v>
      </c>
      <c r="U1775" s="2" t="s">
        <v>56</v>
      </c>
      <c r="V1775" s="2" t="s">
        <v>28</v>
      </c>
      <c r="W1775" s="2" t="s">
        <v>55</v>
      </c>
      <c r="X1775" s="2" t="s">
        <v>57</v>
      </c>
      <c r="Y1775" s="2">
        <v>1.7765291815497499</v>
      </c>
      <c r="Z1775" s="2">
        <v>4.71035</v>
      </c>
      <c r="AA1775" s="2">
        <v>-74.030416666666696</v>
      </c>
      <c r="AB1775" s="2">
        <v>2570</v>
      </c>
      <c r="AC1775" s="2" t="s">
        <v>31</v>
      </c>
      <c r="AD1775" s="2" t="s">
        <v>58</v>
      </c>
      <c r="AE1775" s="2" t="s">
        <v>33</v>
      </c>
      <c r="AF1775" s="2" t="s">
        <v>34</v>
      </c>
      <c r="AG1775" s="2" t="s">
        <v>59</v>
      </c>
      <c r="AH1775" s="2">
        <v>1.8104404314657601</v>
      </c>
      <c r="AI1775" s="2">
        <v>1.35872679542601</v>
      </c>
      <c r="AJ1775" s="2">
        <v>1.0060860746575899</v>
      </c>
      <c r="AK1775" s="2">
        <v>0.183565978433581</v>
      </c>
      <c r="AL1775" s="2">
        <v>8.9655088915390202E-2</v>
      </c>
      <c r="AM1775" s="2">
        <v>15.5</v>
      </c>
      <c r="AN1775" s="2">
        <v>2.4</v>
      </c>
      <c r="AO1775" s="2">
        <v>10.9</v>
      </c>
      <c r="AP1775" s="2">
        <v>564</v>
      </c>
      <c r="AQ1775" s="2">
        <v>68</v>
      </c>
      <c r="AR1775" s="2">
        <v>1.5</v>
      </c>
      <c r="AS1775" s="2">
        <v>135</v>
      </c>
      <c r="AT1775" s="2">
        <v>0</v>
      </c>
      <c r="AU1775" s="2">
        <v>162</v>
      </c>
      <c r="AV1775" s="2">
        <v>9.1</v>
      </c>
      <c r="AW1775" s="2">
        <v>9.1999999999999993</v>
      </c>
      <c r="AX1775" s="2">
        <v>18.3</v>
      </c>
      <c r="AY1775" s="2">
        <v>0.34</v>
      </c>
      <c r="AZ1775" s="2">
        <v>7.3</v>
      </c>
      <c r="BA1775" s="2">
        <v>0.9</v>
      </c>
      <c r="BB1775" s="2">
        <v>7.5</v>
      </c>
      <c r="BC1775" s="2">
        <v>2.9</v>
      </c>
      <c r="BD1775" s="2">
        <f>+AN1775*EXP(-0.0495*Y1775)</f>
        <v>2.1979619461043121</v>
      </c>
      <c r="BE1775" s="2">
        <f>+AO1775*EXP(-0.024*Y1775)</f>
        <v>10.44502813750352</v>
      </c>
    </row>
    <row r="1776" spans="1:57" x14ac:dyDescent="0.2">
      <c r="A1776" s="2" t="s">
        <v>382</v>
      </c>
      <c r="B1776" s="2" t="s">
        <v>19</v>
      </c>
      <c r="C1776" s="2" t="s">
        <v>20</v>
      </c>
      <c r="D1776" s="2" t="s">
        <v>21</v>
      </c>
      <c r="E1776" s="2" t="s">
        <v>383</v>
      </c>
      <c r="F1776" s="2">
        <v>5</v>
      </c>
      <c r="G1776" s="2">
        <v>57.55</v>
      </c>
      <c r="H1776" s="2">
        <v>1</v>
      </c>
      <c r="I1776" s="2">
        <v>2</v>
      </c>
      <c r="J1776" s="2">
        <v>1</v>
      </c>
      <c r="K1776" s="2" t="s">
        <v>61</v>
      </c>
      <c r="L1776" s="6" t="s">
        <v>62</v>
      </c>
      <c r="M1776" s="5">
        <v>500000000</v>
      </c>
      <c r="N1776" s="2">
        <v>0</v>
      </c>
      <c r="O1776" s="2">
        <v>4.6948699950000004</v>
      </c>
      <c r="P1776" s="2">
        <v>-74.056961060000006</v>
      </c>
      <c r="Q1776" s="2" t="s">
        <v>384</v>
      </c>
      <c r="R1776" s="2">
        <v>8688097.307</v>
      </c>
      <c r="S1776" s="2">
        <v>0</v>
      </c>
      <c r="T1776" s="2" t="s">
        <v>55</v>
      </c>
      <c r="U1776" s="2" t="s">
        <v>56</v>
      </c>
      <c r="V1776" s="2" t="s">
        <v>28</v>
      </c>
      <c r="W1776" s="2" t="s">
        <v>55</v>
      </c>
      <c r="X1776" s="2" t="s">
        <v>57</v>
      </c>
      <c r="Y1776" s="2">
        <v>3.4120821554732901</v>
      </c>
      <c r="Z1776" s="2">
        <v>4.71035</v>
      </c>
      <c r="AA1776" s="2">
        <v>-74.030416666666696</v>
      </c>
      <c r="AB1776" s="2">
        <v>2570</v>
      </c>
      <c r="AC1776" s="2" t="s">
        <v>31</v>
      </c>
      <c r="AD1776" s="2" t="s">
        <v>58</v>
      </c>
      <c r="AE1776" s="2" t="s">
        <v>33</v>
      </c>
      <c r="AF1776" s="2" t="s">
        <v>34</v>
      </c>
      <c r="AG1776" s="2" t="s">
        <v>72</v>
      </c>
      <c r="AH1776" s="2">
        <v>0.22574089525166099</v>
      </c>
      <c r="AI1776" s="2">
        <v>2.9154925192772199</v>
      </c>
      <c r="AJ1776" s="2">
        <v>0.80742036155716301</v>
      </c>
      <c r="AK1776" s="2">
        <v>6.8384430877961505E-2</v>
      </c>
      <c r="AL1776" s="2">
        <v>7.2039601100171102E-2</v>
      </c>
      <c r="AM1776" s="2">
        <v>15.5</v>
      </c>
      <c r="AN1776" s="2">
        <v>2.4</v>
      </c>
      <c r="AO1776" s="2">
        <v>10.9</v>
      </c>
      <c r="AP1776" s="2">
        <v>564</v>
      </c>
      <c r="AQ1776" s="2">
        <v>68</v>
      </c>
      <c r="AR1776" s="2">
        <v>1.5</v>
      </c>
      <c r="AS1776" s="2">
        <v>135</v>
      </c>
      <c r="AT1776" s="2">
        <v>0</v>
      </c>
      <c r="AU1776" s="2">
        <v>162</v>
      </c>
      <c r="AV1776" s="2">
        <v>9.1</v>
      </c>
      <c r="AW1776" s="2">
        <v>9.1999999999999993</v>
      </c>
      <c r="AX1776" s="2">
        <v>18.3</v>
      </c>
      <c r="AY1776" s="2">
        <v>0.34</v>
      </c>
      <c r="AZ1776" s="2">
        <v>7.3</v>
      </c>
      <c r="BA1776" s="2">
        <v>0.9</v>
      </c>
      <c r="BB1776" s="2">
        <v>7.5</v>
      </c>
      <c r="BC1776" s="2">
        <v>2.9</v>
      </c>
      <c r="BD1776" s="2">
        <f>+AN1776*EXP(-0.0495*Y1776)</f>
        <v>2.027027979255398</v>
      </c>
      <c r="BE1776" s="2">
        <f>+AO1776*EXP(-0.024*Y1776)</f>
        <v>10.042969299525275</v>
      </c>
    </row>
    <row r="1777" spans="1:57" x14ac:dyDescent="0.2">
      <c r="A1777" s="2" t="s">
        <v>82</v>
      </c>
      <c r="B1777" s="2" t="s">
        <v>19</v>
      </c>
      <c r="C1777" s="2" t="s">
        <v>20</v>
      </c>
      <c r="D1777" s="2" t="s">
        <v>21</v>
      </c>
      <c r="E1777" s="2" t="s">
        <v>83</v>
      </c>
      <c r="F1777" s="2">
        <v>6</v>
      </c>
      <c r="G1777" s="2">
        <v>57</v>
      </c>
      <c r="H1777" s="2">
        <v>1</v>
      </c>
      <c r="I1777" s="2">
        <v>2</v>
      </c>
      <c r="J1777" s="2">
        <v>2</v>
      </c>
      <c r="K1777" s="2" t="s">
        <v>61</v>
      </c>
      <c r="L1777" s="6" t="s">
        <v>84</v>
      </c>
      <c r="M1777" s="5">
        <v>730000000</v>
      </c>
      <c r="N1777" s="2">
        <v>0</v>
      </c>
      <c r="O1777" s="2">
        <v>4.6842130629999996</v>
      </c>
      <c r="P1777" s="2">
        <v>-74.054754009999996</v>
      </c>
      <c r="Q1777" s="2" t="s">
        <v>85</v>
      </c>
      <c r="R1777" s="2">
        <v>12807017.539999999</v>
      </c>
      <c r="S1777" s="2">
        <v>0</v>
      </c>
      <c r="T1777" s="2" t="s">
        <v>55</v>
      </c>
      <c r="U1777" s="2" t="s">
        <v>56</v>
      </c>
      <c r="V1777" s="2" t="s">
        <v>28</v>
      </c>
      <c r="W1777" s="2" t="s">
        <v>55</v>
      </c>
      <c r="X1777" s="2" t="s">
        <v>57</v>
      </c>
      <c r="Y1777" s="2">
        <v>3.9694002358084899</v>
      </c>
      <c r="Z1777" s="2">
        <v>4.71035</v>
      </c>
      <c r="AA1777" s="2">
        <v>-74.030416666666696</v>
      </c>
      <c r="AB1777" s="2">
        <v>2570</v>
      </c>
      <c r="AC1777" s="2" t="s">
        <v>31</v>
      </c>
      <c r="AD1777" s="2" t="s">
        <v>58</v>
      </c>
      <c r="AE1777" s="2" t="s">
        <v>33</v>
      </c>
      <c r="AF1777" s="2" t="s">
        <v>34</v>
      </c>
      <c r="AG1777" s="2" t="s">
        <v>81</v>
      </c>
      <c r="AH1777" s="2">
        <v>0.32930695294947299</v>
      </c>
      <c r="AI1777" s="2">
        <v>2.0339339348312202</v>
      </c>
      <c r="AJ1777" s="2">
        <v>0.27521803993845501</v>
      </c>
      <c r="AK1777" s="2">
        <v>0.12097458372891901</v>
      </c>
      <c r="AL1777" s="2">
        <v>0.388601427526586</v>
      </c>
      <c r="AM1777" s="2">
        <v>15.5</v>
      </c>
      <c r="AN1777" s="2">
        <v>2.4</v>
      </c>
      <c r="AO1777" s="2">
        <v>10.9</v>
      </c>
      <c r="AP1777" s="2">
        <v>564</v>
      </c>
      <c r="AQ1777" s="2">
        <v>68</v>
      </c>
      <c r="AR1777" s="2">
        <v>1.5</v>
      </c>
      <c r="AS1777" s="2">
        <v>135</v>
      </c>
      <c r="AT1777" s="2">
        <v>0</v>
      </c>
      <c r="AU1777" s="2">
        <v>162</v>
      </c>
      <c r="AV1777" s="2">
        <v>9.1</v>
      </c>
      <c r="AW1777" s="2">
        <v>9.1999999999999993</v>
      </c>
      <c r="AX1777" s="2">
        <v>18.3</v>
      </c>
      <c r="AY1777" s="2">
        <v>0.34</v>
      </c>
      <c r="AZ1777" s="2">
        <v>7.3</v>
      </c>
      <c r="BA1777" s="2">
        <v>0.9</v>
      </c>
      <c r="BB1777" s="2">
        <v>7.5</v>
      </c>
      <c r="BC1777" s="2">
        <v>2.9</v>
      </c>
      <c r="BD1777" s="2">
        <f>+AN1777*EXP(-0.0495*Y1777)</f>
        <v>1.9718721583999079</v>
      </c>
      <c r="BE1777" s="2">
        <f>+AO1777*EXP(-0.024*Y1777)</f>
        <v>9.9095326081892345</v>
      </c>
    </row>
    <row r="1778" spans="1:57" x14ac:dyDescent="0.2">
      <c r="A1778" s="2" t="s">
        <v>4238</v>
      </c>
      <c r="B1778" s="2" t="s">
        <v>19</v>
      </c>
      <c r="C1778" s="2" t="s">
        <v>3245</v>
      </c>
      <c r="D1778" s="2" t="s">
        <v>21</v>
      </c>
      <c r="E1778" s="2" t="s">
        <v>1025</v>
      </c>
      <c r="F1778" s="2">
        <v>6</v>
      </c>
      <c r="G1778" s="2">
        <v>57</v>
      </c>
      <c r="H1778" s="2">
        <v>1</v>
      </c>
      <c r="I1778" s="2">
        <v>1</v>
      </c>
      <c r="J1778" s="2">
        <v>1</v>
      </c>
      <c r="K1778" s="2" t="s">
        <v>61</v>
      </c>
      <c r="L1778" s="6" t="s">
        <v>75</v>
      </c>
      <c r="M1778" s="5">
        <v>520000000</v>
      </c>
      <c r="N1778" s="2">
        <v>0</v>
      </c>
      <c r="O1778" s="2">
        <v>4.6851801870000003</v>
      </c>
      <c r="P1778" s="2">
        <v>-74.055442810000002</v>
      </c>
      <c r="Q1778" s="2" t="s">
        <v>4239</v>
      </c>
      <c r="R1778" s="2">
        <v>9122807.0179999992</v>
      </c>
      <c r="S1778" s="2">
        <v>0</v>
      </c>
      <c r="T1778" s="2" t="s">
        <v>55</v>
      </c>
      <c r="U1778" s="2" t="s">
        <v>56</v>
      </c>
      <c r="V1778" s="2" t="s">
        <v>28</v>
      </c>
      <c r="W1778" s="2" t="s">
        <v>55</v>
      </c>
      <c r="X1778" s="2" t="s">
        <v>57</v>
      </c>
      <c r="Y1778" s="2">
        <v>3.9445859093920999</v>
      </c>
      <c r="Z1778" s="2">
        <v>4.71035</v>
      </c>
      <c r="AA1778" s="2">
        <v>-74.030416666666696</v>
      </c>
      <c r="AB1778" s="2">
        <v>2570</v>
      </c>
      <c r="AC1778" s="2" t="s">
        <v>31</v>
      </c>
      <c r="AD1778" s="2" t="s">
        <v>58</v>
      </c>
      <c r="AE1778" s="2" t="s">
        <v>33</v>
      </c>
      <c r="AF1778" s="2" t="s">
        <v>34</v>
      </c>
      <c r="AG1778" s="2" t="s">
        <v>81</v>
      </c>
      <c r="AH1778" s="2">
        <v>0.28604672927352398</v>
      </c>
      <c r="AI1778" s="2">
        <v>2.1566229115380202</v>
      </c>
      <c r="AJ1778" s="2">
        <v>0.299051535238261</v>
      </c>
      <c r="AK1778" s="2">
        <v>7.8980258519558699E-2</v>
      </c>
      <c r="AL1778" s="2">
        <v>0.35169521121078201</v>
      </c>
      <c r="AM1778" s="2">
        <v>15.5</v>
      </c>
      <c r="AN1778" s="2">
        <v>2.4</v>
      </c>
      <c r="AO1778" s="2">
        <v>10.9</v>
      </c>
      <c r="AP1778" s="2">
        <v>564</v>
      </c>
      <c r="AQ1778" s="2">
        <v>68</v>
      </c>
      <c r="AR1778" s="2">
        <v>1.5</v>
      </c>
      <c r="AS1778" s="2">
        <v>135</v>
      </c>
      <c r="AT1778" s="2">
        <v>0</v>
      </c>
      <c r="AU1778" s="2">
        <v>162</v>
      </c>
      <c r="AV1778" s="2">
        <v>9.1</v>
      </c>
      <c r="AW1778" s="2">
        <v>9.1999999999999993</v>
      </c>
      <c r="AX1778" s="2">
        <v>18.3</v>
      </c>
      <c r="AY1778" s="2">
        <v>0.34</v>
      </c>
      <c r="AZ1778" s="2">
        <v>7.3</v>
      </c>
      <c r="BA1778" s="2">
        <v>0.9</v>
      </c>
      <c r="BB1778" s="2">
        <v>7.5</v>
      </c>
      <c r="BC1778" s="2">
        <v>2.9</v>
      </c>
      <c r="BD1778" s="2">
        <f>+AN1778*EXP(-0.0495*Y1778)</f>
        <v>1.9742957151634821</v>
      </c>
      <c r="BE1778" s="2">
        <f>+AO1778*EXP(-0.024*Y1778)</f>
        <v>9.915435926899848</v>
      </c>
    </row>
    <row r="1779" spans="1:57" x14ac:dyDescent="0.2">
      <c r="A1779" s="2" t="s">
        <v>233</v>
      </c>
      <c r="B1779" s="2" t="s">
        <v>19</v>
      </c>
      <c r="C1779" s="2" t="s">
        <v>20</v>
      </c>
      <c r="D1779" s="2" t="s">
        <v>21</v>
      </c>
      <c r="E1779" s="2" t="s">
        <v>234</v>
      </c>
      <c r="F1779" s="2">
        <v>4</v>
      </c>
      <c r="G1779" s="2">
        <v>57</v>
      </c>
      <c r="H1779" s="2">
        <v>1</v>
      </c>
      <c r="I1779" s="2">
        <v>2</v>
      </c>
      <c r="J1779" s="2">
        <v>1</v>
      </c>
      <c r="K1779" s="2" t="s">
        <v>61</v>
      </c>
      <c r="L1779" s="6" t="s">
        <v>84</v>
      </c>
      <c r="M1779" s="5">
        <v>497000000</v>
      </c>
      <c r="N1779" s="2">
        <v>0</v>
      </c>
      <c r="O1779" s="2">
        <v>4.7257476</v>
      </c>
      <c r="P1779" s="2">
        <v>-74.032679999999999</v>
      </c>
      <c r="Q1779" s="2" t="s">
        <v>235</v>
      </c>
      <c r="R1779" s="2">
        <v>8719298.2459999993</v>
      </c>
      <c r="S1779" s="2">
        <v>0</v>
      </c>
      <c r="T1779" s="2" t="s">
        <v>55</v>
      </c>
      <c r="U1779" s="2" t="s">
        <v>56</v>
      </c>
      <c r="V1779" s="2" t="s">
        <v>28</v>
      </c>
      <c r="W1779" s="2" t="s">
        <v>55</v>
      </c>
      <c r="X1779" s="2" t="s">
        <v>57</v>
      </c>
      <c r="Y1779" s="2">
        <v>1.73234770022512</v>
      </c>
      <c r="Z1779" s="2">
        <v>4.71035</v>
      </c>
      <c r="AA1779" s="2">
        <v>-74.030416666666696</v>
      </c>
      <c r="AB1779" s="2">
        <v>2570</v>
      </c>
      <c r="AC1779" s="2" t="s">
        <v>31</v>
      </c>
      <c r="AD1779" s="2" t="s">
        <v>58</v>
      </c>
      <c r="AE1779" s="2" t="s">
        <v>33</v>
      </c>
      <c r="AF1779" s="2" t="s">
        <v>34</v>
      </c>
      <c r="AG1779" s="2" t="s">
        <v>59</v>
      </c>
      <c r="AH1779" s="2">
        <v>1.97987960330599</v>
      </c>
      <c r="AI1779" s="2">
        <v>1.20284604492058</v>
      </c>
      <c r="AJ1779" s="2">
        <v>1.1294683749113501</v>
      </c>
      <c r="AK1779" s="2">
        <v>0.29067485580582297</v>
      </c>
      <c r="AL1779" s="2">
        <v>0.24990711182787001</v>
      </c>
      <c r="AM1779" s="2">
        <v>15.5</v>
      </c>
      <c r="AN1779" s="2">
        <v>2.4</v>
      </c>
      <c r="AO1779" s="2">
        <v>10.9</v>
      </c>
      <c r="AP1779" s="2">
        <v>564</v>
      </c>
      <c r="AQ1779" s="2">
        <v>68</v>
      </c>
      <c r="AR1779" s="2">
        <v>1.5</v>
      </c>
      <c r="AS1779" s="2">
        <v>135</v>
      </c>
      <c r="AT1779" s="2">
        <v>0</v>
      </c>
      <c r="AU1779" s="2">
        <v>162</v>
      </c>
      <c r="AV1779" s="2">
        <v>9.1</v>
      </c>
      <c r="AW1779" s="2">
        <v>9.1999999999999993</v>
      </c>
      <c r="AX1779" s="2">
        <v>18.3</v>
      </c>
      <c r="AY1779" s="2">
        <v>0.34</v>
      </c>
      <c r="AZ1779" s="2">
        <v>7.3</v>
      </c>
      <c r="BA1779" s="2">
        <v>0.9</v>
      </c>
      <c r="BB1779" s="2">
        <v>7.5</v>
      </c>
      <c r="BC1779" s="2">
        <v>2.9</v>
      </c>
      <c r="BD1779" s="2">
        <f>+AN1779*EXP(-0.0495*Y1779)</f>
        <v>2.2027741123763684</v>
      </c>
      <c r="BE1779" s="2">
        <f>+AO1779*EXP(-0.024*Y1779)</f>
        <v>10.456109455107782</v>
      </c>
    </row>
    <row r="1780" spans="1:57" x14ac:dyDescent="0.2">
      <c r="A1780" s="2" t="s">
        <v>3537</v>
      </c>
      <c r="B1780" s="2" t="s">
        <v>19</v>
      </c>
      <c r="C1780" s="2" t="s">
        <v>3245</v>
      </c>
      <c r="D1780" s="2" t="s">
        <v>21</v>
      </c>
      <c r="E1780" s="2" t="s">
        <v>288</v>
      </c>
      <c r="F1780" s="2">
        <v>6</v>
      </c>
      <c r="G1780" s="2">
        <v>57</v>
      </c>
      <c r="H1780" s="2">
        <v>1</v>
      </c>
      <c r="I1780" s="2">
        <v>1</v>
      </c>
      <c r="J1780" s="2">
        <v>1</v>
      </c>
      <c r="K1780" s="2" t="s">
        <v>61</v>
      </c>
      <c r="L1780" s="6" t="s">
        <v>84</v>
      </c>
      <c r="M1780" s="5">
        <v>620000000</v>
      </c>
      <c r="N1780" s="2">
        <v>0</v>
      </c>
      <c r="O1780" s="2">
        <v>4.7025203700000002</v>
      </c>
      <c r="P1780" s="2">
        <v>-74.043556210000006</v>
      </c>
      <c r="Q1780" s="2" t="s">
        <v>3538</v>
      </c>
      <c r="R1780" s="2">
        <v>10877192.98</v>
      </c>
      <c r="S1780" s="2">
        <v>0</v>
      </c>
      <c r="T1780" s="2" t="s">
        <v>55</v>
      </c>
      <c r="U1780" s="2" t="s">
        <v>56</v>
      </c>
      <c r="V1780" s="2" t="s">
        <v>28</v>
      </c>
      <c r="W1780" s="2" t="s">
        <v>55</v>
      </c>
      <c r="X1780" s="2" t="s">
        <v>57</v>
      </c>
      <c r="Y1780" s="2">
        <v>1.6984465047617201</v>
      </c>
      <c r="Z1780" s="2">
        <v>4.71035</v>
      </c>
      <c r="AA1780" s="2">
        <v>-74.030416666666696</v>
      </c>
      <c r="AB1780" s="2">
        <v>2570</v>
      </c>
      <c r="AC1780" s="2" t="s">
        <v>31</v>
      </c>
      <c r="AD1780" s="2" t="s">
        <v>58</v>
      </c>
      <c r="AE1780" s="2" t="s">
        <v>33</v>
      </c>
      <c r="AF1780" s="2" t="s">
        <v>34</v>
      </c>
      <c r="AG1780" s="2" t="s">
        <v>59</v>
      </c>
      <c r="AH1780" s="2">
        <v>1.20590221366853</v>
      </c>
      <c r="AI1780" s="2">
        <v>1.99335006952162</v>
      </c>
      <c r="AJ1780" s="2">
        <v>1.2356561244448001</v>
      </c>
      <c r="AK1780" s="2">
        <v>6.07017459201094E-2</v>
      </c>
      <c r="AL1780" s="2">
        <v>0.183478951823453</v>
      </c>
      <c r="AM1780" s="2">
        <v>15.5</v>
      </c>
      <c r="AN1780" s="2">
        <v>2.4</v>
      </c>
      <c r="AO1780" s="2">
        <v>10.9</v>
      </c>
      <c r="AP1780" s="2">
        <v>564</v>
      </c>
      <c r="AQ1780" s="2">
        <v>68</v>
      </c>
      <c r="AR1780" s="2">
        <v>1.5</v>
      </c>
      <c r="AS1780" s="2">
        <v>135</v>
      </c>
      <c r="AT1780" s="2">
        <v>0</v>
      </c>
      <c r="AU1780" s="2">
        <v>162</v>
      </c>
      <c r="AV1780" s="2">
        <v>9.1</v>
      </c>
      <c r="AW1780" s="2">
        <v>9.1999999999999993</v>
      </c>
      <c r="AX1780" s="2">
        <v>18.3</v>
      </c>
      <c r="AY1780" s="2">
        <v>0.34</v>
      </c>
      <c r="AZ1780" s="2">
        <v>7.3</v>
      </c>
      <c r="BA1780" s="2">
        <v>0.9</v>
      </c>
      <c r="BB1780" s="2">
        <v>7.5</v>
      </c>
      <c r="BC1780" s="2">
        <v>2.9</v>
      </c>
      <c r="BD1780" s="2">
        <f>+AN1780*EXP(-0.0495*Y1780)</f>
        <v>2.2064737111228783</v>
      </c>
      <c r="BE1780" s="2">
        <f>+AO1780*EXP(-0.024*Y1780)</f>
        <v>10.464620307625353</v>
      </c>
    </row>
    <row r="1781" spans="1:57" x14ac:dyDescent="0.2">
      <c r="A1781" s="2" t="s">
        <v>1229</v>
      </c>
      <c r="B1781" s="2" t="s">
        <v>19</v>
      </c>
      <c r="C1781" s="2" t="s">
        <v>20</v>
      </c>
      <c r="D1781" s="2" t="s">
        <v>21</v>
      </c>
      <c r="E1781" s="2" t="s">
        <v>1230</v>
      </c>
      <c r="F1781" s="2">
        <v>5</v>
      </c>
      <c r="G1781" s="2">
        <v>56.53</v>
      </c>
      <c r="H1781" s="2">
        <v>2</v>
      </c>
      <c r="I1781" s="2">
        <v>2</v>
      </c>
      <c r="J1781" s="2">
        <v>2</v>
      </c>
      <c r="K1781" s="2" t="s">
        <v>61</v>
      </c>
      <c r="L1781" s="6" t="s">
        <v>113</v>
      </c>
      <c r="M1781" s="5">
        <v>395000000</v>
      </c>
      <c r="N1781" s="2">
        <v>0</v>
      </c>
      <c r="O1781" s="2">
        <v>4.7041786999999999</v>
      </c>
      <c r="P1781" s="2">
        <v>-74.057978000000006</v>
      </c>
      <c r="Q1781" s="2" t="s">
        <v>1231</v>
      </c>
      <c r="R1781" s="2">
        <v>6987440.2970000003</v>
      </c>
      <c r="S1781" s="2">
        <v>0</v>
      </c>
      <c r="T1781" s="2" t="s">
        <v>55</v>
      </c>
      <c r="U1781" s="2" t="s">
        <v>56</v>
      </c>
      <c r="V1781" s="2" t="s">
        <v>28</v>
      </c>
      <c r="W1781" s="2" t="s">
        <v>55</v>
      </c>
      <c r="X1781" s="2" t="s">
        <v>57</v>
      </c>
      <c r="Y1781" s="2">
        <v>3.1339871377043802</v>
      </c>
      <c r="Z1781" s="2">
        <v>4.71035</v>
      </c>
      <c r="AA1781" s="2">
        <v>-74.030416666666696</v>
      </c>
      <c r="AB1781" s="2">
        <v>2570</v>
      </c>
      <c r="AC1781" s="2" t="s">
        <v>31</v>
      </c>
      <c r="AD1781" s="2" t="s">
        <v>58</v>
      </c>
      <c r="AE1781" s="2" t="s">
        <v>33</v>
      </c>
      <c r="AF1781" s="2" t="s">
        <v>34</v>
      </c>
      <c r="AG1781" s="2" t="s">
        <v>72</v>
      </c>
      <c r="AH1781" s="2">
        <v>0.41920970320144602</v>
      </c>
      <c r="AI1781" s="2">
        <v>3.5996305868306901</v>
      </c>
      <c r="AJ1781" s="2">
        <v>1.46858178436496</v>
      </c>
      <c r="AK1781" s="2">
        <v>6.1522397246447702E-2</v>
      </c>
      <c r="AL1781" s="2">
        <v>7.6169065404529002E-2</v>
      </c>
      <c r="AM1781" s="2">
        <v>15.5</v>
      </c>
      <c r="AN1781" s="2">
        <v>2.4</v>
      </c>
      <c r="AO1781" s="2">
        <v>10.9</v>
      </c>
      <c r="AP1781" s="2">
        <v>564</v>
      </c>
      <c r="AQ1781" s="2">
        <v>68</v>
      </c>
      <c r="AR1781" s="2">
        <v>1.5</v>
      </c>
      <c r="AS1781" s="2">
        <v>135</v>
      </c>
      <c r="AT1781" s="2">
        <v>0</v>
      </c>
      <c r="AU1781" s="2">
        <v>162</v>
      </c>
      <c r="AV1781" s="2">
        <v>9.1</v>
      </c>
      <c r="AW1781" s="2">
        <v>9.1999999999999993</v>
      </c>
      <c r="AX1781" s="2">
        <v>18.3</v>
      </c>
      <c r="AY1781" s="2">
        <v>0.34</v>
      </c>
      <c r="AZ1781" s="2">
        <v>7.3</v>
      </c>
      <c r="BA1781" s="2">
        <v>0.9</v>
      </c>
      <c r="BB1781" s="2">
        <v>7.5</v>
      </c>
      <c r="BC1781" s="2">
        <v>2.9</v>
      </c>
      <c r="BD1781" s="2">
        <f>+AN1781*EXP(-0.0495*Y1781)</f>
        <v>2.0551243848778107</v>
      </c>
      <c r="BE1781" s="2">
        <f>+AO1781*EXP(-0.024*Y1781)</f>
        <v>10.110223078577981</v>
      </c>
    </row>
    <row r="1782" spans="1:57" x14ac:dyDescent="0.2">
      <c r="A1782" s="2" t="s">
        <v>4258</v>
      </c>
      <c r="B1782" s="2" t="s">
        <v>19</v>
      </c>
      <c r="C1782" s="2" t="s">
        <v>3245</v>
      </c>
      <c r="D1782" s="2" t="s">
        <v>21</v>
      </c>
      <c r="E1782" s="2" t="s">
        <v>4259</v>
      </c>
      <c r="F1782" s="2">
        <v>4</v>
      </c>
      <c r="G1782" s="2">
        <v>56.5</v>
      </c>
      <c r="H1782" s="2">
        <v>1</v>
      </c>
      <c r="I1782" s="2">
        <v>1</v>
      </c>
      <c r="J1782" s="2">
        <v>1</v>
      </c>
      <c r="K1782" s="2" t="s">
        <v>61</v>
      </c>
      <c r="L1782" s="6" t="s">
        <v>66</v>
      </c>
      <c r="M1782" s="5">
        <v>380000000</v>
      </c>
      <c r="N1782" s="2">
        <v>0</v>
      </c>
      <c r="O1782" s="2">
        <v>4.7002300000000004</v>
      </c>
      <c r="P1782" s="2">
        <v>-74.057850000000002</v>
      </c>
      <c r="Q1782" s="2" t="s">
        <v>4260</v>
      </c>
      <c r="R1782" s="2">
        <v>6725663.7170000002</v>
      </c>
      <c r="S1782" s="2">
        <v>0</v>
      </c>
      <c r="T1782" s="2" t="s">
        <v>55</v>
      </c>
      <c r="U1782" s="2" t="s">
        <v>56</v>
      </c>
      <c r="V1782" s="2" t="s">
        <v>28</v>
      </c>
      <c r="W1782" s="2" t="s">
        <v>55</v>
      </c>
      <c r="X1782" s="2" t="s">
        <v>57</v>
      </c>
      <c r="Y1782" s="2">
        <v>3.24537462534385</v>
      </c>
      <c r="Z1782" s="2">
        <v>4.71035</v>
      </c>
      <c r="AA1782" s="2">
        <v>-74.030416666666696</v>
      </c>
      <c r="AB1782" s="2">
        <v>2570</v>
      </c>
      <c r="AC1782" s="2" t="s">
        <v>31</v>
      </c>
      <c r="AD1782" s="2" t="s">
        <v>58</v>
      </c>
      <c r="AE1782" s="2" t="s">
        <v>33</v>
      </c>
      <c r="AF1782" s="2" t="s">
        <v>34</v>
      </c>
      <c r="AG1782" s="2" t="s">
        <v>72</v>
      </c>
      <c r="AH1782" s="2">
        <v>0.36525187808116999</v>
      </c>
      <c r="AI1782" s="2">
        <v>3.3851227265229502</v>
      </c>
      <c r="AJ1782" s="2">
        <v>1.17232229664438</v>
      </c>
      <c r="AK1782" s="2">
        <v>8.5828109131404096E-2</v>
      </c>
      <c r="AL1782" s="2">
        <v>0.17129541991710101</v>
      </c>
      <c r="AM1782" s="2">
        <v>15.5</v>
      </c>
      <c r="AN1782" s="2">
        <v>2.4</v>
      </c>
      <c r="AO1782" s="2">
        <v>10.9</v>
      </c>
      <c r="AP1782" s="2">
        <v>564</v>
      </c>
      <c r="AQ1782" s="2">
        <v>68</v>
      </c>
      <c r="AR1782" s="2">
        <v>1.5</v>
      </c>
      <c r="AS1782" s="2">
        <v>135</v>
      </c>
      <c r="AT1782" s="2">
        <v>0</v>
      </c>
      <c r="AU1782" s="2">
        <v>162</v>
      </c>
      <c r="AV1782" s="2">
        <v>9.1</v>
      </c>
      <c r="AW1782" s="2">
        <v>9.1999999999999993</v>
      </c>
      <c r="AX1782" s="2">
        <v>18.3</v>
      </c>
      <c r="AY1782" s="2">
        <v>0.34</v>
      </c>
      <c r="AZ1782" s="2">
        <v>7.3</v>
      </c>
      <c r="BA1782" s="2">
        <v>0.9</v>
      </c>
      <c r="BB1782" s="2">
        <v>7.5</v>
      </c>
      <c r="BC1782" s="2">
        <v>2.9</v>
      </c>
      <c r="BD1782" s="2">
        <f>+AN1782*EXP(-0.0495*Y1782)</f>
        <v>2.0438242665971855</v>
      </c>
      <c r="BE1782" s="2">
        <f>+AO1782*EXP(-0.024*Y1782)</f>
        <v>10.083231516563277</v>
      </c>
    </row>
    <row r="1783" spans="1:57" x14ac:dyDescent="0.2">
      <c r="A1783" s="2" t="s">
        <v>4149</v>
      </c>
      <c r="B1783" s="2" t="s">
        <v>19</v>
      </c>
      <c r="C1783" s="2" t="s">
        <v>3245</v>
      </c>
      <c r="D1783" s="2" t="s">
        <v>21</v>
      </c>
      <c r="E1783" s="2" t="s">
        <v>156</v>
      </c>
      <c r="F1783" s="2">
        <v>1</v>
      </c>
      <c r="G1783" s="2">
        <v>55.78</v>
      </c>
      <c r="H1783" s="2">
        <v>1</v>
      </c>
      <c r="I1783" s="2">
        <v>2</v>
      </c>
      <c r="J1783" s="2">
        <v>1</v>
      </c>
      <c r="K1783" s="2" t="s">
        <v>61</v>
      </c>
      <c r="L1783" s="6" t="s">
        <v>84</v>
      </c>
      <c r="M1783" s="5">
        <v>370000000</v>
      </c>
      <c r="N1783" s="2">
        <v>0</v>
      </c>
      <c r="O1783" s="2">
        <v>4.7264999999999997</v>
      </c>
      <c r="P1783" s="2">
        <v>-74.043000000000006</v>
      </c>
      <c r="Q1783" s="2" t="s">
        <v>4150</v>
      </c>
      <c r="R1783" s="2">
        <v>6633201.8640000001</v>
      </c>
      <c r="S1783" s="2">
        <v>0</v>
      </c>
      <c r="T1783" s="2" t="s">
        <v>55</v>
      </c>
      <c r="U1783" s="2" t="s">
        <v>56</v>
      </c>
      <c r="V1783" s="2" t="s">
        <v>28</v>
      </c>
      <c r="W1783" s="2" t="s">
        <v>55</v>
      </c>
      <c r="X1783" s="2" t="s">
        <v>57</v>
      </c>
      <c r="Y1783" s="2">
        <v>2.2761810726473799</v>
      </c>
      <c r="Z1783" s="2">
        <v>4.71035</v>
      </c>
      <c r="AA1783" s="2">
        <v>-74.030416666666696</v>
      </c>
      <c r="AB1783" s="2">
        <v>2570</v>
      </c>
      <c r="AC1783" s="2" t="s">
        <v>31</v>
      </c>
      <c r="AD1783" s="2" t="s">
        <v>58</v>
      </c>
      <c r="AE1783" s="2" t="s">
        <v>33</v>
      </c>
      <c r="AF1783" s="2" t="s">
        <v>34</v>
      </c>
      <c r="AG1783" s="2" t="s">
        <v>59</v>
      </c>
      <c r="AH1783" s="2">
        <v>0.83281737260024602</v>
      </c>
      <c r="AI1783" s="2">
        <v>2.2819555636655902</v>
      </c>
      <c r="AJ1783" s="2">
        <v>0.78129772241053397</v>
      </c>
      <c r="AK1783" s="2">
        <v>0.27918954791081901</v>
      </c>
      <c r="AL1783" s="2">
        <v>2.4906214470763999E-3</v>
      </c>
      <c r="AM1783" s="2">
        <v>15.5</v>
      </c>
      <c r="AN1783" s="2">
        <v>2.4</v>
      </c>
      <c r="AO1783" s="2">
        <v>10.9</v>
      </c>
      <c r="AP1783" s="2">
        <v>564</v>
      </c>
      <c r="AQ1783" s="2">
        <v>68</v>
      </c>
      <c r="AR1783" s="2">
        <v>1.5</v>
      </c>
      <c r="AS1783" s="2">
        <v>135</v>
      </c>
      <c r="AT1783" s="2">
        <v>0</v>
      </c>
      <c r="AU1783" s="2">
        <v>162</v>
      </c>
      <c r="AV1783" s="2">
        <v>9.1</v>
      </c>
      <c r="AW1783" s="2">
        <v>9.1999999999999993</v>
      </c>
      <c r="AX1783" s="2">
        <v>18.3</v>
      </c>
      <c r="AY1783" s="2">
        <v>0.34</v>
      </c>
      <c r="AZ1783" s="2">
        <v>7.3</v>
      </c>
      <c r="BA1783" s="2">
        <v>0.9</v>
      </c>
      <c r="BB1783" s="2">
        <v>7.5</v>
      </c>
      <c r="BC1783" s="2">
        <v>2.9</v>
      </c>
      <c r="BD1783" s="2">
        <f>+AN1783*EXP(-0.0495*Y1783)</f>
        <v>2.1442670111949442</v>
      </c>
      <c r="BE1783" s="2">
        <f>+AO1783*EXP(-0.024*Y1783)</f>
        <v>10.320523066336937</v>
      </c>
    </row>
    <row r="1784" spans="1:57" x14ac:dyDescent="0.2">
      <c r="A1784" s="2" t="s">
        <v>3886</v>
      </c>
      <c r="B1784" s="2" t="s">
        <v>19</v>
      </c>
      <c r="C1784" s="2" t="s">
        <v>3245</v>
      </c>
      <c r="D1784" s="2" t="s">
        <v>21</v>
      </c>
      <c r="E1784" s="2" t="s">
        <v>53</v>
      </c>
      <c r="F1784" s="2">
        <v>6</v>
      </c>
      <c r="G1784" s="2">
        <v>55.5</v>
      </c>
      <c r="H1784" s="2">
        <v>1</v>
      </c>
      <c r="I1784" s="2">
        <v>2</v>
      </c>
      <c r="J1784" s="2">
        <v>1</v>
      </c>
      <c r="K1784" s="2" t="s">
        <v>61</v>
      </c>
      <c r="L1784" s="6" t="s">
        <v>75</v>
      </c>
      <c r="M1784" s="5">
        <v>435000000</v>
      </c>
      <c r="N1784" s="2">
        <v>0</v>
      </c>
      <c r="O1784" s="2">
        <v>4.6974200000000002</v>
      </c>
      <c r="P1784" s="2">
        <v>-74.043679999999995</v>
      </c>
      <c r="Q1784" s="2" t="s">
        <v>3887</v>
      </c>
      <c r="R1784" s="2">
        <v>7837837.8380000005</v>
      </c>
      <c r="S1784" s="2">
        <v>0</v>
      </c>
      <c r="T1784" s="2" t="s">
        <v>55</v>
      </c>
      <c r="U1784" s="2" t="s">
        <v>56</v>
      </c>
      <c r="V1784" s="2" t="s">
        <v>28</v>
      </c>
      <c r="W1784" s="2" t="s">
        <v>55</v>
      </c>
      <c r="X1784" s="2" t="s">
        <v>57</v>
      </c>
      <c r="Y1784" s="2">
        <v>2.0584110957435202</v>
      </c>
      <c r="Z1784" s="2">
        <v>4.71035</v>
      </c>
      <c r="AA1784" s="2">
        <v>-74.030416666666696</v>
      </c>
      <c r="AB1784" s="2">
        <v>2570</v>
      </c>
      <c r="AC1784" s="2" t="s">
        <v>31</v>
      </c>
      <c r="AD1784" s="2" t="s">
        <v>58</v>
      </c>
      <c r="AE1784" s="2" t="s">
        <v>33</v>
      </c>
      <c r="AF1784" s="2" t="s">
        <v>34</v>
      </c>
      <c r="AG1784" s="2" t="s">
        <v>59</v>
      </c>
      <c r="AH1784" s="2">
        <v>1.2917407075684499</v>
      </c>
      <c r="AI1784" s="2">
        <v>1.97484871675882</v>
      </c>
      <c r="AJ1784" s="2">
        <v>0.82224242100662903</v>
      </c>
      <c r="AK1784" s="2">
        <v>3.3410271298890501E-2</v>
      </c>
      <c r="AL1784" s="2">
        <v>0.18184304983631999</v>
      </c>
      <c r="AM1784" s="2">
        <v>15.5</v>
      </c>
      <c r="AN1784" s="2">
        <v>2.4</v>
      </c>
      <c r="AO1784" s="2">
        <v>10.9</v>
      </c>
      <c r="AP1784" s="2">
        <v>564</v>
      </c>
      <c r="AQ1784" s="2">
        <v>68</v>
      </c>
      <c r="AR1784" s="2">
        <v>1.5</v>
      </c>
      <c r="AS1784" s="2">
        <v>135</v>
      </c>
      <c r="AT1784" s="2">
        <v>0</v>
      </c>
      <c r="AU1784" s="2">
        <v>162</v>
      </c>
      <c r="AV1784" s="2">
        <v>9.1</v>
      </c>
      <c r="AW1784" s="2">
        <v>9.1999999999999993</v>
      </c>
      <c r="AX1784" s="2">
        <v>18.3</v>
      </c>
      <c r="AY1784" s="2">
        <v>0.34</v>
      </c>
      <c r="AZ1784" s="2">
        <v>7.3</v>
      </c>
      <c r="BA1784" s="2">
        <v>0.9</v>
      </c>
      <c r="BB1784" s="2">
        <v>7.5</v>
      </c>
      <c r="BC1784" s="2">
        <v>2.9</v>
      </c>
      <c r="BD1784" s="2">
        <f>+AN1784*EXP(-0.0495*Y1784)</f>
        <v>2.1675064124325982</v>
      </c>
      <c r="BE1784" s="2">
        <f>+AO1784*EXP(-0.024*Y1784)</f>
        <v>10.374604272059809</v>
      </c>
    </row>
    <row r="1785" spans="1:57" x14ac:dyDescent="0.2">
      <c r="A1785" s="2" t="s">
        <v>310</v>
      </c>
      <c r="B1785" s="2" t="s">
        <v>19</v>
      </c>
      <c r="C1785" s="2" t="s">
        <v>20</v>
      </c>
      <c r="D1785" s="2" t="s">
        <v>21</v>
      </c>
      <c r="E1785" s="2" t="s">
        <v>311</v>
      </c>
      <c r="F1785" s="2">
        <v>4</v>
      </c>
      <c r="G1785" s="2">
        <v>55</v>
      </c>
      <c r="H1785" s="2">
        <v>3</v>
      </c>
      <c r="I1785" s="2">
        <v>1</v>
      </c>
      <c r="J1785" s="2">
        <v>1</v>
      </c>
      <c r="K1785" s="2" t="s">
        <v>61</v>
      </c>
      <c r="L1785" s="6" t="s">
        <v>113</v>
      </c>
      <c r="M1785" s="5">
        <v>325000000</v>
      </c>
      <c r="N1785" s="2">
        <v>0</v>
      </c>
      <c r="O1785" s="2">
        <v>4.7414879799999996</v>
      </c>
      <c r="P1785" s="2">
        <v>-74.036224369999999</v>
      </c>
      <c r="Q1785" s="2" t="s">
        <v>312</v>
      </c>
      <c r="R1785" s="2">
        <v>5909090.909</v>
      </c>
      <c r="S1785" s="2">
        <v>0</v>
      </c>
      <c r="T1785" s="2" t="s">
        <v>55</v>
      </c>
      <c r="U1785" s="2" t="s">
        <v>56</v>
      </c>
      <c r="V1785" s="2" t="s">
        <v>28</v>
      </c>
      <c r="W1785" s="2" t="s">
        <v>55</v>
      </c>
      <c r="X1785" s="2" t="s">
        <v>57</v>
      </c>
      <c r="Y1785" s="2">
        <v>3.5256382900018202</v>
      </c>
      <c r="Z1785" s="2">
        <v>4.71035</v>
      </c>
      <c r="AA1785" s="2">
        <v>-74.030416666666696</v>
      </c>
      <c r="AB1785" s="2">
        <v>2570</v>
      </c>
      <c r="AC1785" s="2" t="s">
        <v>31</v>
      </c>
      <c r="AD1785" s="2" t="s">
        <v>58</v>
      </c>
      <c r="AE1785" s="2" t="s">
        <v>33</v>
      </c>
      <c r="AF1785" s="2" t="s">
        <v>34</v>
      </c>
      <c r="AG1785" s="2" t="s">
        <v>59</v>
      </c>
      <c r="AH1785" s="2">
        <v>1.30646388528121</v>
      </c>
      <c r="AI1785" s="2">
        <v>1.80433468581023</v>
      </c>
      <c r="AJ1785" s="2">
        <v>0.98386959192159296</v>
      </c>
      <c r="AK1785" s="2">
        <v>0.17112734585049599</v>
      </c>
      <c r="AL1785" s="2">
        <v>2.2776780768544402E-2</v>
      </c>
      <c r="AM1785" s="2">
        <v>15.5</v>
      </c>
      <c r="AN1785" s="2">
        <v>2.4</v>
      </c>
      <c r="AO1785" s="2">
        <v>10.9</v>
      </c>
      <c r="AP1785" s="2">
        <v>564</v>
      </c>
      <c r="AQ1785" s="2">
        <v>68</v>
      </c>
      <c r="AR1785" s="2">
        <v>1.5</v>
      </c>
      <c r="AS1785" s="2">
        <v>135</v>
      </c>
      <c r="AT1785" s="2">
        <v>0</v>
      </c>
      <c r="AU1785" s="2">
        <v>162</v>
      </c>
      <c r="AV1785" s="2">
        <v>9.1</v>
      </c>
      <c r="AW1785" s="2">
        <v>9.1999999999999993</v>
      </c>
      <c r="AX1785" s="2">
        <v>18.3</v>
      </c>
      <c r="AY1785" s="2">
        <v>0.34</v>
      </c>
      <c r="AZ1785" s="2">
        <v>7.3</v>
      </c>
      <c r="BA1785" s="2">
        <v>0.9</v>
      </c>
      <c r="BB1785" s="2">
        <v>7.5</v>
      </c>
      <c r="BC1785" s="2">
        <v>2.9</v>
      </c>
      <c r="BD1785" s="2">
        <f>+AN1785*EXP(-0.0495*Y1785)</f>
        <v>2.0156659599253661</v>
      </c>
      <c r="BE1785" s="2">
        <f>+AO1785*EXP(-0.024*Y1785)</f>
        <v>10.015635984282742</v>
      </c>
    </row>
    <row r="1786" spans="1:57" x14ac:dyDescent="0.2">
      <c r="A1786" s="2" t="s">
        <v>4567</v>
      </c>
      <c r="B1786" s="2" t="s">
        <v>19</v>
      </c>
      <c r="C1786" s="2" t="s">
        <v>3245</v>
      </c>
      <c r="D1786" s="2" t="s">
        <v>21</v>
      </c>
      <c r="E1786" s="2" t="s">
        <v>419</v>
      </c>
      <c r="F1786" s="2">
        <v>6</v>
      </c>
      <c r="G1786" s="2">
        <v>55</v>
      </c>
      <c r="H1786" s="2">
        <v>1</v>
      </c>
      <c r="I1786" s="2">
        <v>2</v>
      </c>
      <c r="J1786" s="2">
        <v>2</v>
      </c>
      <c r="K1786" s="2" t="s">
        <v>61</v>
      </c>
      <c r="L1786" s="6" t="s">
        <v>84</v>
      </c>
      <c r="M1786" s="5">
        <v>530000000</v>
      </c>
      <c r="N1786" s="2">
        <v>0</v>
      </c>
      <c r="O1786" s="2">
        <v>4.6931033129999999</v>
      </c>
      <c r="P1786" s="2">
        <v>-74.053962709999993</v>
      </c>
      <c r="Q1786" s="2" t="s">
        <v>4568</v>
      </c>
      <c r="R1786" s="2">
        <v>9636363.6359999999</v>
      </c>
      <c r="S1786" s="2">
        <v>0</v>
      </c>
      <c r="T1786" s="2" t="s">
        <v>55</v>
      </c>
      <c r="U1786" s="2" t="s">
        <v>56</v>
      </c>
      <c r="V1786" s="2" t="s">
        <v>28</v>
      </c>
      <c r="W1786" s="2" t="s">
        <v>55</v>
      </c>
      <c r="X1786" s="2" t="s">
        <v>57</v>
      </c>
      <c r="Y1786" s="2">
        <v>3.2419388029833902</v>
      </c>
      <c r="Z1786" s="2">
        <v>4.71035</v>
      </c>
      <c r="AA1786" s="2">
        <v>-74.030416666666696</v>
      </c>
      <c r="AB1786" s="2">
        <v>2570</v>
      </c>
      <c r="AC1786" s="2" t="s">
        <v>31</v>
      </c>
      <c r="AD1786" s="2" t="s">
        <v>58</v>
      </c>
      <c r="AE1786" s="2" t="s">
        <v>33</v>
      </c>
      <c r="AF1786" s="2" t="s">
        <v>34</v>
      </c>
      <c r="AG1786" s="2" t="s">
        <v>59</v>
      </c>
      <c r="AH1786" s="2">
        <v>0.24648149251923099</v>
      </c>
      <c r="AI1786" s="2">
        <v>2.5350756230651301</v>
      </c>
      <c r="AJ1786" s="2">
        <v>0.45642799996129402</v>
      </c>
      <c r="AK1786" s="2">
        <v>4.5681595366116899E-2</v>
      </c>
      <c r="AL1786" s="2">
        <v>2.3526676891405699E-2</v>
      </c>
      <c r="AM1786" s="2">
        <v>15.5</v>
      </c>
      <c r="AN1786" s="2">
        <v>2.4</v>
      </c>
      <c r="AO1786" s="2">
        <v>10.9</v>
      </c>
      <c r="AP1786" s="2">
        <v>564</v>
      </c>
      <c r="AQ1786" s="2">
        <v>68</v>
      </c>
      <c r="AR1786" s="2">
        <v>1.5</v>
      </c>
      <c r="AS1786" s="2">
        <v>135</v>
      </c>
      <c r="AT1786" s="2">
        <v>0</v>
      </c>
      <c r="AU1786" s="2">
        <v>162</v>
      </c>
      <c r="AV1786" s="2">
        <v>9.1</v>
      </c>
      <c r="AW1786" s="2">
        <v>9.1999999999999993</v>
      </c>
      <c r="AX1786" s="2">
        <v>18.3</v>
      </c>
      <c r="AY1786" s="2">
        <v>0.34</v>
      </c>
      <c r="AZ1786" s="2">
        <v>7.3</v>
      </c>
      <c r="BA1786" s="2">
        <v>0.9</v>
      </c>
      <c r="BB1786" s="2">
        <v>7.5</v>
      </c>
      <c r="BC1786" s="2">
        <v>2.9</v>
      </c>
      <c r="BD1786" s="2">
        <f>+AN1786*EXP(-0.0495*Y1786)</f>
        <v>2.0441718959048063</v>
      </c>
      <c r="BE1786" s="2">
        <f>+AO1786*EXP(-0.024*Y1786)</f>
        <v>10.084063011460678</v>
      </c>
    </row>
    <row r="1787" spans="1:57" x14ac:dyDescent="0.2">
      <c r="A1787" s="2" t="s">
        <v>3786</v>
      </c>
      <c r="B1787" s="2" t="s">
        <v>19</v>
      </c>
      <c r="C1787" s="2" t="s">
        <v>3245</v>
      </c>
      <c r="D1787" s="2" t="s">
        <v>21</v>
      </c>
      <c r="E1787" s="2" t="s">
        <v>933</v>
      </c>
      <c r="F1787" s="2">
        <v>5</v>
      </c>
      <c r="G1787" s="2">
        <v>55</v>
      </c>
      <c r="H1787" s="2">
        <v>1</v>
      </c>
      <c r="I1787" s="2">
        <v>2</v>
      </c>
      <c r="J1787" s="2">
        <v>1</v>
      </c>
      <c r="K1787" s="2" t="s">
        <v>61</v>
      </c>
      <c r="L1787" s="6" t="s">
        <v>62</v>
      </c>
      <c r="M1787" s="5">
        <v>380000000</v>
      </c>
      <c r="N1787" s="2">
        <v>0</v>
      </c>
      <c r="O1787" s="2">
        <v>4.7119156999999996</v>
      </c>
      <c r="P1787" s="2">
        <v>-74.047267899999994</v>
      </c>
      <c r="Q1787" s="2" t="s">
        <v>3787</v>
      </c>
      <c r="R1787" s="2">
        <v>6909090.909</v>
      </c>
      <c r="S1787" s="2">
        <v>0</v>
      </c>
      <c r="T1787" s="2" t="s">
        <v>55</v>
      </c>
      <c r="U1787" s="2" t="s">
        <v>56</v>
      </c>
      <c r="V1787" s="2" t="s">
        <v>28</v>
      </c>
      <c r="W1787" s="2" t="s">
        <v>55</v>
      </c>
      <c r="X1787" s="2" t="s">
        <v>57</v>
      </c>
      <c r="Y1787" s="2">
        <v>1.87763990334085</v>
      </c>
      <c r="Z1787" s="2">
        <v>4.71035</v>
      </c>
      <c r="AA1787" s="2">
        <v>-74.030416666666696</v>
      </c>
      <c r="AB1787" s="2">
        <v>2570</v>
      </c>
      <c r="AC1787" s="2" t="s">
        <v>31</v>
      </c>
      <c r="AD1787" s="2" t="s">
        <v>58</v>
      </c>
      <c r="AE1787" s="2" t="s">
        <v>33</v>
      </c>
      <c r="AF1787" s="2" t="s">
        <v>34</v>
      </c>
      <c r="AG1787" s="2" t="s">
        <v>59</v>
      </c>
      <c r="AH1787" s="2">
        <v>0.65525895015229796</v>
      </c>
      <c r="AI1787" s="2">
        <v>2.4787471070805802</v>
      </c>
      <c r="AJ1787" s="2">
        <v>1.6117533836331901</v>
      </c>
      <c r="AK1787" s="2">
        <v>0.48382243339257403</v>
      </c>
      <c r="AL1787" s="2">
        <v>0.25067492803856101</v>
      </c>
      <c r="AM1787" s="2">
        <v>15.5</v>
      </c>
      <c r="AN1787" s="2">
        <v>2.4</v>
      </c>
      <c r="AO1787" s="2">
        <v>10.9</v>
      </c>
      <c r="AP1787" s="2">
        <v>564</v>
      </c>
      <c r="AQ1787" s="2">
        <v>68</v>
      </c>
      <c r="AR1787" s="2">
        <v>1.5</v>
      </c>
      <c r="AS1787" s="2">
        <v>135</v>
      </c>
      <c r="AT1787" s="2">
        <v>0</v>
      </c>
      <c r="AU1787" s="2">
        <v>162</v>
      </c>
      <c r="AV1787" s="2">
        <v>9.1</v>
      </c>
      <c r="AW1787" s="2">
        <v>9.1999999999999993</v>
      </c>
      <c r="AX1787" s="2">
        <v>18.3</v>
      </c>
      <c r="AY1787" s="2">
        <v>0.34</v>
      </c>
      <c r="AZ1787" s="2">
        <v>7.3</v>
      </c>
      <c r="BA1787" s="2">
        <v>0.9</v>
      </c>
      <c r="BB1787" s="2">
        <v>7.5</v>
      </c>
      <c r="BC1787" s="2">
        <v>2.9</v>
      </c>
      <c r="BD1787" s="2">
        <f>+AN1787*EXP(-0.0495*Y1787)</f>
        <v>2.1869886723401391</v>
      </c>
      <c r="BE1787" s="2">
        <f>+AO1787*EXP(-0.024*Y1787)</f>
        <v>10.419712362263546</v>
      </c>
    </row>
    <row r="1788" spans="1:57" x14ac:dyDescent="0.2">
      <c r="A1788" s="2" t="s">
        <v>4126</v>
      </c>
      <c r="B1788" s="2" t="s">
        <v>19</v>
      </c>
      <c r="C1788" s="2" t="s">
        <v>3245</v>
      </c>
      <c r="D1788" s="2" t="s">
        <v>21</v>
      </c>
      <c r="E1788" s="2" t="s">
        <v>156</v>
      </c>
      <c r="F1788" s="2">
        <v>4</v>
      </c>
      <c r="G1788" s="2">
        <v>54.49</v>
      </c>
      <c r="H1788" s="2">
        <v>1</v>
      </c>
      <c r="I1788" s="2">
        <v>2</v>
      </c>
      <c r="J1788" s="2">
        <v>1</v>
      </c>
      <c r="K1788" s="2" t="s">
        <v>61</v>
      </c>
      <c r="L1788" s="6" t="s">
        <v>75</v>
      </c>
      <c r="M1788" s="5">
        <v>415000000</v>
      </c>
      <c r="N1788" s="2">
        <v>0</v>
      </c>
      <c r="O1788" s="2">
        <v>4.7301200000000003</v>
      </c>
      <c r="P1788" s="2">
        <v>-74.035229999999999</v>
      </c>
      <c r="Q1788" s="2" t="s">
        <v>4127</v>
      </c>
      <c r="R1788" s="2">
        <v>7616076.3439999996</v>
      </c>
      <c r="S1788" s="2">
        <v>0</v>
      </c>
      <c r="T1788" s="2" t="s">
        <v>55</v>
      </c>
      <c r="U1788" s="2" t="s">
        <v>56</v>
      </c>
      <c r="V1788" s="2" t="s">
        <v>28</v>
      </c>
      <c r="W1788" s="2" t="s">
        <v>55</v>
      </c>
      <c r="X1788" s="2" t="s">
        <v>57</v>
      </c>
      <c r="Y1788" s="2">
        <v>2.2646450153055802</v>
      </c>
      <c r="Z1788" s="2">
        <v>4.71035</v>
      </c>
      <c r="AA1788" s="2">
        <v>-74.030416666666696</v>
      </c>
      <c r="AB1788" s="2">
        <v>2570</v>
      </c>
      <c r="AC1788" s="2" t="s">
        <v>31</v>
      </c>
      <c r="AD1788" s="2" t="s">
        <v>58</v>
      </c>
      <c r="AE1788" s="2" t="s">
        <v>33</v>
      </c>
      <c r="AF1788" s="2" t="s">
        <v>34</v>
      </c>
      <c r="AG1788" s="2" t="s">
        <v>59</v>
      </c>
      <c r="AH1788" s="2">
        <v>1.61890016999067</v>
      </c>
      <c r="AI1788" s="2">
        <v>1.49424875813122</v>
      </c>
      <c r="AJ1788" s="2">
        <v>0.60808842125196405</v>
      </c>
      <c r="AK1788" s="2">
        <v>0.30163888274577999</v>
      </c>
      <c r="AL1788" s="2">
        <v>3.3899379930578899E-2</v>
      </c>
      <c r="AM1788" s="2">
        <v>15.5</v>
      </c>
      <c r="AN1788" s="2">
        <v>2.4</v>
      </c>
      <c r="AO1788" s="2">
        <v>10.9</v>
      </c>
      <c r="AP1788" s="2">
        <v>564</v>
      </c>
      <c r="AQ1788" s="2">
        <v>68</v>
      </c>
      <c r="AR1788" s="2">
        <v>1.5</v>
      </c>
      <c r="AS1788" s="2">
        <v>135</v>
      </c>
      <c r="AT1788" s="2">
        <v>0</v>
      </c>
      <c r="AU1788" s="2">
        <v>162</v>
      </c>
      <c r="AV1788" s="2">
        <v>9.1</v>
      </c>
      <c r="AW1788" s="2">
        <v>9.1999999999999993</v>
      </c>
      <c r="AX1788" s="2">
        <v>18.3</v>
      </c>
      <c r="AY1788" s="2">
        <v>0.34</v>
      </c>
      <c r="AZ1788" s="2">
        <v>7.3</v>
      </c>
      <c r="BA1788" s="2">
        <v>0.9</v>
      </c>
      <c r="BB1788" s="2">
        <v>7.5</v>
      </c>
      <c r="BC1788" s="2">
        <v>2.9</v>
      </c>
      <c r="BD1788" s="2">
        <f>+AN1788*EXP(-0.0495*Y1788)</f>
        <v>2.1454918120299009</v>
      </c>
      <c r="BE1788" s="2">
        <f>+AO1788*EXP(-0.024*Y1788)</f>
        <v>10.32338085743176</v>
      </c>
    </row>
    <row r="1789" spans="1:57" x14ac:dyDescent="0.2">
      <c r="A1789" s="2" t="s">
        <v>3390</v>
      </c>
      <c r="B1789" s="2" t="s">
        <v>19</v>
      </c>
      <c r="C1789" s="2" t="s">
        <v>3245</v>
      </c>
      <c r="D1789" s="2" t="s">
        <v>21</v>
      </c>
      <c r="E1789" s="2" t="s">
        <v>180</v>
      </c>
      <c r="F1789" s="2">
        <v>6</v>
      </c>
      <c r="G1789" s="2">
        <v>54.14</v>
      </c>
      <c r="H1789" s="2">
        <v>1</v>
      </c>
      <c r="I1789" s="2">
        <v>2</v>
      </c>
      <c r="J1789" s="2">
        <v>1</v>
      </c>
      <c r="K1789" s="2" t="s">
        <v>61</v>
      </c>
      <c r="L1789" s="6" t="s">
        <v>62</v>
      </c>
      <c r="M1789" s="5">
        <v>827101854</v>
      </c>
      <c r="N1789" s="2">
        <v>0</v>
      </c>
      <c r="O1789" s="2">
        <v>4.6844400000000004</v>
      </c>
      <c r="P1789" s="2">
        <v>-74.054159999999996</v>
      </c>
      <c r="Q1789" s="2" t="s">
        <v>3391</v>
      </c>
      <c r="R1789" s="2">
        <v>15277093.720000001</v>
      </c>
      <c r="S1789" s="2">
        <v>0</v>
      </c>
      <c r="T1789" s="2" t="s">
        <v>55</v>
      </c>
      <c r="U1789" s="2" t="s">
        <v>56</v>
      </c>
      <c r="V1789" s="2" t="s">
        <v>28</v>
      </c>
      <c r="W1789" s="2" t="s">
        <v>55</v>
      </c>
      <c r="X1789" s="2" t="s">
        <v>57</v>
      </c>
      <c r="Y1789" s="2">
        <v>3.90617731145369</v>
      </c>
      <c r="Z1789" s="2">
        <v>4.71035</v>
      </c>
      <c r="AA1789" s="2">
        <v>-74.030416666666696</v>
      </c>
      <c r="AB1789" s="2">
        <v>2570</v>
      </c>
      <c r="AC1789" s="2" t="s">
        <v>31</v>
      </c>
      <c r="AD1789" s="2" t="s">
        <v>58</v>
      </c>
      <c r="AE1789" s="2" t="s">
        <v>33</v>
      </c>
      <c r="AF1789" s="2" t="s">
        <v>34</v>
      </c>
      <c r="AG1789" s="2" t="s">
        <v>81</v>
      </c>
      <c r="AH1789" s="2">
        <v>0.39759296503921499</v>
      </c>
      <c r="AI1789" s="2">
        <v>1.9930279803633999</v>
      </c>
      <c r="AJ1789" s="2">
        <v>0.20909573825494099</v>
      </c>
      <c r="AK1789" s="2">
        <v>0.115576375562105</v>
      </c>
      <c r="AL1789" s="2">
        <v>0.45794393133286898</v>
      </c>
      <c r="AM1789" s="2">
        <v>15.5</v>
      </c>
      <c r="AN1789" s="2">
        <v>2.4</v>
      </c>
      <c r="AO1789" s="2">
        <v>10.9</v>
      </c>
      <c r="AP1789" s="2">
        <v>564</v>
      </c>
      <c r="AQ1789" s="2">
        <v>68</v>
      </c>
      <c r="AR1789" s="2">
        <v>1.5</v>
      </c>
      <c r="AS1789" s="2">
        <v>135</v>
      </c>
      <c r="AT1789" s="2">
        <v>0</v>
      </c>
      <c r="AU1789" s="2">
        <v>162</v>
      </c>
      <c r="AV1789" s="2">
        <v>9.1</v>
      </c>
      <c r="AW1789" s="2">
        <v>9.1999999999999993</v>
      </c>
      <c r="AX1789" s="2">
        <v>18.3</v>
      </c>
      <c r="AY1789" s="2">
        <v>0.34</v>
      </c>
      <c r="AZ1789" s="2">
        <v>7.3</v>
      </c>
      <c r="BA1789" s="2">
        <v>0.9</v>
      </c>
      <c r="BB1789" s="2">
        <v>7.5</v>
      </c>
      <c r="BC1789" s="2">
        <v>2.9</v>
      </c>
      <c r="BD1789" s="2">
        <f>+AN1789*EXP(-0.0495*Y1789)</f>
        <v>1.9780528671801361</v>
      </c>
      <c r="BE1789" s="2">
        <f>+AO1789*EXP(-0.024*Y1789)</f>
        <v>9.9245802527067415</v>
      </c>
    </row>
    <row r="1790" spans="1:57" x14ac:dyDescent="0.2">
      <c r="A1790" s="2" t="s">
        <v>1404</v>
      </c>
      <c r="B1790" s="2" t="s">
        <v>19</v>
      </c>
      <c r="C1790" s="2" t="s">
        <v>20</v>
      </c>
      <c r="D1790" s="2" t="s">
        <v>21</v>
      </c>
      <c r="E1790" s="2" t="s">
        <v>976</v>
      </c>
      <c r="F1790" s="2">
        <v>4</v>
      </c>
      <c r="G1790" s="2">
        <v>54</v>
      </c>
      <c r="H1790" s="2">
        <v>2</v>
      </c>
      <c r="I1790" s="2">
        <v>2</v>
      </c>
      <c r="J1790" s="2">
        <v>1</v>
      </c>
      <c r="K1790" s="2" t="s">
        <v>61</v>
      </c>
      <c r="L1790" s="6" t="s">
        <v>62</v>
      </c>
      <c r="M1790" s="5">
        <v>372000000</v>
      </c>
      <c r="N1790" s="2">
        <v>0</v>
      </c>
      <c r="O1790" s="2">
        <v>4.7466804690000002</v>
      </c>
      <c r="P1790" s="2">
        <v>-74.023503439999999</v>
      </c>
      <c r="Q1790" s="2" t="s">
        <v>1405</v>
      </c>
      <c r="R1790" s="2">
        <v>6888888.8890000004</v>
      </c>
      <c r="S1790" s="2">
        <v>0</v>
      </c>
      <c r="T1790" s="2" t="s">
        <v>55</v>
      </c>
      <c r="U1790" s="2" t="s">
        <v>56</v>
      </c>
      <c r="V1790" s="2" t="s">
        <v>28</v>
      </c>
      <c r="W1790" s="2" t="s">
        <v>55</v>
      </c>
      <c r="X1790" s="2" t="s">
        <v>57</v>
      </c>
      <c r="Y1790" s="2">
        <v>4.1163697556817702</v>
      </c>
      <c r="Z1790" s="2">
        <v>4.71035</v>
      </c>
      <c r="AA1790" s="2">
        <v>-74.030416666666696</v>
      </c>
      <c r="AB1790" s="2">
        <v>2570</v>
      </c>
      <c r="AC1790" s="2" t="s">
        <v>31</v>
      </c>
      <c r="AD1790" s="2" t="s">
        <v>58</v>
      </c>
      <c r="AE1790" s="2" t="s">
        <v>33</v>
      </c>
      <c r="AF1790" s="2" t="s">
        <v>34</v>
      </c>
      <c r="AG1790" s="2" t="s">
        <v>59</v>
      </c>
      <c r="AH1790" s="2">
        <v>2.6338789860962</v>
      </c>
      <c r="AI1790" s="2">
        <v>0.42444877782194101</v>
      </c>
      <c r="AJ1790" s="2">
        <v>0.41562887648425301</v>
      </c>
      <c r="AK1790" s="2">
        <v>0.50027122222223097</v>
      </c>
      <c r="AL1790" s="2">
        <v>0.39144339377048898</v>
      </c>
      <c r="AM1790" s="2">
        <v>15.5</v>
      </c>
      <c r="AN1790" s="2">
        <v>2.4</v>
      </c>
      <c r="AO1790" s="2">
        <v>10.9</v>
      </c>
      <c r="AP1790" s="2">
        <v>564</v>
      </c>
      <c r="AQ1790" s="2">
        <v>68</v>
      </c>
      <c r="AR1790" s="2">
        <v>1.5</v>
      </c>
      <c r="AS1790" s="2">
        <v>135</v>
      </c>
      <c r="AT1790" s="2">
        <v>0</v>
      </c>
      <c r="AU1790" s="2">
        <v>162</v>
      </c>
      <c r="AV1790" s="2">
        <v>9.1</v>
      </c>
      <c r="AW1790" s="2">
        <v>9.1999999999999993</v>
      </c>
      <c r="AX1790" s="2">
        <v>18.3</v>
      </c>
      <c r="AY1790" s="2">
        <v>0.34</v>
      </c>
      <c r="AZ1790" s="2">
        <v>7.3</v>
      </c>
      <c r="BA1790" s="2">
        <v>0.9</v>
      </c>
      <c r="BB1790" s="2">
        <v>7.5</v>
      </c>
      <c r="BC1790" s="2">
        <v>2.9</v>
      </c>
      <c r="BD1790" s="2">
        <f>+AN1790*EXP(-0.0495*Y1790)</f>
        <v>1.9575788605816178</v>
      </c>
      <c r="BE1790" s="2">
        <f>+AO1790*EXP(-0.024*Y1790)</f>
        <v>9.8746405991169173</v>
      </c>
    </row>
    <row r="1791" spans="1:57" x14ac:dyDescent="0.2">
      <c r="A1791" s="2" t="s">
        <v>4027</v>
      </c>
      <c r="B1791" s="2" t="s">
        <v>19</v>
      </c>
      <c r="C1791" s="2" t="s">
        <v>3245</v>
      </c>
      <c r="D1791" s="2" t="s">
        <v>21</v>
      </c>
      <c r="E1791" s="2" t="s">
        <v>288</v>
      </c>
      <c r="F1791" s="2">
        <v>5</v>
      </c>
      <c r="G1791" s="2">
        <v>54</v>
      </c>
      <c r="H1791" s="2">
        <v>1</v>
      </c>
      <c r="I1791" s="2">
        <v>2</v>
      </c>
      <c r="J1791" s="2">
        <v>2</v>
      </c>
      <c r="K1791" s="2" t="s">
        <v>61</v>
      </c>
      <c r="L1791" s="6" t="s">
        <v>84</v>
      </c>
      <c r="M1791" s="5">
        <v>660000000</v>
      </c>
      <c r="N1791" s="2">
        <v>0</v>
      </c>
      <c r="O1791" s="2">
        <v>4.6997076299999998</v>
      </c>
      <c r="P1791" s="2">
        <v>-74.045715740000006</v>
      </c>
      <c r="Q1791" s="2" t="s">
        <v>4028</v>
      </c>
      <c r="R1791" s="2">
        <v>12222222.220000001</v>
      </c>
      <c r="S1791" s="2">
        <v>0</v>
      </c>
      <c r="T1791" s="2" t="s">
        <v>55</v>
      </c>
      <c r="U1791" s="2" t="s">
        <v>56</v>
      </c>
      <c r="V1791" s="2" t="s">
        <v>28</v>
      </c>
      <c r="W1791" s="2" t="s">
        <v>55</v>
      </c>
      <c r="X1791" s="2" t="s">
        <v>57</v>
      </c>
      <c r="Y1791" s="2">
        <v>2.06990460378695</v>
      </c>
      <c r="Z1791" s="2">
        <v>4.71035</v>
      </c>
      <c r="AA1791" s="2">
        <v>-74.030416666666696</v>
      </c>
      <c r="AB1791" s="2">
        <v>2570</v>
      </c>
      <c r="AC1791" s="2" t="s">
        <v>31</v>
      </c>
      <c r="AD1791" s="2" t="s">
        <v>58</v>
      </c>
      <c r="AE1791" s="2" t="s">
        <v>33</v>
      </c>
      <c r="AF1791" s="2" t="s">
        <v>34</v>
      </c>
      <c r="AG1791" s="2" t="s">
        <v>59</v>
      </c>
      <c r="AH1791" s="2">
        <v>1.07790625122249</v>
      </c>
      <c r="AI1791" s="2">
        <v>2.2014734045409798</v>
      </c>
      <c r="AJ1791" s="2">
        <v>0.84419192318640102</v>
      </c>
      <c r="AK1791" s="2">
        <v>6.4804154765243593E-2</v>
      </c>
      <c r="AL1791" s="2">
        <v>0.16266641859234199</v>
      </c>
      <c r="AM1791" s="2">
        <v>15.5</v>
      </c>
      <c r="AN1791" s="2">
        <v>2.4</v>
      </c>
      <c r="AO1791" s="2">
        <v>10.9</v>
      </c>
      <c r="AP1791" s="2">
        <v>564</v>
      </c>
      <c r="AQ1791" s="2">
        <v>68</v>
      </c>
      <c r="AR1791" s="2">
        <v>1.5</v>
      </c>
      <c r="AS1791" s="2">
        <v>135</v>
      </c>
      <c r="AT1791" s="2">
        <v>0</v>
      </c>
      <c r="AU1791" s="2">
        <v>162</v>
      </c>
      <c r="AV1791" s="2">
        <v>9.1</v>
      </c>
      <c r="AW1791" s="2">
        <v>9.1999999999999993</v>
      </c>
      <c r="AX1791" s="2">
        <v>18.3</v>
      </c>
      <c r="AY1791" s="2">
        <v>0.34</v>
      </c>
      <c r="AZ1791" s="2">
        <v>7.3</v>
      </c>
      <c r="BA1791" s="2">
        <v>0.9</v>
      </c>
      <c r="BB1791" s="2">
        <v>7.5</v>
      </c>
      <c r="BC1791" s="2">
        <v>2.9</v>
      </c>
      <c r="BD1791" s="2">
        <f>+AN1791*EXP(-0.0495*Y1791)</f>
        <v>2.1662736066620298</v>
      </c>
      <c r="BE1791" s="2">
        <f>+AO1791*EXP(-0.024*Y1791)</f>
        <v>10.371742892381876</v>
      </c>
    </row>
    <row r="1792" spans="1:57" x14ac:dyDescent="0.2">
      <c r="A1792" s="2" t="s">
        <v>294</v>
      </c>
      <c r="B1792" s="2" t="s">
        <v>19</v>
      </c>
      <c r="C1792" s="2" t="s">
        <v>20</v>
      </c>
      <c r="D1792" s="2" t="s">
        <v>21</v>
      </c>
      <c r="E1792" s="2" t="s">
        <v>295</v>
      </c>
      <c r="F1792" s="2">
        <v>5</v>
      </c>
      <c r="G1792" s="2">
        <v>53.94</v>
      </c>
      <c r="H1792" s="2">
        <v>2</v>
      </c>
      <c r="I1792" s="2">
        <v>2</v>
      </c>
      <c r="J1792" s="2">
        <v>1</v>
      </c>
      <c r="K1792" s="2" t="s">
        <v>61</v>
      </c>
      <c r="L1792" s="6" t="s">
        <v>75</v>
      </c>
      <c r="M1792" s="5">
        <v>405000000</v>
      </c>
      <c r="N1792" s="2">
        <v>0</v>
      </c>
      <c r="O1792" s="2">
        <v>4.7026539999999999</v>
      </c>
      <c r="P1792" s="2">
        <v>-74.057100000000005</v>
      </c>
      <c r="Q1792" s="2" t="s">
        <v>296</v>
      </c>
      <c r="R1792" s="2">
        <v>7508342.6030000001</v>
      </c>
      <c r="S1792" s="2">
        <v>0</v>
      </c>
      <c r="T1792" s="2" t="s">
        <v>55</v>
      </c>
      <c r="U1792" s="2" t="s">
        <v>56</v>
      </c>
      <c r="V1792" s="2" t="s">
        <v>28</v>
      </c>
      <c r="W1792" s="2" t="s">
        <v>55</v>
      </c>
      <c r="X1792" s="2" t="s">
        <v>57</v>
      </c>
      <c r="Y1792" s="2">
        <v>3.0818317499253101</v>
      </c>
      <c r="Z1792" s="2">
        <v>4.71035</v>
      </c>
      <c r="AA1792" s="2">
        <v>-74.030416666666696</v>
      </c>
      <c r="AB1792" s="2">
        <v>2570</v>
      </c>
      <c r="AC1792" s="2" t="s">
        <v>31</v>
      </c>
      <c r="AD1792" s="2" t="s">
        <v>58</v>
      </c>
      <c r="AE1792" s="2" t="s">
        <v>33</v>
      </c>
      <c r="AF1792" s="2" t="s">
        <v>34</v>
      </c>
      <c r="AG1792" s="2" t="s">
        <v>72</v>
      </c>
      <c r="AH1792" s="2">
        <v>0.38698363616152598</v>
      </c>
      <c r="AI1792" s="2">
        <v>3.4847628468408298</v>
      </c>
      <c r="AJ1792" s="2">
        <v>1.3100383816312999</v>
      </c>
      <c r="AK1792" s="2">
        <v>0.12444063974017799</v>
      </c>
      <c r="AL1792" s="2">
        <v>7.3800210478213099E-2</v>
      </c>
      <c r="AM1792" s="2">
        <v>15.5</v>
      </c>
      <c r="AN1792" s="2">
        <v>2.4</v>
      </c>
      <c r="AO1792" s="2">
        <v>10.9</v>
      </c>
      <c r="AP1792" s="2">
        <v>564</v>
      </c>
      <c r="AQ1792" s="2">
        <v>68</v>
      </c>
      <c r="AR1792" s="2">
        <v>1.5</v>
      </c>
      <c r="AS1792" s="2">
        <v>135</v>
      </c>
      <c r="AT1792" s="2">
        <v>0</v>
      </c>
      <c r="AU1792" s="2">
        <v>162</v>
      </c>
      <c r="AV1792" s="2">
        <v>9.1</v>
      </c>
      <c r="AW1792" s="2">
        <v>9.1999999999999993</v>
      </c>
      <c r="AX1792" s="2">
        <v>18.3</v>
      </c>
      <c r="AY1792" s="2">
        <v>0.34</v>
      </c>
      <c r="AZ1792" s="2">
        <v>7.3</v>
      </c>
      <c r="BA1792" s="2">
        <v>0.9</v>
      </c>
      <c r="BB1792" s="2">
        <v>7.5</v>
      </c>
      <c r="BC1792" s="2">
        <v>2.9</v>
      </c>
      <c r="BD1792" s="2">
        <f>+AN1792*EXP(-0.0495*Y1792)</f>
        <v>2.060436937169901</v>
      </c>
      <c r="BE1792" s="2">
        <f>+AO1792*EXP(-0.024*Y1792)</f>
        <v>10.122886264889983</v>
      </c>
    </row>
    <row r="1793" spans="1:57" x14ac:dyDescent="0.2">
      <c r="A1793" s="2" t="s">
        <v>3493</v>
      </c>
      <c r="B1793" s="2" t="s">
        <v>19</v>
      </c>
      <c r="C1793" s="2" t="s">
        <v>3245</v>
      </c>
      <c r="D1793" s="2" t="s">
        <v>21</v>
      </c>
      <c r="E1793" s="2" t="s">
        <v>156</v>
      </c>
      <c r="F1793" s="2">
        <v>4</v>
      </c>
      <c r="G1793" s="2">
        <v>53.72</v>
      </c>
      <c r="H1793" s="2">
        <v>1</v>
      </c>
      <c r="I1793" s="2">
        <v>2</v>
      </c>
      <c r="J1793" s="2">
        <v>1</v>
      </c>
      <c r="K1793" s="2" t="s">
        <v>61</v>
      </c>
      <c r="L1793" s="6" t="s">
        <v>75</v>
      </c>
      <c r="M1793" s="5">
        <v>477000000</v>
      </c>
      <c r="N1793" s="2">
        <v>0</v>
      </c>
      <c r="O1793" s="2">
        <v>4.7033367000000004</v>
      </c>
      <c r="P1793" s="2">
        <v>-74.032880300000002</v>
      </c>
      <c r="Q1793" s="2" t="s">
        <v>3494</v>
      </c>
      <c r="R1793" s="2">
        <v>8879374.5350000001</v>
      </c>
      <c r="S1793" s="2">
        <v>0</v>
      </c>
      <c r="T1793" s="2" t="s">
        <v>55</v>
      </c>
      <c r="U1793" s="2" t="s">
        <v>56</v>
      </c>
      <c r="V1793" s="2" t="s">
        <v>28</v>
      </c>
      <c r="W1793" s="2" t="s">
        <v>55</v>
      </c>
      <c r="X1793" s="2" t="s">
        <v>57</v>
      </c>
      <c r="Y1793" s="2">
        <v>0.82717945598397902</v>
      </c>
      <c r="Z1793" s="2">
        <v>4.71035</v>
      </c>
      <c r="AA1793" s="2">
        <v>-74.030416666666696</v>
      </c>
      <c r="AB1793" s="2">
        <v>2570</v>
      </c>
      <c r="AC1793" s="2" t="s">
        <v>31</v>
      </c>
      <c r="AD1793" s="2" t="s">
        <v>58</v>
      </c>
      <c r="AE1793" s="2" t="s">
        <v>33</v>
      </c>
      <c r="AF1793" s="2" t="s">
        <v>34</v>
      </c>
      <c r="AG1793" s="2" t="s">
        <v>59</v>
      </c>
      <c r="AH1793" s="2">
        <v>2.37102343849473</v>
      </c>
      <c r="AI1793" s="2">
        <v>0.81925444144999904</v>
      </c>
      <c r="AJ1793" s="2">
        <v>0.226122691627206</v>
      </c>
      <c r="AK1793" s="2">
        <v>0.17301662029551099</v>
      </c>
      <c r="AL1793" s="2">
        <v>0.420472686938556</v>
      </c>
      <c r="AM1793" s="2">
        <v>15.5</v>
      </c>
      <c r="AN1793" s="2">
        <v>2.4</v>
      </c>
      <c r="AO1793" s="2">
        <v>10.9</v>
      </c>
      <c r="AP1793" s="2">
        <v>564</v>
      </c>
      <c r="AQ1793" s="2">
        <v>68</v>
      </c>
      <c r="AR1793" s="2">
        <v>1.5</v>
      </c>
      <c r="AS1793" s="2">
        <v>135</v>
      </c>
      <c r="AT1793" s="2">
        <v>0</v>
      </c>
      <c r="AU1793" s="2">
        <v>162</v>
      </c>
      <c r="AV1793" s="2">
        <v>9.1</v>
      </c>
      <c r="AW1793" s="2">
        <v>9.1999999999999993</v>
      </c>
      <c r="AX1793" s="2">
        <v>18.3</v>
      </c>
      <c r="AY1793" s="2">
        <v>0.34</v>
      </c>
      <c r="AZ1793" s="2">
        <v>7.3</v>
      </c>
      <c r="BA1793" s="2">
        <v>0.9</v>
      </c>
      <c r="BB1793" s="2">
        <v>7.5</v>
      </c>
      <c r="BC1793" s="2">
        <v>2.9</v>
      </c>
      <c r="BD1793" s="2">
        <f>+AN1793*EXP(-0.0495*Y1793)</f>
        <v>2.3037157303167799</v>
      </c>
      <c r="BE1793" s="2">
        <f>+AO1793*EXP(-0.024*Y1793)</f>
        <v>10.685743632640877</v>
      </c>
    </row>
    <row r="1794" spans="1:57" x14ac:dyDescent="0.2">
      <c r="A1794" s="2" t="s">
        <v>3605</v>
      </c>
      <c r="B1794" s="2" t="s">
        <v>19</v>
      </c>
      <c r="C1794" s="2" t="s">
        <v>3245</v>
      </c>
      <c r="D1794" s="2" t="s">
        <v>21</v>
      </c>
      <c r="E1794" s="2" t="s">
        <v>835</v>
      </c>
      <c r="F1794" s="2">
        <v>6</v>
      </c>
      <c r="G1794" s="2">
        <v>53.19</v>
      </c>
      <c r="H1794" s="2">
        <v>1</v>
      </c>
      <c r="I1794" s="2">
        <v>2</v>
      </c>
      <c r="J1794" s="2">
        <v>1</v>
      </c>
      <c r="K1794" s="2" t="s">
        <v>61</v>
      </c>
      <c r="L1794" s="6" t="s">
        <v>62</v>
      </c>
      <c r="M1794" s="5">
        <v>748324181</v>
      </c>
      <c r="N1794" s="2">
        <v>0</v>
      </c>
      <c r="O1794" s="2">
        <v>4.6844400000000004</v>
      </c>
      <c r="P1794" s="2">
        <v>-74.054169999999999</v>
      </c>
      <c r="Q1794" s="2" t="s">
        <v>3606</v>
      </c>
      <c r="R1794" s="2">
        <v>14068888.529999999</v>
      </c>
      <c r="S1794" s="2">
        <v>0</v>
      </c>
      <c r="T1794" s="2" t="s">
        <v>55</v>
      </c>
      <c r="U1794" s="2" t="s">
        <v>56</v>
      </c>
      <c r="V1794" s="2" t="s">
        <v>28</v>
      </c>
      <c r="W1794" s="2" t="s">
        <v>55</v>
      </c>
      <c r="X1794" s="2" t="s">
        <v>57</v>
      </c>
      <c r="Y1794" s="2">
        <v>3.9069255836321601</v>
      </c>
      <c r="Z1794" s="2">
        <v>4.71035</v>
      </c>
      <c r="AA1794" s="2">
        <v>-74.030416666666696</v>
      </c>
      <c r="AB1794" s="2">
        <v>2570</v>
      </c>
      <c r="AC1794" s="2" t="s">
        <v>31</v>
      </c>
      <c r="AD1794" s="2" t="s">
        <v>58</v>
      </c>
      <c r="AE1794" s="2" t="s">
        <v>33</v>
      </c>
      <c r="AF1794" s="2" t="s">
        <v>34</v>
      </c>
      <c r="AG1794" s="2" t="s">
        <v>81</v>
      </c>
      <c r="AH1794" s="2">
        <v>0.396494548136967</v>
      </c>
      <c r="AI1794" s="2">
        <v>1.99394191991905</v>
      </c>
      <c r="AJ1794" s="2">
        <v>0.209891988319508</v>
      </c>
      <c r="AK1794" s="2">
        <v>0.114961030462697</v>
      </c>
      <c r="AL1794" s="2">
        <v>0.45685694650488401</v>
      </c>
      <c r="AM1794" s="2">
        <v>15.5</v>
      </c>
      <c r="AN1794" s="2">
        <v>2.4</v>
      </c>
      <c r="AO1794" s="2">
        <v>10.9</v>
      </c>
      <c r="AP1794" s="2">
        <v>564</v>
      </c>
      <c r="AQ1794" s="2">
        <v>68</v>
      </c>
      <c r="AR1794" s="2">
        <v>1.5</v>
      </c>
      <c r="AS1794" s="2">
        <v>135</v>
      </c>
      <c r="AT1794" s="2">
        <v>0</v>
      </c>
      <c r="AU1794" s="2">
        <v>162</v>
      </c>
      <c r="AV1794" s="2">
        <v>9.1</v>
      </c>
      <c r="AW1794" s="2">
        <v>9.1999999999999993</v>
      </c>
      <c r="AX1794" s="2">
        <v>18.3</v>
      </c>
      <c r="AY1794" s="2">
        <v>0.34</v>
      </c>
      <c r="AZ1794" s="2">
        <v>7.3</v>
      </c>
      <c r="BA1794" s="2">
        <v>0.9</v>
      </c>
      <c r="BB1794" s="2">
        <v>7.5</v>
      </c>
      <c r="BC1794" s="2">
        <v>2.9</v>
      </c>
      <c r="BD1794" s="2">
        <f>+AN1794*EXP(-0.0495*Y1794)</f>
        <v>1.9779796025015484</v>
      </c>
      <c r="BE1794" s="2">
        <f>+AO1794*EXP(-0.024*Y1794)</f>
        <v>9.924402023412247</v>
      </c>
    </row>
    <row r="1795" spans="1:57" x14ac:dyDescent="0.2">
      <c r="A1795" s="2" t="s">
        <v>4048</v>
      </c>
      <c r="B1795" s="2" t="s">
        <v>19</v>
      </c>
      <c r="C1795" s="2" t="s">
        <v>3245</v>
      </c>
      <c r="D1795" s="2" t="s">
        <v>21</v>
      </c>
      <c r="E1795" s="2" t="s">
        <v>3600</v>
      </c>
      <c r="F1795" s="2">
        <v>2</v>
      </c>
      <c r="G1795" s="2">
        <v>53.19</v>
      </c>
      <c r="H1795" s="2">
        <v>1</v>
      </c>
      <c r="I1795" s="2">
        <v>2</v>
      </c>
      <c r="J1795" s="2">
        <v>1</v>
      </c>
      <c r="K1795" s="2" t="s">
        <v>61</v>
      </c>
      <c r="L1795" s="6" t="s">
        <v>62</v>
      </c>
      <c r="M1795" s="5">
        <v>745000000</v>
      </c>
      <c r="N1795" s="2">
        <v>0</v>
      </c>
      <c r="O1795" s="2">
        <v>4.6844400000000004</v>
      </c>
      <c r="P1795" s="2">
        <v>-74.054159999999996</v>
      </c>
      <c r="Q1795" s="2" t="s">
        <v>4049</v>
      </c>
      <c r="R1795" s="2">
        <v>14006392.18</v>
      </c>
      <c r="S1795" s="2">
        <v>0</v>
      </c>
      <c r="T1795" s="2" t="s">
        <v>55</v>
      </c>
      <c r="U1795" s="2" t="s">
        <v>56</v>
      </c>
      <c r="V1795" s="2" t="s">
        <v>28</v>
      </c>
      <c r="W1795" s="2" t="s">
        <v>55</v>
      </c>
      <c r="X1795" s="2" t="s">
        <v>57</v>
      </c>
      <c r="Y1795" s="2">
        <v>3.90617731145369</v>
      </c>
      <c r="Z1795" s="2">
        <v>4.71035</v>
      </c>
      <c r="AA1795" s="2">
        <v>-74.030416666666696</v>
      </c>
      <c r="AB1795" s="2">
        <v>2570</v>
      </c>
      <c r="AC1795" s="2" t="s">
        <v>31</v>
      </c>
      <c r="AD1795" s="2" t="s">
        <v>58</v>
      </c>
      <c r="AE1795" s="2" t="s">
        <v>33</v>
      </c>
      <c r="AF1795" s="2" t="s">
        <v>34</v>
      </c>
      <c r="AG1795" s="2" t="s">
        <v>81</v>
      </c>
      <c r="AH1795" s="2">
        <v>0.39759296503921499</v>
      </c>
      <c r="AI1795" s="2">
        <v>1.9930279803633999</v>
      </c>
      <c r="AJ1795" s="2">
        <v>0.20909573825494099</v>
      </c>
      <c r="AK1795" s="2">
        <v>0.115576375562105</v>
      </c>
      <c r="AL1795" s="2">
        <v>0.45794393133286898</v>
      </c>
      <c r="AM1795" s="2">
        <v>15.5</v>
      </c>
      <c r="AN1795" s="2">
        <v>2.4</v>
      </c>
      <c r="AO1795" s="2">
        <v>10.9</v>
      </c>
      <c r="AP1795" s="2">
        <v>564</v>
      </c>
      <c r="AQ1795" s="2">
        <v>68</v>
      </c>
      <c r="AR1795" s="2">
        <v>1.5</v>
      </c>
      <c r="AS1795" s="2">
        <v>135</v>
      </c>
      <c r="AT1795" s="2">
        <v>0</v>
      </c>
      <c r="AU1795" s="2">
        <v>162</v>
      </c>
      <c r="AV1795" s="2">
        <v>9.1</v>
      </c>
      <c r="AW1795" s="2">
        <v>9.1999999999999993</v>
      </c>
      <c r="AX1795" s="2">
        <v>18.3</v>
      </c>
      <c r="AY1795" s="2">
        <v>0.34</v>
      </c>
      <c r="AZ1795" s="2">
        <v>7.3</v>
      </c>
      <c r="BA1795" s="2">
        <v>0.9</v>
      </c>
      <c r="BB1795" s="2">
        <v>7.5</v>
      </c>
      <c r="BC1795" s="2">
        <v>2.9</v>
      </c>
      <c r="BD1795" s="2">
        <f>+AN1795*EXP(-0.0495*Y1795)</f>
        <v>1.9780528671801361</v>
      </c>
      <c r="BE1795" s="2">
        <f>+AO1795*EXP(-0.024*Y1795)</f>
        <v>9.9245802527067415</v>
      </c>
    </row>
    <row r="1796" spans="1:57" x14ac:dyDescent="0.2">
      <c r="A1796" s="2" t="s">
        <v>1490</v>
      </c>
      <c r="B1796" s="2" t="s">
        <v>19</v>
      </c>
      <c r="C1796" s="2" t="s">
        <v>20</v>
      </c>
      <c r="D1796" s="2" t="s">
        <v>21</v>
      </c>
      <c r="E1796" s="2" t="s">
        <v>83</v>
      </c>
      <c r="F1796" s="2">
        <v>6</v>
      </c>
      <c r="G1796" s="2">
        <v>53</v>
      </c>
      <c r="H1796" s="2">
        <v>2</v>
      </c>
      <c r="I1796" s="2">
        <v>2</v>
      </c>
      <c r="J1796" s="2">
        <v>0</v>
      </c>
      <c r="K1796" s="2" t="s">
        <v>61</v>
      </c>
      <c r="L1796" s="6" t="s">
        <v>62</v>
      </c>
      <c r="M1796" s="5">
        <v>745000000</v>
      </c>
      <c r="N1796" s="2">
        <v>0</v>
      </c>
      <c r="O1796" s="2">
        <v>4.6824865000000004</v>
      </c>
      <c r="P1796" s="2">
        <v>-74.054270299999999</v>
      </c>
      <c r="Q1796" s="2" t="s">
        <v>1491</v>
      </c>
      <c r="R1796" s="2">
        <v>14056603.77</v>
      </c>
      <c r="S1796" s="2">
        <v>0</v>
      </c>
      <c r="T1796" s="2" t="s">
        <v>55</v>
      </c>
      <c r="U1796" s="2" t="s">
        <v>56</v>
      </c>
      <c r="V1796" s="2" t="s">
        <v>28</v>
      </c>
      <c r="W1796" s="2" t="s">
        <v>55</v>
      </c>
      <c r="X1796" s="2" t="s">
        <v>57</v>
      </c>
      <c r="Y1796" s="2">
        <v>4.0773277564196704</v>
      </c>
      <c r="Z1796" s="2">
        <v>4.71035</v>
      </c>
      <c r="AA1796" s="2">
        <v>-74.030416666666696</v>
      </c>
      <c r="AB1796" s="2">
        <v>2570</v>
      </c>
      <c r="AC1796" s="2" t="s">
        <v>31</v>
      </c>
      <c r="AD1796" s="2" t="s">
        <v>58</v>
      </c>
      <c r="AE1796" s="2" t="s">
        <v>33</v>
      </c>
      <c r="AF1796" s="2" t="s">
        <v>34</v>
      </c>
      <c r="AG1796" s="2" t="s">
        <v>81</v>
      </c>
      <c r="AH1796" s="2">
        <v>0.41448113493807598</v>
      </c>
      <c r="AI1796" s="2">
        <v>1.8880141810704001</v>
      </c>
      <c r="AJ1796" s="2">
        <v>0.39634742550188101</v>
      </c>
      <c r="AK1796" s="2">
        <v>0.171969423039149</v>
      </c>
      <c r="AL1796" s="2">
        <v>0.454426578232346</v>
      </c>
      <c r="AM1796" s="2">
        <v>15.5</v>
      </c>
      <c r="AN1796" s="2">
        <v>2.4</v>
      </c>
      <c r="AO1796" s="2">
        <v>10.9</v>
      </c>
      <c r="AP1796" s="2">
        <v>564</v>
      </c>
      <c r="AQ1796" s="2">
        <v>68</v>
      </c>
      <c r="AR1796" s="2">
        <v>1.5</v>
      </c>
      <c r="AS1796" s="2">
        <v>135</v>
      </c>
      <c r="AT1796" s="2">
        <v>0</v>
      </c>
      <c r="AU1796" s="2">
        <v>162</v>
      </c>
      <c r="AV1796" s="2">
        <v>9.1</v>
      </c>
      <c r="AW1796" s="2">
        <v>9.1999999999999993</v>
      </c>
      <c r="AX1796" s="2">
        <v>18.3</v>
      </c>
      <c r="AY1796" s="2">
        <v>0.34</v>
      </c>
      <c r="AZ1796" s="2">
        <v>7.3</v>
      </c>
      <c r="BA1796" s="2">
        <v>0.9</v>
      </c>
      <c r="BB1796" s="2">
        <v>7.5</v>
      </c>
      <c r="BC1796" s="2">
        <v>2.9</v>
      </c>
      <c r="BD1796" s="2">
        <f>+AN1796*EXP(-0.0495*Y1796)</f>
        <v>1.9613656943059079</v>
      </c>
      <c r="BE1796" s="2">
        <f>+AO1796*EXP(-0.024*Y1796)</f>
        <v>9.8838975524228214</v>
      </c>
    </row>
    <row r="1797" spans="1:57" x14ac:dyDescent="0.2">
      <c r="A1797" s="2" t="s">
        <v>975</v>
      </c>
      <c r="B1797" s="2" t="s">
        <v>19</v>
      </c>
      <c r="C1797" s="2" t="s">
        <v>20</v>
      </c>
      <c r="D1797" s="2" t="s">
        <v>21</v>
      </c>
      <c r="E1797" s="2" t="s">
        <v>976</v>
      </c>
      <c r="F1797" s="2">
        <v>4</v>
      </c>
      <c r="G1797" s="2">
        <v>53</v>
      </c>
      <c r="H1797" s="2">
        <v>2</v>
      </c>
      <c r="I1797" s="2">
        <v>2</v>
      </c>
      <c r="J1797" s="2">
        <v>1</v>
      </c>
      <c r="K1797" s="2" t="s">
        <v>61</v>
      </c>
      <c r="L1797" s="6" t="s">
        <v>62</v>
      </c>
      <c r="M1797" s="5">
        <v>514500000</v>
      </c>
      <c r="N1797" s="2">
        <v>0</v>
      </c>
      <c r="O1797" s="2">
        <v>4.7457602400000001</v>
      </c>
      <c r="P1797" s="2">
        <v>-74.024124229999998</v>
      </c>
      <c r="Q1797" s="2" t="s">
        <v>977</v>
      </c>
      <c r="R1797" s="2">
        <v>9707547.1699999999</v>
      </c>
      <c r="S1797" s="2">
        <v>0</v>
      </c>
      <c r="T1797" s="2" t="s">
        <v>55</v>
      </c>
      <c r="U1797" s="2" t="s">
        <v>56</v>
      </c>
      <c r="V1797" s="2" t="s">
        <v>28</v>
      </c>
      <c r="W1797" s="2" t="s">
        <v>55</v>
      </c>
      <c r="X1797" s="2" t="s">
        <v>57</v>
      </c>
      <c r="Y1797" s="2">
        <v>4.0031870188055496</v>
      </c>
      <c r="Z1797" s="2">
        <v>4.71035</v>
      </c>
      <c r="AA1797" s="2">
        <v>-74.030416666666696</v>
      </c>
      <c r="AB1797" s="2">
        <v>2570</v>
      </c>
      <c r="AC1797" s="2" t="s">
        <v>31</v>
      </c>
      <c r="AD1797" s="2" t="s">
        <v>58</v>
      </c>
      <c r="AE1797" s="2" t="s">
        <v>33</v>
      </c>
      <c r="AF1797" s="2" t="s">
        <v>34</v>
      </c>
      <c r="AG1797" s="2" t="s">
        <v>59</v>
      </c>
      <c r="AH1797" s="2">
        <v>2.5649144544845401</v>
      </c>
      <c r="AI1797" s="2">
        <v>0.54191256055634696</v>
      </c>
      <c r="AJ1797" s="2">
        <v>0.38033864370738002</v>
      </c>
      <c r="AK1797" s="2">
        <v>0.41350998548370999</v>
      </c>
      <c r="AL1797" s="2">
        <v>0.35665470182304398</v>
      </c>
      <c r="AM1797" s="2">
        <v>15.5</v>
      </c>
      <c r="AN1797" s="2">
        <v>2.4</v>
      </c>
      <c r="AO1797" s="2">
        <v>10.9</v>
      </c>
      <c r="AP1797" s="2">
        <v>564</v>
      </c>
      <c r="AQ1797" s="2">
        <v>68</v>
      </c>
      <c r="AR1797" s="2">
        <v>1.5</v>
      </c>
      <c r="AS1797" s="2">
        <v>135</v>
      </c>
      <c r="AT1797" s="2">
        <v>0</v>
      </c>
      <c r="AU1797" s="2">
        <v>162</v>
      </c>
      <c r="AV1797" s="2">
        <v>9.1</v>
      </c>
      <c r="AW1797" s="2">
        <v>9.1999999999999993</v>
      </c>
      <c r="AX1797" s="2">
        <v>18.3</v>
      </c>
      <c r="AY1797" s="2">
        <v>0.34</v>
      </c>
      <c r="AZ1797" s="2">
        <v>7.3</v>
      </c>
      <c r="BA1797" s="2">
        <v>0.9</v>
      </c>
      <c r="BB1797" s="2">
        <v>7.5</v>
      </c>
      <c r="BC1797" s="2">
        <v>2.9</v>
      </c>
      <c r="BD1797" s="2">
        <f>+AN1797*EXP(-0.0495*Y1797)</f>
        <v>1.9685770653728047</v>
      </c>
      <c r="BE1797" s="2">
        <f>+AO1797*EXP(-0.024*Y1797)</f>
        <v>9.9015003957527323</v>
      </c>
    </row>
    <row r="1798" spans="1:57" x14ac:dyDescent="0.2">
      <c r="A1798" s="2" t="s">
        <v>4390</v>
      </c>
      <c r="B1798" s="2" t="s">
        <v>19</v>
      </c>
      <c r="C1798" s="2" t="s">
        <v>3245</v>
      </c>
      <c r="D1798" s="2" t="s">
        <v>21</v>
      </c>
      <c r="E1798" s="2" t="s">
        <v>983</v>
      </c>
      <c r="F1798" s="2">
        <v>5</v>
      </c>
      <c r="G1798" s="2">
        <v>53</v>
      </c>
      <c r="H1798" s="2">
        <v>1</v>
      </c>
      <c r="I1798" s="2">
        <v>2</v>
      </c>
      <c r="J1798" s="2">
        <v>1</v>
      </c>
      <c r="K1798" s="2" t="s">
        <v>61</v>
      </c>
      <c r="L1798" s="6" t="s">
        <v>62</v>
      </c>
      <c r="M1798" s="5">
        <v>420000000</v>
      </c>
      <c r="N1798" s="2">
        <v>0</v>
      </c>
      <c r="O1798" s="2">
        <v>4.7220986419999997</v>
      </c>
      <c r="P1798" s="2">
        <v>-74.044912179999997</v>
      </c>
      <c r="Q1798" s="2" t="s">
        <v>4391</v>
      </c>
      <c r="R1798" s="2">
        <v>7924528.3020000001</v>
      </c>
      <c r="S1798" s="2">
        <v>0</v>
      </c>
      <c r="T1798" s="2" t="s">
        <v>55</v>
      </c>
      <c r="U1798" s="2" t="s">
        <v>56</v>
      </c>
      <c r="V1798" s="2" t="s">
        <v>28</v>
      </c>
      <c r="W1798" s="2" t="s">
        <v>55</v>
      </c>
      <c r="X1798" s="2" t="s">
        <v>57</v>
      </c>
      <c r="Y1798" s="2">
        <v>2.0728455387621998</v>
      </c>
      <c r="Z1798" s="2">
        <v>4.71035</v>
      </c>
      <c r="AA1798" s="2">
        <v>-74.030416666666696</v>
      </c>
      <c r="AB1798" s="2">
        <v>2570</v>
      </c>
      <c r="AC1798" s="2" t="s">
        <v>31</v>
      </c>
      <c r="AD1798" s="2" t="s">
        <v>58</v>
      </c>
      <c r="AE1798" s="2" t="s">
        <v>33</v>
      </c>
      <c r="AF1798" s="2" t="s">
        <v>34</v>
      </c>
      <c r="AG1798" s="2" t="s">
        <v>59</v>
      </c>
      <c r="AH1798" s="2">
        <v>0.733292793120497</v>
      </c>
      <c r="AI1798" s="2">
        <v>2.3825360044116302</v>
      </c>
      <c r="AJ1798" s="2">
        <v>1.3117235545705199</v>
      </c>
      <c r="AK1798" s="2">
        <v>6.2393745907717998E-2</v>
      </c>
      <c r="AL1798" s="2">
        <v>0.20464902338677299</v>
      </c>
      <c r="AM1798" s="2">
        <v>15.5</v>
      </c>
      <c r="AN1798" s="2">
        <v>2.4</v>
      </c>
      <c r="AO1798" s="2">
        <v>10.9</v>
      </c>
      <c r="AP1798" s="2">
        <v>564</v>
      </c>
      <c r="AQ1798" s="2">
        <v>68</v>
      </c>
      <c r="AR1798" s="2">
        <v>1.5</v>
      </c>
      <c r="AS1798" s="2">
        <v>135</v>
      </c>
      <c r="AT1798" s="2">
        <v>0</v>
      </c>
      <c r="AU1798" s="2">
        <v>162</v>
      </c>
      <c r="AV1798" s="2">
        <v>9.1</v>
      </c>
      <c r="AW1798" s="2">
        <v>9.1999999999999993</v>
      </c>
      <c r="AX1798" s="2">
        <v>18.3</v>
      </c>
      <c r="AY1798" s="2">
        <v>0.34</v>
      </c>
      <c r="AZ1798" s="2">
        <v>7.3</v>
      </c>
      <c r="BA1798" s="2">
        <v>0.9</v>
      </c>
      <c r="BB1798" s="2">
        <v>7.5</v>
      </c>
      <c r="BC1798" s="2">
        <v>2.9</v>
      </c>
      <c r="BD1798" s="2">
        <f>+AN1798*EXP(-0.0495*Y1798)</f>
        <v>2.1659582715593606</v>
      </c>
      <c r="BE1798" s="2">
        <f>+AO1798*EXP(-0.024*Y1798)</f>
        <v>10.371010855302426</v>
      </c>
    </row>
    <row r="1799" spans="1:57" x14ac:dyDescent="0.2">
      <c r="A1799" s="2" t="s">
        <v>3599</v>
      </c>
      <c r="B1799" s="2" t="s">
        <v>19</v>
      </c>
      <c r="C1799" s="2" t="s">
        <v>3245</v>
      </c>
      <c r="D1799" s="2" t="s">
        <v>21</v>
      </c>
      <c r="E1799" s="2" t="s">
        <v>3600</v>
      </c>
      <c r="F1799" s="2">
        <v>6</v>
      </c>
      <c r="G1799" s="2">
        <v>52.61</v>
      </c>
      <c r="H1799" s="2">
        <v>1</v>
      </c>
      <c r="I1799" s="2">
        <v>2</v>
      </c>
      <c r="J1799" s="2">
        <v>1</v>
      </c>
      <c r="K1799" s="2" t="s">
        <v>61</v>
      </c>
      <c r="L1799" s="6" t="s">
        <v>62</v>
      </c>
      <c r="M1799" s="5">
        <v>746610350</v>
      </c>
      <c r="N1799" s="2">
        <v>0</v>
      </c>
      <c r="O1799" s="2">
        <v>4.6844400000000004</v>
      </c>
      <c r="P1799" s="2">
        <v>-74.054169999999999</v>
      </c>
      <c r="Q1799" s="2" t="s">
        <v>3601</v>
      </c>
      <c r="R1799" s="2">
        <v>14191415.130000001</v>
      </c>
      <c r="S1799" s="2">
        <v>0</v>
      </c>
      <c r="T1799" s="2" t="s">
        <v>55</v>
      </c>
      <c r="U1799" s="2" t="s">
        <v>56</v>
      </c>
      <c r="V1799" s="2" t="s">
        <v>28</v>
      </c>
      <c r="W1799" s="2" t="s">
        <v>55</v>
      </c>
      <c r="X1799" s="2" t="s">
        <v>57</v>
      </c>
      <c r="Y1799" s="2">
        <v>3.9069255836321601</v>
      </c>
      <c r="Z1799" s="2">
        <v>4.71035</v>
      </c>
      <c r="AA1799" s="2">
        <v>-74.030416666666696</v>
      </c>
      <c r="AB1799" s="2">
        <v>2570</v>
      </c>
      <c r="AC1799" s="2" t="s">
        <v>31</v>
      </c>
      <c r="AD1799" s="2" t="s">
        <v>58</v>
      </c>
      <c r="AE1799" s="2" t="s">
        <v>33</v>
      </c>
      <c r="AF1799" s="2" t="s">
        <v>34</v>
      </c>
      <c r="AG1799" s="2" t="s">
        <v>81</v>
      </c>
      <c r="AH1799" s="2">
        <v>0.396494548136967</v>
      </c>
      <c r="AI1799" s="2">
        <v>1.99394191991905</v>
      </c>
      <c r="AJ1799" s="2">
        <v>0.209891988319508</v>
      </c>
      <c r="AK1799" s="2">
        <v>0.114961030462697</v>
      </c>
      <c r="AL1799" s="2">
        <v>0.45685694650488401</v>
      </c>
      <c r="AM1799" s="2">
        <v>15.5</v>
      </c>
      <c r="AN1799" s="2">
        <v>2.4</v>
      </c>
      <c r="AO1799" s="2">
        <v>10.9</v>
      </c>
      <c r="AP1799" s="2">
        <v>564</v>
      </c>
      <c r="AQ1799" s="2">
        <v>68</v>
      </c>
      <c r="AR1799" s="2">
        <v>1.5</v>
      </c>
      <c r="AS1799" s="2">
        <v>135</v>
      </c>
      <c r="AT1799" s="2">
        <v>0</v>
      </c>
      <c r="AU1799" s="2">
        <v>162</v>
      </c>
      <c r="AV1799" s="2">
        <v>9.1</v>
      </c>
      <c r="AW1799" s="2">
        <v>9.1999999999999993</v>
      </c>
      <c r="AX1799" s="2">
        <v>18.3</v>
      </c>
      <c r="AY1799" s="2">
        <v>0.34</v>
      </c>
      <c r="AZ1799" s="2">
        <v>7.3</v>
      </c>
      <c r="BA1799" s="2">
        <v>0.9</v>
      </c>
      <c r="BB1799" s="2">
        <v>7.5</v>
      </c>
      <c r="BC1799" s="2">
        <v>2.9</v>
      </c>
      <c r="BD1799" s="2">
        <f>+AN1799*EXP(-0.0495*Y1799)</f>
        <v>1.9779796025015484</v>
      </c>
      <c r="BE1799" s="2">
        <f>+AO1799*EXP(-0.024*Y1799)</f>
        <v>9.924402023412247</v>
      </c>
    </row>
    <row r="1800" spans="1:57" x14ac:dyDescent="0.2">
      <c r="A1800" s="2" t="s">
        <v>3340</v>
      </c>
      <c r="B1800" s="2" t="s">
        <v>19</v>
      </c>
      <c r="C1800" s="2" t="s">
        <v>3245</v>
      </c>
      <c r="D1800" s="2" t="s">
        <v>21</v>
      </c>
      <c r="E1800" s="2" t="s">
        <v>1437</v>
      </c>
      <c r="F1800" s="2">
        <v>6</v>
      </c>
      <c r="G1800" s="2">
        <v>52.41</v>
      </c>
      <c r="H1800" s="2">
        <v>1</v>
      </c>
      <c r="I1800" s="2">
        <v>2</v>
      </c>
      <c r="J1800" s="2">
        <v>2</v>
      </c>
      <c r="K1800" s="2" t="s">
        <v>61</v>
      </c>
      <c r="L1800" s="6" t="s">
        <v>62</v>
      </c>
      <c r="M1800" s="5">
        <v>640000000</v>
      </c>
      <c r="N1800" s="2">
        <v>0</v>
      </c>
      <c r="O1800" s="2">
        <v>4.6835673470000003</v>
      </c>
      <c r="P1800" s="2">
        <v>-74.054681650000006</v>
      </c>
      <c r="Q1800" s="2" t="s">
        <v>3341</v>
      </c>
      <c r="R1800" s="2">
        <v>12211410.039999999</v>
      </c>
      <c r="S1800" s="2">
        <v>0</v>
      </c>
      <c r="T1800" s="2" t="s">
        <v>55</v>
      </c>
      <c r="U1800" s="2" t="s">
        <v>56</v>
      </c>
      <c r="V1800" s="2" t="s">
        <v>28</v>
      </c>
      <c r="W1800" s="2" t="s">
        <v>55</v>
      </c>
      <c r="X1800" s="2" t="s">
        <v>57</v>
      </c>
      <c r="Y1800" s="2">
        <v>4.0170019243560997</v>
      </c>
      <c r="Z1800" s="2">
        <v>4.71035</v>
      </c>
      <c r="AA1800" s="2">
        <v>-74.030416666666696</v>
      </c>
      <c r="AB1800" s="2">
        <v>2570</v>
      </c>
      <c r="AC1800" s="2" t="s">
        <v>31</v>
      </c>
      <c r="AD1800" s="2" t="s">
        <v>58</v>
      </c>
      <c r="AE1800" s="2" t="s">
        <v>33</v>
      </c>
      <c r="AF1800" s="2" t="s">
        <v>34</v>
      </c>
      <c r="AG1800" s="2" t="s">
        <v>81</v>
      </c>
      <c r="AH1800" s="2">
        <v>0.33868170974832401</v>
      </c>
      <c r="AI1800" s="2">
        <v>1.98925024063294</v>
      </c>
      <c r="AJ1800" s="2">
        <v>0.319101527791537</v>
      </c>
      <c r="AK1800" s="2">
        <v>0.19244260082105799</v>
      </c>
      <c r="AL1800" s="2">
        <v>0.39116286698589398</v>
      </c>
      <c r="AM1800" s="2">
        <v>15.5</v>
      </c>
      <c r="AN1800" s="2">
        <v>2.4</v>
      </c>
      <c r="AO1800" s="2">
        <v>10.9</v>
      </c>
      <c r="AP1800" s="2">
        <v>564</v>
      </c>
      <c r="AQ1800" s="2">
        <v>68</v>
      </c>
      <c r="AR1800" s="2">
        <v>1.5</v>
      </c>
      <c r="AS1800" s="2">
        <v>135</v>
      </c>
      <c r="AT1800" s="2">
        <v>0</v>
      </c>
      <c r="AU1800" s="2">
        <v>162</v>
      </c>
      <c r="AV1800" s="2">
        <v>9.1</v>
      </c>
      <c r="AW1800" s="2">
        <v>9.1999999999999993</v>
      </c>
      <c r="AX1800" s="2">
        <v>18.3</v>
      </c>
      <c r="AY1800" s="2">
        <v>0.34</v>
      </c>
      <c r="AZ1800" s="2">
        <v>7.3</v>
      </c>
      <c r="BA1800" s="2">
        <v>0.9</v>
      </c>
      <c r="BB1800" s="2">
        <v>7.5</v>
      </c>
      <c r="BC1800" s="2">
        <v>2.9</v>
      </c>
      <c r="BD1800" s="2">
        <f>+AN1800*EXP(-0.0495*Y1800)</f>
        <v>1.967231338096612</v>
      </c>
      <c r="BE1800" s="2">
        <f>+AO1800*EXP(-0.024*Y1800)</f>
        <v>9.898218020904558</v>
      </c>
    </row>
    <row r="1801" spans="1:57" x14ac:dyDescent="0.2">
      <c r="A1801" s="2" t="s">
        <v>3344</v>
      </c>
      <c r="B1801" s="2" t="s">
        <v>19</v>
      </c>
      <c r="C1801" s="2" t="s">
        <v>3245</v>
      </c>
      <c r="D1801" s="2" t="s">
        <v>21</v>
      </c>
      <c r="E1801" s="2" t="s">
        <v>1437</v>
      </c>
      <c r="F1801" s="2">
        <v>6</v>
      </c>
      <c r="G1801" s="2">
        <v>52.41</v>
      </c>
      <c r="H1801" s="2">
        <v>1</v>
      </c>
      <c r="I1801" s="2">
        <v>2</v>
      </c>
      <c r="J1801" s="2">
        <v>2</v>
      </c>
      <c r="K1801" s="2" t="s">
        <v>61</v>
      </c>
      <c r="L1801" s="6" t="s">
        <v>62</v>
      </c>
      <c r="M1801" s="5">
        <v>640000000</v>
      </c>
      <c r="N1801" s="2">
        <v>0</v>
      </c>
      <c r="O1801" s="2">
        <v>4.6835673470000003</v>
      </c>
      <c r="P1801" s="2">
        <v>-74.054681650000006</v>
      </c>
      <c r="Q1801" s="2" t="s">
        <v>3345</v>
      </c>
      <c r="R1801" s="2">
        <v>12211410.039999999</v>
      </c>
      <c r="S1801" s="2">
        <v>0</v>
      </c>
      <c r="T1801" s="2" t="s">
        <v>55</v>
      </c>
      <c r="U1801" s="2" t="s">
        <v>56</v>
      </c>
      <c r="V1801" s="2" t="s">
        <v>28</v>
      </c>
      <c r="W1801" s="2" t="s">
        <v>55</v>
      </c>
      <c r="X1801" s="2" t="s">
        <v>57</v>
      </c>
      <c r="Y1801" s="2">
        <v>4.0170019243560997</v>
      </c>
      <c r="Z1801" s="2">
        <v>4.71035</v>
      </c>
      <c r="AA1801" s="2">
        <v>-74.030416666666696</v>
      </c>
      <c r="AB1801" s="2">
        <v>2570</v>
      </c>
      <c r="AC1801" s="2" t="s">
        <v>31</v>
      </c>
      <c r="AD1801" s="2" t="s">
        <v>58</v>
      </c>
      <c r="AE1801" s="2" t="s">
        <v>33</v>
      </c>
      <c r="AF1801" s="2" t="s">
        <v>34</v>
      </c>
      <c r="AG1801" s="2" t="s">
        <v>81</v>
      </c>
      <c r="AH1801" s="2">
        <v>0.33868170974832401</v>
      </c>
      <c r="AI1801" s="2">
        <v>1.98925024063294</v>
      </c>
      <c r="AJ1801" s="2">
        <v>0.319101527791537</v>
      </c>
      <c r="AK1801" s="2">
        <v>0.19244260082105799</v>
      </c>
      <c r="AL1801" s="2">
        <v>0.39116286698589398</v>
      </c>
      <c r="AM1801" s="2">
        <v>15.5</v>
      </c>
      <c r="AN1801" s="2">
        <v>2.4</v>
      </c>
      <c r="AO1801" s="2">
        <v>10.9</v>
      </c>
      <c r="AP1801" s="2">
        <v>564</v>
      </c>
      <c r="AQ1801" s="2">
        <v>68</v>
      </c>
      <c r="AR1801" s="2">
        <v>1.5</v>
      </c>
      <c r="AS1801" s="2">
        <v>135</v>
      </c>
      <c r="AT1801" s="2">
        <v>0</v>
      </c>
      <c r="AU1801" s="2">
        <v>162</v>
      </c>
      <c r="AV1801" s="2">
        <v>9.1</v>
      </c>
      <c r="AW1801" s="2">
        <v>9.1999999999999993</v>
      </c>
      <c r="AX1801" s="2">
        <v>18.3</v>
      </c>
      <c r="AY1801" s="2">
        <v>0.34</v>
      </c>
      <c r="AZ1801" s="2">
        <v>7.3</v>
      </c>
      <c r="BA1801" s="2">
        <v>0.9</v>
      </c>
      <c r="BB1801" s="2">
        <v>7.5</v>
      </c>
      <c r="BC1801" s="2">
        <v>2.9</v>
      </c>
      <c r="BD1801" s="2">
        <f>+AN1801*EXP(-0.0495*Y1801)</f>
        <v>1.967231338096612</v>
      </c>
      <c r="BE1801" s="2">
        <f>+AO1801*EXP(-0.024*Y1801)</f>
        <v>9.898218020904558</v>
      </c>
    </row>
    <row r="1802" spans="1:57" x14ac:dyDescent="0.2">
      <c r="A1802" s="2" t="s">
        <v>3348</v>
      </c>
      <c r="B1802" s="2" t="s">
        <v>19</v>
      </c>
      <c r="C1802" s="2" t="s">
        <v>3245</v>
      </c>
      <c r="D1802" s="2" t="s">
        <v>21</v>
      </c>
      <c r="E1802" s="2" t="s">
        <v>1437</v>
      </c>
      <c r="F1802" s="2">
        <v>6</v>
      </c>
      <c r="G1802" s="2">
        <v>52.41</v>
      </c>
      <c r="H1802" s="2">
        <v>1</v>
      </c>
      <c r="I1802" s="2">
        <v>2</v>
      </c>
      <c r="J1802" s="2">
        <v>2</v>
      </c>
      <c r="K1802" s="2" t="s">
        <v>61</v>
      </c>
      <c r="L1802" s="6" t="s">
        <v>62</v>
      </c>
      <c r="M1802" s="5">
        <v>640000000</v>
      </c>
      <c r="N1802" s="2">
        <v>0</v>
      </c>
      <c r="O1802" s="2">
        <v>4.6835673470000003</v>
      </c>
      <c r="P1802" s="2">
        <v>-74.054681650000006</v>
      </c>
      <c r="Q1802" s="2" t="s">
        <v>3349</v>
      </c>
      <c r="R1802" s="2">
        <v>12211410.039999999</v>
      </c>
      <c r="S1802" s="2">
        <v>0</v>
      </c>
      <c r="T1802" s="2" t="s">
        <v>55</v>
      </c>
      <c r="U1802" s="2" t="s">
        <v>56</v>
      </c>
      <c r="V1802" s="2" t="s">
        <v>28</v>
      </c>
      <c r="W1802" s="2" t="s">
        <v>55</v>
      </c>
      <c r="X1802" s="2" t="s">
        <v>57</v>
      </c>
      <c r="Y1802" s="2">
        <v>4.0170019243560997</v>
      </c>
      <c r="Z1802" s="2">
        <v>4.71035</v>
      </c>
      <c r="AA1802" s="2">
        <v>-74.030416666666696</v>
      </c>
      <c r="AB1802" s="2">
        <v>2570</v>
      </c>
      <c r="AC1802" s="2" t="s">
        <v>31</v>
      </c>
      <c r="AD1802" s="2" t="s">
        <v>58</v>
      </c>
      <c r="AE1802" s="2" t="s">
        <v>33</v>
      </c>
      <c r="AF1802" s="2" t="s">
        <v>34</v>
      </c>
      <c r="AG1802" s="2" t="s">
        <v>81</v>
      </c>
      <c r="AH1802" s="2">
        <v>0.33868170974832401</v>
      </c>
      <c r="AI1802" s="2">
        <v>1.98925024063294</v>
      </c>
      <c r="AJ1802" s="2">
        <v>0.319101527791537</v>
      </c>
      <c r="AK1802" s="2">
        <v>0.19244260082105799</v>
      </c>
      <c r="AL1802" s="2">
        <v>0.39116286698589398</v>
      </c>
      <c r="AM1802" s="2">
        <v>15.5</v>
      </c>
      <c r="AN1802" s="2">
        <v>2.4</v>
      </c>
      <c r="AO1802" s="2">
        <v>10.9</v>
      </c>
      <c r="AP1802" s="2">
        <v>564</v>
      </c>
      <c r="AQ1802" s="2">
        <v>68</v>
      </c>
      <c r="AR1802" s="2">
        <v>1.5</v>
      </c>
      <c r="AS1802" s="2">
        <v>135</v>
      </c>
      <c r="AT1802" s="2">
        <v>0</v>
      </c>
      <c r="AU1802" s="2">
        <v>162</v>
      </c>
      <c r="AV1802" s="2">
        <v>9.1</v>
      </c>
      <c r="AW1802" s="2">
        <v>9.1999999999999993</v>
      </c>
      <c r="AX1802" s="2">
        <v>18.3</v>
      </c>
      <c r="AY1802" s="2">
        <v>0.34</v>
      </c>
      <c r="AZ1802" s="2">
        <v>7.3</v>
      </c>
      <c r="BA1802" s="2">
        <v>0.9</v>
      </c>
      <c r="BB1802" s="2">
        <v>7.5</v>
      </c>
      <c r="BC1802" s="2">
        <v>2.9</v>
      </c>
      <c r="BD1802" s="2">
        <f>+AN1802*EXP(-0.0495*Y1802)</f>
        <v>1.967231338096612</v>
      </c>
      <c r="BE1802" s="2">
        <f>+AO1802*EXP(-0.024*Y1802)</f>
        <v>9.898218020904558</v>
      </c>
    </row>
    <row r="1803" spans="1:57" x14ac:dyDescent="0.2">
      <c r="A1803" s="2" t="s">
        <v>4360</v>
      </c>
      <c r="B1803" s="2" t="s">
        <v>19</v>
      </c>
      <c r="C1803" s="2" t="s">
        <v>3245</v>
      </c>
      <c r="D1803" s="2" t="s">
        <v>21</v>
      </c>
      <c r="E1803" s="2" t="s">
        <v>1437</v>
      </c>
      <c r="F1803" s="2">
        <v>6</v>
      </c>
      <c r="G1803" s="2">
        <v>52</v>
      </c>
      <c r="H1803" s="2">
        <v>1</v>
      </c>
      <c r="I1803" s="2">
        <v>2</v>
      </c>
      <c r="J1803" s="2">
        <v>1</v>
      </c>
      <c r="K1803" s="2" t="s">
        <v>61</v>
      </c>
      <c r="L1803" s="6" t="s">
        <v>75</v>
      </c>
      <c r="M1803" s="5">
        <v>550000000</v>
      </c>
      <c r="N1803" s="2">
        <v>3800000</v>
      </c>
      <c r="O1803" s="2">
        <v>4.6837828180000001</v>
      </c>
      <c r="P1803" s="2">
        <v>-74.055222819999997</v>
      </c>
      <c r="Q1803" s="2" t="s">
        <v>4361</v>
      </c>
      <c r="R1803" s="2">
        <v>10576923.08</v>
      </c>
      <c r="S1803" s="2">
        <v>73076.923079999993</v>
      </c>
      <c r="T1803" s="2" t="s">
        <v>55</v>
      </c>
      <c r="U1803" s="2" t="s">
        <v>56</v>
      </c>
      <c r="V1803" s="2" t="s">
        <v>28</v>
      </c>
      <c r="W1803" s="2" t="s">
        <v>55</v>
      </c>
      <c r="X1803" s="2" t="s">
        <v>57</v>
      </c>
      <c r="Y1803" s="2">
        <v>4.0398917698012804</v>
      </c>
      <c r="Z1803" s="2">
        <v>4.71035</v>
      </c>
      <c r="AA1803" s="2">
        <v>-74.030416666666696</v>
      </c>
      <c r="AB1803" s="2">
        <v>2570</v>
      </c>
      <c r="AC1803" s="2" t="s">
        <v>31</v>
      </c>
      <c r="AD1803" s="2" t="s">
        <v>58</v>
      </c>
      <c r="AE1803" s="2" t="s">
        <v>33</v>
      </c>
      <c r="AF1803" s="2" t="s">
        <v>34</v>
      </c>
      <c r="AG1803" s="2" t="s">
        <v>81</v>
      </c>
      <c r="AH1803" s="2">
        <v>0.27664749714958897</v>
      </c>
      <c r="AI1803" s="2">
        <v>2.0528429535329802</v>
      </c>
      <c r="AJ1803" s="2">
        <v>0.34552396364773602</v>
      </c>
      <c r="AK1803" s="2">
        <v>0.171960713510418</v>
      </c>
      <c r="AL1803" s="2">
        <v>0.33158014722059498</v>
      </c>
      <c r="AM1803" s="2">
        <v>15.5</v>
      </c>
      <c r="AN1803" s="2">
        <v>2.4</v>
      </c>
      <c r="AO1803" s="2">
        <v>10.9</v>
      </c>
      <c r="AP1803" s="2">
        <v>564</v>
      </c>
      <c r="AQ1803" s="2">
        <v>68</v>
      </c>
      <c r="AR1803" s="2">
        <v>1.5</v>
      </c>
      <c r="AS1803" s="2">
        <v>135</v>
      </c>
      <c r="AT1803" s="2">
        <v>0</v>
      </c>
      <c r="AU1803" s="2">
        <v>162</v>
      </c>
      <c r="AV1803" s="2">
        <v>9.1</v>
      </c>
      <c r="AW1803" s="2">
        <v>9.1999999999999993</v>
      </c>
      <c r="AX1803" s="2">
        <v>18.3</v>
      </c>
      <c r="AY1803" s="2">
        <v>0.34</v>
      </c>
      <c r="AZ1803" s="2">
        <v>7.3</v>
      </c>
      <c r="BA1803" s="2">
        <v>0.9</v>
      </c>
      <c r="BB1803" s="2">
        <v>7.5</v>
      </c>
      <c r="BC1803" s="2">
        <v>2.9</v>
      </c>
      <c r="BD1803" s="2">
        <f>+AN1803*EXP(-0.0495*Y1803)</f>
        <v>1.9650036341284216</v>
      </c>
      <c r="BE1803" s="2">
        <f>+AO1803*EXP(-0.024*Y1803)</f>
        <v>9.8927818658979003</v>
      </c>
    </row>
    <row r="1804" spans="1:57" x14ac:dyDescent="0.2">
      <c r="A1804" s="2" t="s">
        <v>3445</v>
      </c>
      <c r="B1804" s="2" t="s">
        <v>19</v>
      </c>
      <c r="C1804" s="2" t="s">
        <v>3245</v>
      </c>
      <c r="D1804" s="2" t="s">
        <v>21</v>
      </c>
      <c r="E1804" s="2" t="s">
        <v>83</v>
      </c>
      <c r="F1804" s="2">
        <v>6</v>
      </c>
      <c r="G1804" s="2">
        <v>52</v>
      </c>
      <c r="H1804" s="2">
        <v>1</v>
      </c>
      <c r="I1804" s="2">
        <v>1</v>
      </c>
      <c r="J1804" s="2">
        <v>2</v>
      </c>
      <c r="K1804" s="2" t="s">
        <v>61</v>
      </c>
      <c r="L1804" s="6" t="s">
        <v>62</v>
      </c>
      <c r="M1804" s="5">
        <v>640000000</v>
      </c>
      <c r="N1804" s="2">
        <v>0</v>
      </c>
      <c r="O1804" s="2">
        <v>4.6837053639999997</v>
      </c>
      <c r="P1804" s="2">
        <v>-74.054396150000002</v>
      </c>
      <c r="Q1804" s="2" t="s">
        <v>3446</v>
      </c>
      <c r="R1804" s="2">
        <v>12307692.310000001</v>
      </c>
      <c r="S1804" s="2">
        <v>0</v>
      </c>
      <c r="T1804" s="2" t="s">
        <v>55</v>
      </c>
      <c r="U1804" s="2" t="s">
        <v>56</v>
      </c>
      <c r="V1804" s="2" t="s">
        <v>28</v>
      </c>
      <c r="W1804" s="2" t="s">
        <v>55</v>
      </c>
      <c r="X1804" s="2" t="s">
        <v>57</v>
      </c>
      <c r="Y1804" s="2">
        <v>3.9843926788087001</v>
      </c>
      <c r="Z1804" s="2">
        <v>4.71035</v>
      </c>
      <c r="AA1804" s="2">
        <v>-74.030416666666696</v>
      </c>
      <c r="AB1804" s="2">
        <v>2570</v>
      </c>
      <c r="AC1804" s="2" t="s">
        <v>31</v>
      </c>
      <c r="AD1804" s="2" t="s">
        <v>58</v>
      </c>
      <c r="AE1804" s="2" t="s">
        <v>33</v>
      </c>
      <c r="AF1804" s="2" t="s">
        <v>34</v>
      </c>
      <c r="AG1804" s="2" t="s">
        <v>81</v>
      </c>
      <c r="AH1804" s="2">
        <v>0.36868341282237399</v>
      </c>
      <c r="AI1804" s="2">
        <v>1.9703254987274501</v>
      </c>
      <c r="AJ1804" s="2">
        <v>0.287262167097113</v>
      </c>
      <c r="AK1804" s="2">
        <v>0.181177137929142</v>
      </c>
      <c r="AL1804" s="2">
        <v>0.422868788901549</v>
      </c>
      <c r="AM1804" s="2">
        <v>15.5</v>
      </c>
      <c r="AN1804" s="2">
        <v>2.4</v>
      </c>
      <c r="AO1804" s="2">
        <v>10.9</v>
      </c>
      <c r="AP1804" s="2">
        <v>564</v>
      </c>
      <c r="AQ1804" s="2">
        <v>68</v>
      </c>
      <c r="AR1804" s="2">
        <v>1.5</v>
      </c>
      <c r="AS1804" s="2">
        <v>135</v>
      </c>
      <c r="AT1804" s="2">
        <v>0</v>
      </c>
      <c r="AU1804" s="2">
        <v>162</v>
      </c>
      <c r="AV1804" s="2">
        <v>9.1</v>
      </c>
      <c r="AW1804" s="2">
        <v>9.1999999999999993</v>
      </c>
      <c r="AX1804" s="2">
        <v>18.3</v>
      </c>
      <c r="AY1804" s="2">
        <v>0.34</v>
      </c>
      <c r="AZ1804" s="2">
        <v>7.3</v>
      </c>
      <c r="BA1804" s="2">
        <v>0.9</v>
      </c>
      <c r="BB1804" s="2">
        <v>7.5</v>
      </c>
      <c r="BC1804" s="2">
        <v>2.9</v>
      </c>
      <c r="BD1804" s="2">
        <f>+AN1804*EXP(-0.0495*Y1804)</f>
        <v>1.970409323814327</v>
      </c>
      <c r="BE1804" s="2">
        <f>+AO1804*EXP(-0.024*Y1804)</f>
        <v>9.9059676151362712</v>
      </c>
    </row>
    <row r="1805" spans="1:57" x14ac:dyDescent="0.2">
      <c r="A1805" s="2" t="s">
        <v>3556</v>
      </c>
      <c r="B1805" s="2" t="s">
        <v>19</v>
      </c>
      <c r="C1805" s="2" t="s">
        <v>3245</v>
      </c>
      <c r="D1805" s="2" t="s">
        <v>21</v>
      </c>
      <c r="E1805" s="2" t="s">
        <v>83</v>
      </c>
      <c r="F1805" s="2">
        <v>6</v>
      </c>
      <c r="G1805" s="2">
        <v>52</v>
      </c>
      <c r="H1805" s="2">
        <v>1</v>
      </c>
      <c r="I1805" s="2">
        <v>1</v>
      </c>
      <c r="J1805" s="2">
        <v>2</v>
      </c>
      <c r="K1805" s="2" t="s">
        <v>61</v>
      </c>
      <c r="L1805" s="6" t="s">
        <v>62</v>
      </c>
      <c r="M1805" s="5">
        <v>640000000</v>
      </c>
      <c r="N1805" s="2">
        <v>0</v>
      </c>
      <c r="O1805" s="2">
        <v>4.6836452819999996</v>
      </c>
      <c r="P1805" s="2">
        <v>-74.054053580000001</v>
      </c>
      <c r="Q1805" s="2" t="s">
        <v>3557</v>
      </c>
      <c r="R1805" s="2">
        <v>12307692.310000001</v>
      </c>
      <c r="S1805" s="2">
        <v>0</v>
      </c>
      <c r="T1805" s="2" t="s">
        <v>55</v>
      </c>
      <c r="U1805" s="2" t="s">
        <v>56</v>
      </c>
      <c r="V1805" s="2" t="s">
        <v>28</v>
      </c>
      <c r="W1805" s="2" t="s">
        <v>55</v>
      </c>
      <c r="X1805" s="2" t="s">
        <v>57</v>
      </c>
      <c r="Y1805" s="2">
        <v>3.9641296032534599</v>
      </c>
      <c r="Z1805" s="2">
        <v>4.71035</v>
      </c>
      <c r="AA1805" s="2">
        <v>-74.030416666666696</v>
      </c>
      <c r="AB1805" s="2">
        <v>2570</v>
      </c>
      <c r="AC1805" s="2" t="s">
        <v>31</v>
      </c>
      <c r="AD1805" s="2" t="s">
        <v>58</v>
      </c>
      <c r="AE1805" s="2" t="s">
        <v>33</v>
      </c>
      <c r="AF1805" s="2" t="s">
        <v>34</v>
      </c>
      <c r="AG1805" s="2" t="s">
        <v>81</v>
      </c>
      <c r="AH1805" s="2">
        <v>0.40706978695021501</v>
      </c>
      <c r="AI1805" s="2">
        <v>1.93467927745237</v>
      </c>
      <c r="AJ1805" s="2">
        <v>0.27137560971180102</v>
      </c>
      <c r="AK1805" s="2">
        <v>0.19893753456117899</v>
      </c>
      <c r="AL1805" s="2">
        <v>0.460761649290794</v>
      </c>
      <c r="AM1805" s="2">
        <v>15.5</v>
      </c>
      <c r="AN1805" s="2">
        <v>2.4</v>
      </c>
      <c r="AO1805" s="2">
        <v>10.9</v>
      </c>
      <c r="AP1805" s="2">
        <v>564</v>
      </c>
      <c r="AQ1805" s="2">
        <v>68</v>
      </c>
      <c r="AR1805" s="2">
        <v>1.5</v>
      </c>
      <c r="AS1805" s="2">
        <v>135</v>
      </c>
      <c r="AT1805" s="2">
        <v>0</v>
      </c>
      <c r="AU1805" s="2">
        <v>162</v>
      </c>
      <c r="AV1805" s="2">
        <v>9.1</v>
      </c>
      <c r="AW1805" s="2">
        <v>9.1999999999999993</v>
      </c>
      <c r="AX1805" s="2">
        <v>18.3</v>
      </c>
      <c r="AY1805" s="2">
        <v>0.34</v>
      </c>
      <c r="AZ1805" s="2">
        <v>7.3</v>
      </c>
      <c r="BA1805" s="2">
        <v>0.9</v>
      </c>
      <c r="BB1805" s="2">
        <v>7.5</v>
      </c>
      <c r="BC1805" s="2">
        <v>2.9</v>
      </c>
      <c r="BD1805" s="2">
        <f>+AN1805*EXP(-0.0495*Y1805)</f>
        <v>1.9723866796881673</v>
      </c>
      <c r="BE1805" s="2">
        <f>+AO1805*EXP(-0.024*Y1805)</f>
        <v>9.910786195598023</v>
      </c>
    </row>
    <row r="1806" spans="1:57" x14ac:dyDescent="0.2">
      <c r="A1806" s="2" t="s">
        <v>965</v>
      </c>
      <c r="B1806" s="2" t="s">
        <v>19</v>
      </c>
      <c r="C1806" s="2" t="s">
        <v>20</v>
      </c>
      <c r="D1806" s="2" t="s">
        <v>21</v>
      </c>
      <c r="E1806" s="2" t="s">
        <v>345</v>
      </c>
      <c r="F1806" s="2">
        <v>4</v>
      </c>
      <c r="G1806" s="2">
        <v>52</v>
      </c>
      <c r="H1806" s="2">
        <v>2</v>
      </c>
      <c r="I1806" s="2">
        <v>2</v>
      </c>
      <c r="J1806" s="2">
        <v>1</v>
      </c>
      <c r="K1806" s="2" t="s">
        <v>61</v>
      </c>
      <c r="L1806" s="6" t="s">
        <v>113</v>
      </c>
      <c r="M1806" s="5">
        <v>325000000</v>
      </c>
      <c r="N1806" s="2">
        <v>0</v>
      </c>
      <c r="O1806" s="2">
        <v>4.7249822620000002</v>
      </c>
      <c r="P1806" s="2">
        <v>-74.039817810000002</v>
      </c>
      <c r="Q1806" s="2" t="s">
        <v>966</v>
      </c>
      <c r="R1806" s="2">
        <v>6250000</v>
      </c>
      <c r="S1806" s="2">
        <v>0</v>
      </c>
      <c r="T1806" s="2" t="s">
        <v>55</v>
      </c>
      <c r="U1806" s="2" t="s">
        <v>56</v>
      </c>
      <c r="V1806" s="2" t="s">
        <v>28</v>
      </c>
      <c r="W1806" s="2" t="s">
        <v>55</v>
      </c>
      <c r="X1806" s="2" t="s">
        <v>57</v>
      </c>
      <c r="Y1806" s="2">
        <v>1.93416371174176</v>
      </c>
      <c r="Z1806" s="2">
        <v>4.71035</v>
      </c>
      <c r="AA1806" s="2">
        <v>-74.030416666666696</v>
      </c>
      <c r="AB1806" s="2">
        <v>2570</v>
      </c>
      <c r="AC1806" s="2" t="s">
        <v>31</v>
      </c>
      <c r="AD1806" s="2" t="s">
        <v>58</v>
      </c>
      <c r="AE1806" s="2" t="s">
        <v>33</v>
      </c>
      <c r="AF1806" s="2" t="s">
        <v>34</v>
      </c>
      <c r="AG1806" s="2" t="s">
        <v>59</v>
      </c>
      <c r="AH1806" s="2">
        <v>1.20258598513363</v>
      </c>
      <c r="AI1806" s="2">
        <v>1.8942920122745901</v>
      </c>
      <c r="AJ1806" s="2">
        <v>0.87340733758985201</v>
      </c>
      <c r="AK1806" s="2">
        <v>0.417666257222369</v>
      </c>
      <c r="AL1806" s="2">
        <v>8.10715800794643E-2</v>
      </c>
      <c r="AM1806" s="2">
        <v>15.5</v>
      </c>
      <c r="AN1806" s="2">
        <v>2.4</v>
      </c>
      <c r="AO1806" s="2">
        <v>10.9</v>
      </c>
      <c r="AP1806" s="2">
        <v>564</v>
      </c>
      <c r="AQ1806" s="2">
        <v>68</v>
      </c>
      <c r="AR1806" s="2">
        <v>1.5</v>
      </c>
      <c r="AS1806" s="2">
        <v>135</v>
      </c>
      <c r="AT1806" s="2">
        <v>0</v>
      </c>
      <c r="AU1806" s="2">
        <v>162</v>
      </c>
      <c r="AV1806" s="2">
        <v>9.1</v>
      </c>
      <c r="AW1806" s="2">
        <v>9.1999999999999993</v>
      </c>
      <c r="AX1806" s="2">
        <v>18.3</v>
      </c>
      <c r="AY1806" s="2">
        <v>0.34</v>
      </c>
      <c r="AZ1806" s="2">
        <v>7.3</v>
      </c>
      <c r="BA1806" s="2">
        <v>0.9</v>
      </c>
      <c r="BB1806" s="2">
        <v>7.5</v>
      </c>
      <c r="BC1806" s="2">
        <v>2.9</v>
      </c>
      <c r="BD1806" s="2">
        <f>+AN1806*EXP(-0.0495*Y1806)</f>
        <v>2.180878186707246</v>
      </c>
      <c r="BE1806" s="2">
        <f>+AO1806*EXP(-0.024*Y1806)</f>
        <v>10.405586861751035</v>
      </c>
    </row>
    <row r="1807" spans="1:57" x14ac:dyDescent="0.2">
      <c r="A1807" s="2" t="s">
        <v>1458</v>
      </c>
      <c r="B1807" s="2" t="s">
        <v>19</v>
      </c>
      <c r="C1807" s="2" t="s">
        <v>20</v>
      </c>
      <c r="D1807" s="2" t="s">
        <v>21</v>
      </c>
      <c r="E1807" s="2" t="s">
        <v>419</v>
      </c>
      <c r="F1807" s="2">
        <v>6</v>
      </c>
      <c r="G1807" s="2">
        <v>51</v>
      </c>
      <c r="H1807" s="2">
        <v>1</v>
      </c>
      <c r="I1807" s="2">
        <v>2</v>
      </c>
      <c r="J1807" s="2">
        <v>1</v>
      </c>
      <c r="K1807" s="2" t="s">
        <v>61</v>
      </c>
      <c r="L1807" s="6" t="s">
        <v>75</v>
      </c>
      <c r="M1807" s="5">
        <v>465000000</v>
      </c>
      <c r="N1807" s="2">
        <v>0</v>
      </c>
      <c r="O1807" s="2">
        <v>4.6896419529999998</v>
      </c>
      <c r="P1807" s="2">
        <v>-74.048858640000006</v>
      </c>
      <c r="Q1807" s="2" t="s">
        <v>1459</v>
      </c>
      <c r="R1807" s="2">
        <v>9117647.0590000004</v>
      </c>
      <c r="S1807" s="2">
        <v>0</v>
      </c>
      <c r="T1807" s="2" t="s">
        <v>55</v>
      </c>
      <c r="U1807" s="2" t="s">
        <v>56</v>
      </c>
      <c r="V1807" s="2" t="s">
        <v>28</v>
      </c>
      <c r="W1807" s="2" t="s">
        <v>55</v>
      </c>
      <c r="X1807" s="2" t="s">
        <v>57</v>
      </c>
      <c r="Y1807" s="2">
        <v>3.0822558746706101</v>
      </c>
      <c r="Z1807" s="2">
        <v>4.71035</v>
      </c>
      <c r="AA1807" s="2">
        <v>-74.030416666666696</v>
      </c>
      <c r="AB1807" s="2">
        <v>2570</v>
      </c>
      <c r="AC1807" s="2" t="s">
        <v>31</v>
      </c>
      <c r="AD1807" s="2" t="s">
        <v>58</v>
      </c>
      <c r="AE1807" s="2" t="s">
        <v>33</v>
      </c>
      <c r="AF1807" s="2" t="s">
        <v>34</v>
      </c>
      <c r="AG1807" s="2" t="s">
        <v>59</v>
      </c>
      <c r="AH1807" s="2">
        <v>0.89203566978783599</v>
      </c>
      <c r="AI1807" s="2">
        <v>1.85738802420722</v>
      </c>
      <c r="AJ1807" s="2">
        <v>0.27094022963761699</v>
      </c>
      <c r="AK1807" s="2">
        <v>0.19805075056743299</v>
      </c>
      <c r="AL1807" s="2">
        <v>0.219541437258641</v>
      </c>
      <c r="AM1807" s="2">
        <v>15.5</v>
      </c>
      <c r="AN1807" s="2">
        <v>2.4</v>
      </c>
      <c r="AO1807" s="2">
        <v>10.9</v>
      </c>
      <c r="AP1807" s="2">
        <v>564</v>
      </c>
      <c r="AQ1807" s="2">
        <v>68</v>
      </c>
      <c r="AR1807" s="2">
        <v>1.5</v>
      </c>
      <c r="AS1807" s="2">
        <v>135</v>
      </c>
      <c r="AT1807" s="2">
        <v>0</v>
      </c>
      <c r="AU1807" s="2">
        <v>162</v>
      </c>
      <c r="AV1807" s="2">
        <v>9.1</v>
      </c>
      <c r="AW1807" s="2">
        <v>9.1999999999999993</v>
      </c>
      <c r="AX1807" s="2">
        <v>18.3</v>
      </c>
      <c r="AY1807" s="2">
        <v>0.34</v>
      </c>
      <c r="AZ1807" s="2">
        <v>7.3</v>
      </c>
      <c r="BA1807" s="2">
        <v>0.9</v>
      </c>
      <c r="BB1807" s="2">
        <v>7.5</v>
      </c>
      <c r="BC1807" s="2">
        <v>2.9</v>
      </c>
      <c r="BD1807" s="2">
        <f>+AN1807*EXP(-0.0495*Y1807)</f>
        <v>2.0603936804505585</v>
      </c>
      <c r="BE1807" s="2">
        <f>+AO1807*EXP(-0.024*Y1807)</f>
        <v>10.122783224616997</v>
      </c>
    </row>
    <row r="1808" spans="1:57" x14ac:dyDescent="0.2">
      <c r="A1808" s="2" t="s">
        <v>4034</v>
      </c>
      <c r="B1808" s="2" t="s">
        <v>19</v>
      </c>
      <c r="C1808" s="2" t="s">
        <v>3245</v>
      </c>
      <c r="D1808" s="2" t="s">
        <v>21</v>
      </c>
      <c r="E1808" s="2" t="s">
        <v>234</v>
      </c>
      <c r="F1808" s="2">
        <v>4</v>
      </c>
      <c r="G1808" s="2">
        <v>51</v>
      </c>
      <c r="H1808" s="2">
        <v>1</v>
      </c>
      <c r="I1808" s="2">
        <v>2</v>
      </c>
      <c r="J1808" s="2">
        <v>1</v>
      </c>
      <c r="K1808" s="2" t="s">
        <v>61</v>
      </c>
      <c r="L1808" s="6" t="s">
        <v>84</v>
      </c>
      <c r="M1808" s="5">
        <v>480000000</v>
      </c>
      <c r="N1808" s="2">
        <v>0</v>
      </c>
      <c r="O1808" s="2">
        <v>4.7252745630000001</v>
      </c>
      <c r="P1808" s="2">
        <v>-74.033172609999994</v>
      </c>
      <c r="Q1808" s="2" t="s">
        <v>4035</v>
      </c>
      <c r="R1808" s="2">
        <v>9411764.7060000002</v>
      </c>
      <c r="S1808" s="2">
        <v>0</v>
      </c>
      <c r="T1808" s="2" t="s">
        <v>55</v>
      </c>
      <c r="U1808" s="2" t="s">
        <v>56</v>
      </c>
      <c r="V1808" s="2" t="s">
        <v>28</v>
      </c>
      <c r="W1808" s="2" t="s">
        <v>55</v>
      </c>
      <c r="X1808" s="2" t="s">
        <v>57</v>
      </c>
      <c r="Y1808" s="2">
        <v>1.6892945435250999</v>
      </c>
      <c r="Z1808" s="2">
        <v>4.71035</v>
      </c>
      <c r="AA1808" s="2">
        <v>-74.030416666666696</v>
      </c>
      <c r="AB1808" s="2">
        <v>2570</v>
      </c>
      <c r="AC1808" s="2" t="s">
        <v>31</v>
      </c>
      <c r="AD1808" s="2" t="s">
        <v>58</v>
      </c>
      <c r="AE1808" s="2" t="s">
        <v>33</v>
      </c>
      <c r="AF1808" s="2" t="s">
        <v>34</v>
      </c>
      <c r="AG1808" s="2" t="s">
        <v>59</v>
      </c>
      <c r="AH1808" s="2">
        <v>1.9293832169523699</v>
      </c>
      <c r="AI1808" s="2">
        <v>1.2275147544804099</v>
      </c>
      <c r="AJ1808" s="2">
        <v>1.1294037230652101</v>
      </c>
      <c r="AK1808" s="2">
        <v>0.29257349326634402</v>
      </c>
      <c r="AL1808" s="2">
        <v>0.219963831917315</v>
      </c>
      <c r="AM1808" s="2">
        <v>15.5</v>
      </c>
      <c r="AN1808" s="2">
        <v>2.4</v>
      </c>
      <c r="AO1808" s="2">
        <v>10.9</v>
      </c>
      <c r="AP1808" s="2">
        <v>564</v>
      </c>
      <c r="AQ1808" s="2">
        <v>68</v>
      </c>
      <c r="AR1808" s="2">
        <v>1.5</v>
      </c>
      <c r="AS1808" s="2">
        <v>135</v>
      </c>
      <c r="AT1808" s="2">
        <v>0</v>
      </c>
      <c r="AU1808" s="2">
        <v>162</v>
      </c>
      <c r="AV1808" s="2">
        <v>9.1</v>
      </c>
      <c r="AW1808" s="2">
        <v>9.1999999999999993</v>
      </c>
      <c r="AX1808" s="2">
        <v>18.3</v>
      </c>
      <c r="AY1808" s="2">
        <v>0.34</v>
      </c>
      <c r="AZ1808" s="2">
        <v>7.3</v>
      </c>
      <c r="BA1808" s="2">
        <v>0.9</v>
      </c>
      <c r="BB1808" s="2">
        <v>7.5</v>
      </c>
      <c r="BC1808" s="2">
        <v>2.9</v>
      </c>
      <c r="BD1808" s="2">
        <f>+AN1808*EXP(-0.0495*Y1808)</f>
        <v>2.2074735188860299</v>
      </c>
      <c r="BE1808" s="2">
        <f>+AO1808*EXP(-0.024*Y1808)</f>
        <v>10.466919083261649</v>
      </c>
    </row>
    <row r="1809" spans="1:57" x14ac:dyDescent="0.2">
      <c r="A1809" s="2" t="s">
        <v>4494</v>
      </c>
      <c r="B1809" s="2" t="s">
        <v>19</v>
      </c>
      <c r="C1809" s="2" t="s">
        <v>3245</v>
      </c>
      <c r="D1809" s="2" t="s">
        <v>21</v>
      </c>
      <c r="E1809" s="2" t="s">
        <v>83</v>
      </c>
      <c r="F1809" s="2">
        <v>6</v>
      </c>
      <c r="G1809" s="2">
        <v>50</v>
      </c>
      <c r="H1809" s="2">
        <v>1</v>
      </c>
      <c r="I1809" s="2">
        <v>1</v>
      </c>
      <c r="J1809" s="2">
        <v>0</v>
      </c>
      <c r="K1809" s="2" t="s">
        <v>61</v>
      </c>
      <c r="L1809" s="6" t="s">
        <v>62</v>
      </c>
      <c r="M1809" s="5">
        <v>540000000</v>
      </c>
      <c r="N1809" s="2">
        <v>0</v>
      </c>
      <c r="O1809" s="2">
        <v>4.6792400000000001</v>
      </c>
      <c r="P1809" s="2">
        <v>-74.046379999999999</v>
      </c>
      <c r="Q1809" s="2" t="s">
        <v>4495</v>
      </c>
      <c r="R1809" s="2">
        <v>10800000</v>
      </c>
      <c r="S1809" s="2">
        <v>0</v>
      </c>
      <c r="T1809" s="2" t="s">
        <v>55</v>
      </c>
      <c r="U1809" s="2" t="s">
        <v>56</v>
      </c>
      <c r="V1809" s="2" t="s">
        <v>28</v>
      </c>
      <c r="W1809" s="2" t="s">
        <v>55</v>
      </c>
      <c r="X1809" s="2" t="s">
        <v>57</v>
      </c>
      <c r="Y1809" s="2">
        <v>3.8897409790275801</v>
      </c>
      <c r="Z1809" s="2">
        <v>4.71035</v>
      </c>
      <c r="AA1809" s="2">
        <v>-74.030416666666696</v>
      </c>
      <c r="AB1809" s="2">
        <v>2570</v>
      </c>
      <c r="AC1809" s="2" t="s">
        <v>31</v>
      </c>
      <c r="AD1809" s="2" t="s">
        <v>58</v>
      </c>
      <c r="AE1809" s="2" t="s">
        <v>33</v>
      </c>
      <c r="AF1809" s="2" t="s">
        <v>34</v>
      </c>
      <c r="AG1809" s="2" t="s">
        <v>81</v>
      </c>
      <c r="AH1809" s="2">
        <v>1.3600501285959301</v>
      </c>
      <c r="AI1809" s="2">
        <v>0.95671990884653602</v>
      </c>
      <c r="AJ1809" s="2">
        <v>0.86539525611063495</v>
      </c>
      <c r="AK1809" s="2">
        <v>5.9788271897160197E-2</v>
      </c>
      <c r="AL1809" s="2">
        <v>1.11876051451213</v>
      </c>
      <c r="AM1809" s="2">
        <v>15.5</v>
      </c>
      <c r="AN1809" s="2">
        <v>2.4</v>
      </c>
      <c r="AO1809" s="2">
        <v>10.9</v>
      </c>
      <c r="AP1809" s="2">
        <v>564</v>
      </c>
      <c r="AQ1809" s="2">
        <v>68</v>
      </c>
      <c r="AR1809" s="2">
        <v>1.5</v>
      </c>
      <c r="AS1809" s="2">
        <v>135</v>
      </c>
      <c r="AT1809" s="2">
        <v>0</v>
      </c>
      <c r="AU1809" s="2">
        <v>162</v>
      </c>
      <c r="AV1809" s="2">
        <v>9.1</v>
      </c>
      <c r="AW1809" s="2">
        <v>9.1999999999999993</v>
      </c>
      <c r="AX1809" s="2">
        <v>18.3</v>
      </c>
      <c r="AY1809" s="2">
        <v>0.34</v>
      </c>
      <c r="AZ1809" s="2">
        <v>7.3</v>
      </c>
      <c r="BA1809" s="2">
        <v>0.9</v>
      </c>
      <c r="BB1809" s="2">
        <v>7.5</v>
      </c>
      <c r="BC1809" s="2">
        <v>2.9</v>
      </c>
      <c r="BD1809" s="2">
        <f>+AN1809*EXP(-0.0495*Y1809)</f>
        <v>1.9796628627931263</v>
      </c>
      <c r="BE1809" s="2">
        <f>+AO1809*EXP(-0.024*Y1809)</f>
        <v>9.9284959937863846</v>
      </c>
    </row>
    <row r="1810" spans="1:57" x14ac:dyDescent="0.2">
      <c r="A1810" s="2" t="s">
        <v>4462</v>
      </c>
      <c r="B1810" s="2" t="s">
        <v>19</v>
      </c>
      <c r="C1810" s="2" t="s">
        <v>3245</v>
      </c>
      <c r="D1810" s="2" t="s">
        <v>21</v>
      </c>
      <c r="E1810" s="2" t="s">
        <v>164</v>
      </c>
      <c r="F1810" s="2">
        <v>6</v>
      </c>
      <c r="G1810" s="2">
        <v>50</v>
      </c>
      <c r="H1810" s="2">
        <v>1</v>
      </c>
      <c r="I1810" s="2">
        <v>2</v>
      </c>
      <c r="J1810" s="2">
        <v>1</v>
      </c>
      <c r="K1810" s="2" t="s">
        <v>61</v>
      </c>
      <c r="L1810" s="6" t="s">
        <v>62</v>
      </c>
      <c r="M1810" s="5">
        <v>550000000</v>
      </c>
      <c r="N1810" s="2">
        <v>0</v>
      </c>
      <c r="O1810" s="2">
        <v>4.6976771350000002</v>
      </c>
      <c r="P1810" s="2">
        <v>-74.039558409999998</v>
      </c>
      <c r="Q1810" s="2" t="s">
        <v>4463</v>
      </c>
      <c r="R1810" s="2">
        <v>11000000</v>
      </c>
      <c r="S1810" s="2">
        <v>0</v>
      </c>
      <c r="T1810" s="2" t="s">
        <v>55</v>
      </c>
      <c r="U1810" s="2" t="s">
        <v>56</v>
      </c>
      <c r="V1810" s="2" t="s">
        <v>28</v>
      </c>
      <c r="W1810" s="2" t="s">
        <v>55</v>
      </c>
      <c r="X1810" s="2" t="s">
        <v>57</v>
      </c>
      <c r="Y1810" s="2">
        <v>1.73747912514823</v>
      </c>
      <c r="Z1810" s="2">
        <v>4.71035</v>
      </c>
      <c r="AA1810" s="2">
        <v>-74.030416666666696</v>
      </c>
      <c r="AB1810" s="2">
        <v>2570</v>
      </c>
      <c r="AC1810" s="2" t="s">
        <v>31</v>
      </c>
      <c r="AD1810" s="2" t="s">
        <v>58</v>
      </c>
      <c r="AE1810" s="2" t="s">
        <v>33</v>
      </c>
      <c r="AF1810" s="2" t="s">
        <v>34</v>
      </c>
      <c r="AG1810" s="2" t="s">
        <v>59</v>
      </c>
      <c r="AH1810" s="2">
        <v>1.7470750877980601</v>
      </c>
      <c r="AI1810" s="2">
        <v>1.5177654035499</v>
      </c>
      <c r="AJ1810" s="2">
        <v>0.88430257242613197</v>
      </c>
      <c r="AK1810" s="2">
        <v>2.5822837559881E-2</v>
      </c>
      <c r="AL1810" s="2">
        <v>3.8004743448727903E-2</v>
      </c>
      <c r="AM1810" s="2">
        <v>15.5</v>
      </c>
      <c r="AN1810" s="2">
        <v>2.4</v>
      </c>
      <c r="AO1810" s="2">
        <v>10.9</v>
      </c>
      <c r="AP1810" s="2">
        <v>564</v>
      </c>
      <c r="AQ1810" s="2">
        <v>68</v>
      </c>
      <c r="AR1810" s="2">
        <v>1.5</v>
      </c>
      <c r="AS1810" s="2">
        <v>135</v>
      </c>
      <c r="AT1810" s="2">
        <v>0</v>
      </c>
      <c r="AU1810" s="2">
        <v>162</v>
      </c>
      <c r="AV1810" s="2">
        <v>9.1</v>
      </c>
      <c r="AW1810" s="2">
        <v>9.1999999999999993</v>
      </c>
      <c r="AX1810" s="2">
        <v>18.3</v>
      </c>
      <c r="AY1810" s="2">
        <v>0.34</v>
      </c>
      <c r="AZ1810" s="2">
        <v>7.3</v>
      </c>
      <c r="BA1810" s="2">
        <v>0.9</v>
      </c>
      <c r="BB1810" s="2">
        <v>7.5</v>
      </c>
      <c r="BC1810" s="2">
        <v>2.9</v>
      </c>
      <c r="BD1810" s="2">
        <f>+AN1810*EXP(-0.0495*Y1810)</f>
        <v>2.2022146666165145</v>
      </c>
      <c r="BE1810" s="2">
        <f>+AO1810*EXP(-0.024*Y1810)</f>
        <v>10.454821820622444</v>
      </c>
    </row>
    <row r="1811" spans="1:57" x14ac:dyDescent="0.2">
      <c r="A1811" s="2" t="s">
        <v>4394</v>
      </c>
      <c r="B1811" s="2" t="s">
        <v>19</v>
      </c>
      <c r="C1811" s="2" t="s">
        <v>3245</v>
      </c>
      <c r="D1811" s="2" t="s">
        <v>21</v>
      </c>
      <c r="E1811" s="2" t="s">
        <v>156</v>
      </c>
      <c r="F1811" s="2">
        <v>4</v>
      </c>
      <c r="G1811" s="2">
        <v>50</v>
      </c>
      <c r="H1811" s="2">
        <v>1</v>
      </c>
      <c r="I1811" s="2">
        <v>2</v>
      </c>
      <c r="J1811" s="2">
        <v>1</v>
      </c>
      <c r="K1811" s="2" t="s">
        <v>61</v>
      </c>
      <c r="L1811" s="6" t="s">
        <v>62</v>
      </c>
      <c r="M1811" s="5">
        <v>435000000</v>
      </c>
      <c r="N1811" s="2">
        <v>0</v>
      </c>
      <c r="O1811" s="2">
        <v>4.7228563000000001</v>
      </c>
      <c r="P1811" s="2">
        <v>-74.033183399999999</v>
      </c>
      <c r="Q1811" s="2" t="s">
        <v>4395</v>
      </c>
      <c r="R1811" s="2">
        <v>8700000</v>
      </c>
      <c r="S1811" s="2">
        <v>0</v>
      </c>
      <c r="T1811" s="2" t="s">
        <v>55</v>
      </c>
      <c r="U1811" s="2" t="s">
        <v>56</v>
      </c>
      <c r="V1811" s="2" t="s">
        <v>28</v>
      </c>
      <c r="W1811" s="2" t="s">
        <v>55</v>
      </c>
      <c r="X1811" s="2" t="s">
        <v>57</v>
      </c>
      <c r="Y1811" s="2">
        <v>1.4256311129903401</v>
      </c>
      <c r="Z1811" s="2">
        <v>4.71035</v>
      </c>
      <c r="AA1811" s="2">
        <v>-74.030416666666696</v>
      </c>
      <c r="AB1811" s="2">
        <v>2570</v>
      </c>
      <c r="AC1811" s="2" t="s">
        <v>31</v>
      </c>
      <c r="AD1811" s="2" t="s">
        <v>58</v>
      </c>
      <c r="AE1811" s="2" t="s">
        <v>33</v>
      </c>
      <c r="AF1811" s="2" t="s">
        <v>34</v>
      </c>
      <c r="AG1811" s="2" t="s">
        <v>59</v>
      </c>
      <c r="AH1811" s="2">
        <v>1.97038560178158</v>
      </c>
      <c r="AI1811" s="2">
        <v>1.1221066980342</v>
      </c>
      <c r="AJ1811" s="2">
        <v>1.33955653748556</v>
      </c>
      <c r="AK1811" s="2">
        <v>0.26493534473161601</v>
      </c>
      <c r="AL1811" s="2">
        <v>5.47840187813501E-3</v>
      </c>
      <c r="AM1811" s="2">
        <v>15.5</v>
      </c>
      <c r="AN1811" s="2">
        <v>2.4</v>
      </c>
      <c r="AO1811" s="2">
        <v>10.9</v>
      </c>
      <c r="AP1811" s="2">
        <v>564</v>
      </c>
      <c r="AQ1811" s="2">
        <v>68</v>
      </c>
      <c r="AR1811" s="2">
        <v>1.5</v>
      </c>
      <c r="AS1811" s="2">
        <v>135</v>
      </c>
      <c r="AT1811" s="2">
        <v>0</v>
      </c>
      <c r="AU1811" s="2">
        <v>162</v>
      </c>
      <c r="AV1811" s="2">
        <v>9.1</v>
      </c>
      <c r="AW1811" s="2">
        <v>9.1999999999999993</v>
      </c>
      <c r="AX1811" s="2">
        <v>18.3</v>
      </c>
      <c r="AY1811" s="2">
        <v>0.34</v>
      </c>
      <c r="AZ1811" s="2">
        <v>7.3</v>
      </c>
      <c r="BA1811" s="2">
        <v>0.9</v>
      </c>
      <c r="BB1811" s="2">
        <v>7.5</v>
      </c>
      <c r="BC1811" s="2">
        <v>2.9</v>
      </c>
      <c r="BD1811" s="2">
        <f>+AN1811*EXP(-0.0495*Y1811)</f>
        <v>2.2364728342272429</v>
      </c>
      <c r="BE1811" s="2">
        <f>+AO1811*EXP(-0.024*Y1811)</f>
        <v>10.533362938346574</v>
      </c>
    </row>
    <row r="1812" spans="1:57" x14ac:dyDescent="0.2">
      <c r="A1812" s="2" t="s">
        <v>4130</v>
      </c>
      <c r="B1812" s="2" t="s">
        <v>19</v>
      </c>
      <c r="C1812" s="2" t="s">
        <v>3245</v>
      </c>
      <c r="D1812" s="2" t="s">
        <v>21</v>
      </c>
      <c r="E1812" s="2" t="s">
        <v>2034</v>
      </c>
      <c r="F1812" s="2">
        <v>4</v>
      </c>
      <c r="G1812" s="2">
        <v>50</v>
      </c>
      <c r="H1812" s="2">
        <v>1</v>
      </c>
      <c r="I1812" s="2">
        <v>2</v>
      </c>
      <c r="J1812" s="2">
        <v>1</v>
      </c>
      <c r="K1812" s="2" t="s">
        <v>61</v>
      </c>
      <c r="L1812" s="6" t="s">
        <v>84</v>
      </c>
      <c r="M1812" s="5">
        <v>453000000</v>
      </c>
      <c r="N1812" s="2">
        <v>0</v>
      </c>
      <c r="O1812" s="2">
        <v>4.7220506670000004</v>
      </c>
      <c r="P1812" s="2">
        <v>-74.032043459999997</v>
      </c>
      <c r="Q1812" s="2" t="s">
        <v>4131</v>
      </c>
      <c r="R1812" s="2">
        <v>9060000</v>
      </c>
      <c r="S1812" s="2">
        <v>0</v>
      </c>
      <c r="T1812" s="2" t="s">
        <v>55</v>
      </c>
      <c r="U1812" s="2" t="s">
        <v>56</v>
      </c>
      <c r="V1812" s="2" t="s">
        <v>28</v>
      </c>
      <c r="W1812" s="2" t="s">
        <v>55</v>
      </c>
      <c r="X1812" s="2" t="s">
        <v>57</v>
      </c>
      <c r="Y1812" s="2">
        <v>1.3149568579447399</v>
      </c>
      <c r="Z1812" s="2">
        <v>4.71035</v>
      </c>
      <c r="AA1812" s="2">
        <v>-74.030416666666696</v>
      </c>
      <c r="AB1812" s="2">
        <v>2570</v>
      </c>
      <c r="AC1812" s="2" t="s">
        <v>31</v>
      </c>
      <c r="AD1812" s="2" t="s">
        <v>58</v>
      </c>
      <c r="AE1812" s="2" t="s">
        <v>33</v>
      </c>
      <c r="AF1812" s="2" t="s">
        <v>34</v>
      </c>
      <c r="AG1812" s="2" t="s">
        <v>59</v>
      </c>
      <c r="AH1812" s="2">
        <v>2.11431486501542</v>
      </c>
      <c r="AI1812" s="2">
        <v>0.97554476255918698</v>
      </c>
      <c r="AJ1812" s="2">
        <v>1.25242616911974</v>
      </c>
      <c r="AK1812" s="2">
        <v>0.14812248569073599</v>
      </c>
      <c r="AL1812" s="2">
        <v>3.1748441352047602E-2</v>
      </c>
      <c r="AM1812" s="2">
        <v>15.5</v>
      </c>
      <c r="AN1812" s="2">
        <v>2.4</v>
      </c>
      <c r="AO1812" s="2">
        <v>10.9</v>
      </c>
      <c r="AP1812" s="2">
        <v>564</v>
      </c>
      <c r="AQ1812" s="2">
        <v>68</v>
      </c>
      <c r="AR1812" s="2">
        <v>1.5</v>
      </c>
      <c r="AS1812" s="2">
        <v>135</v>
      </c>
      <c r="AT1812" s="2">
        <v>0</v>
      </c>
      <c r="AU1812" s="2">
        <v>162</v>
      </c>
      <c r="AV1812" s="2">
        <v>9.1</v>
      </c>
      <c r="AW1812" s="2">
        <v>9.1999999999999993</v>
      </c>
      <c r="AX1812" s="2">
        <v>18.3</v>
      </c>
      <c r="AY1812" s="2">
        <v>0.34</v>
      </c>
      <c r="AZ1812" s="2">
        <v>7.3</v>
      </c>
      <c r="BA1812" s="2">
        <v>0.9</v>
      </c>
      <c r="BB1812" s="2">
        <v>7.5</v>
      </c>
      <c r="BC1812" s="2">
        <v>2.9</v>
      </c>
      <c r="BD1812" s="2">
        <f>+AN1812*EXP(-0.0495*Y1812)</f>
        <v>2.2487586950403724</v>
      </c>
      <c r="BE1812" s="2">
        <f>+AO1812*EXP(-0.024*Y1812)</f>
        <v>10.561378659615766</v>
      </c>
    </row>
    <row r="1813" spans="1:57" x14ac:dyDescent="0.2">
      <c r="A1813" s="2" t="s">
        <v>4226</v>
      </c>
      <c r="B1813" s="2" t="s">
        <v>19</v>
      </c>
      <c r="C1813" s="2" t="s">
        <v>3245</v>
      </c>
      <c r="D1813" s="2" t="s">
        <v>21</v>
      </c>
      <c r="E1813" s="2" t="s">
        <v>2034</v>
      </c>
      <c r="F1813" s="2">
        <v>4</v>
      </c>
      <c r="G1813" s="2">
        <v>50</v>
      </c>
      <c r="H1813" s="2">
        <v>1</v>
      </c>
      <c r="I1813" s="2">
        <v>2</v>
      </c>
      <c r="J1813" s="2">
        <v>1</v>
      </c>
      <c r="K1813" s="2" t="s">
        <v>61</v>
      </c>
      <c r="L1813" s="6" t="s">
        <v>84</v>
      </c>
      <c r="M1813" s="5">
        <v>450000000</v>
      </c>
      <c r="N1813" s="2">
        <v>0</v>
      </c>
      <c r="O1813" s="2">
        <v>4.7220506670000004</v>
      </c>
      <c r="P1813" s="2">
        <v>-74.032043459999997</v>
      </c>
      <c r="Q1813" s="2" t="s">
        <v>4227</v>
      </c>
      <c r="R1813" s="2">
        <v>9000000</v>
      </c>
      <c r="S1813" s="2">
        <v>0</v>
      </c>
      <c r="T1813" s="2" t="s">
        <v>55</v>
      </c>
      <c r="U1813" s="2" t="s">
        <v>56</v>
      </c>
      <c r="V1813" s="2" t="s">
        <v>28</v>
      </c>
      <c r="W1813" s="2" t="s">
        <v>55</v>
      </c>
      <c r="X1813" s="2" t="s">
        <v>57</v>
      </c>
      <c r="Y1813" s="2">
        <v>1.3149568579447399</v>
      </c>
      <c r="Z1813" s="2">
        <v>4.71035</v>
      </c>
      <c r="AA1813" s="2">
        <v>-74.030416666666696</v>
      </c>
      <c r="AB1813" s="2">
        <v>2570</v>
      </c>
      <c r="AC1813" s="2" t="s">
        <v>31</v>
      </c>
      <c r="AD1813" s="2" t="s">
        <v>58</v>
      </c>
      <c r="AE1813" s="2" t="s">
        <v>33</v>
      </c>
      <c r="AF1813" s="2" t="s">
        <v>34</v>
      </c>
      <c r="AG1813" s="2" t="s">
        <v>59</v>
      </c>
      <c r="AH1813" s="2">
        <v>2.11431486501542</v>
      </c>
      <c r="AI1813" s="2">
        <v>0.97554476255918698</v>
      </c>
      <c r="AJ1813" s="2">
        <v>1.25242616911974</v>
      </c>
      <c r="AK1813" s="2">
        <v>0.14812248569073599</v>
      </c>
      <c r="AL1813" s="2">
        <v>3.1748441352047602E-2</v>
      </c>
      <c r="AM1813" s="2">
        <v>15.5</v>
      </c>
      <c r="AN1813" s="2">
        <v>2.4</v>
      </c>
      <c r="AO1813" s="2">
        <v>10.9</v>
      </c>
      <c r="AP1813" s="2">
        <v>564</v>
      </c>
      <c r="AQ1813" s="2">
        <v>68</v>
      </c>
      <c r="AR1813" s="2">
        <v>1.5</v>
      </c>
      <c r="AS1813" s="2">
        <v>135</v>
      </c>
      <c r="AT1813" s="2">
        <v>0</v>
      </c>
      <c r="AU1813" s="2">
        <v>162</v>
      </c>
      <c r="AV1813" s="2">
        <v>9.1</v>
      </c>
      <c r="AW1813" s="2">
        <v>9.1999999999999993</v>
      </c>
      <c r="AX1813" s="2">
        <v>18.3</v>
      </c>
      <c r="AY1813" s="2">
        <v>0.34</v>
      </c>
      <c r="AZ1813" s="2">
        <v>7.3</v>
      </c>
      <c r="BA1813" s="2">
        <v>0.9</v>
      </c>
      <c r="BB1813" s="2">
        <v>7.5</v>
      </c>
      <c r="BC1813" s="2">
        <v>2.9</v>
      </c>
      <c r="BD1813" s="2">
        <f>+AN1813*EXP(-0.0495*Y1813)</f>
        <v>2.2487586950403724</v>
      </c>
      <c r="BE1813" s="2">
        <f>+AO1813*EXP(-0.024*Y1813)</f>
        <v>10.561378659615766</v>
      </c>
    </row>
    <row r="1814" spans="1:57" x14ac:dyDescent="0.2">
      <c r="A1814" s="2" t="s">
        <v>4128</v>
      </c>
      <c r="B1814" s="2" t="s">
        <v>19</v>
      </c>
      <c r="C1814" s="2" t="s">
        <v>3245</v>
      </c>
      <c r="D1814" s="2" t="s">
        <v>21</v>
      </c>
      <c r="E1814" s="2" t="s">
        <v>342</v>
      </c>
      <c r="F1814" s="2">
        <v>5</v>
      </c>
      <c r="G1814" s="2">
        <v>49.8</v>
      </c>
      <c r="H1814" s="2">
        <v>1</v>
      </c>
      <c r="I1814" s="2">
        <v>2</v>
      </c>
      <c r="J1814" s="2">
        <v>1</v>
      </c>
      <c r="K1814" s="2" t="s">
        <v>61</v>
      </c>
      <c r="L1814" s="6" t="s">
        <v>62</v>
      </c>
      <c r="M1814" s="5">
        <v>440000000</v>
      </c>
      <c r="N1814" s="2">
        <v>0</v>
      </c>
      <c r="O1814" s="2">
        <v>4.7227873799999998</v>
      </c>
      <c r="P1814" s="2">
        <v>-74.050086980000003</v>
      </c>
      <c r="Q1814" s="2" t="s">
        <v>4129</v>
      </c>
      <c r="R1814" s="2">
        <v>8835341.3650000002</v>
      </c>
      <c r="S1814" s="2">
        <v>0</v>
      </c>
      <c r="T1814" s="2" t="s">
        <v>55</v>
      </c>
      <c r="U1814" s="2" t="s">
        <v>56</v>
      </c>
      <c r="V1814" s="2" t="s">
        <v>28</v>
      </c>
      <c r="W1814" s="2" t="s">
        <v>55</v>
      </c>
      <c r="X1814" s="2" t="s">
        <v>57</v>
      </c>
      <c r="Y1814" s="2">
        <v>2.5844194932821001</v>
      </c>
      <c r="Z1814" s="2">
        <v>4.71035</v>
      </c>
      <c r="AA1814" s="2">
        <v>-74.030416666666696</v>
      </c>
      <c r="AB1814" s="2">
        <v>2570</v>
      </c>
      <c r="AC1814" s="2" t="s">
        <v>31</v>
      </c>
      <c r="AD1814" s="2" t="s">
        <v>58</v>
      </c>
      <c r="AE1814" s="2" t="s">
        <v>33</v>
      </c>
      <c r="AF1814" s="2" t="s">
        <v>34</v>
      </c>
      <c r="AG1814" s="2" t="s">
        <v>59</v>
      </c>
      <c r="AH1814" s="2">
        <v>0.23571654685982299</v>
      </c>
      <c r="AI1814" s="2">
        <v>2.96119979621368</v>
      </c>
      <c r="AJ1814" s="2">
        <v>1.5819678302286699</v>
      </c>
      <c r="AK1814" s="2">
        <v>4.8722429490191899E-2</v>
      </c>
      <c r="AL1814" s="2">
        <v>0.21747968561880701</v>
      </c>
      <c r="AM1814" s="2">
        <v>15.5</v>
      </c>
      <c r="AN1814" s="2">
        <v>2.4</v>
      </c>
      <c r="AO1814" s="2">
        <v>10.9</v>
      </c>
      <c r="AP1814" s="2">
        <v>564</v>
      </c>
      <c r="AQ1814" s="2">
        <v>68</v>
      </c>
      <c r="AR1814" s="2">
        <v>1.5</v>
      </c>
      <c r="AS1814" s="2">
        <v>135</v>
      </c>
      <c r="AT1814" s="2">
        <v>0</v>
      </c>
      <c r="AU1814" s="2">
        <v>162</v>
      </c>
      <c r="AV1814" s="2">
        <v>9.1</v>
      </c>
      <c r="AW1814" s="2">
        <v>9.1999999999999993</v>
      </c>
      <c r="AX1814" s="2">
        <v>18.3</v>
      </c>
      <c r="AY1814" s="2">
        <v>0.34</v>
      </c>
      <c r="AZ1814" s="2">
        <v>7.3</v>
      </c>
      <c r="BA1814" s="2">
        <v>0.9</v>
      </c>
      <c r="BB1814" s="2">
        <v>7.5</v>
      </c>
      <c r="BC1814" s="2">
        <v>2.9</v>
      </c>
      <c r="BD1814" s="2">
        <f>+AN1814*EXP(-0.0495*Y1814)</f>
        <v>2.1117985387323839</v>
      </c>
      <c r="BE1814" s="2">
        <f>+AO1814*EXP(-0.024*Y1814)</f>
        <v>10.244456411704091</v>
      </c>
    </row>
    <row r="1815" spans="1:57" x14ac:dyDescent="0.2">
      <c r="A1815" s="2" t="s">
        <v>3729</v>
      </c>
      <c r="B1815" s="2" t="s">
        <v>19</v>
      </c>
      <c r="C1815" s="2" t="s">
        <v>3245</v>
      </c>
      <c r="D1815" s="2" t="s">
        <v>21</v>
      </c>
      <c r="E1815" s="2" t="s">
        <v>83</v>
      </c>
      <c r="F1815" s="2">
        <v>6</v>
      </c>
      <c r="G1815" s="2">
        <v>49.33</v>
      </c>
      <c r="H1815" s="2">
        <v>1</v>
      </c>
      <c r="I1815" s="2">
        <v>2</v>
      </c>
      <c r="J1815" s="2">
        <v>1</v>
      </c>
      <c r="K1815" s="2" t="s">
        <v>61</v>
      </c>
      <c r="L1815" s="6" t="s">
        <v>62</v>
      </c>
      <c r="M1815" s="5">
        <v>790162085</v>
      </c>
      <c r="N1815" s="2">
        <v>0</v>
      </c>
      <c r="O1815" s="2">
        <v>4.6846399999999999</v>
      </c>
      <c r="P1815" s="2">
        <v>-74.054289999999995</v>
      </c>
      <c r="Q1815" s="2" t="s">
        <v>3730</v>
      </c>
      <c r="R1815" s="2">
        <v>16017881.310000001</v>
      </c>
      <c r="S1815" s="2">
        <v>0</v>
      </c>
      <c r="T1815" s="2" t="s">
        <v>55</v>
      </c>
      <c r="U1815" s="2" t="s">
        <v>56</v>
      </c>
      <c r="V1815" s="2" t="s">
        <v>28</v>
      </c>
      <c r="W1815" s="2" t="s">
        <v>55</v>
      </c>
      <c r="X1815" s="2" t="s">
        <v>57</v>
      </c>
      <c r="Y1815" s="2">
        <v>3.8995484543052199</v>
      </c>
      <c r="Z1815" s="2">
        <v>4.71035</v>
      </c>
      <c r="AA1815" s="2">
        <v>-74.030416666666696</v>
      </c>
      <c r="AB1815" s="2">
        <v>2570</v>
      </c>
      <c r="AC1815" s="2" t="s">
        <v>31</v>
      </c>
      <c r="AD1815" s="2" t="s">
        <v>58</v>
      </c>
      <c r="AE1815" s="2" t="s">
        <v>33</v>
      </c>
      <c r="AF1815" s="2" t="s">
        <v>34</v>
      </c>
      <c r="AG1815" s="2" t="s">
        <v>81</v>
      </c>
      <c r="AH1815" s="2">
        <v>0.38706304438813999</v>
      </c>
      <c r="AI1815" s="2">
        <v>2.0174504722659199</v>
      </c>
      <c r="AJ1815" s="2">
        <v>0.20565440530319301</v>
      </c>
      <c r="AK1815" s="2">
        <v>8.9192608910603904E-2</v>
      </c>
      <c r="AL1815" s="2">
        <v>0.44883987910914802</v>
      </c>
      <c r="AM1815" s="2">
        <v>15.5</v>
      </c>
      <c r="AN1815" s="2">
        <v>2.4</v>
      </c>
      <c r="AO1815" s="2">
        <v>10.9</v>
      </c>
      <c r="AP1815" s="2">
        <v>564</v>
      </c>
      <c r="AQ1815" s="2">
        <v>68</v>
      </c>
      <c r="AR1815" s="2">
        <v>1.5</v>
      </c>
      <c r="AS1815" s="2">
        <v>135</v>
      </c>
      <c r="AT1815" s="2">
        <v>0</v>
      </c>
      <c r="AU1815" s="2">
        <v>162</v>
      </c>
      <c r="AV1815" s="2">
        <v>9.1</v>
      </c>
      <c r="AW1815" s="2">
        <v>9.1999999999999993</v>
      </c>
      <c r="AX1815" s="2">
        <v>18.3</v>
      </c>
      <c r="AY1815" s="2">
        <v>0.34</v>
      </c>
      <c r="AZ1815" s="2">
        <v>7.3</v>
      </c>
      <c r="BA1815" s="2">
        <v>0.9</v>
      </c>
      <c r="BB1815" s="2">
        <v>7.5</v>
      </c>
      <c r="BC1815" s="2">
        <v>2.9</v>
      </c>
      <c r="BD1815" s="2">
        <f>+AN1815*EXP(-0.0495*Y1815)</f>
        <v>1.9787020290580337</v>
      </c>
      <c r="BE1815" s="2">
        <f>+AO1815*EXP(-0.024*Y1815)</f>
        <v>9.9261593053052692</v>
      </c>
    </row>
    <row r="1816" spans="1:57" x14ac:dyDescent="0.2">
      <c r="A1816" s="2" t="s">
        <v>1388</v>
      </c>
      <c r="B1816" s="2" t="s">
        <v>19</v>
      </c>
      <c r="C1816" s="2" t="s">
        <v>20</v>
      </c>
      <c r="D1816" s="2" t="s">
        <v>21</v>
      </c>
      <c r="E1816" s="2" t="s">
        <v>53</v>
      </c>
      <c r="F1816" s="2">
        <v>5</v>
      </c>
      <c r="G1816" s="2">
        <v>49</v>
      </c>
      <c r="H1816" s="2">
        <v>1</v>
      </c>
      <c r="I1816" s="2">
        <v>2</v>
      </c>
      <c r="J1816" s="2">
        <v>1</v>
      </c>
      <c r="K1816" s="2" t="s">
        <v>61</v>
      </c>
      <c r="L1816" s="6" t="s">
        <v>113</v>
      </c>
      <c r="M1816" s="5">
        <v>580000000</v>
      </c>
      <c r="N1816" s="2">
        <v>0</v>
      </c>
      <c r="O1816" s="2">
        <v>4.6983525999999998</v>
      </c>
      <c r="P1816" s="2">
        <v>-74.044309400000003</v>
      </c>
      <c r="Q1816" s="2" t="s">
        <v>1389</v>
      </c>
      <c r="R1816" s="2">
        <v>11836734.689999999</v>
      </c>
      <c r="S1816" s="2">
        <v>0</v>
      </c>
      <c r="T1816" s="2" t="s">
        <v>55</v>
      </c>
      <c r="U1816" s="2" t="s">
        <v>56</v>
      </c>
      <c r="V1816" s="2" t="s">
        <v>28</v>
      </c>
      <c r="W1816" s="2" t="s">
        <v>55</v>
      </c>
      <c r="X1816" s="2" t="s">
        <v>57</v>
      </c>
      <c r="Y1816" s="2">
        <v>2.0394490552370499</v>
      </c>
      <c r="Z1816" s="2">
        <v>4.71035</v>
      </c>
      <c r="AA1816" s="2">
        <v>-74.030416666666696</v>
      </c>
      <c r="AB1816" s="2">
        <v>2570</v>
      </c>
      <c r="AC1816" s="2" t="s">
        <v>31</v>
      </c>
      <c r="AD1816" s="2" t="s">
        <v>58</v>
      </c>
      <c r="AE1816" s="2" t="s">
        <v>33</v>
      </c>
      <c r="AF1816" s="2" t="s">
        <v>34</v>
      </c>
      <c r="AG1816" s="2" t="s">
        <v>59</v>
      </c>
      <c r="AH1816" s="2">
        <v>1.21984419588985</v>
      </c>
      <c r="AI1816" s="2">
        <v>2.0443647767368698</v>
      </c>
      <c r="AJ1816" s="2">
        <v>0.83071195321612401</v>
      </c>
      <c r="AK1816" s="2">
        <v>9.5010979859334502E-2</v>
      </c>
      <c r="AL1816" s="2">
        <v>0.173164669703811</v>
      </c>
      <c r="AM1816" s="2">
        <v>15.5</v>
      </c>
      <c r="AN1816" s="2">
        <v>2.4</v>
      </c>
      <c r="AO1816" s="2">
        <v>10.9</v>
      </c>
      <c r="AP1816" s="2">
        <v>564</v>
      </c>
      <c r="AQ1816" s="2">
        <v>68</v>
      </c>
      <c r="AR1816" s="2">
        <v>1.5</v>
      </c>
      <c r="AS1816" s="2">
        <v>135</v>
      </c>
      <c r="AT1816" s="2">
        <v>0</v>
      </c>
      <c r="AU1816" s="2">
        <v>162</v>
      </c>
      <c r="AV1816" s="2">
        <v>9.1</v>
      </c>
      <c r="AW1816" s="2">
        <v>9.1999999999999993</v>
      </c>
      <c r="AX1816" s="2">
        <v>18.3</v>
      </c>
      <c r="AY1816" s="2">
        <v>0.34</v>
      </c>
      <c r="AZ1816" s="2">
        <v>7.3</v>
      </c>
      <c r="BA1816" s="2">
        <v>0.9</v>
      </c>
      <c r="BB1816" s="2">
        <v>7.5</v>
      </c>
      <c r="BC1816" s="2">
        <v>2.9</v>
      </c>
      <c r="BD1816" s="2">
        <f>+AN1816*EXP(-0.0495*Y1816)</f>
        <v>2.1695418345754849</v>
      </c>
      <c r="BE1816" s="2">
        <f>+AO1816*EXP(-0.024*Y1816)</f>
        <v>10.379326714538742</v>
      </c>
    </row>
    <row r="1817" spans="1:57" x14ac:dyDescent="0.2">
      <c r="A1817" s="2" t="s">
        <v>4115</v>
      </c>
      <c r="B1817" s="2" t="s">
        <v>19</v>
      </c>
      <c r="C1817" s="2" t="s">
        <v>3245</v>
      </c>
      <c r="D1817" s="2" t="s">
        <v>21</v>
      </c>
      <c r="E1817" s="2" t="s">
        <v>4116</v>
      </c>
      <c r="F1817" s="2">
        <v>4</v>
      </c>
      <c r="G1817" s="2">
        <v>49</v>
      </c>
      <c r="H1817" s="2">
        <v>1</v>
      </c>
      <c r="I1817" s="2">
        <v>2</v>
      </c>
      <c r="J1817" s="2">
        <v>1</v>
      </c>
      <c r="K1817" s="2" t="s">
        <v>61</v>
      </c>
      <c r="L1817" s="6" t="s">
        <v>75</v>
      </c>
      <c r="M1817" s="5">
        <v>339999000</v>
      </c>
      <c r="N1817" s="2">
        <v>0</v>
      </c>
      <c r="O1817" s="2">
        <v>4.72349</v>
      </c>
      <c r="P1817" s="2">
        <v>-74.031329999999997</v>
      </c>
      <c r="Q1817" s="2" t="s">
        <v>4117</v>
      </c>
      <c r="R1817" s="2">
        <v>6938755.102</v>
      </c>
      <c r="S1817" s="2">
        <v>0</v>
      </c>
      <c r="T1817" s="2" t="s">
        <v>55</v>
      </c>
      <c r="U1817" s="2" t="s">
        <v>56</v>
      </c>
      <c r="V1817" s="2" t="s">
        <v>28</v>
      </c>
      <c r="W1817" s="2" t="s">
        <v>55</v>
      </c>
      <c r="X1817" s="2" t="s">
        <v>57</v>
      </c>
      <c r="Y1817" s="2">
        <v>1.46624350927435</v>
      </c>
      <c r="Z1817" s="2">
        <v>4.71035</v>
      </c>
      <c r="AA1817" s="2">
        <v>-74.030416666666696</v>
      </c>
      <c r="AB1817" s="2">
        <v>2570</v>
      </c>
      <c r="AC1817" s="2" t="s">
        <v>31</v>
      </c>
      <c r="AD1817" s="2" t="s">
        <v>58</v>
      </c>
      <c r="AE1817" s="2" t="s">
        <v>33</v>
      </c>
      <c r="AF1817" s="2" t="s">
        <v>34</v>
      </c>
      <c r="AG1817" s="2" t="s">
        <v>59</v>
      </c>
      <c r="AH1817" s="2">
        <v>2.1579963479130999</v>
      </c>
      <c r="AI1817" s="2">
        <v>0.95551247496651703</v>
      </c>
      <c r="AJ1817" s="2">
        <v>1.41276782757942</v>
      </c>
      <c r="AK1817" s="2">
        <v>0.11697480823692701</v>
      </c>
      <c r="AL1817" s="2">
        <v>0.14555270204391901</v>
      </c>
      <c r="AM1817" s="2">
        <v>15.5</v>
      </c>
      <c r="AN1817" s="2">
        <v>2.4</v>
      </c>
      <c r="AO1817" s="2">
        <v>10.9</v>
      </c>
      <c r="AP1817" s="2">
        <v>564</v>
      </c>
      <c r="AQ1817" s="2">
        <v>68</v>
      </c>
      <c r="AR1817" s="2">
        <v>1.5</v>
      </c>
      <c r="AS1817" s="2">
        <v>135</v>
      </c>
      <c r="AT1817" s="2">
        <v>0</v>
      </c>
      <c r="AU1817" s="2">
        <v>162</v>
      </c>
      <c r="AV1817" s="2">
        <v>9.1</v>
      </c>
      <c r="AW1817" s="2">
        <v>9.1999999999999993</v>
      </c>
      <c r="AX1817" s="2">
        <v>18.3</v>
      </c>
      <c r="AY1817" s="2">
        <v>0.34</v>
      </c>
      <c r="AZ1817" s="2">
        <v>7.3</v>
      </c>
      <c r="BA1817" s="2">
        <v>0.9</v>
      </c>
      <c r="BB1817" s="2">
        <v>7.5</v>
      </c>
      <c r="BC1817" s="2">
        <v>2.9</v>
      </c>
      <c r="BD1817" s="2">
        <f>+AN1817*EXP(-0.0495*Y1817)</f>
        <v>2.231981338606698</v>
      </c>
      <c r="BE1817" s="2">
        <f>+AO1817*EXP(-0.024*Y1817)</f>
        <v>10.523101097617777</v>
      </c>
    </row>
    <row r="1818" spans="1:57" x14ac:dyDescent="0.2">
      <c r="A1818" s="2" t="s">
        <v>3449</v>
      </c>
      <c r="B1818" s="2" t="s">
        <v>19</v>
      </c>
      <c r="C1818" s="2" t="s">
        <v>3245</v>
      </c>
      <c r="D1818" s="2" t="s">
        <v>21</v>
      </c>
      <c r="E1818" s="2" t="s">
        <v>161</v>
      </c>
      <c r="F1818" s="2">
        <v>6</v>
      </c>
      <c r="G1818" s="2">
        <v>48.9</v>
      </c>
      <c r="H1818" s="2">
        <v>1</v>
      </c>
      <c r="I1818" s="2">
        <v>2</v>
      </c>
      <c r="J1818" s="2">
        <v>1</v>
      </c>
      <c r="K1818" s="2" t="s">
        <v>61</v>
      </c>
      <c r="L1818" s="6" t="s">
        <v>75</v>
      </c>
      <c r="M1818" s="5">
        <v>420000000</v>
      </c>
      <c r="N1818" s="2">
        <v>0</v>
      </c>
      <c r="O1818" s="2">
        <v>4.697971667</v>
      </c>
      <c r="P1818" s="2">
        <v>-74.051457099999993</v>
      </c>
      <c r="Q1818" s="2" t="s">
        <v>3450</v>
      </c>
      <c r="R1818" s="2">
        <v>8588957.0549999997</v>
      </c>
      <c r="S1818" s="2">
        <v>0</v>
      </c>
      <c r="T1818" s="2" t="s">
        <v>55</v>
      </c>
      <c r="U1818" s="2" t="s">
        <v>56</v>
      </c>
      <c r="V1818" s="2" t="s">
        <v>28</v>
      </c>
      <c r="W1818" s="2" t="s">
        <v>55</v>
      </c>
      <c r="X1818" s="2" t="s">
        <v>57</v>
      </c>
      <c r="Y1818" s="2">
        <v>2.7106820757914298</v>
      </c>
      <c r="Z1818" s="2">
        <v>4.71035</v>
      </c>
      <c r="AA1818" s="2">
        <v>-74.030416666666696</v>
      </c>
      <c r="AB1818" s="2">
        <v>2570</v>
      </c>
      <c r="AC1818" s="2" t="s">
        <v>31</v>
      </c>
      <c r="AD1818" s="2" t="s">
        <v>58</v>
      </c>
      <c r="AE1818" s="2" t="s">
        <v>33</v>
      </c>
      <c r="AF1818" s="2" t="s">
        <v>34</v>
      </c>
      <c r="AG1818" s="2" t="s">
        <v>59</v>
      </c>
      <c r="AH1818" s="2">
        <v>0.427412937470523</v>
      </c>
      <c r="AI1818" s="2">
        <v>2.7230462589442701</v>
      </c>
      <c r="AJ1818" s="2">
        <v>0.54683136637382801</v>
      </c>
      <c r="AK1818" s="2">
        <v>0.11685181900100799</v>
      </c>
      <c r="AL1818" s="2">
        <v>0.33901773376515199</v>
      </c>
      <c r="AM1818" s="2">
        <v>15.5</v>
      </c>
      <c r="AN1818" s="2">
        <v>2.4</v>
      </c>
      <c r="AO1818" s="2">
        <v>10.9</v>
      </c>
      <c r="AP1818" s="2">
        <v>564</v>
      </c>
      <c r="AQ1818" s="2">
        <v>68</v>
      </c>
      <c r="AR1818" s="2">
        <v>1.5</v>
      </c>
      <c r="AS1818" s="2">
        <v>135</v>
      </c>
      <c r="AT1818" s="2">
        <v>0</v>
      </c>
      <c r="AU1818" s="2">
        <v>162</v>
      </c>
      <c r="AV1818" s="2">
        <v>9.1</v>
      </c>
      <c r="AW1818" s="2">
        <v>9.1999999999999993</v>
      </c>
      <c r="AX1818" s="2">
        <v>18.3</v>
      </c>
      <c r="AY1818" s="2">
        <v>0.34</v>
      </c>
      <c r="AZ1818" s="2">
        <v>7.3</v>
      </c>
      <c r="BA1818" s="2">
        <v>0.9</v>
      </c>
      <c r="BB1818" s="2">
        <v>7.5</v>
      </c>
      <c r="BC1818" s="2">
        <v>2.9</v>
      </c>
      <c r="BD1818" s="2">
        <f>+AN1818*EXP(-0.0495*Y1818)</f>
        <v>2.0986409626805225</v>
      </c>
      <c r="BE1818" s="2">
        <f>+AO1818*EXP(-0.024*Y1818)</f>
        <v>10.213459603717302</v>
      </c>
    </row>
    <row r="1819" spans="1:57" x14ac:dyDescent="0.2">
      <c r="A1819" s="2" t="s">
        <v>720</v>
      </c>
      <c r="B1819" s="2" t="s">
        <v>19</v>
      </c>
      <c r="C1819" s="2" t="s">
        <v>20</v>
      </c>
      <c r="D1819" s="2" t="s">
        <v>21</v>
      </c>
      <c r="E1819" s="2" t="s">
        <v>311</v>
      </c>
      <c r="F1819" s="2">
        <v>4</v>
      </c>
      <c r="G1819" s="2">
        <v>48</v>
      </c>
      <c r="H1819" s="2">
        <v>3</v>
      </c>
      <c r="I1819" s="2">
        <v>2</v>
      </c>
      <c r="J1819" s="2">
        <v>0</v>
      </c>
      <c r="K1819" s="2" t="s">
        <v>61</v>
      </c>
      <c r="L1819" s="6" t="s">
        <v>113</v>
      </c>
      <c r="M1819" s="5">
        <v>250000000</v>
      </c>
      <c r="N1819" s="2">
        <v>0</v>
      </c>
      <c r="O1819" s="2">
        <v>4.7402482030000002</v>
      </c>
      <c r="P1819" s="2">
        <v>-74.035621640000002</v>
      </c>
      <c r="Q1819" s="2" t="s">
        <v>721</v>
      </c>
      <c r="R1819" s="2">
        <v>5208333.3329999996</v>
      </c>
      <c r="S1819" s="2">
        <v>0</v>
      </c>
      <c r="T1819" s="2" t="s">
        <v>55</v>
      </c>
      <c r="U1819" s="2" t="s">
        <v>56</v>
      </c>
      <c r="V1819" s="2" t="s">
        <v>28</v>
      </c>
      <c r="W1819" s="2" t="s">
        <v>55</v>
      </c>
      <c r="X1819" s="2" t="s">
        <v>57</v>
      </c>
      <c r="Y1819" s="2">
        <v>3.3779741986740501</v>
      </c>
      <c r="Z1819" s="2">
        <v>4.71035</v>
      </c>
      <c r="AA1819" s="2">
        <v>-74.030416666666696</v>
      </c>
      <c r="AB1819" s="2">
        <v>2570</v>
      </c>
      <c r="AC1819" s="2" t="s">
        <v>31</v>
      </c>
      <c r="AD1819" s="2" t="s">
        <v>58</v>
      </c>
      <c r="AE1819" s="2" t="s">
        <v>33</v>
      </c>
      <c r="AF1819" s="2" t="s">
        <v>34</v>
      </c>
      <c r="AG1819" s="2" t="s">
        <v>59</v>
      </c>
      <c r="AH1819" s="2">
        <v>1.3847466599181799</v>
      </c>
      <c r="AI1819" s="2">
        <v>1.7191659939108701</v>
      </c>
      <c r="AJ1819" s="2">
        <v>0.94604127373049796</v>
      </c>
      <c r="AK1819" s="2">
        <v>0.23014537760988901</v>
      </c>
      <c r="AL1819" s="2">
        <v>0.13545725174748499</v>
      </c>
      <c r="AM1819" s="2">
        <v>15.5</v>
      </c>
      <c r="AN1819" s="2">
        <v>2.4</v>
      </c>
      <c r="AO1819" s="2">
        <v>10.9</v>
      </c>
      <c r="AP1819" s="2">
        <v>564</v>
      </c>
      <c r="AQ1819" s="2">
        <v>68</v>
      </c>
      <c r="AR1819" s="2">
        <v>1.5</v>
      </c>
      <c r="AS1819" s="2">
        <v>135</v>
      </c>
      <c r="AT1819" s="2">
        <v>0</v>
      </c>
      <c r="AU1819" s="2">
        <v>162</v>
      </c>
      <c r="AV1819" s="2">
        <v>9.1</v>
      </c>
      <c r="AW1819" s="2">
        <v>9.1999999999999993</v>
      </c>
      <c r="AX1819" s="2">
        <v>18.3</v>
      </c>
      <c r="AY1819" s="2">
        <v>0.34</v>
      </c>
      <c r="AZ1819" s="2">
        <v>7.3</v>
      </c>
      <c r="BA1819" s="2">
        <v>0.9</v>
      </c>
      <c r="BB1819" s="2">
        <v>7.5</v>
      </c>
      <c r="BC1819" s="2">
        <v>2.9</v>
      </c>
      <c r="BD1819" s="2">
        <f>+AN1819*EXP(-0.0495*Y1819)</f>
        <v>2.0304531901546556</v>
      </c>
      <c r="BE1819" s="2">
        <f>+AO1819*EXP(-0.024*Y1819)</f>
        <v>10.051193749208212</v>
      </c>
    </row>
    <row r="1820" spans="1:57" x14ac:dyDescent="0.2">
      <c r="A1820" s="2" t="s">
        <v>3913</v>
      </c>
      <c r="B1820" s="2" t="s">
        <v>19</v>
      </c>
      <c r="C1820" s="2" t="s">
        <v>3245</v>
      </c>
      <c r="D1820" s="2" t="s">
        <v>21</v>
      </c>
      <c r="E1820" s="2" t="s">
        <v>288</v>
      </c>
      <c r="F1820" s="2">
        <v>5</v>
      </c>
      <c r="G1820" s="2">
        <v>48</v>
      </c>
      <c r="H1820" s="2">
        <v>1</v>
      </c>
      <c r="I1820" s="2">
        <v>2</v>
      </c>
      <c r="J1820" s="2">
        <v>1</v>
      </c>
      <c r="K1820" s="2" t="s">
        <v>61</v>
      </c>
      <c r="L1820" s="6" t="s">
        <v>75</v>
      </c>
      <c r="M1820" s="5">
        <v>440000000</v>
      </c>
      <c r="N1820" s="2">
        <v>0</v>
      </c>
      <c r="O1820" s="2">
        <v>4.704978466</v>
      </c>
      <c r="P1820" s="2">
        <v>-74.053283690000001</v>
      </c>
      <c r="Q1820" s="2" t="s">
        <v>3914</v>
      </c>
      <c r="R1820" s="2">
        <v>9166666.6669999994</v>
      </c>
      <c r="S1820" s="2">
        <v>0</v>
      </c>
      <c r="T1820" s="2" t="s">
        <v>55</v>
      </c>
      <c r="U1820" s="2" t="s">
        <v>56</v>
      </c>
      <c r="V1820" s="2" t="s">
        <v>28</v>
      </c>
      <c r="W1820" s="2" t="s">
        <v>55</v>
      </c>
      <c r="X1820" s="2" t="s">
        <v>57</v>
      </c>
      <c r="Y1820" s="2">
        <v>2.6064739960338099</v>
      </c>
      <c r="Z1820" s="2">
        <v>4.71035</v>
      </c>
      <c r="AA1820" s="2">
        <v>-74.030416666666696</v>
      </c>
      <c r="AB1820" s="2">
        <v>2570</v>
      </c>
      <c r="AC1820" s="2" t="s">
        <v>31</v>
      </c>
      <c r="AD1820" s="2" t="s">
        <v>58</v>
      </c>
      <c r="AE1820" s="2" t="s">
        <v>33</v>
      </c>
      <c r="AF1820" s="2" t="s">
        <v>34</v>
      </c>
      <c r="AG1820" s="2" t="s">
        <v>59</v>
      </c>
      <c r="AH1820" s="2">
        <v>0.110900410067772</v>
      </c>
      <c r="AI1820" s="2">
        <v>3.0875107404130899</v>
      </c>
      <c r="AJ1820" s="2">
        <v>1.3462759667984201</v>
      </c>
      <c r="AK1820" s="2">
        <v>5.1949365326392702E-2</v>
      </c>
      <c r="AL1820" s="2">
        <v>0.27271837964969498</v>
      </c>
      <c r="AM1820" s="2">
        <v>15.5</v>
      </c>
      <c r="AN1820" s="2">
        <v>2.4</v>
      </c>
      <c r="AO1820" s="2">
        <v>10.9</v>
      </c>
      <c r="AP1820" s="2">
        <v>564</v>
      </c>
      <c r="AQ1820" s="2">
        <v>68</v>
      </c>
      <c r="AR1820" s="2">
        <v>1.5</v>
      </c>
      <c r="AS1820" s="2">
        <v>135</v>
      </c>
      <c r="AT1820" s="2">
        <v>0</v>
      </c>
      <c r="AU1820" s="2">
        <v>162</v>
      </c>
      <c r="AV1820" s="2">
        <v>9.1</v>
      </c>
      <c r="AW1820" s="2">
        <v>9.1999999999999993</v>
      </c>
      <c r="AX1820" s="2">
        <v>18.3</v>
      </c>
      <c r="AY1820" s="2">
        <v>0.34</v>
      </c>
      <c r="AZ1820" s="2">
        <v>7.3</v>
      </c>
      <c r="BA1820" s="2">
        <v>0.9</v>
      </c>
      <c r="BB1820" s="2">
        <v>7.5</v>
      </c>
      <c r="BC1820" s="2">
        <v>2.9</v>
      </c>
      <c r="BD1820" s="2">
        <f>+AN1820*EXP(-0.0495*Y1820)</f>
        <v>2.1094943506989972</v>
      </c>
      <c r="BE1820" s="2">
        <f>+AO1820*EXP(-0.024*Y1820)</f>
        <v>10.23903537311946</v>
      </c>
    </row>
    <row r="1821" spans="1:57" x14ac:dyDescent="0.2">
      <c r="A1821" s="2" t="s">
        <v>1801</v>
      </c>
      <c r="B1821" s="2" t="s">
        <v>19</v>
      </c>
      <c r="C1821" s="2" t="s">
        <v>20</v>
      </c>
      <c r="D1821" s="2" t="s">
        <v>21</v>
      </c>
      <c r="E1821" s="2" t="s">
        <v>186</v>
      </c>
      <c r="F1821" s="2">
        <v>6</v>
      </c>
      <c r="G1821" s="2">
        <v>48</v>
      </c>
      <c r="H1821" s="2">
        <v>1</v>
      </c>
      <c r="I1821" s="2">
        <v>2</v>
      </c>
      <c r="J1821" s="2">
        <v>1</v>
      </c>
      <c r="K1821" s="2" t="s">
        <v>61</v>
      </c>
      <c r="L1821" s="6" t="s">
        <v>113</v>
      </c>
      <c r="M1821" s="5">
        <v>450000000</v>
      </c>
      <c r="N1821" s="2">
        <v>0</v>
      </c>
      <c r="O1821" s="2">
        <v>4.7061352999999997</v>
      </c>
      <c r="P1821" s="2">
        <v>-74.039959999999994</v>
      </c>
      <c r="Q1821" s="2" t="s">
        <v>1802</v>
      </c>
      <c r="R1821" s="2">
        <v>9375000</v>
      </c>
      <c r="S1821" s="2">
        <v>0</v>
      </c>
      <c r="T1821" s="2" t="s">
        <v>55</v>
      </c>
      <c r="U1821" s="2" t="s">
        <v>56</v>
      </c>
      <c r="V1821" s="2" t="s">
        <v>28</v>
      </c>
      <c r="W1821" s="2" t="s">
        <v>55</v>
      </c>
      <c r="X1821" s="2" t="s">
        <v>57</v>
      </c>
      <c r="Y1821" s="2">
        <v>1.15807209710926</v>
      </c>
      <c r="Z1821" s="2">
        <v>4.71035</v>
      </c>
      <c r="AA1821" s="2">
        <v>-74.030416666666696</v>
      </c>
      <c r="AB1821" s="2">
        <v>2570</v>
      </c>
      <c r="AC1821" s="2" t="s">
        <v>31</v>
      </c>
      <c r="AD1821" s="2" t="s">
        <v>58</v>
      </c>
      <c r="AE1821" s="2" t="s">
        <v>33</v>
      </c>
      <c r="AF1821" s="2" t="s">
        <v>34</v>
      </c>
      <c r="AG1821" s="2" t="s">
        <v>59</v>
      </c>
      <c r="AH1821" s="2">
        <v>1.5902854173896299</v>
      </c>
      <c r="AI1821" s="2">
        <v>1.6519345071079099</v>
      </c>
      <c r="AJ1821" s="2">
        <v>0.94507456663502598</v>
      </c>
      <c r="AK1821" s="2">
        <v>0.22765605322267601</v>
      </c>
      <c r="AL1821" s="2">
        <v>0.23576107189991599</v>
      </c>
      <c r="AM1821" s="2">
        <v>15.5</v>
      </c>
      <c r="AN1821" s="2">
        <v>2.4</v>
      </c>
      <c r="AO1821" s="2">
        <v>10.9</v>
      </c>
      <c r="AP1821" s="2">
        <v>564</v>
      </c>
      <c r="AQ1821" s="2">
        <v>68</v>
      </c>
      <c r="AR1821" s="2">
        <v>1.5</v>
      </c>
      <c r="AS1821" s="2">
        <v>135</v>
      </c>
      <c r="AT1821" s="2">
        <v>0</v>
      </c>
      <c r="AU1821" s="2">
        <v>162</v>
      </c>
      <c r="AV1821" s="2">
        <v>9.1</v>
      </c>
      <c r="AW1821" s="2">
        <v>9.1999999999999993</v>
      </c>
      <c r="AX1821" s="2">
        <v>18.3</v>
      </c>
      <c r="AY1821" s="2">
        <v>0.34</v>
      </c>
      <c r="AZ1821" s="2">
        <v>7.3</v>
      </c>
      <c r="BA1821" s="2">
        <v>0.9</v>
      </c>
      <c r="BB1821" s="2">
        <v>7.5</v>
      </c>
      <c r="BC1821" s="2">
        <v>2.9</v>
      </c>
      <c r="BD1821" s="2">
        <f>+AN1821*EXP(-0.0495*Y1821)</f>
        <v>2.2662900800282944</v>
      </c>
      <c r="BE1821" s="2">
        <f>+AO1821*EXP(-0.024*Y1821)</f>
        <v>10.601219682702066</v>
      </c>
    </row>
    <row r="1822" spans="1:57" x14ac:dyDescent="0.2">
      <c r="A1822" s="2" t="s">
        <v>3782</v>
      </c>
      <c r="B1822" s="2" t="s">
        <v>19</v>
      </c>
      <c r="C1822" s="2" t="s">
        <v>3245</v>
      </c>
      <c r="D1822" s="2" t="s">
        <v>21</v>
      </c>
      <c r="E1822" s="2" t="s">
        <v>213</v>
      </c>
      <c r="F1822" s="2">
        <v>5</v>
      </c>
      <c r="G1822" s="2">
        <v>48</v>
      </c>
      <c r="H1822" s="2">
        <v>1</v>
      </c>
      <c r="I1822" s="2">
        <v>2</v>
      </c>
      <c r="J1822" s="2">
        <v>1</v>
      </c>
      <c r="K1822" s="2" t="s">
        <v>61</v>
      </c>
      <c r="L1822" s="6" t="s">
        <v>62</v>
      </c>
      <c r="M1822" s="5">
        <v>600000000</v>
      </c>
      <c r="N1822" s="2">
        <v>0</v>
      </c>
      <c r="O1822" s="2">
        <v>4.7040576930000002</v>
      </c>
      <c r="P1822" s="2">
        <v>-74.031150819999993</v>
      </c>
      <c r="Q1822" s="2" t="s">
        <v>3783</v>
      </c>
      <c r="R1822" s="2">
        <v>12500000</v>
      </c>
      <c r="S1822" s="2">
        <v>0</v>
      </c>
      <c r="T1822" s="2" t="s">
        <v>55</v>
      </c>
      <c r="U1822" s="2" t="s">
        <v>56</v>
      </c>
      <c r="V1822" s="2" t="s">
        <v>28</v>
      </c>
      <c r="W1822" s="2" t="s">
        <v>55</v>
      </c>
      <c r="X1822" s="2" t="s">
        <v>57</v>
      </c>
      <c r="Y1822" s="2">
        <v>0.70517605856571597</v>
      </c>
      <c r="Z1822" s="2">
        <v>4.71035</v>
      </c>
      <c r="AA1822" s="2">
        <v>-74.030416666666696</v>
      </c>
      <c r="AB1822" s="2">
        <v>2570</v>
      </c>
      <c r="AC1822" s="2" t="s">
        <v>31</v>
      </c>
      <c r="AD1822" s="2" t="s">
        <v>58</v>
      </c>
      <c r="AE1822" s="2" t="s">
        <v>33</v>
      </c>
      <c r="AF1822" s="2" t="s">
        <v>34</v>
      </c>
      <c r="AG1822" s="2" t="s">
        <v>59</v>
      </c>
      <c r="AH1822" s="2">
        <v>2.5592123684417398</v>
      </c>
      <c r="AI1822" s="2">
        <v>0.64980499827965199</v>
      </c>
      <c r="AJ1822" s="2">
        <v>0.33441724532536299</v>
      </c>
      <c r="AK1822" s="2">
        <v>9.4708761285465598E-2</v>
      </c>
      <c r="AL1822" s="2">
        <v>0.31034425686828898</v>
      </c>
      <c r="AM1822" s="2">
        <v>15.5</v>
      </c>
      <c r="AN1822" s="2">
        <v>2.4</v>
      </c>
      <c r="AO1822" s="2">
        <v>10.9</v>
      </c>
      <c r="AP1822" s="2">
        <v>564</v>
      </c>
      <c r="AQ1822" s="2">
        <v>68</v>
      </c>
      <c r="AR1822" s="2">
        <v>1.5</v>
      </c>
      <c r="AS1822" s="2">
        <v>135</v>
      </c>
      <c r="AT1822" s="2">
        <v>0</v>
      </c>
      <c r="AU1822" s="2">
        <v>162</v>
      </c>
      <c r="AV1822" s="2">
        <v>9.1</v>
      </c>
      <c r="AW1822" s="2">
        <v>9.1999999999999993</v>
      </c>
      <c r="AX1822" s="2">
        <v>18.3</v>
      </c>
      <c r="AY1822" s="2">
        <v>0.34</v>
      </c>
      <c r="AZ1822" s="2">
        <v>7.3</v>
      </c>
      <c r="BA1822" s="2">
        <v>0.9</v>
      </c>
      <c r="BB1822" s="2">
        <v>7.5</v>
      </c>
      <c r="BC1822" s="2">
        <v>2.9</v>
      </c>
      <c r="BD1822" s="2">
        <f>+AN1822*EXP(-0.0495*Y1822)</f>
        <v>2.3176703517737938</v>
      </c>
      <c r="BE1822" s="2">
        <f>+AO1822*EXP(-0.024*Y1822)</f>
        <v>10.717078214008755</v>
      </c>
    </row>
    <row r="1823" spans="1:57" x14ac:dyDescent="0.2">
      <c r="A1823" s="2" t="s">
        <v>754</v>
      </c>
      <c r="B1823" s="2" t="s">
        <v>19</v>
      </c>
      <c r="C1823" s="2" t="s">
        <v>20</v>
      </c>
      <c r="D1823" s="2" t="s">
        <v>21</v>
      </c>
      <c r="E1823" s="2" t="s">
        <v>288</v>
      </c>
      <c r="F1823" s="2">
        <v>6</v>
      </c>
      <c r="G1823" s="2">
        <v>47.97</v>
      </c>
      <c r="H1823" s="2">
        <v>1</v>
      </c>
      <c r="I1823" s="2">
        <v>1</v>
      </c>
      <c r="J1823" s="2">
        <v>1</v>
      </c>
      <c r="K1823" s="2" t="s">
        <v>61</v>
      </c>
      <c r="L1823" s="6" t="s">
        <v>62</v>
      </c>
      <c r="M1823" s="5">
        <v>574900000</v>
      </c>
      <c r="N1823" s="2">
        <v>0</v>
      </c>
      <c r="O1823" s="2">
        <v>4.6979936090000001</v>
      </c>
      <c r="P1823" s="2">
        <v>-74.043976279999995</v>
      </c>
      <c r="Q1823" s="2" t="s">
        <v>755</v>
      </c>
      <c r="R1823" s="2">
        <v>11984573.689999999</v>
      </c>
      <c r="S1823" s="2">
        <v>0</v>
      </c>
      <c r="T1823" s="2" t="s">
        <v>55</v>
      </c>
      <c r="U1823" s="2" t="s">
        <v>56</v>
      </c>
      <c r="V1823" s="2" t="s">
        <v>28</v>
      </c>
      <c r="W1823" s="2" t="s">
        <v>55</v>
      </c>
      <c r="X1823" s="2" t="s">
        <v>57</v>
      </c>
      <c r="Y1823" s="2">
        <v>2.0384142405196299</v>
      </c>
      <c r="Z1823" s="2">
        <v>4.71035</v>
      </c>
      <c r="AA1823" s="2">
        <v>-74.030416666666696</v>
      </c>
      <c r="AB1823" s="2">
        <v>2570</v>
      </c>
      <c r="AC1823" s="2" t="s">
        <v>31</v>
      </c>
      <c r="AD1823" s="2" t="s">
        <v>58</v>
      </c>
      <c r="AE1823" s="2" t="s">
        <v>33</v>
      </c>
      <c r="AF1823" s="2" t="s">
        <v>34</v>
      </c>
      <c r="AG1823" s="2" t="s">
        <v>59</v>
      </c>
      <c r="AH1823" s="2">
        <v>1.25661133161278</v>
      </c>
      <c r="AI1823" s="2">
        <v>2.0075236843372601</v>
      </c>
      <c r="AJ1823" s="2">
        <v>0.83309352161549699</v>
      </c>
      <c r="AK1823" s="2">
        <v>4.6085988408575501E-2</v>
      </c>
      <c r="AL1823" s="2">
        <v>0.157535304374188</v>
      </c>
      <c r="AM1823" s="2">
        <v>15.5</v>
      </c>
      <c r="AN1823" s="2">
        <v>2.4</v>
      </c>
      <c r="AO1823" s="2">
        <v>10.9</v>
      </c>
      <c r="AP1823" s="2">
        <v>564</v>
      </c>
      <c r="AQ1823" s="2">
        <v>68</v>
      </c>
      <c r="AR1823" s="2">
        <v>1.5</v>
      </c>
      <c r="AS1823" s="2">
        <v>135</v>
      </c>
      <c r="AT1823" s="2">
        <v>0</v>
      </c>
      <c r="AU1823" s="2">
        <v>162</v>
      </c>
      <c r="AV1823" s="2">
        <v>9.1</v>
      </c>
      <c r="AW1823" s="2">
        <v>9.1999999999999993</v>
      </c>
      <c r="AX1823" s="2">
        <v>18.3</v>
      </c>
      <c r="AY1823" s="2">
        <v>0.34</v>
      </c>
      <c r="AZ1823" s="2">
        <v>7.3</v>
      </c>
      <c r="BA1823" s="2">
        <v>0.9</v>
      </c>
      <c r="BB1823" s="2">
        <v>7.5</v>
      </c>
      <c r="BC1823" s="2">
        <v>2.9</v>
      </c>
      <c r="BD1823" s="2">
        <f>+AN1823*EXP(-0.0495*Y1823)</f>
        <v>2.169652968575901</v>
      </c>
      <c r="BE1823" s="2">
        <f>+AO1823*EXP(-0.024*Y1823)</f>
        <v>10.379584494060763</v>
      </c>
    </row>
    <row r="1824" spans="1:57" x14ac:dyDescent="0.2">
      <c r="A1824" s="2" t="s">
        <v>4587</v>
      </c>
      <c r="B1824" s="2" t="s">
        <v>19</v>
      </c>
      <c r="C1824" s="2" t="s">
        <v>3245</v>
      </c>
      <c r="D1824" s="2" t="s">
        <v>21</v>
      </c>
      <c r="E1824" s="2" t="s">
        <v>419</v>
      </c>
      <c r="F1824" s="2">
        <v>6</v>
      </c>
      <c r="G1824" s="2">
        <v>47.74</v>
      </c>
      <c r="H1824" s="2">
        <v>1</v>
      </c>
      <c r="I1824" s="2">
        <v>2</v>
      </c>
      <c r="J1824" s="2">
        <v>1</v>
      </c>
      <c r="K1824" s="2" t="s">
        <v>61</v>
      </c>
      <c r="L1824" s="6" t="s">
        <v>84</v>
      </c>
      <c r="M1824" s="5">
        <v>480000000</v>
      </c>
      <c r="N1824" s="2">
        <v>0</v>
      </c>
      <c r="O1824" s="2">
        <v>4.6869559289999998</v>
      </c>
      <c r="P1824" s="2">
        <v>-74.048797609999994</v>
      </c>
      <c r="Q1824" s="2" t="s">
        <v>4588</v>
      </c>
      <c r="R1824" s="2">
        <v>10054461.67</v>
      </c>
      <c r="S1824" s="2">
        <v>0</v>
      </c>
      <c r="T1824" s="2" t="s">
        <v>55</v>
      </c>
      <c r="U1824" s="2" t="s">
        <v>56</v>
      </c>
      <c r="V1824" s="2" t="s">
        <v>28</v>
      </c>
      <c r="W1824" s="2" t="s">
        <v>55</v>
      </c>
      <c r="X1824" s="2" t="s">
        <v>57</v>
      </c>
      <c r="Y1824" s="2">
        <v>3.3076588845583501</v>
      </c>
      <c r="Z1824" s="2">
        <v>4.71035</v>
      </c>
      <c r="AA1824" s="2">
        <v>-74.030416666666696</v>
      </c>
      <c r="AB1824" s="2">
        <v>2570</v>
      </c>
      <c r="AC1824" s="2" t="s">
        <v>31</v>
      </c>
      <c r="AD1824" s="2" t="s">
        <v>58</v>
      </c>
      <c r="AE1824" s="2" t="s">
        <v>33</v>
      </c>
      <c r="AF1824" s="2" t="s">
        <v>34</v>
      </c>
      <c r="AG1824" s="2" t="s">
        <v>59</v>
      </c>
      <c r="AH1824" s="2">
        <v>1.04280639348732</v>
      </c>
      <c r="AI1824" s="2">
        <v>1.66482463281499</v>
      </c>
      <c r="AJ1824" s="2">
        <v>0.25430495701370198</v>
      </c>
      <c r="AK1824" s="2">
        <v>8.7127162449846501E-2</v>
      </c>
      <c r="AL1824" s="2">
        <v>0.487717391104386</v>
      </c>
      <c r="AM1824" s="2">
        <v>15.5</v>
      </c>
      <c r="AN1824" s="2">
        <v>2.4</v>
      </c>
      <c r="AO1824" s="2">
        <v>10.9</v>
      </c>
      <c r="AP1824" s="2">
        <v>564</v>
      </c>
      <c r="AQ1824" s="2">
        <v>68</v>
      </c>
      <c r="AR1824" s="2">
        <v>1.5</v>
      </c>
      <c r="AS1824" s="2">
        <v>135</v>
      </c>
      <c r="AT1824" s="2">
        <v>0</v>
      </c>
      <c r="AU1824" s="2">
        <v>162</v>
      </c>
      <c r="AV1824" s="2">
        <v>9.1</v>
      </c>
      <c r="AW1824" s="2">
        <v>9.1999999999999993</v>
      </c>
      <c r="AX1824" s="2">
        <v>18.3</v>
      </c>
      <c r="AY1824" s="2">
        <v>0.34</v>
      </c>
      <c r="AZ1824" s="2">
        <v>7.3</v>
      </c>
      <c r="BA1824" s="2">
        <v>0.9</v>
      </c>
      <c r="BB1824" s="2">
        <v>7.5</v>
      </c>
      <c r="BC1824" s="2">
        <v>2.9</v>
      </c>
      <c r="BD1824" s="2">
        <f>+AN1824*EXP(-0.0495*Y1824)</f>
        <v>2.0375327152497329</v>
      </c>
      <c r="BE1824" s="2">
        <f>+AO1824*EXP(-0.024*Y1824)</f>
        <v>10.068170137877654</v>
      </c>
    </row>
    <row r="1825" spans="1:57" x14ac:dyDescent="0.2">
      <c r="A1825" s="2" t="s">
        <v>3409</v>
      </c>
      <c r="B1825" s="2" t="s">
        <v>19</v>
      </c>
      <c r="C1825" s="2" t="s">
        <v>3245</v>
      </c>
      <c r="D1825" s="2" t="s">
        <v>21</v>
      </c>
      <c r="E1825" s="2" t="s">
        <v>144</v>
      </c>
      <c r="F1825" s="2">
        <v>5</v>
      </c>
      <c r="G1825" s="2">
        <v>47.33</v>
      </c>
      <c r="H1825" s="2">
        <v>1</v>
      </c>
      <c r="I1825" s="2">
        <v>1</v>
      </c>
      <c r="J1825" s="2">
        <v>1</v>
      </c>
      <c r="K1825" s="2" t="s">
        <v>61</v>
      </c>
      <c r="L1825" s="6" t="s">
        <v>113</v>
      </c>
      <c r="M1825" s="5">
        <v>390000000</v>
      </c>
      <c r="N1825" s="2">
        <v>0</v>
      </c>
      <c r="O1825" s="2">
        <v>4.7015290790000002</v>
      </c>
      <c r="P1825" s="2">
        <v>-74.029172149999994</v>
      </c>
      <c r="Q1825" s="2" t="s">
        <v>3410</v>
      </c>
      <c r="R1825" s="2">
        <v>8240016.9029999999</v>
      </c>
      <c r="S1825" s="2">
        <v>0</v>
      </c>
      <c r="T1825" s="2" t="s">
        <v>55</v>
      </c>
      <c r="U1825" s="2" t="s">
        <v>56</v>
      </c>
      <c r="V1825" s="2" t="s">
        <v>28</v>
      </c>
      <c r="W1825" s="2" t="s">
        <v>55</v>
      </c>
      <c r="X1825" s="2" t="s">
        <v>57</v>
      </c>
      <c r="Y1825" s="2">
        <v>0.99160015840898796</v>
      </c>
      <c r="Z1825" s="2">
        <v>4.71035</v>
      </c>
      <c r="AA1825" s="2">
        <v>-74.030416666666696</v>
      </c>
      <c r="AB1825" s="2">
        <v>2570</v>
      </c>
      <c r="AC1825" s="2" t="s">
        <v>31</v>
      </c>
      <c r="AD1825" s="2" t="s">
        <v>58</v>
      </c>
      <c r="AE1825" s="2" t="s">
        <v>33</v>
      </c>
      <c r="AF1825" s="2" t="s">
        <v>34</v>
      </c>
      <c r="AG1825" s="2" t="s">
        <v>59</v>
      </c>
      <c r="AH1825" s="2">
        <v>2.7989853595078098</v>
      </c>
      <c r="AI1825" s="2">
        <v>0.40762661168285202</v>
      </c>
      <c r="AJ1825" s="2">
        <v>0.36565364273647</v>
      </c>
      <c r="AK1825" s="2">
        <v>2.7888847566615398E-2</v>
      </c>
      <c r="AL1825" s="2">
        <v>0.25522933759302802</v>
      </c>
      <c r="AM1825" s="2">
        <v>15.5</v>
      </c>
      <c r="AN1825" s="2">
        <v>2.4</v>
      </c>
      <c r="AO1825" s="2">
        <v>10.9</v>
      </c>
      <c r="AP1825" s="2">
        <v>564</v>
      </c>
      <c r="AQ1825" s="2">
        <v>68</v>
      </c>
      <c r="AR1825" s="2">
        <v>1.5</v>
      </c>
      <c r="AS1825" s="2">
        <v>135</v>
      </c>
      <c r="AT1825" s="2">
        <v>0</v>
      </c>
      <c r="AU1825" s="2">
        <v>162</v>
      </c>
      <c r="AV1825" s="2">
        <v>9.1</v>
      </c>
      <c r="AW1825" s="2">
        <v>9.1999999999999993</v>
      </c>
      <c r="AX1825" s="2">
        <v>18.3</v>
      </c>
      <c r="AY1825" s="2">
        <v>0.34</v>
      </c>
      <c r="AZ1825" s="2">
        <v>7.3</v>
      </c>
      <c r="BA1825" s="2">
        <v>0.9</v>
      </c>
      <c r="BB1825" s="2">
        <v>7.5</v>
      </c>
      <c r="BC1825" s="2">
        <v>2.9</v>
      </c>
      <c r="BD1825" s="2">
        <f>+AN1825*EXP(-0.0495*Y1825)</f>
        <v>2.2850422846966643</v>
      </c>
      <c r="BE1825" s="2">
        <f>+AO1825*EXP(-0.024*Y1825)</f>
        <v>10.643659741429753</v>
      </c>
    </row>
    <row r="1826" spans="1:57" x14ac:dyDescent="0.2">
      <c r="A1826" s="2" t="s">
        <v>4480</v>
      </c>
      <c r="B1826" s="2" t="s">
        <v>19</v>
      </c>
      <c r="C1826" s="2" t="s">
        <v>3245</v>
      </c>
      <c r="D1826" s="2" t="s">
        <v>21</v>
      </c>
      <c r="E1826" s="2" t="s">
        <v>161</v>
      </c>
      <c r="F1826" s="2">
        <v>6</v>
      </c>
      <c r="G1826" s="2">
        <v>47.24</v>
      </c>
      <c r="H1826" s="2">
        <v>1</v>
      </c>
      <c r="I1826" s="2">
        <v>1</v>
      </c>
      <c r="J1826" s="2">
        <v>1</v>
      </c>
      <c r="K1826" s="2" t="s">
        <v>61</v>
      </c>
      <c r="L1826" s="6" t="s">
        <v>84</v>
      </c>
      <c r="M1826" s="5">
        <v>485000000</v>
      </c>
      <c r="N1826" s="2">
        <v>0</v>
      </c>
      <c r="O1826" s="2">
        <v>4.6935639379999996</v>
      </c>
      <c r="P1826" s="2">
        <v>-74.052520749999999</v>
      </c>
      <c r="Q1826" s="2" t="s">
        <v>4481</v>
      </c>
      <c r="R1826" s="2">
        <v>10266723.119999999</v>
      </c>
      <c r="S1826" s="2">
        <v>0</v>
      </c>
      <c r="T1826" s="2" t="s">
        <v>55</v>
      </c>
      <c r="U1826" s="2" t="s">
        <v>56</v>
      </c>
      <c r="V1826" s="2" t="s">
        <v>28</v>
      </c>
      <c r="W1826" s="2" t="s">
        <v>55</v>
      </c>
      <c r="X1826" s="2" t="s">
        <v>57</v>
      </c>
      <c r="Y1826" s="2">
        <v>3.0831264712538302</v>
      </c>
      <c r="Z1826" s="2">
        <v>4.71035</v>
      </c>
      <c r="AA1826" s="2">
        <v>-74.030416666666696</v>
      </c>
      <c r="AB1826" s="2">
        <v>2570</v>
      </c>
      <c r="AC1826" s="2" t="s">
        <v>31</v>
      </c>
      <c r="AD1826" s="2" t="s">
        <v>58</v>
      </c>
      <c r="AE1826" s="2" t="s">
        <v>33</v>
      </c>
      <c r="AF1826" s="2" t="s">
        <v>34</v>
      </c>
      <c r="AG1826" s="2" t="s">
        <v>59</v>
      </c>
      <c r="AH1826" s="2">
        <v>0.41105431952572702</v>
      </c>
      <c r="AI1826" s="2">
        <v>2.4494389151209601</v>
      </c>
      <c r="AJ1826" s="2">
        <v>0.29756776745580199</v>
      </c>
      <c r="AK1826" s="2">
        <v>0.121372825367815</v>
      </c>
      <c r="AL1826" s="2">
        <v>5.4116775789822699E-2</v>
      </c>
      <c r="AM1826" s="2">
        <v>15.5</v>
      </c>
      <c r="AN1826" s="2">
        <v>2.4</v>
      </c>
      <c r="AO1826" s="2">
        <v>10.9</v>
      </c>
      <c r="AP1826" s="2">
        <v>564</v>
      </c>
      <c r="AQ1826" s="2">
        <v>68</v>
      </c>
      <c r="AR1826" s="2">
        <v>1.5</v>
      </c>
      <c r="AS1826" s="2">
        <v>135</v>
      </c>
      <c r="AT1826" s="2">
        <v>0</v>
      </c>
      <c r="AU1826" s="2">
        <v>162</v>
      </c>
      <c r="AV1826" s="2">
        <v>9.1</v>
      </c>
      <c r="AW1826" s="2">
        <v>9.1999999999999993</v>
      </c>
      <c r="AX1826" s="2">
        <v>18.3</v>
      </c>
      <c r="AY1826" s="2">
        <v>0.34</v>
      </c>
      <c r="AZ1826" s="2">
        <v>7.3</v>
      </c>
      <c r="BA1826" s="2">
        <v>0.9</v>
      </c>
      <c r="BB1826" s="2">
        <v>7.5</v>
      </c>
      <c r="BC1826" s="2">
        <v>2.9</v>
      </c>
      <c r="BD1826" s="2">
        <f>+AN1826*EXP(-0.0495*Y1826)</f>
        <v>2.0603048906646841</v>
      </c>
      <c r="BE1826" s="2">
        <f>+AO1826*EXP(-0.024*Y1826)</f>
        <v>10.122571718174934</v>
      </c>
    </row>
    <row r="1827" spans="1:57" x14ac:dyDescent="0.2">
      <c r="A1827" s="2" t="s">
        <v>3546</v>
      </c>
      <c r="B1827" s="2" t="s">
        <v>19</v>
      </c>
      <c r="C1827" s="2" t="s">
        <v>3245</v>
      </c>
      <c r="D1827" s="2" t="s">
        <v>21</v>
      </c>
      <c r="E1827" s="2" t="s">
        <v>419</v>
      </c>
      <c r="F1827" s="2">
        <v>5</v>
      </c>
      <c r="G1827" s="2">
        <v>46.29</v>
      </c>
      <c r="H1827" s="2">
        <v>1</v>
      </c>
      <c r="I1827" s="2">
        <v>1</v>
      </c>
      <c r="J1827" s="2">
        <v>2</v>
      </c>
      <c r="K1827" s="2" t="s">
        <v>61</v>
      </c>
      <c r="L1827" s="6" t="s">
        <v>84</v>
      </c>
      <c r="M1827" s="5">
        <v>400000000</v>
      </c>
      <c r="N1827" s="2">
        <v>0</v>
      </c>
      <c r="O1827" s="2">
        <v>4.6882853510000002</v>
      </c>
      <c r="P1827" s="2">
        <v>-74.056343080000005</v>
      </c>
      <c r="Q1827" s="2" t="s">
        <v>3547</v>
      </c>
      <c r="R1827" s="2">
        <v>8641175.1999999993</v>
      </c>
      <c r="S1827" s="2">
        <v>0</v>
      </c>
      <c r="T1827" s="2" t="s">
        <v>55</v>
      </c>
      <c r="U1827" s="2" t="s">
        <v>56</v>
      </c>
      <c r="V1827" s="2" t="s">
        <v>28</v>
      </c>
      <c r="W1827" s="2" t="s">
        <v>55</v>
      </c>
      <c r="X1827" s="2" t="s">
        <v>57</v>
      </c>
      <c r="Y1827" s="2">
        <v>3.78243250256349</v>
      </c>
      <c r="Z1827" s="2">
        <v>4.71035</v>
      </c>
      <c r="AA1827" s="2">
        <v>-74.030416666666696</v>
      </c>
      <c r="AB1827" s="2">
        <v>2570</v>
      </c>
      <c r="AC1827" s="2" t="s">
        <v>31</v>
      </c>
      <c r="AD1827" s="2" t="s">
        <v>58</v>
      </c>
      <c r="AE1827" s="2" t="s">
        <v>33</v>
      </c>
      <c r="AF1827" s="2" t="s">
        <v>34</v>
      </c>
      <c r="AG1827" s="2" t="s">
        <v>59</v>
      </c>
      <c r="AH1827" s="2">
        <v>0.50264639446748405</v>
      </c>
      <c r="AI1827" s="2">
        <v>2.44251531614182</v>
      </c>
      <c r="AJ1827" s="2">
        <v>0.481202234828355</v>
      </c>
      <c r="AK1827" s="2">
        <v>9.3501132057014005E-3</v>
      </c>
      <c r="AL1827" s="2">
        <v>0.55523347444754301</v>
      </c>
      <c r="AM1827" s="2">
        <v>15.5</v>
      </c>
      <c r="AN1827" s="2">
        <v>2.4</v>
      </c>
      <c r="AO1827" s="2">
        <v>10.9</v>
      </c>
      <c r="AP1827" s="2">
        <v>564</v>
      </c>
      <c r="AQ1827" s="2">
        <v>68</v>
      </c>
      <c r="AR1827" s="2">
        <v>1.5</v>
      </c>
      <c r="AS1827" s="2">
        <v>135</v>
      </c>
      <c r="AT1827" s="2">
        <v>0</v>
      </c>
      <c r="AU1827" s="2">
        <v>162</v>
      </c>
      <c r="AV1827" s="2">
        <v>9.1</v>
      </c>
      <c r="AW1827" s="2">
        <v>9.1999999999999993</v>
      </c>
      <c r="AX1827" s="2">
        <v>18.3</v>
      </c>
      <c r="AY1827" s="2">
        <v>0.34</v>
      </c>
      <c r="AZ1827" s="2">
        <v>7.3</v>
      </c>
      <c r="BA1827" s="2">
        <v>0.9</v>
      </c>
      <c r="BB1827" s="2">
        <v>7.5</v>
      </c>
      <c r="BC1827" s="2">
        <v>2.9</v>
      </c>
      <c r="BD1827" s="2">
        <f>+AN1827*EXP(-0.0495*Y1827)</f>
        <v>1.9902063532819803</v>
      </c>
      <c r="BE1827" s="2">
        <f>+AO1827*EXP(-0.024*Y1827)</f>
        <v>9.9540988311408398</v>
      </c>
    </row>
    <row r="1828" spans="1:57" x14ac:dyDescent="0.2">
      <c r="A1828" s="2" t="s">
        <v>3503</v>
      </c>
      <c r="B1828" s="2" t="s">
        <v>19</v>
      </c>
      <c r="C1828" s="2" t="s">
        <v>3245</v>
      </c>
      <c r="D1828" s="2" t="s">
        <v>21</v>
      </c>
      <c r="E1828" s="2" t="s">
        <v>180</v>
      </c>
      <c r="F1828" s="2">
        <v>6</v>
      </c>
      <c r="G1828" s="2">
        <v>46</v>
      </c>
      <c r="H1828" s="2">
        <v>1</v>
      </c>
      <c r="I1828" s="2">
        <v>1</v>
      </c>
      <c r="J1828" s="2">
        <v>1</v>
      </c>
      <c r="K1828" s="2" t="s">
        <v>61</v>
      </c>
      <c r="L1828" s="6" t="s">
        <v>113</v>
      </c>
      <c r="M1828" s="5">
        <v>420000000</v>
      </c>
      <c r="N1828" s="2">
        <v>0</v>
      </c>
      <c r="O1828" s="2">
        <v>4.6802024839999996</v>
      </c>
      <c r="P1828" s="2">
        <v>-74.052467350000001</v>
      </c>
      <c r="Q1828" s="2" t="s">
        <v>3504</v>
      </c>
      <c r="R1828" s="2">
        <v>9130434.7829999998</v>
      </c>
      <c r="S1828" s="2">
        <v>0</v>
      </c>
      <c r="T1828" s="2" t="s">
        <v>55</v>
      </c>
      <c r="U1828" s="2" t="s">
        <v>56</v>
      </c>
      <c r="V1828" s="2" t="s">
        <v>28</v>
      </c>
      <c r="W1828" s="2" t="s">
        <v>55</v>
      </c>
      <c r="X1828" s="2" t="s">
        <v>57</v>
      </c>
      <c r="Y1828" s="2">
        <v>4.1530486298347196</v>
      </c>
      <c r="Z1828" s="2">
        <v>4.71035</v>
      </c>
      <c r="AA1828" s="2">
        <v>-74.030416666666696</v>
      </c>
      <c r="AB1828" s="2">
        <v>2570</v>
      </c>
      <c r="AC1828" s="2" t="s">
        <v>31</v>
      </c>
      <c r="AD1828" s="2" t="s">
        <v>58</v>
      </c>
      <c r="AE1828" s="2" t="s">
        <v>33</v>
      </c>
      <c r="AF1828" s="2" t="s">
        <v>34</v>
      </c>
      <c r="AG1828" s="2" t="s">
        <v>81</v>
      </c>
      <c r="AH1828" s="2">
        <v>0.71391866632756895</v>
      </c>
      <c r="AI1828" s="2">
        <v>1.5917224738281299</v>
      </c>
      <c r="AJ1828" s="2">
        <v>0.61524829840177497</v>
      </c>
      <c r="AK1828" s="2">
        <v>5.25359491164255E-2</v>
      </c>
      <c r="AL1828" s="2">
        <v>0.70161540585911397</v>
      </c>
      <c r="AM1828" s="2">
        <v>15.5</v>
      </c>
      <c r="AN1828" s="2">
        <v>2.4</v>
      </c>
      <c r="AO1828" s="2">
        <v>10.9</v>
      </c>
      <c r="AP1828" s="2">
        <v>564</v>
      </c>
      <c r="AQ1828" s="2">
        <v>68</v>
      </c>
      <c r="AR1828" s="2">
        <v>1.5</v>
      </c>
      <c r="AS1828" s="2">
        <v>135</v>
      </c>
      <c r="AT1828" s="2">
        <v>0</v>
      </c>
      <c r="AU1828" s="2">
        <v>162</v>
      </c>
      <c r="AV1828" s="2">
        <v>9.1</v>
      </c>
      <c r="AW1828" s="2">
        <v>9.1999999999999993</v>
      </c>
      <c r="AX1828" s="2">
        <v>18.3</v>
      </c>
      <c r="AY1828" s="2">
        <v>0.34</v>
      </c>
      <c r="AZ1828" s="2">
        <v>7.3</v>
      </c>
      <c r="BA1828" s="2">
        <v>0.9</v>
      </c>
      <c r="BB1828" s="2">
        <v>7.5</v>
      </c>
      <c r="BC1828" s="2">
        <v>2.9</v>
      </c>
      <c r="BD1828" s="2">
        <f>+AN1828*EXP(-0.0495*Y1828)</f>
        <v>1.9540278965905151</v>
      </c>
      <c r="BE1828" s="2">
        <f>+AO1828*EXP(-0.024*Y1828)</f>
        <v>9.8659518472054852</v>
      </c>
    </row>
    <row r="1829" spans="1:57" x14ac:dyDescent="0.2">
      <c r="A1829" s="2" t="s">
        <v>4522</v>
      </c>
      <c r="B1829" s="2" t="s">
        <v>19</v>
      </c>
      <c r="C1829" s="2" t="s">
        <v>3245</v>
      </c>
      <c r="D1829" s="2" t="s">
        <v>21</v>
      </c>
      <c r="E1829" s="2" t="s">
        <v>1437</v>
      </c>
      <c r="F1829" s="2">
        <v>6</v>
      </c>
      <c r="G1829" s="2">
        <v>46</v>
      </c>
      <c r="H1829" s="2">
        <v>1</v>
      </c>
      <c r="I1829" s="2">
        <v>1</v>
      </c>
      <c r="J1829" s="2">
        <v>1</v>
      </c>
      <c r="K1829" s="2" t="s">
        <v>61</v>
      </c>
      <c r="L1829" s="6" t="s">
        <v>113</v>
      </c>
      <c r="M1829" s="5">
        <v>420000000</v>
      </c>
      <c r="N1829" s="2">
        <v>0</v>
      </c>
      <c r="O1829" s="2">
        <v>4.6806573699999996</v>
      </c>
      <c r="P1829" s="2">
        <v>-74.052773740000006</v>
      </c>
      <c r="Q1829" s="2" t="s">
        <v>4523</v>
      </c>
      <c r="R1829" s="2">
        <v>9130434.7829999998</v>
      </c>
      <c r="S1829" s="2">
        <v>0</v>
      </c>
      <c r="T1829" s="2" t="s">
        <v>55</v>
      </c>
      <c r="U1829" s="2" t="s">
        <v>56</v>
      </c>
      <c r="V1829" s="2" t="s">
        <v>28</v>
      </c>
      <c r="W1829" s="2" t="s">
        <v>55</v>
      </c>
      <c r="X1829" s="2" t="s">
        <v>57</v>
      </c>
      <c r="Y1829" s="2">
        <v>4.1325500261606596</v>
      </c>
      <c r="Z1829" s="2">
        <v>4.71035</v>
      </c>
      <c r="AA1829" s="2">
        <v>-74.030416666666696</v>
      </c>
      <c r="AB1829" s="2">
        <v>2570</v>
      </c>
      <c r="AC1829" s="2" t="s">
        <v>31</v>
      </c>
      <c r="AD1829" s="2" t="s">
        <v>58</v>
      </c>
      <c r="AE1829" s="2" t="s">
        <v>33</v>
      </c>
      <c r="AF1829" s="2" t="s">
        <v>34</v>
      </c>
      <c r="AG1829" s="2" t="s">
        <v>81</v>
      </c>
      <c r="AH1829" s="2">
        <v>0.65743005853070102</v>
      </c>
      <c r="AI1829" s="2">
        <v>1.6447778401948701</v>
      </c>
      <c r="AJ1829" s="2">
        <v>0.56382905662826599</v>
      </c>
      <c r="AK1829" s="2">
        <v>9.8872192530642E-2</v>
      </c>
      <c r="AL1829" s="2">
        <v>0.66844661959453899</v>
      </c>
      <c r="AM1829" s="2">
        <v>15.5</v>
      </c>
      <c r="AN1829" s="2">
        <v>2.4</v>
      </c>
      <c r="AO1829" s="2">
        <v>10.9</v>
      </c>
      <c r="AP1829" s="2">
        <v>564</v>
      </c>
      <c r="AQ1829" s="2">
        <v>68</v>
      </c>
      <c r="AR1829" s="2">
        <v>1.5</v>
      </c>
      <c r="AS1829" s="2">
        <v>135</v>
      </c>
      <c r="AT1829" s="2">
        <v>0</v>
      </c>
      <c r="AU1829" s="2">
        <v>162</v>
      </c>
      <c r="AV1829" s="2">
        <v>9.1</v>
      </c>
      <c r="AW1829" s="2">
        <v>9.1999999999999993</v>
      </c>
      <c r="AX1829" s="2">
        <v>18.3</v>
      </c>
      <c r="AY1829" s="2">
        <v>0.34</v>
      </c>
      <c r="AZ1829" s="2">
        <v>7.3</v>
      </c>
      <c r="BA1829" s="2">
        <v>0.9</v>
      </c>
      <c r="BB1829" s="2">
        <v>7.5</v>
      </c>
      <c r="BC1829" s="2">
        <v>2.9</v>
      </c>
      <c r="BD1829" s="2">
        <f>+AN1829*EXP(-0.0495*Y1829)</f>
        <v>1.9560116175915061</v>
      </c>
      <c r="BE1829" s="2">
        <f>+AO1829*EXP(-0.024*Y1829)</f>
        <v>9.8708067590173201</v>
      </c>
    </row>
    <row r="1830" spans="1:57" x14ac:dyDescent="0.2">
      <c r="A1830" s="2" t="s">
        <v>3754</v>
      </c>
      <c r="B1830" s="2" t="s">
        <v>19</v>
      </c>
      <c r="C1830" s="2" t="s">
        <v>3245</v>
      </c>
      <c r="D1830" s="2" t="s">
        <v>21</v>
      </c>
      <c r="E1830" s="2" t="s">
        <v>383</v>
      </c>
      <c r="F1830" s="2">
        <v>2</v>
      </c>
      <c r="G1830" s="2">
        <v>46</v>
      </c>
      <c r="H1830" s="2">
        <v>1</v>
      </c>
      <c r="I1830" s="2">
        <v>1</v>
      </c>
      <c r="J1830" s="2">
        <v>1</v>
      </c>
      <c r="K1830" s="2" t="s">
        <v>61</v>
      </c>
      <c r="L1830" s="6" t="s">
        <v>84</v>
      </c>
      <c r="M1830" s="5">
        <v>266000000</v>
      </c>
      <c r="N1830" s="2">
        <v>0</v>
      </c>
      <c r="O1830" s="2">
        <v>4.6925582889999999</v>
      </c>
      <c r="P1830" s="2">
        <v>-74.060852049999994</v>
      </c>
      <c r="Q1830" s="2" t="s">
        <v>3755</v>
      </c>
      <c r="R1830" s="2">
        <v>5782608.6960000005</v>
      </c>
      <c r="S1830" s="2">
        <v>0</v>
      </c>
      <c r="T1830" s="2" t="s">
        <v>55</v>
      </c>
      <c r="U1830" s="2" t="s">
        <v>56</v>
      </c>
      <c r="V1830" s="2" t="s">
        <v>28</v>
      </c>
      <c r="W1830" s="2" t="s">
        <v>55</v>
      </c>
      <c r="X1830" s="2" t="s">
        <v>57</v>
      </c>
      <c r="Y1830" s="2">
        <v>3.9146405537447202</v>
      </c>
      <c r="Z1830" s="2">
        <v>4.71035</v>
      </c>
      <c r="AA1830" s="2">
        <v>-74.030416666666696</v>
      </c>
      <c r="AB1830" s="2">
        <v>2570</v>
      </c>
      <c r="AC1830" s="2" t="s">
        <v>31</v>
      </c>
      <c r="AD1830" s="2" t="s">
        <v>58</v>
      </c>
      <c r="AE1830" s="2" t="s">
        <v>33</v>
      </c>
      <c r="AF1830" s="2" t="s">
        <v>34</v>
      </c>
      <c r="AG1830" s="2" t="s">
        <v>72</v>
      </c>
      <c r="AH1830" s="2">
        <v>0.51988133532649405</v>
      </c>
      <c r="AI1830" s="2">
        <v>3.1242751927093</v>
      </c>
      <c r="AJ1830" s="2">
        <v>1.1321902846737699</v>
      </c>
      <c r="AK1830" s="2">
        <v>0.23333373774548799</v>
      </c>
      <c r="AL1830" s="2">
        <v>2.11056703282551E-2</v>
      </c>
      <c r="AM1830" s="2">
        <v>15.5</v>
      </c>
      <c r="AN1830" s="2">
        <v>2.4</v>
      </c>
      <c r="AO1830" s="2">
        <v>10.9</v>
      </c>
      <c r="AP1830" s="2">
        <v>564</v>
      </c>
      <c r="AQ1830" s="2">
        <v>68</v>
      </c>
      <c r="AR1830" s="2">
        <v>1.5</v>
      </c>
      <c r="AS1830" s="2">
        <v>135</v>
      </c>
      <c r="AT1830" s="2">
        <v>0</v>
      </c>
      <c r="AU1830" s="2">
        <v>162</v>
      </c>
      <c r="AV1830" s="2">
        <v>9.1</v>
      </c>
      <c r="AW1830" s="2">
        <v>9.1999999999999993</v>
      </c>
      <c r="AX1830" s="2">
        <v>18.3</v>
      </c>
      <c r="AY1830" s="2">
        <v>0.34</v>
      </c>
      <c r="AZ1830" s="2">
        <v>7.3</v>
      </c>
      <c r="BA1830" s="2">
        <v>0.9</v>
      </c>
      <c r="BB1830" s="2">
        <v>7.5</v>
      </c>
      <c r="BC1830" s="2">
        <v>2.9</v>
      </c>
      <c r="BD1830" s="2">
        <f>+AN1830*EXP(-0.0495*Y1830)</f>
        <v>1.977224374069136</v>
      </c>
      <c r="BE1830" s="2">
        <f>+AO1830*EXP(-0.024*Y1830)</f>
        <v>9.9225645983657547</v>
      </c>
    </row>
    <row r="1831" spans="1:57" x14ac:dyDescent="0.2">
      <c r="A1831" s="2" t="s">
        <v>3394</v>
      </c>
      <c r="B1831" s="2" t="s">
        <v>19</v>
      </c>
      <c r="C1831" s="2" t="s">
        <v>3245</v>
      </c>
      <c r="D1831" s="2" t="s">
        <v>21</v>
      </c>
      <c r="E1831" s="2" t="s">
        <v>3395</v>
      </c>
      <c r="F1831" s="2">
        <v>6</v>
      </c>
      <c r="G1831" s="2">
        <v>46</v>
      </c>
      <c r="H1831" s="2">
        <v>2</v>
      </c>
      <c r="I1831" s="2">
        <v>2</v>
      </c>
      <c r="J1831" s="2">
        <v>0</v>
      </c>
      <c r="K1831" s="2" t="s">
        <v>61</v>
      </c>
      <c r="L1831" s="6" t="s">
        <v>62</v>
      </c>
      <c r="M1831" s="5">
        <v>630000000</v>
      </c>
      <c r="N1831" s="2">
        <v>0</v>
      </c>
      <c r="O1831" s="2">
        <v>4.681571484</v>
      </c>
      <c r="P1831" s="2">
        <v>-74.047111509999993</v>
      </c>
      <c r="Q1831" s="2" t="s">
        <v>3396</v>
      </c>
      <c r="R1831" s="2">
        <v>13695652.17</v>
      </c>
      <c r="S1831" s="2">
        <v>0</v>
      </c>
      <c r="T1831" s="2" t="s">
        <v>55</v>
      </c>
      <c r="U1831" s="2" t="s">
        <v>56</v>
      </c>
      <c r="V1831" s="2" t="s">
        <v>28</v>
      </c>
      <c r="W1831" s="2" t="s">
        <v>55</v>
      </c>
      <c r="X1831" s="2" t="s">
        <v>57</v>
      </c>
      <c r="Y1831" s="2">
        <v>3.70051956049703</v>
      </c>
      <c r="Z1831" s="2">
        <v>4.71035</v>
      </c>
      <c r="AA1831" s="2">
        <v>-74.030416666666696</v>
      </c>
      <c r="AB1831" s="2">
        <v>2570</v>
      </c>
      <c r="AC1831" s="2" t="s">
        <v>31</v>
      </c>
      <c r="AD1831" s="2" t="s">
        <v>58</v>
      </c>
      <c r="AE1831" s="2" t="s">
        <v>33</v>
      </c>
      <c r="AF1831" s="2" t="s">
        <v>34</v>
      </c>
      <c r="AG1831" s="2" t="s">
        <v>81</v>
      </c>
      <c r="AH1831" s="2">
        <v>1.20443720653357</v>
      </c>
      <c r="AI1831" s="2">
        <v>1.1828957651232499</v>
      </c>
      <c r="AJ1831" s="2">
        <v>0.66107939540462701</v>
      </c>
      <c r="AK1831" s="2">
        <v>9.5329901531055902E-2</v>
      </c>
      <c r="AL1831" s="2">
        <v>0.926553221130472</v>
      </c>
      <c r="AM1831" s="2">
        <v>15.5</v>
      </c>
      <c r="AN1831" s="2">
        <v>2.4</v>
      </c>
      <c r="AO1831" s="2">
        <v>10.9</v>
      </c>
      <c r="AP1831" s="2">
        <v>564</v>
      </c>
      <c r="AQ1831" s="2">
        <v>68</v>
      </c>
      <c r="AR1831" s="2">
        <v>1.5</v>
      </c>
      <c r="AS1831" s="2">
        <v>135</v>
      </c>
      <c r="AT1831" s="2">
        <v>0</v>
      </c>
      <c r="AU1831" s="2">
        <v>162</v>
      </c>
      <c r="AV1831" s="2">
        <v>9.1</v>
      </c>
      <c r="AW1831" s="2">
        <v>9.1999999999999993</v>
      </c>
      <c r="AX1831" s="2">
        <v>18.3</v>
      </c>
      <c r="AY1831" s="2">
        <v>0.34</v>
      </c>
      <c r="AZ1831" s="2">
        <v>7.3</v>
      </c>
      <c r="BA1831" s="2">
        <v>0.9</v>
      </c>
      <c r="BB1831" s="2">
        <v>7.5</v>
      </c>
      <c r="BC1831" s="2">
        <v>2.9</v>
      </c>
      <c r="BD1831" s="2">
        <f>+AN1831*EXP(-0.0495*Y1831)</f>
        <v>1.9982924064828016</v>
      </c>
      <c r="BE1831" s="2">
        <f>+AO1831*EXP(-0.024*Y1831)</f>
        <v>9.973686947576212</v>
      </c>
    </row>
    <row r="1832" spans="1:57" x14ac:dyDescent="0.2">
      <c r="A1832" s="2" t="s">
        <v>4436</v>
      </c>
      <c r="B1832" s="2" t="s">
        <v>19</v>
      </c>
      <c r="C1832" s="2" t="s">
        <v>3245</v>
      </c>
      <c r="D1832" s="2" t="s">
        <v>21</v>
      </c>
      <c r="E1832" s="2" t="s">
        <v>161</v>
      </c>
      <c r="F1832" s="2">
        <v>6</v>
      </c>
      <c r="G1832" s="2">
        <v>46</v>
      </c>
      <c r="H1832" s="2">
        <v>1</v>
      </c>
      <c r="I1832" s="2">
        <v>2</v>
      </c>
      <c r="J1832" s="2">
        <v>1</v>
      </c>
      <c r="K1832" s="2" t="s">
        <v>61</v>
      </c>
      <c r="L1832" s="6" t="s">
        <v>62</v>
      </c>
      <c r="M1832" s="5">
        <v>550000000</v>
      </c>
      <c r="N1832" s="2">
        <v>0</v>
      </c>
      <c r="O1832" s="2">
        <v>4.6951998240000004</v>
      </c>
      <c r="P1832" s="2">
        <v>-74.04617365</v>
      </c>
      <c r="Q1832" s="2" t="s">
        <v>4437</v>
      </c>
      <c r="R1832" s="2">
        <v>11956521.74</v>
      </c>
      <c r="S1832" s="2">
        <v>0</v>
      </c>
      <c r="T1832" s="2" t="s">
        <v>55</v>
      </c>
      <c r="U1832" s="2" t="s">
        <v>56</v>
      </c>
      <c r="V1832" s="2" t="s">
        <v>28</v>
      </c>
      <c r="W1832" s="2" t="s">
        <v>55</v>
      </c>
      <c r="X1832" s="2" t="s">
        <v>57</v>
      </c>
      <c r="Y1832" s="2">
        <v>2.4290653695334901</v>
      </c>
      <c r="Z1832" s="2">
        <v>4.71035</v>
      </c>
      <c r="AA1832" s="2">
        <v>-74.030416666666696</v>
      </c>
      <c r="AB1832" s="2">
        <v>2570</v>
      </c>
      <c r="AC1832" s="2" t="s">
        <v>31</v>
      </c>
      <c r="AD1832" s="2" t="s">
        <v>58</v>
      </c>
      <c r="AE1832" s="2" t="s">
        <v>33</v>
      </c>
      <c r="AF1832" s="2" t="s">
        <v>34</v>
      </c>
      <c r="AG1832" s="2" t="s">
        <v>59</v>
      </c>
      <c r="AH1832" s="2">
        <v>1.0632864325243301</v>
      </c>
      <c r="AI1832" s="2">
        <v>2.13353520848041</v>
      </c>
      <c r="AJ1832" s="2">
        <v>0.45891546924826898</v>
      </c>
      <c r="AK1832" s="2">
        <v>0.11624262159143101</v>
      </c>
      <c r="AL1832" s="2">
        <v>0.20095610837694799</v>
      </c>
      <c r="AM1832" s="2">
        <v>15.5</v>
      </c>
      <c r="AN1832" s="2">
        <v>2.4</v>
      </c>
      <c r="AO1832" s="2">
        <v>10.9</v>
      </c>
      <c r="AP1832" s="2">
        <v>564</v>
      </c>
      <c r="AQ1832" s="2">
        <v>68</v>
      </c>
      <c r="AR1832" s="2">
        <v>1.5</v>
      </c>
      <c r="AS1832" s="2">
        <v>135</v>
      </c>
      <c r="AT1832" s="2">
        <v>0</v>
      </c>
      <c r="AU1832" s="2">
        <v>162</v>
      </c>
      <c r="AV1832" s="2">
        <v>9.1</v>
      </c>
      <c r="AW1832" s="2">
        <v>9.1999999999999993</v>
      </c>
      <c r="AX1832" s="2">
        <v>18.3</v>
      </c>
      <c r="AY1832" s="2">
        <v>0.34</v>
      </c>
      <c r="AZ1832" s="2">
        <v>7.3</v>
      </c>
      <c r="BA1832" s="2">
        <v>0.9</v>
      </c>
      <c r="BB1832" s="2">
        <v>7.5</v>
      </c>
      <c r="BC1832" s="2">
        <v>2.9</v>
      </c>
      <c r="BD1832" s="2">
        <f>+AN1832*EXP(-0.0495*Y1832)</f>
        <v>2.1281009336093861</v>
      </c>
      <c r="BE1832" s="2">
        <f>+AO1832*EXP(-0.024*Y1832)</f>
        <v>10.282724153168086</v>
      </c>
    </row>
    <row r="1833" spans="1:57" x14ac:dyDescent="0.2">
      <c r="A1833" s="2" t="s">
        <v>4347</v>
      </c>
      <c r="B1833" s="2" t="s">
        <v>19</v>
      </c>
      <c r="C1833" s="2" t="s">
        <v>3245</v>
      </c>
      <c r="D1833" s="2" t="s">
        <v>21</v>
      </c>
      <c r="E1833" s="2" t="s">
        <v>3496</v>
      </c>
      <c r="F1833" s="2">
        <v>4</v>
      </c>
      <c r="G1833" s="2">
        <v>46</v>
      </c>
      <c r="H1833" s="2">
        <v>1</v>
      </c>
      <c r="I1833" s="2">
        <v>1</v>
      </c>
      <c r="J1833" s="2">
        <v>1</v>
      </c>
      <c r="K1833" s="2" t="s">
        <v>61</v>
      </c>
      <c r="L1833" s="6" t="s">
        <v>84</v>
      </c>
      <c r="M1833" s="5">
        <v>420000000</v>
      </c>
      <c r="N1833" s="2">
        <v>0</v>
      </c>
      <c r="O1833" s="2">
        <v>4.7228418909999998</v>
      </c>
      <c r="P1833" s="2">
        <v>-74.026847050000001</v>
      </c>
      <c r="Q1833" s="2" t="s">
        <v>4348</v>
      </c>
      <c r="R1833" s="2">
        <v>9130434.7829999998</v>
      </c>
      <c r="S1833" s="2">
        <v>0</v>
      </c>
      <c r="T1833" s="2" t="s">
        <v>55</v>
      </c>
      <c r="U1833" s="2" t="s">
        <v>56</v>
      </c>
      <c r="V1833" s="2" t="s">
        <v>28</v>
      </c>
      <c r="W1833" s="2" t="s">
        <v>55</v>
      </c>
      <c r="X1833" s="2" t="s">
        <v>57</v>
      </c>
      <c r="Y1833" s="2">
        <v>1.44588271046983</v>
      </c>
      <c r="Z1833" s="2">
        <v>4.71035</v>
      </c>
      <c r="AA1833" s="2">
        <v>-74.030416666666696</v>
      </c>
      <c r="AB1833" s="2">
        <v>2570</v>
      </c>
      <c r="AC1833" s="2" t="s">
        <v>31</v>
      </c>
      <c r="AD1833" s="2" t="s">
        <v>58</v>
      </c>
      <c r="AE1833" s="2" t="s">
        <v>33</v>
      </c>
      <c r="AF1833" s="2" t="s">
        <v>34</v>
      </c>
      <c r="AG1833" s="2" t="s">
        <v>59</v>
      </c>
      <c r="AH1833" s="2">
        <v>2.6599876182336799</v>
      </c>
      <c r="AI1833" s="2">
        <v>0.49052880703185098</v>
      </c>
      <c r="AJ1833" s="2">
        <v>1.4901747153120399</v>
      </c>
      <c r="AK1833" s="2">
        <v>7.8768231392707194E-2</v>
      </c>
      <c r="AL1833" s="2">
        <v>0.28188069072994298</v>
      </c>
      <c r="AM1833" s="2">
        <v>15.5</v>
      </c>
      <c r="AN1833" s="2">
        <v>2.4</v>
      </c>
      <c r="AO1833" s="2">
        <v>10.9</v>
      </c>
      <c r="AP1833" s="2">
        <v>564</v>
      </c>
      <c r="AQ1833" s="2">
        <v>68</v>
      </c>
      <c r="AR1833" s="2">
        <v>1.5</v>
      </c>
      <c r="AS1833" s="2">
        <v>135</v>
      </c>
      <c r="AT1833" s="2">
        <v>0</v>
      </c>
      <c r="AU1833" s="2">
        <v>162</v>
      </c>
      <c r="AV1833" s="2">
        <v>9.1</v>
      </c>
      <c r="AW1833" s="2">
        <v>9.1999999999999993</v>
      </c>
      <c r="AX1833" s="2">
        <v>18.3</v>
      </c>
      <c r="AY1833" s="2">
        <v>0.34</v>
      </c>
      <c r="AZ1833" s="2">
        <v>7.3</v>
      </c>
      <c r="BA1833" s="2">
        <v>0.9</v>
      </c>
      <c r="BB1833" s="2">
        <v>7.5</v>
      </c>
      <c r="BC1833" s="2">
        <v>2.9</v>
      </c>
      <c r="BD1833" s="2">
        <f>+AN1833*EXP(-0.0495*Y1833)</f>
        <v>2.2342319962766419</v>
      </c>
      <c r="BE1833" s="2">
        <f>+AO1833*EXP(-0.024*Y1833)</f>
        <v>10.528244564078415</v>
      </c>
    </row>
    <row r="1834" spans="1:57" x14ac:dyDescent="0.2">
      <c r="A1834" s="2" t="s">
        <v>3558</v>
      </c>
      <c r="B1834" s="2" t="s">
        <v>19</v>
      </c>
      <c r="C1834" s="2" t="s">
        <v>3245</v>
      </c>
      <c r="D1834" s="2" t="s">
        <v>21</v>
      </c>
      <c r="E1834" s="2" t="s">
        <v>1725</v>
      </c>
      <c r="F1834" s="2">
        <v>6</v>
      </c>
      <c r="G1834" s="2">
        <v>45.83</v>
      </c>
      <c r="H1834" s="2">
        <v>1</v>
      </c>
      <c r="I1834" s="2">
        <v>2</v>
      </c>
      <c r="J1834" s="2">
        <v>1</v>
      </c>
      <c r="K1834" s="2" t="s">
        <v>61</v>
      </c>
      <c r="L1834" s="6" t="s">
        <v>84</v>
      </c>
      <c r="M1834" s="5">
        <v>425000000</v>
      </c>
      <c r="N1834" s="2">
        <v>0</v>
      </c>
      <c r="O1834" s="2">
        <v>4.6856200000000001</v>
      </c>
      <c r="P1834" s="2">
        <v>-74.036320000000003</v>
      </c>
      <c r="Q1834" s="2" t="s">
        <v>3559</v>
      </c>
      <c r="R1834" s="2">
        <v>9273401.7019999996</v>
      </c>
      <c r="S1834" s="2">
        <v>0</v>
      </c>
      <c r="T1834" s="2" t="s">
        <v>55</v>
      </c>
      <c r="U1834" s="2" t="s">
        <v>56</v>
      </c>
      <c r="V1834" s="2" t="s">
        <v>28</v>
      </c>
      <c r="W1834" s="2" t="s">
        <v>55</v>
      </c>
      <c r="X1834" s="2" t="s">
        <v>57</v>
      </c>
      <c r="Y1834" s="2">
        <v>2.8297678807377098</v>
      </c>
      <c r="Z1834" s="2">
        <v>4.71035</v>
      </c>
      <c r="AA1834" s="2">
        <v>-74.030416666666696</v>
      </c>
      <c r="AB1834" s="2">
        <v>2570</v>
      </c>
      <c r="AC1834" s="2" t="s">
        <v>31</v>
      </c>
      <c r="AD1834" s="2" t="s">
        <v>58</v>
      </c>
      <c r="AE1834" s="2" t="s">
        <v>33</v>
      </c>
      <c r="AF1834" s="2" t="s">
        <v>34</v>
      </c>
      <c r="AG1834" s="2" t="s">
        <v>59</v>
      </c>
      <c r="AH1834" s="2">
        <v>2.3478247527398302</v>
      </c>
      <c r="AI1834" s="2">
        <v>0.75683996040571899</v>
      </c>
      <c r="AJ1834" s="2">
        <v>0.47074799204568701</v>
      </c>
      <c r="AK1834" s="2">
        <v>0.41365354405082999</v>
      </c>
      <c r="AL1834" s="2">
        <v>8.9285697630159498E-3</v>
      </c>
      <c r="AM1834" s="2">
        <v>15.5</v>
      </c>
      <c r="AN1834" s="2">
        <v>2.4</v>
      </c>
      <c r="AO1834" s="2">
        <v>10.9</v>
      </c>
      <c r="AP1834" s="2">
        <v>564</v>
      </c>
      <c r="AQ1834" s="2">
        <v>68</v>
      </c>
      <c r="AR1834" s="2">
        <v>1.5</v>
      </c>
      <c r="AS1834" s="2">
        <v>135</v>
      </c>
      <c r="AT1834" s="2">
        <v>0</v>
      </c>
      <c r="AU1834" s="2">
        <v>162</v>
      </c>
      <c r="AV1834" s="2">
        <v>9.1</v>
      </c>
      <c r="AW1834" s="2">
        <v>9.1999999999999993</v>
      </c>
      <c r="AX1834" s="2">
        <v>18.3</v>
      </c>
      <c r="AY1834" s="2">
        <v>0.34</v>
      </c>
      <c r="AZ1834" s="2">
        <v>7.3</v>
      </c>
      <c r="BA1834" s="2">
        <v>0.9</v>
      </c>
      <c r="BB1834" s="2">
        <v>7.5</v>
      </c>
      <c r="BC1834" s="2">
        <v>2.9</v>
      </c>
      <c r="BD1834" s="2">
        <f>+AN1834*EXP(-0.0495*Y1834)</f>
        <v>2.0863063947356326</v>
      </c>
      <c r="BE1834" s="2">
        <f>+AO1834*EXP(-0.024*Y1834)</f>
        <v>10.184310604946379</v>
      </c>
    </row>
    <row r="1835" spans="1:57" x14ac:dyDescent="0.2">
      <c r="A1835" s="2" t="s">
        <v>3982</v>
      </c>
      <c r="B1835" s="2" t="s">
        <v>19</v>
      </c>
      <c r="C1835" s="2" t="s">
        <v>3245</v>
      </c>
      <c r="D1835" s="2" t="s">
        <v>21</v>
      </c>
      <c r="E1835" s="2" t="s">
        <v>1830</v>
      </c>
      <c r="F1835" s="2">
        <v>5</v>
      </c>
      <c r="G1835" s="2">
        <v>45.33</v>
      </c>
      <c r="H1835" s="2">
        <v>1</v>
      </c>
      <c r="I1835" s="2">
        <v>2</v>
      </c>
      <c r="J1835" s="2">
        <v>1</v>
      </c>
      <c r="K1835" s="2" t="s">
        <v>61</v>
      </c>
      <c r="L1835" s="6" t="s">
        <v>84</v>
      </c>
      <c r="M1835" s="5">
        <v>425000000</v>
      </c>
      <c r="N1835" s="2">
        <v>0</v>
      </c>
      <c r="O1835" s="2">
        <v>4.6856200000000001</v>
      </c>
      <c r="P1835" s="2">
        <v>-74.036320000000003</v>
      </c>
      <c r="Q1835" s="2" t="s">
        <v>3983</v>
      </c>
      <c r="R1835" s="2">
        <v>9375689.3890000004</v>
      </c>
      <c r="S1835" s="2">
        <v>0</v>
      </c>
      <c r="T1835" s="2" t="s">
        <v>55</v>
      </c>
      <c r="U1835" s="2" t="s">
        <v>56</v>
      </c>
      <c r="V1835" s="2" t="s">
        <v>28</v>
      </c>
      <c r="W1835" s="2" t="s">
        <v>55</v>
      </c>
      <c r="X1835" s="2" t="s">
        <v>57</v>
      </c>
      <c r="Y1835" s="2">
        <v>2.8297678807377098</v>
      </c>
      <c r="Z1835" s="2">
        <v>4.71035</v>
      </c>
      <c r="AA1835" s="2">
        <v>-74.030416666666696</v>
      </c>
      <c r="AB1835" s="2">
        <v>2570</v>
      </c>
      <c r="AC1835" s="2" t="s">
        <v>31</v>
      </c>
      <c r="AD1835" s="2" t="s">
        <v>58</v>
      </c>
      <c r="AE1835" s="2" t="s">
        <v>33</v>
      </c>
      <c r="AF1835" s="2" t="s">
        <v>34</v>
      </c>
      <c r="AG1835" s="2" t="s">
        <v>59</v>
      </c>
      <c r="AH1835" s="2">
        <v>2.3478247527398302</v>
      </c>
      <c r="AI1835" s="2">
        <v>0.75683996040571899</v>
      </c>
      <c r="AJ1835" s="2">
        <v>0.47074799204568701</v>
      </c>
      <c r="AK1835" s="2">
        <v>0.41365354405082999</v>
      </c>
      <c r="AL1835" s="2">
        <v>8.9285697630159498E-3</v>
      </c>
      <c r="AM1835" s="2">
        <v>15.5</v>
      </c>
      <c r="AN1835" s="2">
        <v>2.4</v>
      </c>
      <c r="AO1835" s="2">
        <v>10.9</v>
      </c>
      <c r="AP1835" s="2">
        <v>564</v>
      </c>
      <c r="AQ1835" s="2">
        <v>68</v>
      </c>
      <c r="AR1835" s="2">
        <v>1.5</v>
      </c>
      <c r="AS1835" s="2">
        <v>135</v>
      </c>
      <c r="AT1835" s="2">
        <v>0</v>
      </c>
      <c r="AU1835" s="2">
        <v>162</v>
      </c>
      <c r="AV1835" s="2">
        <v>9.1</v>
      </c>
      <c r="AW1835" s="2">
        <v>9.1999999999999993</v>
      </c>
      <c r="AX1835" s="2">
        <v>18.3</v>
      </c>
      <c r="AY1835" s="2">
        <v>0.34</v>
      </c>
      <c r="AZ1835" s="2">
        <v>7.3</v>
      </c>
      <c r="BA1835" s="2">
        <v>0.9</v>
      </c>
      <c r="BB1835" s="2">
        <v>7.5</v>
      </c>
      <c r="BC1835" s="2">
        <v>2.9</v>
      </c>
      <c r="BD1835" s="2">
        <f>+AN1835*EXP(-0.0495*Y1835)</f>
        <v>2.0863063947356326</v>
      </c>
      <c r="BE1835" s="2">
        <f>+AO1835*EXP(-0.024*Y1835)</f>
        <v>10.184310604946379</v>
      </c>
    </row>
    <row r="1836" spans="1:57" x14ac:dyDescent="0.2">
      <c r="A1836" s="2" t="s">
        <v>4147</v>
      </c>
      <c r="B1836" s="2" t="s">
        <v>19</v>
      </c>
      <c r="C1836" s="2" t="s">
        <v>3245</v>
      </c>
      <c r="D1836" s="2" t="s">
        <v>21</v>
      </c>
      <c r="E1836" s="2" t="s">
        <v>24</v>
      </c>
      <c r="F1836" s="2">
        <v>5</v>
      </c>
      <c r="G1836" s="2">
        <v>45</v>
      </c>
      <c r="H1836" s="2">
        <v>1</v>
      </c>
      <c r="I1836" s="2">
        <v>1</v>
      </c>
      <c r="J1836" s="2">
        <v>1</v>
      </c>
      <c r="K1836" s="2" t="s">
        <v>61</v>
      </c>
      <c r="L1836" s="6" t="s">
        <v>75</v>
      </c>
      <c r="M1836" s="5">
        <v>335000000</v>
      </c>
      <c r="N1836" s="2">
        <v>0</v>
      </c>
      <c r="O1836" s="2">
        <v>4.7050538059999996</v>
      </c>
      <c r="P1836" s="2">
        <v>-74.059341430000003</v>
      </c>
      <c r="Q1836" s="2" t="s">
        <v>4148</v>
      </c>
      <c r="R1836" s="2">
        <v>7444444.4440000001</v>
      </c>
      <c r="S1836" s="2">
        <v>0</v>
      </c>
      <c r="T1836" s="2" t="s">
        <v>55</v>
      </c>
      <c r="U1836" s="2" t="s">
        <v>56</v>
      </c>
      <c r="V1836" s="2" t="s">
        <v>28</v>
      </c>
      <c r="W1836" s="2" t="s">
        <v>55</v>
      </c>
      <c r="X1836" s="2" t="s">
        <v>57</v>
      </c>
      <c r="Y1836" s="2">
        <v>3.2627362463568401</v>
      </c>
      <c r="Z1836" s="2">
        <v>4.71035</v>
      </c>
      <c r="AA1836" s="2">
        <v>-74.030416666666696</v>
      </c>
      <c r="AB1836" s="2">
        <v>2570</v>
      </c>
      <c r="AC1836" s="2" t="s">
        <v>31</v>
      </c>
      <c r="AD1836" s="2" t="s">
        <v>58</v>
      </c>
      <c r="AE1836" s="2" t="s">
        <v>33</v>
      </c>
      <c r="AF1836" s="2" t="s">
        <v>34</v>
      </c>
      <c r="AG1836" s="2" t="s">
        <v>72</v>
      </c>
      <c r="AH1836" s="2">
        <v>0.56911970359696495</v>
      </c>
      <c r="AI1836" s="2">
        <v>3.7572423464677001</v>
      </c>
      <c r="AJ1836" s="2">
        <v>1.3909658020417699</v>
      </c>
      <c r="AK1836" s="2">
        <v>0.23422452900632099</v>
      </c>
      <c r="AL1836" s="2">
        <v>8.0162897088178198E-2</v>
      </c>
      <c r="AM1836" s="2">
        <v>15.5</v>
      </c>
      <c r="AN1836" s="2">
        <v>2.4</v>
      </c>
      <c r="AO1836" s="2">
        <v>10.9</v>
      </c>
      <c r="AP1836" s="2">
        <v>564</v>
      </c>
      <c r="AQ1836" s="2">
        <v>68</v>
      </c>
      <c r="AR1836" s="2">
        <v>1.5</v>
      </c>
      <c r="AS1836" s="2">
        <v>135</v>
      </c>
      <c r="AT1836" s="2">
        <v>0</v>
      </c>
      <c r="AU1836" s="2">
        <v>162</v>
      </c>
      <c r="AV1836" s="2">
        <v>9.1</v>
      </c>
      <c r="AW1836" s="2">
        <v>9.1999999999999993</v>
      </c>
      <c r="AX1836" s="2">
        <v>18.3</v>
      </c>
      <c r="AY1836" s="2">
        <v>0.34</v>
      </c>
      <c r="AZ1836" s="2">
        <v>7.3</v>
      </c>
      <c r="BA1836" s="2">
        <v>0.9</v>
      </c>
      <c r="BB1836" s="2">
        <v>7.5</v>
      </c>
      <c r="BC1836" s="2">
        <v>2.9</v>
      </c>
      <c r="BD1836" s="2">
        <f>+AN1836*EXP(-0.0495*Y1836)</f>
        <v>2.042068558067887</v>
      </c>
      <c r="BE1836" s="2">
        <f>+AO1836*EXP(-0.024*Y1836)</f>
        <v>10.079030921913397</v>
      </c>
    </row>
    <row r="1837" spans="1:57" x14ac:dyDescent="0.2">
      <c r="A1837" s="2" t="s">
        <v>4562</v>
      </c>
      <c r="B1837" s="2" t="s">
        <v>19</v>
      </c>
      <c r="C1837" s="2" t="s">
        <v>3245</v>
      </c>
      <c r="D1837" s="2" t="s">
        <v>21</v>
      </c>
      <c r="E1837" s="2" t="s">
        <v>170</v>
      </c>
      <c r="F1837" s="2">
        <v>4</v>
      </c>
      <c r="G1837" s="2">
        <v>45</v>
      </c>
      <c r="H1837" s="2">
        <v>1</v>
      </c>
      <c r="I1837" s="2">
        <v>1</v>
      </c>
      <c r="J1837" s="2">
        <v>1</v>
      </c>
      <c r="K1837" s="2" t="s">
        <v>61</v>
      </c>
      <c r="L1837" s="6" t="s">
        <v>62</v>
      </c>
      <c r="M1837" s="5">
        <v>412000000</v>
      </c>
      <c r="N1837" s="2">
        <v>0</v>
      </c>
      <c r="O1837" s="2">
        <v>4.731813431</v>
      </c>
      <c r="P1837" s="2">
        <v>-74.022468570000001</v>
      </c>
      <c r="Q1837" s="2" t="s">
        <v>4563</v>
      </c>
      <c r="R1837" s="2">
        <v>9155555.5559999999</v>
      </c>
      <c r="S1837" s="2">
        <v>0</v>
      </c>
      <c r="T1837" s="2" t="s">
        <v>55</v>
      </c>
      <c r="U1837" s="2" t="s">
        <v>56</v>
      </c>
      <c r="V1837" s="2" t="s">
        <v>28</v>
      </c>
      <c r="W1837" s="2" t="s">
        <v>55</v>
      </c>
      <c r="X1837" s="2" t="s">
        <v>57</v>
      </c>
      <c r="Y1837" s="2">
        <v>2.5468166686135301</v>
      </c>
      <c r="Z1837" s="2">
        <v>4.71035</v>
      </c>
      <c r="AA1837" s="2">
        <v>-74.030416666666696</v>
      </c>
      <c r="AB1837" s="2">
        <v>2570</v>
      </c>
      <c r="AC1837" s="2" t="s">
        <v>31</v>
      </c>
      <c r="AD1837" s="2" t="s">
        <v>58</v>
      </c>
      <c r="AE1837" s="2" t="s">
        <v>33</v>
      </c>
      <c r="AF1837" s="2" t="s">
        <v>34</v>
      </c>
      <c r="AG1837" s="2" t="s">
        <v>59</v>
      </c>
      <c r="AH1837" s="2">
        <v>2.98247911088297</v>
      </c>
      <c r="AI1837" s="2">
        <v>9.9979562617553697E-2</v>
      </c>
      <c r="AJ1837" s="2">
        <v>1.7873945447483</v>
      </c>
      <c r="AK1837" s="2">
        <v>0.232690751419248</v>
      </c>
      <c r="AL1837" s="2">
        <v>0.18961918266319999</v>
      </c>
      <c r="AM1837" s="2">
        <v>15.5</v>
      </c>
      <c r="AN1837" s="2">
        <v>2.4</v>
      </c>
      <c r="AO1837" s="2">
        <v>10.9</v>
      </c>
      <c r="AP1837" s="2">
        <v>564</v>
      </c>
      <c r="AQ1837" s="2">
        <v>68</v>
      </c>
      <c r="AR1837" s="2">
        <v>1.5</v>
      </c>
      <c r="AS1837" s="2">
        <v>135</v>
      </c>
      <c r="AT1837" s="2">
        <v>0</v>
      </c>
      <c r="AU1837" s="2">
        <v>162</v>
      </c>
      <c r="AV1837" s="2">
        <v>9.1</v>
      </c>
      <c r="AW1837" s="2">
        <v>9.1999999999999993</v>
      </c>
      <c r="AX1837" s="2">
        <v>18.3</v>
      </c>
      <c r="AY1837" s="2">
        <v>0.34</v>
      </c>
      <c r="AZ1837" s="2">
        <v>7.3</v>
      </c>
      <c r="BA1837" s="2">
        <v>0.9</v>
      </c>
      <c r="BB1837" s="2">
        <v>7.5</v>
      </c>
      <c r="BC1837" s="2">
        <v>2.9</v>
      </c>
      <c r="BD1837" s="2">
        <f>+AN1837*EXP(-0.0495*Y1837)</f>
        <v>2.1157329739712147</v>
      </c>
      <c r="BE1837" s="2">
        <f>+AO1837*EXP(-0.024*Y1837)</f>
        <v>10.253705876707031</v>
      </c>
    </row>
    <row r="1838" spans="1:57" x14ac:dyDescent="0.2">
      <c r="A1838" s="2" t="s">
        <v>4589</v>
      </c>
      <c r="B1838" s="2" t="s">
        <v>19</v>
      </c>
      <c r="C1838" s="2" t="s">
        <v>3245</v>
      </c>
      <c r="D1838" s="2" t="s">
        <v>21</v>
      </c>
      <c r="E1838" s="2" t="s">
        <v>1025</v>
      </c>
      <c r="F1838" s="2">
        <v>5</v>
      </c>
      <c r="G1838" s="2">
        <v>44.9</v>
      </c>
      <c r="H1838" s="2">
        <v>1</v>
      </c>
      <c r="I1838" s="2">
        <v>1</v>
      </c>
      <c r="J1838" s="2">
        <v>1</v>
      </c>
      <c r="K1838" s="2" t="s">
        <v>61</v>
      </c>
      <c r="L1838" s="6" t="s">
        <v>62</v>
      </c>
      <c r="M1838" s="5">
        <v>556989624</v>
      </c>
      <c r="N1838" s="2">
        <v>0</v>
      </c>
      <c r="O1838" s="2">
        <v>4.6813073159999998</v>
      </c>
      <c r="P1838" s="2">
        <v>-74.050384519999994</v>
      </c>
      <c r="Q1838" s="2" t="s">
        <v>4590</v>
      </c>
      <c r="R1838" s="2">
        <v>12405114.119999999</v>
      </c>
      <c r="S1838" s="2">
        <v>0</v>
      </c>
      <c r="T1838" s="2" t="s">
        <v>55</v>
      </c>
      <c r="U1838" s="2" t="s">
        <v>56</v>
      </c>
      <c r="V1838" s="2" t="s">
        <v>28</v>
      </c>
      <c r="W1838" s="2" t="s">
        <v>55</v>
      </c>
      <c r="X1838" s="2" t="s">
        <v>57</v>
      </c>
      <c r="Y1838" s="2">
        <v>3.9192057095927599</v>
      </c>
      <c r="Z1838" s="2">
        <v>4.71035</v>
      </c>
      <c r="AA1838" s="2">
        <v>-74.030416666666696</v>
      </c>
      <c r="AB1838" s="2">
        <v>2570</v>
      </c>
      <c r="AC1838" s="2" t="s">
        <v>31</v>
      </c>
      <c r="AD1838" s="2" t="s">
        <v>58</v>
      </c>
      <c r="AE1838" s="2" t="s">
        <v>33</v>
      </c>
      <c r="AF1838" s="2" t="s">
        <v>34</v>
      </c>
      <c r="AG1838" s="2" t="s">
        <v>81</v>
      </c>
      <c r="AH1838" s="2">
        <v>0.86337900929022204</v>
      </c>
      <c r="AI1838" s="2">
        <v>1.45274262085672</v>
      </c>
      <c r="AJ1838" s="2">
        <v>0.52678470018568402</v>
      </c>
      <c r="AK1838" s="2">
        <v>1.7799032285214102E-2</v>
      </c>
      <c r="AL1838" s="2">
        <v>0.90453820454643796</v>
      </c>
      <c r="AM1838" s="2">
        <v>15.5</v>
      </c>
      <c r="AN1838" s="2">
        <v>2.4</v>
      </c>
      <c r="AO1838" s="2">
        <v>10.9</v>
      </c>
      <c r="AP1838" s="2">
        <v>564</v>
      </c>
      <c r="AQ1838" s="2">
        <v>68</v>
      </c>
      <c r="AR1838" s="2">
        <v>1.5</v>
      </c>
      <c r="AS1838" s="2">
        <v>135</v>
      </c>
      <c r="AT1838" s="2">
        <v>0</v>
      </c>
      <c r="AU1838" s="2">
        <v>162</v>
      </c>
      <c r="AV1838" s="2">
        <v>9.1</v>
      </c>
      <c r="AW1838" s="2">
        <v>9.1999999999999993</v>
      </c>
      <c r="AX1838" s="2">
        <v>18.3</v>
      </c>
      <c r="AY1838" s="2">
        <v>0.34</v>
      </c>
      <c r="AZ1838" s="2">
        <v>7.3</v>
      </c>
      <c r="BA1838" s="2">
        <v>0.9</v>
      </c>
      <c r="BB1838" s="2">
        <v>7.5</v>
      </c>
      <c r="BC1838" s="2">
        <v>2.9</v>
      </c>
      <c r="BD1838" s="2">
        <f>+AN1838*EXP(-0.0495*Y1838)</f>
        <v>1.9767776208466135</v>
      </c>
      <c r="BE1838" s="2">
        <f>+AO1838*EXP(-0.024*Y1838)</f>
        <v>9.9214775046285801</v>
      </c>
    </row>
    <row r="1839" spans="1:57" x14ac:dyDescent="0.2">
      <c r="A1839" s="2" t="s">
        <v>471</v>
      </c>
      <c r="B1839" s="2" t="s">
        <v>19</v>
      </c>
      <c r="C1839" s="2" t="s">
        <v>20</v>
      </c>
      <c r="D1839" s="2" t="s">
        <v>21</v>
      </c>
      <c r="E1839" s="2" t="s">
        <v>130</v>
      </c>
      <c r="F1839" s="2">
        <v>6</v>
      </c>
      <c r="G1839" s="2">
        <v>44</v>
      </c>
      <c r="H1839" s="2">
        <v>1</v>
      </c>
      <c r="I1839" s="2">
        <v>1</v>
      </c>
      <c r="J1839" s="2">
        <v>1</v>
      </c>
      <c r="K1839" s="2" t="s">
        <v>61</v>
      </c>
      <c r="L1839" s="6" t="s">
        <v>113</v>
      </c>
      <c r="M1839" s="5">
        <v>439000000</v>
      </c>
      <c r="N1839" s="2">
        <v>0</v>
      </c>
      <c r="O1839" s="2">
        <v>4.6779080000000004</v>
      </c>
      <c r="P1839" s="2">
        <v>-74.042739999999995</v>
      </c>
      <c r="Q1839" s="2" t="s">
        <v>472</v>
      </c>
      <c r="R1839" s="2">
        <v>9977272.727</v>
      </c>
      <c r="S1839" s="2">
        <v>0</v>
      </c>
      <c r="T1839" s="2" t="s">
        <v>55</v>
      </c>
      <c r="U1839" s="2" t="s">
        <v>56</v>
      </c>
      <c r="V1839" s="2" t="s">
        <v>28</v>
      </c>
      <c r="W1839" s="2" t="s">
        <v>55</v>
      </c>
      <c r="X1839" s="2" t="s">
        <v>57</v>
      </c>
      <c r="Y1839" s="2">
        <v>3.8615684220595301</v>
      </c>
      <c r="Z1839" s="2">
        <v>4.71035</v>
      </c>
      <c r="AA1839" s="2">
        <v>-74.030416666666696</v>
      </c>
      <c r="AB1839" s="2">
        <v>2570</v>
      </c>
      <c r="AC1839" s="2" t="s">
        <v>31</v>
      </c>
      <c r="AD1839" s="2" t="s">
        <v>58</v>
      </c>
      <c r="AE1839" s="2" t="s">
        <v>33</v>
      </c>
      <c r="AF1839" s="2" t="s">
        <v>34</v>
      </c>
      <c r="AG1839" s="2" t="s">
        <v>81</v>
      </c>
      <c r="AH1839" s="2">
        <v>1.7893600279873501</v>
      </c>
      <c r="AI1839" s="2">
        <v>0.55241168119927897</v>
      </c>
      <c r="AJ1839" s="2">
        <v>0.63064757411735095</v>
      </c>
      <c r="AK1839" s="2">
        <v>0.20628589992006199</v>
      </c>
      <c r="AL1839" s="2">
        <v>1.06393634073386</v>
      </c>
      <c r="AM1839" s="2">
        <v>15.5</v>
      </c>
      <c r="AN1839" s="2">
        <v>2.4</v>
      </c>
      <c r="AO1839" s="2">
        <v>10.9</v>
      </c>
      <c r="AP1839" s="2">
        <v>564</v>
      </c>
      <c r="AQ1839" s="2">
        <v>68</v>
      </c>
      <c r="AR1839" s="2">
        <v>1.5</v>
      </c>
      <c r="AS1839" s="2">
        <v>135</v>
      </c>
      <c r="AT1839" s="2">
        <v>0</v>
      </c>
      <c r="AU1839" s="2">
        <v>162</v>
      </c>
      <c r="AV1839" s="2">
        <v>9.1</v>
      </c>
      <c r="AW1839" s="2">
        <v>9.1999999999999993</v>
      </c>
      <c r="AX1839" s="2">
        <v>18.3</v>
      </c>
      <c r="AY1839" s="2">
        <v>0.34</v>
      </c>
      <c r="AZ1839" s="2">
        <v>7.3</v>
      </c>
      <c r="BA1839" s="2">
        <v>0.9</v>
      </c>
      <c r="BB1839" s="2">
        <v>7.5</v>
      </c>
      <c r="BC1839" s="2">
        <v>2.9</v>
      </c>
      <c r="BD1839" s="2">
        <f>+AN1839*EXP(-0.0495*Y1839)</f>
        <v>1.9824255108157498</v>
      </c>
      <c r="BE1839" s="2">
        <f>+AO1839*EXP(-0.024*Y1839)</f>
        <v>9.9352113306448793</v>
      </c>
    </row>
    <row r="1840" spans="1:57" x14ac:dyDescent="0.2">
      <c r="A1840" s="2" t="s">
        <v>4454</v>
      </c>
      <c r="B1840" s="2" t="s">
        <v>19</v>
      </c>
      <c r="C1840" s="2" t="s">
        <v>3245</v>
      </c>
      <c r="D1840" s="2" t="s">
        <v>21</v>
      </c>
      <c r="E1840" s="2" t="s">
        <v>180</v>
      </c>
      <c r="F1840" s="2">
        <v>6</v>
      </c>
      <c r="G1840" s="2">
        <v>44</v>
      </c>
      <c r="H1840" s="2">
        <v>1</v>
      </c>
      <c r="I1840" s="2">
        <v>1</v>
      </c>
      <c r="J1840" s="2">
        <v>0</v>
      </c>
      <c r="K1840" s="2" t="s">
        <v>61</v>
      </c>
      <c r="L1840" s="6" t="s">
        <v>62</v>
      </c>
      <c r="M1840" s="5">
        <v>620000000</v>
      </c>
      <c r="N1840" s="2">
        <v>0</v>
      </c>
      <c r="O1840" s="2">
        <v>4.6816199999999997</v>
      </c>
      <c r="P1840" s="2">
        <v>-74.047139999999999</v>
      </c>
      <c r="Q1840" s="2" t="s">
        <v>4455</v>
      </c>
      <c r="R1840" s="2">
        <v>14090909.09</v>
      </c>
      <c r="S1840" s="2">
        <v>0</v>
      </c>
      <c r="T1840" s="2" t="s">
        <v>55</v>
      </c>
      <c r="U1840" s="2" t="s">
        <v>56</v>
      </c>
      <c r="V1840" s="2" t="s">
        <v>28</v>
      </c>
      <c r="W1840" s="2" t="s">
        <v>55</v>
      </c>
      <c r="X1840" s="2" t="s">
        <v>57</v>
      </c>
      <c r="Y1840" s="2">
        <v>3.6974300751556402</v>
      </c>
      <c r="Z1840" s="2">
        <v>4.71035</v>
      </c>
      <c r="AA1840" s="2">
        <v>-74.030416666666696</v>
      </c>
      <c r="AB1840" s="2">
        <v>2570</v>
      </c>
      <c r="AC1840" s="2" t="s">
        <v>31</v>
      </c>
      <c r="AD1840" s="2" t="s">
        <v>58</v>
      </c>
      <c r="AE1840" s="2" t="s">
        <v>33</v>
      </c>
      <c r="AF1840" s="2" t="s">
        <v>34</v>
      </c>
      <c r="AG1840" s="2" t="s">
        <v>81</v>
      </c>
      <c r="AH1840" s="2">
        <v>1.20019307229707</v>
      </c>
      <c r="AI1840" s="2">
        <v>1.18883715800353</v>
      </c>
      <c r="AJ1840" s="2">
        <v>0.65498137780241705</v>
      </c>
      <c r="AK1840" s="2">
        <v>9.2125053842393195E-2</v>
      </c>
      <c r="AL1840" s="2">
        <v>0.92328563608887004</v>
      </c>
      <c r="AM1840" s="2">
        <v>15.5</v>
      </c>
      <c r="AN1840" s="2">
        <v>2.4</v>
      </c>
      <c r="AO1840" s="2">
        <v>10.9</v>
      </c>
      <c r="AP1840" s="2">
        <v>564</v>
      </c>
      <c r="AQ1840" s="2">
        <v>68</v>
      </c>
      <c r="AR1840" s="2">
        <v>1.5</v>
      </c>
      <c r="AS1840" s="2">
        <v>135</v>
      </c>
      <c r="AT1840" s="2">
        <v>0</v>
      </c>
      <c r="AU1840" s="2">
        <v>162</v>
      </c>
      <c r="AV1840" s="2">
        <v>9.1</v>
      </c>
      <c r="AW1840" s="2">
        <v>9.1999999999999993</v>
      </c>
      <c r="AX1840" s="2">
        <v>18.3</v>
      </c>
      <c r="AY1840" s="2">
        <v>0.34</v>
      </c>
      <c r="AZ1840" s="2">
        <v>7.3</v>
      </c>
      <c r="BA1840" s="2">
        <v>0.9</v>
      </c>
      <c r="BB1840" s="2">
        <v>7.5</v>
      </c>
      <c r="BC1840" s="2">
        <v>2.9</v>
      </c>
      <c r="BD1840" s="2">
        <f>+AN1840*EXP(-0.0495*Y1840)</f>
        <v>1.9985980277587974</v>
      </c>
      <c r="BE1840" s="2">
        <f>+AO1840*EXP(-0.024*Y1840)</f>
        <v>9.9744265004249044</v>
      </c>
    </row>
    <row r="1841" spans="1:57" x14ac:dyDescent="0.2">
      <c r="A1841" s="2" t="s">
        <v>4189</v>
      </c>
      <c r="B1841" s="2" t="s">
        <v>19</v>
      </c>
      <c r="C1841" s="2" t="s">
        <v>3245</v>
      </c>
      <c r="D1841" s="2" t="s">
        <v>21</v>
      </c>
      <c r="E1841" s="2" t="s">
        <v>156</v>
      </c>
      <c r="F1841" s="2">
        <v>4</v>
      </c>
      <c r="G1841" s="2">
        <v>44</v>
      </c>
      <c r="H1841" s="2">
        <v>1</v>
      </c>
      <c r="I1841" s="2">
        <v>2</v>
      </c>
      <c r="J1841" s="2">
        <v>1</v>
      </c>
      <c r="K1841" s="2" t="s">
        <v>61</v>
      </c>
      <c r="L1841" s="6" t="s">
        <v>62</v>
      </c>
      <c r="M1841" s="5">
        <v>450000000</v>
      </c>
      <c r="N1841" s="2">
        <v>0</v>
      </c>
      <c r="O1841" s="2">
        <v>4.7166943549999996</v>
      </c>
      <c r="P1841" s="2">
        <v>-74.030990599999996</v>
      </c>
      <c r="Q1841" s="2" t="s">
        <v>4190</v>
      </c>
      <c r="R1841" s="2">
        <v>10227272.73</v>
      </c>
      <c r="S1841" s="2">
        <v>0</v>
      </c>
      <c r="T1841" s="2" t="s">
        <v>55</v>
      </c>
      <c r="U1841" s="2" t="s">
        <v>56</v>
      </c>
      <c r="V1841" s="2" t="s">
        <v>28</v>
      </c>
      <c r="W1841" s="2" t="s">
        <v>55</v>
      </c>
      <c r="X1841" s="2" t="s">
        <v>57</v>
      </c>
      <c r="Y1841" s="2">
        <v>0.70911490382111197</v>
      </c>
      <c r="Z1841" s="2">
        <v>4.71035</v>
      </c>
      <c r="AA1841" s="2">
        <v>-74.030416666666696</v>
      </c>
      <c r="AB1841" s="2">
        <v>2570</v>
      </c>
      <c r="AC1841" s="2" t="s">
        <v>31</v>
      </c>
      <c r="AD1841" s="2" t="s">
        <v>58</v>
      </c>
      <c r="AE1841" s="2" t="s">
        <v>33</v>
      </c>
      <c r="AF1841" s="2" t="s">
        <v>34</v>
      </c>
      <c r="AG1841" s="2" t="s">
        <v>59</v>
      </c>
      <c r="AH1841" s="2">
        <v>2.3224318757838698</v>
      </c>
      <c r="AI1841" s="2">
        <v>0.826352815220734</v>
      </c>
      <c r="AJ1841" s="2">
        <v>0.68705652885094703</v>
      </c>
      <c r="AK1841" s="2">
        <v>7.7567408431795395E-2</v>
      </c>
      <c r="AL1841" s="2">
        <v>3.88782046050275E-2</v>
      </c>
      <c r="AM1841" s="2">
        <v>15.5</v>
      </c>
      <c r="AN1841" s="2">
        <v>2.4</v>
      </c>
      <c r="AO1841" s="2">
        <v>10.9</v>
      </c>
      <c r="AP1841" s="2">
        <v>564</v>
      </c>
      <c r="AQ1841" s="2">
        <v>68</v>
      </c>
      <c r="AR1841" s="2">
        <v>1.5</v>
      </c>
      <c r="AS1841" s="2">
        <v>135</v>
      </c>
      <c r="AT1841" s="2">
        <v>0</v>
      </c>
      <c r="AU1841" s="2">
        <v>162</v>
      </c>
      <c r="AV1841" s="2">
        <v>9.1</v>
      </c>
      <c r="AW1841" s="2">
        <v>9.1999999999999993</v>
      </c>
      <c r="AX1841" s="2">
        <v>18.3</v>
      </c>
      <c r="AY1841" s="2">
        <v>0.34</v>
      </c>
      <c r="AZ1841" s="2">
        <v>7.3</v>
      </c>
      <c r="BA1841" s="2">
        <v>0.9</v>
      </c>
      <c r="BB1841" s="2">
        <v>7.5</v>
      </c>
      <c r="BC1841" s="2">
        <v>2.9</v>
      </c>
      <c r="BD1841" s="2">
        <f>+AN1841*EXP(-0.0495*Y1841)</f>
        <v>2.3172185130523664</v>
      </c>
      <c r="BE1841" s="2">
        <f>+AO1841*EXP(-0.024*Y1841)</f>
        <v>10.716065151988845</v>
      </c>
    </row>
    <row r="1842" spans="1:57" x14ac:dyDescent="0.2">
      <c r="A1842" s="2" t="s">
        <v>3263</v>
      </c>
      <c r="B1842" s="2" t="s">
        <v>19</v>
      </c>
      <c r="C1842" s="2" t="s">
        <v>3245</v>
      </c>
      <c r="D1842" s="2" t="s">
        <v>21</v>
      </c>
      <c r="E1842" s="2" t="s">
        <v>952</v>
      </c>
      <c r="F1842" s="2">
        <v>5</v>
      </c>
      <c r="G1842" s="2">
        <v>43.49</v>
      </c>
      <c r="H1842" s="2">
        <v>1</v>
      </c>
      <c r="I1842" s="2">
        <v>2</v>
      </c>
      <c r="J1842" s="2">
        <v>1</v>
      </c>
      <c r="K1842" s="2" t="s">
        <v>61</v>
      </c>
      <c r="L1842" s="6" t="s">
        <v>113</v>
      </c>
      <c r="M1842" s="5">
        <v>315000000</v>
      </c>
      <c r="N1842" s="2">
        <v>0</v>
      </c>
      <c r="O1842" s="2">
        <v>4.6958408360000004</v>
      </c>
      <c r="P1842" s="2">
        <v>-74.063613889999999</v>
      </c>
      <c r="Q1842" s="2" t="s">
        <v>3264</v>
      </c>
      <c r="R1842" s="2">
        <v>7243044.3779999996</v>
      </c>
      <c r="S1842" s="2">
        <v>0</v>
      </c>
      <c r="T1842" s="2" t="s">
        <v>55</v>
      </c>
      <c r="U1842" s="2" t="s">
        <v>56</v>
      </c>
      <c r="V1842" s="2" t="s">
        <v>28</v>
      </c>
      <c r="W1842" s="2" t="s">
        <v>55</v>
      </c>
      <c r="X1842" s="2" t="s">
        <v>57</v>
      </c>
      <c r="Y1842" s="2">
        <v>4.0216430985516096</v>
      </c>
      <c r="Z1842" s="2">
        <v>4.71035</v>
      </c>
      <c r="AA1842" s="2">
        <v>-74.030416666666696</v>
      </c>
      <c r="AB1842" s="2">
        <v>2570</v>
      </c>
      <c r="AC1842" s="2" t="s">
        <v>31</v>
      </c>
      <c r="AD1842" s="2" t="s">
        <v>58</v>
      </c>
      <c r="AE1842" s="2" t="s">
        <v>33</v>
      </c>
      <c r="AF1842" s="2" t="s">
        <v>34</v>
      </c>
      <c r="AG1842" s="2" t="s">
        <v>72</v>
      </c>
      <c r="AH1842" s="2">
        <v>0.481239556513681</v>
      </c>
      <c r="AI1842" s="2">
        <v>3.57585051873455</v>
      </c>
      <c r="AJ1842" s="2">
        <v>0.70013349189807195</v>
      </c>
      <c r="AK1842" s="2">
        <v>0.12736949145908799</v>
      </c>
      <c r="AL1842" s="2">
        <v>9.9562134594379098E-2</v>
      </c>
      <c r="AM1842" s="2">
        <v>15.5</v>
      </c>
      <c r="AN1842" s="2">
        <v>2.4</v>
      </c>
      <c r="AO1842" s="2">
        <v>10.9</v>
      </c>
      <c r="AP1842" s="2">
        <v>564</v>
      </c>
      <c r="AQ1842" s="2">
        <v>68</v>
      </c>
      <c r="AR1842" s="2">
        <v>1.5</v>
      </c>
      <c r="AS1842" s="2">
        <v>135</v>
      </c>
      <c r="AT1842" s="2">
        <v>0</v>
      </c>
      <c r="AU1842" s="2">
        <v>162</v>
      </c>
      <c r="AV1842" s="2">
        <v>9.1</v>
      </c>
      <c r="AW1842" s="2">
        <v>9.1999999999999993</v>
      </c>
      <c r="AX1842" s="2">
        <v>18.3</v>
      </c>
      <c r="AY1842" s="2">
        <v>0.34</v>
      </c>
      <c r="AZ1842" s="2">
        <v>7.3</v>
      </c>
      <c r="BA1842" s="2">
        <v>0.9</v>
      </c>
      <c r="BB1842" s="2">
        <v>7.5</v>
      </c>
      <c r="BC1842" s="2">
        <v>2.9</v>
      </c>
      <c r="BD1842" s="2">
        <f>+AN1842*EXP(-0.0495*Y1842)</f>
        <v>1.966779441972996</v>
      </c>
      <c r="BE1842" s="2">
        <f>+AO1842*EXP(-0.024*Y1842)</f>
        <v>9.8971155378100466</v>
      </c>
    </row>
    <row r="1843" spans="1:57" x14ac:dyDescent="0.2">
      <c r="A1843" s="2" t="s">
        <v>3821</v>
      </c>
      <c r="B1843" s="2" t="s">
        <v>19</v>
      </c>
      <c r="C1843" s="2" t="s">
        <v>3245</v>
      </c>
      <c r="D1843" s="2" t="s">
        <v>21</v>
      </c>
      <c r="E1843" s="2" t="s">
        <v>419</v>
      </c>
      <c r="F1843" s="2">
        <v>6</v>
      </c>
      <c r="G1843" s="2">
        <v>43</v>
      </c>
      <c r="H1843" s="2">
        <v>1</v>
      </c>
      <c r="I1843" s="2">
        <v>1</v>
      </c>
      <c r="J1843" s="2">
        <v>0</v>
      </c>
      <c r="K1843" s="2" t="s">
        <v>61</v>
      </c>
      <c r="L1843" s="6" t="s">
        <v>84</v>
      </c>
      <c r="M1843" s="5">
        <v>575000000</v>
      </c>
      <c r="N1843" s="2">
        <v>0</v>
      </c>
      <c r="O1843" s="2">
        <v>4.6922499999999996</v>
      </c>
      <c r="P1843" s="2">
        <v>-74.049970000000002</v>
      </c>
      <c r="Q1843" s="2" t="s">
        <v>3822</v>
      </c>
      <c r="R1843" s="2">
        <v>13372093.02</v>
      </c>
      <c r="S1843" s="2">
        <v>0</v>
      </c>
      <c r="T1843" s="2" t="s">
        <v>55</v>
      </c>
      <c r="U1843" s="2" t="s">
        <v>56</v>
      </c>
      <c r="V1843" s="2" t="s">
        <v>28</v>
      </c>
      <c r="W1843" s="2" t="s">
        <v>55</v>
      </c>
      <c r="X1843" s="2" t="s">
        <v>57</v>
      </c>
      <c r="Y1843" s="2">
        <v>2.9607102183057799</v>
      </c>
      <c r="Z1843" s="2">
        <v>4.71035</v>
      </c>
      <c r="AA1843" s="2">
        <v>-74.030416666666696</v>
      </c>
      <c r="AB1843" s="2">
        <v>2570</v>
      </c>
      <c r="AC1843" s="2" t="s">
        <v>31</v>
      </c>
      <c r="AD1843" s="2" t="s">
        <v>58</v>
      </c>
      <c r="AE1843" s="2" t="s">
        <v>33</v>
      </c>
      <c r="AF1843" s="2" t="s">
        <v>34</v>
      </c>
      <c r="AG1843" s="2" t="s">
        <v>59</v>
      </c>
      <c r="AH1843" s="2">
        <v>0.69356863585262096</v>
      </c>
      <c r="AI1843" s="2">
        <v>2.1439042344627199</v>
      </c>
      <c r="AJ1843" s="2">
        <v>0.11606253656381101</v>
      </c>
      <c r="AK1843" s="2">
        <v>6.0074708877432201E-2</v>
      </c>
      <c r="AL1843" s="2">
        <v>1.07536749941034E-2</v>
      </c>
      <c r="AM1843" s="2">
        <v>15.5</v>
      </c>
      <c r="AN1843" s="2">
        <v>2.4</v>
      </c>
      <c r="AO1843" s="2">
        <v>10.9</v>
      </c>
      <c r="AP1843" s="2">
        <v>564</v>
      </c>
      <c r="AQ1843" s="2">
        <v>68</v>
      </c>
      <c r="AR1843" s="2">
        <v>1.5</v>
      </c>
      <c r="AS1843" s="2">
        <v>135</v>
      </c>
      <c r="AT1843" s="2">
        <v>0</v>
      </c>
      <c r="AU1843" s="2">
        <v>162</v>
      </c>
      <c r="AV1843" s="2">
        <v>9.1</v>
      </c>
      <c r="AW1843" s="2">
        <v>9.1999999999999993</v>
      </c>
      <c r="AX1843" s="2">
        <v>18.3</v>
      </c>
      <c r="AY1843" s="2">
        <v>0.34</v>
      </c>
      <c r="AZ1843" s="2">
        <v>7.3</v>
      </c>
      <c r="BA1843" s="2">
        <v>0.9</v>
      </c>
      <c r="BB1843" s="2">
        <v>7.5</v>
      </c>
      <c r="BC1843" s="2">
        <v>2.9</v>
      </c>
      <c r="BD1843" s="2">
        <f>+AN1843*EXP(-0.0495*Y1843)</f>
        <v>2.072827425982771</v>
      </c>
      <c r="BE1843" s="2">
        <f>+AO1843*EXP(-0.024*Y1843)</f>
        <v>10.152355464124446</v>
      </c>
    </row>
    <row r="1844" spans="1:57" x14ac:dyDescent="0.2">
      <c r="A1844" s="2" t="s">
        <v>3415</v>
      </c>
      <c r="B1844" s="2" t="s">
        <v>19</v>
      </c>
      <c r="C1844" s="2" t="s">
        <v>3245</v>
      </c>
      <c r="D1844" s="2" t="s">
        <v>21</v>
      </c>
      <c r="E1844" s="2" t="s">
        <v>156</v>
      </c>
      <c r="F1844" s="2">
        <v>4</v>
      </c>
      <c r="G1844" s="2">
        <v>43</v>
      </c>
      <c r="H1844" s="2">
        <v>1</v>
      </c>
      <c r="I1844" s="2">
        <v>1</v>
      </c>
      <c r="J1844" s="2">
        <v>1</v>
      </c>
      <c r="K1844" s="2" t="s">
        <v>61</v>
      </c>
      <c r="L1844" s="6" t="s">
        <v>75</v>
      </c>
      <c r="M1844" s="5">
        <v>270000000</v>
      </c>
      <c r="N1844" s="2">
        <v>0</v>
      </c>
      <c r="O1844" s="2">
        <v>4.7184699999999999</v>
      </c>
      <c r="P1844" s="2">
        <v>-74.032690000000002</v>
      </c>
      <c r="Q1844" s="2" t="s">
        <v>3416</v>
      </c>
      <c r="R1844" s="2">
        <v>6279069.767</v>
      </c>
      <c r="S1844" s="2">
        <v>0</v>
      </c>
      <c r="T1844" s="2" t="s">
        <v>55</v>
      </c>
      <c r="U1844" s="2" t="s">
        <v>56</v>
      </c>
      <c r="V1844" s="2" t="s">
        <v>28</v>
      </c>
      <c r="W1844" s="2" t="s">
        <v>55</v>
      </c>
      <c r="X1844" s="2" t="s">
        <v>57</v>
      </c>
      <c r="Y1844" s="2">
        <v>0.938440698378744</v>
      </c>
      <c r="Z1844" s="2">
        <v>4.71035</v>
      </c>
      <c r="AA1844" s="2">
        <v>-74.030416666666696</v>
      </c>
      <c r="AB1844" s="2">
        <v>2570</v>
      </c>
      <c r="AC1844" s="2" t="s">
        <v>31</v>
      </c>
      <c r="AD1844" s="2" t="s">
        <v>58</v>
      </c>
      <c r="AE1844" s="2" t="s">
        <v>33</v>
      </c>
      <c r="AF1844" s="2" t="s">
        <v>34</v>
      </c>
      <c r="AG1844" s="2" t="s">
        <v>59</v>
      </c>
      <c r="AH1844" s="2">
        <v>2.1021118585659102</v>
      </c>
      <c r="AI1844" s="2">
        <v>1.02005535023398</v>
      </c>
      <c r="AJ1844" s="2">
        <v>0.85412447291636096</v>
      </c>
      <c r="AK1844" s="2">
        <v>0.12488181193478699</v>
      </c>
      <c r="AL1844" s="2">
        <v>6.9162471371893894E-2</v>
      </c>
      <c r="AM1844" s="2">
        <v>15.5</v>
      </c>
      <c r="AN1844" s="2">
        <v>2.4</v>
      </c>
      <c r="AO1844" s="2">
        <v>10.9</v>
      </c>
      <c r="AP1844" s="2">
        <v>564</v>
      </c>
      <c r="AQ1844" s="2">
        <v>68</v>
      </c>
      <c r="AR1844" s="2">
        <v>1.5</v>
      </c>
      <c r="AS1844" s="2">
        <v>135</v>
      </c>
      <c r="AT1844" s="2">
        <v>0</v>
      </c>
      <c r="AU1844" s="2">
        <v>162</v>
      </c>
      <c r="AV1844" s="2">
        <v>9.1</v>
      </c>
      <c r="AW1844" s="2">
        <v>9.1999999999999993</v>
      </c>
      <c r="AX1844" s="2">
        <v>18.3</v>
      </c>
      <c r="AY1844" s="2">
        <v>0.34</v>
      </c>
      <c r="AZ1844" s="2">
        <v>7.3</v>
      </c>
      <c r="BA1844" s="2">
        <v>0.9</v>
      </c>
      <c r="BB1844" s="2">
        <v>7.5</v>
      </c>
      <c r="BC1844" s="2">
        <v>2.9</v>
      </c>
      <c r="BD1844" s="2">
        <f>+AN1844*EXP(-0.0495*Y1844)</f>
        <v>2.29106304761312</v>
      </c>
      <c r="BE1844" s="2">
        <f>+AO1844*EXP(-0.024*Y1844)</f>
        <v>10.657247876552109</v>
      </c>
    </row>
    <row r="1845" spans="1:57" x14ac:dyDescent="0.2">
      <c r="A1845" s="2" t="s">
        <v>3519</v>
      </c>
      <c r="B1845" s="2" t="s">
        <v>19</v>
      </c>
      <c r="C1845" s="2" t="s">
        <v>3245</v>
      </c>
      <c r="D1845" s="2" t="s">
        <v>21</v>
      </c>
      <c r="E1845" s="2" t="s">
        <v>156</v>
      </c>
      <c r="F1845" s="2">
        <v>4</v>
      </c>
      <c r="G1845" s="2">
        <v>42.99</v>
      </c>
      <c r="H1845" s="2">
        <v>1</v>
      </c>
      <c r="I1845" s="2">
        <v>2</v>
      </c>
      <c r="J1845" s="2">
        <v>1</v>
      </c>
      <c r="K1845" s="2" t="s">
        <v>61</v>
      </c>
      <c r="L1845" s="6" t="s">
        <v>84</v>
      </c>
      <c r="M1845" s="5">
        <v>385000000</v>
      </c>
      <c r="N1845" s="2">
        <v>0</v>
      </c>
      <c r="O1845" s="2">
        <v>4.7281899999999997</v>
      </c>
      <c r="P1845" s="2">
        <v>-74.039119999999997</v>
      </c>
      <c r="Q1845" s="2" t="s">
        <v>3520</v>
      </c>
      <c r="R1845" s="2">
        <v>8955571.0629999992</v>
      </c>
      <c r="S1845" s="2">
        <v>0</v>
      </c>
      <c r="T1845" s="2" t="s">
        <v>55</v>
      </c>
      <c r="U1845" s="2" t="s">
        <v>56</v>
      </c>
      <c r="V1845" s="2" t="s">
        <v>28</v>
      </c>
      <c r="W1845" s="2" t="s">
        <v>55</v>
      </c>
      <c r="X1845" s="2" t="s">
        <v>57</v>
      </c>
      <c r="Y1845" s="2">
        <v>2.2082287626281198</v>
      </c>
      <c r="Z1845" s="2">
        <v>4.71035</v>
      </c>
      <c r="AA1845" s="2">
        <v>-74.030416666666696</v>
      </c>
      <c r="AB1845" s="2">
        <v>2570</v>
      </c>
      <c r="AC1845" s="2" t="s">
        <v>31</v>
      </c>
      <c r="AD1845" s="2" t="s">
        <v>58</v>
      </c>
      <c r="AE1845" s="2" t="s">
        <v>33</v>
      </c>
      <c r="AF1845" s="2" t="s">
        <v>34</v>
      </c>
      <c r="AG1845" s="2" t="s">
        <v>59</v>
      </c>
      <c r="AH1845" s="2">
        <v>1.2223711793413501</v>
      </c>
      <c r="AI1845" s="2">
        <v>1.96066543777653</v>
      </c>
      <c r="AJ1845" s="2">
        <v>0.52728571004758895</v>
      </c>
      <c r="AK1845" s="2">
        <v>0.49893194266757201</v>
      </c>
      <c r="AL1845" s="2">
        <v>0.27349311561763801</v>
      </c>
      <c r="AM1845" s="2">
        <v>15.5</v>
      </c>
      <c r="AN1845" s="2">
        <v>2.4</v>
      </c>
      <c r="AO1845" s="2">
        <v>10.9</v>
      </c>
      <c r="AP1845" s="2">
        <v>564</v>
      </c>
      <c r="AQ1845" s="2">
        <v>68</v>
      </c>
      <c r="AR1845" s="2">
        <v>1.5</v>
      </c>
      <c r="AS1845" s="2">
        <v>135</v>
      </c>
      <c r="AT1845" s="2">
        <v>0</v>
      </c>
      <c r="AU1845" s="2">
        <v>162</v>
      </c>
      <c r="AV1845" s="2">
        <v>9.1</v>
      </c>
      <c r="AW1845" s="2">
        <v>9.1999999999999993</v>
      </c>
      <c r="AX1845" s="2">
        <v>18.3</v>
      </c>
      <c r="AY1845" s="2">
        <v>0.34</v>
      </c>
      <c r="AZ1845" s="2">
        <v>7.3</v>
      </c>
      <c r="BA1845" s="2">
        <v>0.9</v>
      </c>
      <c r="BB1845" s="2">
        <v>7.5</v>
      </c>
      <c r="BC1845" s="2">
        <v>2.9</v>
      </c>
      <c r="BD1845" s="2">
        <f>+AN1845*EXP(-0.0495*Y1845)</f>
        <v>2.1514916958871617</v>
      </c>
      <c r="BE1845" s="2">
        <f>+AO1845*EXP(-0.024*Y1845)</f>
        <v>10.33736807968538</v>
      </c>
    </row>
    <row r="1846" spans="1:57" x14ac:dyDescent="0.2">
      <c r="A1846" s="2" t="s">
        <v>4406</v>
      </c>
      <c r="B1846" s="2" t="s">
        <v>19</v>
      </c>
      <c r="C1846" s="2" t="s">
        <v>3245</v>
      </c>
      <c r="D1846" s="2" t="s">
        <v>21</v>
      </c>
      <c r="E1846" s="2" t="s">
        <v>1025</v>
      </c>
      <c r="F1846" s="2">
        <v>6</v>
      </c>
      <c r="G1846" s="2">
        <v>42.06</v>
      </c>
      <c r="H1846" s="2">
        <v>1</v>
      </c>
      <c r="I1846" s="2">
        <v>2</v>
      </c>
      <c r="J1846" s="2">
        <v>1</v>
      </c>
      <c r="K1846" s="2" t="s">
        <v>61</v>
      </c>
      <c r="L1846" s="6" t="s">
        <v>62</v>
      </c>
      <c r="M1846" s="5">
        <v>550000000</v>
      </c>
      <c r="N1846" s="2">
        <v>0</v>
      </c>
      <c r="O1846" s="2">
        <v>4.6832242009999998</v>
      </c>
      <c r="P1846" s="2">
        <v>-74.055984499999994</v>
      </c>
      <c r="Q1846" s="2" t="s">
        <v>4407</v>
      </c>
      <c r="R1846" s="2">
        <v>13076557.300000001</v>
      </c>
      <c r="S1846" s="2">
        <v>0</v>
      </c>
      <c r="T1846" s="2" t="s">
        <v>55</v>
      </c>
      <c r="U1846" s="2" t="s">
        <v>56</v>
      </c>
      <c r="V1846" s="2" t="s">
        <v>28</v>
      </c>
      <c r="W1846" s="2" t="s">
        <v>55</v>
      </c>
      <c r="X1846" s="2" t="s">
        <v>57</v>
      </c>
      <c r="Y1846" s="2">
        <v>4.14302979186738</v>
      </c>
      <c r="Z1846" s="2">
        <v>4.71035</v>
      </c>
      <c r="AA1846" s="2">
        <v>-74.030416666666696</v>
      </c>
      <c r="AB1846" s="2">
        <v>2570</v>
      </c>
      <c r="AC1846" s="2" t="s">
        <v>31</v>
      </c>
      <c r="AD1846" s="2" t="s">
        <v>58</v>
      </c>
      <c r="AE1846" s="2" t="s">
        <v>33</v>
      </c>
      <c r="AF1846" s="2" t="s">
        <v>34</v>
      </c>
      <c r="AG1846" s="2" t="s">
        <v>81</v>
      </c>
      <c r="AH1846" s="2">
        <v>0.207668106354437</v>
      </c>
      <c r="AI1846" s="2">
        <v>2.09329747401237</v>
      </c>
      <c r="AJ1846" s="2">
        <v>0.45002325994134401</v>
      </c>
      <c r="AK1846" s="2">
        <v>0.103851541631804</v>
      </c>
      <c r="AL1846" s="2">
        <v>0.25056051684137098</v>
      </c>
      <c r="AM1846" s="2">
        <v>15.5</v>
      </c>
      <c r="AN1846" s="2">
        <v>2.4</v>
      </c>
      <c r="AO1846" s="2">
        <v>10.9</v>
      </c>
      <c r="AP1846" s="2">
        <v>564</v>
      </c>
      <c r="AQ1846" s="2">
        <v>68</v>
      </c>
      <c r="AR1846" s="2">
        <v>1.5</v>
      </c>
      <c r="AS1846" s="2">
        <v>135</v>
      </c>
      <c r="AT1846" s="2">
        <v>0</v>
      </c>
      <c r="AU1846" s="2">
        <v>162</v>
      </c>
      <c r="AV1846" s="2">
        <v>9.1</v>
      </c>
      <c r="AW1846" s="2">
        <v>9.1999999999999993</v>
      </c>
      <c r="AX1846" s="2">
        <v>18.3</v>
      </c>
      <c r="AY1846" s="2">
        <v>0.34</v>
      </c>
      <c r="AZ1846" s="2">
        <v>7.3</v>
      </c>
      <c r="BA1846" s="2">
        <v>0.9</v>
      </c>
      <c r="BB1846" s="2">
        <v>7.5</v>
      </c>
      <c r="BC1846" s="2">
        <v>2.9</v>
      </c>
      <c r="BD1846" s="2">
        <f>+AN1846*EXP(-0.0495*Y1846)</f>
        <v>1.9549972028254108</v>
      </c>
      <c r="BE1846" s="2">
        <f>+AO1846*EXP(-0.024*Y1846)</f>
        <v>9.8683244213901062</v>
      </c>
    </row>
    <row r="1847" spans="1:57" x14ac:dyDescent="0.2">
      <c r="A1847" s="2" t="s">
        <v>3622</v>
      </c>
      <c r="B1847" s="2" t="s">
        <v>19</v>
      </c>
      <c r="C1847" s="2" t="s">
        <v>3245</v>
      </c>
      <c r="D1847" s="2" t="s">
        <v>21</v>
      </c>
      <c r="E1847" s="2" t="s">
        <v>141</v>
      </c>
      <c r="F1847" s="2">
        <v>6</v>
      </c>
      <c r="G1847" s="2">
        <v>42</v>
      </c>
      <c r="H1847" s="2">
        <v>1</v>
      </c>
      <c r="I1847" s="2">
        <v>1</v>
      </c>
      <c r="J1847" s="2">
        <v>1</v>
      </c>
      <c r="K1847" s="2" t="s">
        <v>61</v>
      </c>
      <c r="L1847" s="6" t="s">
        <v>62</v>
      </c>
      <c r="M1847" s="5">
        <v>450000000</v>
      </c>
      <c r="N1847" s="2">
        <v>0</v>
      </c>
      <c r="O1847" s="2">
        <v>4.6881351469999997</v>
      </c>
      <c r="P1847" s="2">
        <v>-74.045867920000006</v>
      </c>
      <c r="Q1847" s="2" t="s">
        <v>3623</v>
      </c>
      <c r="R1847" s="2">
        <v>10714285.710000001</v>
      </c>
      <c r="S1847" s="2">
        <v>0</v>
      </c>
      <c r="T1847" s="2" t="s">
        <v>55</v>
      </c>
      <c r="U1847" s="2" t="s">
        <v>56</v>
      </c>
      <c r="V1847" s="2" t="s">
        <v>28</v>
      </c>
      <c r="W1847" s="2" t="s">
        <v>55</v>
      </c>
      <c r="X1847" s="2" t="s">
        <v>57</v>
      </c>
      <c r="Y1847" s="2">
        <v>3.00900217319793</v>
      </c>
      <c r="Z1847" s="2">
        <v>4.71035</v>
      </c>
      <c r="AA1847" s="2">
        <v>-74.030416666666696</v>
      </c>
      <c r="AB1847" s="2">
        <v>2570</v>
      </c>
      <c r="AC1847" s="2" t="s">
        <v>31</v>
      </c>
      <c r="AD1847" s="2" t="s">
        <v>58</v>
      </c>
      <c r="AE1847" s="2" t="s">
        <v>33</v>
      </c>
      <c r="AF1847" s="2" t="s">
        <v>34</v>
      </c>
      <c r="AG1847" s="2" t="s">
        <v>59</v>
      </c>
      <c r="AH1847" s="2">
        <v>1.2629098950637501</v>
      </c>
      <c r="AI1847" s="2">
        <v>1.5008798543477899</v>
      </c>
      <c r="AJ1847" s="2">
        <v>0.54413164717651596</v>
      </c>
      <c r="AK1847" s="2">
        <v>0.13352596145795101</v>
      </c>
      <c r="AL1847" s="2">
        <v>0.22863893258300799</v>
      </c>
      <c r="AM1847" s="2">
        <v>15.5</v>
      </c>
      <c r="AN1847" s="2">
        <v>2.4</v>
      </c>
      <c r="AO1847" s="2">
        <v>10.9</v>
      </c>
      <c r="AP1847" s="2">
        <v>564</v>
      </c>
      <c r="AQ1847" s="2">
        <v>68</v>
      </c>
      <c r="AR1847" s="2">
        <v>1.5</v>
      </c>
      <c r="AS1847" s="2">
        <v>135</v>
      </c>
      <c r="AT1847" s="2">
        <v>0</v>
      </c>
      <c r="AU1847" s="2">
        <v>162</v>
      </c>
      <c r="AV1847" s="2">
        <v>9.1</v>
      </c>
      <c r="AW1847" s="2">
        <v>9.1999999999999993</v>
      </c>
      <c r="AX1847" s="2">
        <v>18.3</v>
      </c>
      <c r="AY1847" s="2">
        <v>0.34</v>
      </c>
      <c r="AZ1847" s="2">
        <v>7.3</v>
      </c>
      <c r="BA1847" s="2">
        <v>0.9</v>
      </c>
      <c r="BB1847" s="2">
        <v>7.5</v>
      </c>
      <c r="BC1847" s="2">
        <v>2.9</v>
      </c>
      <c r="BD1847" s="2">
        <f>+AN1847*EXP(-0.0495*Y1847)</f>
        <v>2.06787834962017</v>
      </c>
      <c r="BE1847" s="2">
        <f>+AO1847*EXP(-0.024*Y1847)</f>
        <v>10.140595630094412</v>
      </c>
    </row>
    <row r="1848" spans="1:57" x14ac:dyDescent="0.2">
      <c r="A1848" s="2" t="s">
        <v>3275</v>
      </c>
      <c r="B1848" s="2" t="s">
        <v>19</v>
      </c>
      <c r="C1848" s="2" t="s">
        <v>3245</v>
      </c>
      <c r="D1848" s="2" t="s">
        <v>21</v>
      </c>
      <c r="E1848" s="2" t="s">
        <v>161</v>
      </c>
      <c r="F1848" s="2">
        <v>6</v>
      </c>
      <c r="G1848" s="2">
        <v>42</v>
      </c>
      <c r="H1848" s="2">
        <v>1</v>
      </c>
      <c r="I1848" s="2">
        <v>1</v>
      </c>
      <c r="J1848" s="2">
        <v>1</v>
      </c>
      <c r="K1848" s="2" t="s">
        <v>61</v>
      </c>
      <c r="L1848" s="6" t="s">
        <v>62</v>
      </c>
      <c r="M1848" s="5">
        <v>571662000</v>
      </c>
      <c r="N1848" s="2">
        <v>0</v>
      </c>
      <c r="O1848" s="2">
        <v>4.6987218860000004</v>
      </c>
      <c r="P1848" s="2">
        <v>-74.054084779999997</v>
      </c>
      <c r="Q1848" s="2" t="s">
        <v>3276</v>
      </c>
      <c r="R1848" s="2">
        <v>13611000</v>
      </c>
      <c r="S1848" s="2">
        <v>0</v>
      </c>
      <c r="T1848" s="2" t="s">
        <v>55</v>
      </c>
      <c r="U1848" s="2" t="s">
        <v>56</v>
      </c>
      <c r="V1848" s="2" t="s">
        <v>28</v>
      </c>
      <c r="W1848" s="2" t="s">
        <v>55</v>
      </c>
      <c r="X1848" s="2" t="s">
        <v>57</v>
      </c>
      <c r="Y1848" s="2">
        <v>2.9275637194228201</v>
      </c>
      <c r="Z1848" s="2">
        <v>4.71035</v>
      </c>
      <c r="AA1848" s="2">
        <v>-74.030416666666696</v>
      </c>
      <c r="AB1848" s="2">
        <v>2570</v>
      </c>
      <c r="AC1848" s="2" t="s">
        <v>31</v>
      </c>
      <c r="AD1848" s="2" t="s">
        <v>58</v>
      </c>
      <c r="AE1848" s="2" t="s">
        <v>33</v>
      </c>
      <c r="AF1848" s="2" t="s">
        <v>34</v>
      </c>
      <c r="AG1848" s="2" t="s">
        <v>59</v>
      </c>
      <c r="AH1848" s="2">
        <v>0.15080670755242101</v>
      </c>
      <c r="AI1848" s="2">
        <v>2.9754647081033401</v>
      </c>
      <c r="AJ1848" s="2">
        <v>0.76177903403651803</v>
      </c>
      <c r="AK1848" s="2">
        <v>5.4018980538912999E-2</v>
      </c>
      <c r="AL1848" s="2">
        <v>0.42368293190997203</v>
      </c>
      <c r="AM1848" s="2">
        <v>15.5</v>
      </c>
      <c r="AN1848" s="2">
        <v>2.4</v>
      </c>
      <c r="AO1848" s="2">
        <v>10.9</v>
      </c>
      <c r="AP1848" s="2">
        <v>564</v>
      </c>
      <c r="AQ1848" s="2">
        <v>68</v>
      </c>
      <c r="AR1848" s="2">
        <v>1.5</v>
      </c>
      <c r="AS1848" s="2">
        <v>135</v>
      </c>
      <c r="AT1848" s="2">
        <v>0</v>
      </c>
      <c r="AU1848" s="2">
        <v>162</v>
      </c>
      <c r="AV1848" s="2">
        <v>9.1</v>
      </c>
      <c r="AW1848" s="2">
        <v>9.1999999999999993</v>
      </c>
      <c r="AX1848" s="2">
        <v>18.3</v>
      </c>
      <c r="AY1848" s="2">
        <v>0.34</v>
      </c>
      <c r="AZ1848" s="2">
        <v>7.3</v>
      </c>
      <c r="BA1848" s="2">
        <v>0.9</v>
      </c>
      <c r="BB1848" s="2">
        <v>7.5</v>
      </c>
      <c r="BC1848" s="2">
        <v>2.9</v>
      </c>
      <c r="BD1848" s="2">
        <f>+AN1848*EXP(-0.0495*Y1848)</f>
        <v>2.07623121271561</v>
      </c>
      <c r="BE1848" s="2">
        <f>+AO1848*EXP(-0.024*Y1848)</f>
        <v>10.160435038350753</v>
      </c>
    </row>
    <row r="1849" spans="1:57" x14ac:dyDescent="0.2">
      <c r="A1849" s="2" t="s">
        <v>3831</v>
      </c>
      <c r="B1849" s="2" t="s">
        <v>19</v>
      </c>
      <c r="C1849" s="2" t="s">
        <v>3245</v>
      </c>
      <c r="D1849" s="2" t="s">
        <v>21</v>
      </c>
      <c r="E1849" s="2" t="s">
        <v>24</v>
      </c>
      <c r="F1849" s="2">
        <v>6</v>
      </c>
      <c r="G1849" s="2">
        <v>42</v>
      </c>
      <c r="H1849" s="2">
        <v>1</v>
      </c>
      <c r="I1849" s="2">
        <v>1</v>
      </c>
      <c r="J1849" s="2">
        <v>1</v>
      </c>
      <c r="K1849" s="2" t="s">
        <v>61</v>
      </c>
      <c r="L1849" s="6" t="s">
        <v>62</v>
      </c>
      <c r="M1849" s="5">
        <v>450000000</v>
      </c>
      <c r="N1849" s="2">
        <v>0</v>
      </c>
      <c r="O1849" s="2">
        <v>4.6881575580000003</v>
      </c>
      <c r="P1849" s="2">
        <v>-74.042274480000003</v>
      </c>
      <c r="Q1849" s="2" t="s">
        <v>3832</v>
      </c>
      <c r="R1849" s="2">
        <v>10714285.710000001</v>
      </c>
      <c r="S1849" s="2">
        <v>0</v>
      </c>
      <c r="T1849" s="2" t="s">
        <v>55</v>
      </c>
      <c r="U1849" s="2" t="s">
        <v>56</v>
      </c>
      <c r="V1849" s="2" t="s">
        <v>28</v>
      </c>
      <c r="W1849" s="2" t="s">
        <v>55</v>
      </c>
      <c r="X1849" s="2" t="s">
        <v>57</v>
      </c>
      <c r="Y1849" s="2">
        <v>2.7989016142843099</v>
      </c>
      <c r="Z1849" s="2">
        <v>4.71035</v>
      </c>
      <c r="AA1849" s="2">
        <v>-74.030416666666696</v>
      </c>
      <c r="AB1849" s="2">
        <v>2570</v>
      </c>
      <c r="AC1849" s="2" t="s">
        <v>31</v>
      </c>
      <c r="AD1849" s="2" t="s">
        <v>58</v>
      </c>
      <c r="AE1849" s="2" t="s">
        <v>33</v>
      </c>
      <c r="AF1849" s="2" t="s">
        <v>34</v>
      </c>
      <c r="AG1849" s="2" t="s">
        <v>59</v>
      </c>
      <c r="AH1849" s="2">
        <v>1.6316859834625901</v>
      </c>
      <c r="AI1849" s="2">
        <v>1.2449066293544599</v>
      </c>
      <c r="AJ1849" s="2">
        <v>0.718835381622284</v>
      </c>
      <c r="AK1849" s="2">
        <v>0.17052139578383901</v>
      </c>
      <c r="AL1849" s="2">
        <v>3.9032608991960899E-2</v>
      </c>
      <c r="AM1849" s="2">
        <v>15.5</v>
      </c>
      <c r="AN1849" s="2">
        <v>2.4</v>
      </c>
      <c r="AO1849" s="2">
        <v>10.9</v>
      </c>
      <c r="AP1849" s="2">
        <v>564</v>
      </c>
      <c r="AQ1849" s="2">
        <v>68</v>
      </c>
      <c r="AR1849" s="2">
        <v>1.5</v>
      </c>
      <c r="AS1849" s="2">
        <v>135</v>
      </c>
      <c r="AT1849" s="2">
        <v>0</v>
      </c>
      <c r="AU1849" s="2">
        <v>162</v>
      </c>
      <c r="AV1849" s="2">
        <v>9.1</v>
      </c>
      <c r="AW1849" s="2">
        <v>9.1999999999999993</v>
      </c>
      <c r="AX1849" s="2">
        <v>18.3</v>
      </c>
      <c r="AY1849" s="2">
        <v>0.34</v>
      </c>
      <c r="AZ1849" s="2">
        <v>7.3</v>
      </c>
      <c r="BA1849" s="2">
        <v>0.9</v>
      </c>
      <c r="BB1849" s="2">
        <v>7.5</v>
      </c>
      <c r="BC1849" s="2">
        <v>2.9</v>
      </c>
      <c r="BD1849" s="2">
        <f>+AN1849*EXP(-0.0495*Y1849)</f>
        <v>2.0894964573414092</v>
      </c>
      <c r="BE1849" s="2">
        <f>+AO1849*EXP(-0.024*Y1849)</f>
        <v>10.191857839535318</v>
      </c>
    </row>
    <row r="1850" spans="1:57" x14ac:dyDescent="0.2">
      <c r="A1850" s="2" t="s">
        <v>1390</v>
      </c>
      <c r="B1850" s="2" t="s">
        <v>19</v>
      </c>
      <c r="C1850" s="2" t="s">
        <v>20</v>
      </c>
      <c r="D1850" s="2" t="s">
        <v>21</v>
      </c>
      <c r="E1850" s="2" t="s">
        <v>288</v>
      </c>
      <c r="F1850" s="2">
        <v>5</v>
      </c>
      <c r="G1850" s="2">
        <v>42</v>
      </c>
      <c r="H1850" s="2">
        <v>1</v>
      </c>
      <c r="I1850" s="2">
        <v>1</v>
      </c>
      <c r="J1850" s="2">
        <v>1</v>
      </c>
      <c r="K1850" s="2" t="s">
        <v>61</v>
      </c>
      <c r="L1850" s="6" t="s">
        <v>113</v>
      </c>
      <c r="M1850" s="5">
        <v>365000000</v>
      </c>
      <c r="N1850" s="2">
        <v>0</v>
      </c>
      <c r="O1850" s="2">
        <v>4.6993747959999999</v>
      </c>
      <c r="P1850" s="2">
        <v>-74.049339090000004</v>
      </c>
      <c r="Q1850" s="2" t="s">
        <v>1391</v>
      </c>
      <c r="R1850" s="2">
        <v>8690476.1899999995</v>
      </c>
      <c r="S1850" s="2">
        <v>0</v>
      </c>
      <c r="T1850" s="2" t="s">
        <v>55</v>
      </c>
      <c r="U1850" s="2" t="s">
        <v>56</v>
      </c>
      <c r="V1850" s="2" t="s">
        <v>28</v>
      </c>
      <c r="W1850" s="2" t="s">
        <v>55</v>
      </c>
      <c r="X1850" s="2" t="s">
        <v>57</v>
      </c>
      <c r="Y1850" s="2">
        <v>2.4289705451198702</v>
      </c>
      <c r="Z1850" s="2">
        <v>4.71035</v>
      </c>
      <c r="AA1850" s="2">
        <v>-74.030416666666696</v>
      </c>
      <c r="AB1850" s="2">
        <v>2570</v>
      </c>
      <c r="AC1850" s="2" t="s">
        <v>31</v>
      </c>
      <c r="AD1850" s="2" t="s">
        <v>58</v>
      </c>
      <c r="AE1850" s="2" t="s">
        <v>33</v>
      </c>
      <c r="AF1850" s="2" t="s">
        <v>34</v>
      </c>
      <c r="AG1850" s="2" t="s">
        <v>59</v>
      </c>
      <c r="AH1850" s="2">
        <v>0.67612226932442199</v>
      </c>
      <c r="AI1850" s="2">
        <v>2.60218660156078</v>
      </c>
      <c r="AJ1850" s="2">
        <v>0.67445779786447202</v>
      </c>
      <c r="AK1850" s="2">
        <v>4.3990252409268897E-2</v>
      </c>
      <c r="AL1850" s="2">
        <v>0.26602189534877502</v>
      </c>
      <c r="AM1850" s="2">
        <v>15.5</v>
      </c>
      <c r="AN1850" s="2">
        <v>2.4</v>
      </c>
      <c r="AO1850" s="2">
        <v>10.9</v>
      </c>
      <c r="AP1850" s="2">
        <v>564</v>
      </c>
      <c r="AQ1850" s="2">
        <v>68</v>
      </c>
      <c r="AR1850" s="2">
        <v>1.5</v>
      </c>
      <c r="AS1850" s="2">
        <v>135</v>
      </c>
      <c r="AT1850" s="2">
        <v>0</v>
      </c>
      <c r="AU1850" s="2">
        <v>162</v>
      </c>
      <c r="AV1850" s="2">
        <v>9.1</v>
      </c>
      <c r="AW1850" s="2">
        <v>9.1999999999999993</v>
      </c>
      <c r="AX1850" s="2">
        <v>18.3</v>
      </c>
      <c r="AY1850" s="2">
        <v>0.34</v>
      </c>
      <c r="AZ1850" s="2">
        <v>7.3</v>
      </c>
      <c r="BA1850" s="2">
        <v>0.9</v>
      </c>
      <c r="BB1850" s="2">
        <v>7.5</v>
      </c>
      <c r="BC1850" s="2">
        <v>2.9</v>
      </c>
      <c r="BD1850" s="2">
        <f>+AN1850*EXP(-0.0495*Y1850)</f>
        <v>2.1281109225310253</v>
      </c>
      <c r="BE1850" s="2">
        <f>+AO1850*EXP(-0.024*Y1850)</f>
        <v>10.282747554473632</v>
      </c>
    </row>
    <row r="1851" spans="1:57" x14ac:dyDescent="0.2">
      <c r="A1851" s="2" t="s">
        <v>3764</v>
      </c>
      <c r="B1851" s="2" t="s">
        <v>19</v>
      </c>
      <c r="C1851" s="2" t="s">
        <v>3245</v>
      </c>
      <c r="D1851" s="2" t="s">
        <v>21</v>
      </c>
      <c r="E1851" s="2" t="s">
        <v>288</v>
      </c>
      <c r="F1851" s="2">
        <v>5</v>
      </c>
      <c r="G1851" s="2">
        <v>41.86</v>
      </c>
      <c r="H1851" s="2">
        <v>1</v>
      </c>
      <c r="I1851" s="2">
        <v>2</v>
      </c>
      <c r="J1851" s="2">
        <v>1</v>
      </c>
      <c r="K1851" s="2" t="s">
        <v>61</v>
      </c>
      <c r="L1851" s="6" t="s">
        <v>62</v>
      </c>
      <c r="M1851" s="5">
        <v>460000000</v>
      </c>
      <c r="N1851" s="2">
        <v>0</v>
      </c>
      <c r="O1851" s="2">
        <v>4.6973922809999999</v>
      </c>
      <c r="P1851" s="2">
        <v>-74.04407501</v>
      </c>
      <c r="Q1851" s="2" t="s">
        <v>3765</v>
      </c>
      <c r="R1851" s="2">
        <v>10989010.99</v>
      </c>
      <c r="S1851" s="2">
        <v>0</v>
      </c>
      <c r="T1851" s="2" t="s">
        <v>55</v>
      </c>
      <c r="U1851" s="2" t="s">
        <v>56</v>
      </c>
      <c r="V1851" s="2" t="s">
        <v>28</v>
      </c>
      <c r="W1851" s="2" t="s">
        <v>55</v>
      </c>
      <c r="X1851" s="2" t="s">
        <v>57</v>
      </c>
      <c r="Y1851" s="2">
        <v>2.0920906627026001</v>
      </c>
      <c r="Z1851" s="2">
        <v>4.71035</v>
      </c>
      <c r="AA1851" s="2">
        <v>-74.030416666666696</v>
      </c>
      <c r="AB1851" s="2">
        <v>2570</v>
      </c>
      <c r="AC1851" s="2" t="s">
        <v>31</v>
      </c>
      <c r="AD1851" s="2" t="s">
        <v>58</v>
      </c>
      <c r="AE1851" s="2" t="s">
        <v>33</v>
      </c>
      <c r="AF1851" s="2" t="s">
        <v>34</v>
      </c>
      <c r="AG1851" s="2" t="s">
        <v>59</v>
      </c>
      <c r="AH1851" s="2">
        <v>1.24822141563666</v>
      </c>
      <c r="AI1851" s="2">
        <v>2.0186698804376602</v>
      </c>
      <c r="AJ1851" s="2">
        <v>0.78440073649448505</v>
      </c>
      <c r="AK1851" s="2">
        <v>2.56706049349665E-2</v>
      </c>
      <c r="AL1851" s="2">
        <v>0.21049100401787499</v>
      </c>
      <c r="AM1851" s="2">
        <v>15.5</v>
      </c>
      <c r="AN1851" s="2">
        <v>2.4</v>
      </c>
      <c r="AO1851" s="2">
        <v>10.9</v>
      </c>
      <c r="AP1851" s="2">
        <v>564</v>
      </c>
      <c r="AQ1851" s="2">
        <v>68</v>
      </c>
      <c r="AR1851" s="2">
        <v>1.5</v>
      </c>
      <c r="AS1851" s="2">
        <v>135</v>
      </c>
      <c r="AT1851" s="2">
        <v>0</v>
      </c>
      <c r="AU1851" s="2">
        <v>162</v>
      </c>
      <c r="AV1851" s="2">
        <v>9.1</v>
      </c>
      <c r="AW1851" s="2">
        <v>9.1999999999999993</v>
      </c>
      <c r="AX1851" s="2">
        <v>18.3</v>
      </c>
      <c r="AY1851" s="2">
        <v>0.34</v>
      </c>
      <c r="AZ1851" s="2">
        <v>7.3</v>
      </c>
      <c r="BA1851" s="2">
        <v>0.9</v>
      </c>
      <c r="BB1851" s="2">
        <v>7.5</v>
      </c>
      <c r="BC1851" s="2">
        <v>2.9</v>
      </c>
      <c r="BD1851" s="2">
        <f>+AN1851*EXP(-0.0495*Y1851)</f>
        <v>2.1638958893610538</v>
      </c>
      <c r="BE1851" s="2">
        <f>+AO1851*EXP(-0.024*Y1851)</f>
        <v>10.36622176804336</v>
      </c>
    </row>
    <row r="1852" spans="1:57" x14ac:dyDescent="0.2">
      <c r="A1852" s="2" t="s">
        <v>3778</v>
      </c>
      <c r="B1852" s="2" t="s">
        <v>19</v>
      </c>
      <c r="C1852" s="2" t="s">
        <v>3245</v>
      </c>
      <c r="D1852" s="2" t="s">
        <v>21</v>
      </c>
      <c r="E1852" s="2" t="s">
        <v>53</v>
      </c>
      <c r="F1852" s="2">
        <v>6</v>
      </c>
      <c r="G1852" s="2">
        <v>41.8</v>
      </c>
      <c r="H1852" s="2">
        <v>1</v>
      </c>
      <c r="I1852" s="2">
        <v>1</v>
      </c>
      <c r="J1852" s="2">
        <v>0</v>
      </c>
      <c r="K1852" s="2" t="s">
        <v>61</v>
      </c>
      <c r="L1852" s="6" t="s">
        <v>62</v>
      </c>
      <c r="M1852" s="5">
        <v>632500000</v>
      </c>
      <c r="N1852" s="2">
        <v>0</v>
      </c>
      <c r="O1852" s="2">
        <v>4.69909</v>
      </c>
      <c r="P1852" s="2">
        <v>-74.039060000000006</v>
      </c>
      <c r="Q1852" s="2" t="s">
        <v>3779</v>
      </c>
      <c r="R1852" s="2">
        <v>15131578.949999999</v>
      </c>
      <c r="S1852" s="2">
        <v>0</v>
      </c>
      <c r="T1852" s="2" t="s">
        <v>55</v>
      </c>
      <c r="U1852" s="2" t="s">
        <v>56</v>
      </c>
      <c r="V1852" s="2" t="s">
        <v>28</v>
      </c>
      <c r="W1852" s="2" t="s">
        <v>55</v>
      </c>
      <c r="X1852" s="2" t="s">
        <v>57</v>
      </c>
      <c r="Y1852" s="2">
        <v>1.57819565078958</v>
      </c>
      <c r="Z1852" s="2">
        <v>4.71035</v>
      </c>
      <c r="AA1852" s="2">
        <v>-74.030416666666696</v>
      </c>
      <c r="AB1852" s="2">
        <v>2570</v>
      </c>
      <c r="AC1852" s="2" t="s">
        <v>31</v>
      </c>
      <c r="AD1852" s="2" t="s">
        <v>58</v>
      </c>
      <c r="AE1852" s="2" t="s">
        <v>33</v>
      </c>
      <c r="AF1852" s="2" t="s">
        <v>34</v>
      </c>
      <c r="AG1852" s="2" t="s">
        <v>59</v>
      </c>
      <c r="AH1852" s="2">
        <v>1.78982576504385</v>
      </c>
      <c r="AI1852" s="2">
        <v>1.4621833645262501</v>
      </c>
      <c r="AJ1852" s="2">
        <v>0.77220613174530395</v>
      </c>
      <c r="AK1852" s="2">
        <v>4.4137311263098701E-2</v>
      </c>
      <c r="AL1852" s="2">
        <v>4.94423745807007E-2</v>
      </c>
      <c r="AM1852" s="2">
        <v>15.5</v>
      </c>
      <c r="AN1852" s="2">
        <v>2.4</v>
      </c>
      <c r="AO1852" s="2">
        <v>10.9</v>
      </c>
      <c r="AP1852" s="2">
        <v>564</v>
      </c>
      <c r="AQ1852" s="2">
        <v>68</v>
      </c>
      <c r="AR1852" s="2">
        <v>1.5</v>
      </c>
      <c r="AS1852" s="2">
        <v>135</v>
      </c>
      <c r="AT1852" s="2">
        <v>0</v>
      </c>
      <c r="AU1852" s="2">
        <v>162</v>
      </c>
      <c r="AV1852" s="2">
        <v>9.1</v>
      </c>
      <c r="AW1852" s="2">
        <v>9.1999999999999993</v>
      </c>
      <c r="AX1852" s="2">
        <v>18.3</v>
      </c>
      <c r="AY1852" s="2">
        <v>0.34</v>
      </c>
      <c r="AZ1852" s="2">
        <v>7.3</v>
      </c>
      <c r="BA1852" s="2">
        <v>0.9</v>
      </c>
      <c r="BB1852" s="2">
        <v>7.5</v>
      </c>
      <c r="BC1852" s="2">
        <v>2.9</v>
      </c>
      <c r="BD1852" s="2">
        <f>+AN1852*EXP(-0.0495*Y1852)</f>
        <v>2.2196467301084972</v>
      </c>
      <c r="BE1852" s="2">
        <f>+AO1852*EXP(-0.024*Y1852)</f>
        <v>10.494865038773355</v>
      </c>
    </row>
    <row r="1853" spans="1:57" x14ac:dyDescent="0.2">
      <c r="A1853" s="2" t="s">
        <v>4421</v>
      </c>
      <c r="B1853" s="2" t="s">
        <v>19</v>
      </c>
      <c r="C1853" s="2" t="s">
        <v>3245</v>
      </c>
      <c r="D1853" s="2" t="s">
        <v>21</v>
      </c>
      <c r="E1853" s="2" t="s">
        <v>161</v>
      </c>
      <c r="F1853" s="2">
        <v>6</v>
      </c>
      <c r="G1853" s="2">
        <v>41.24</v>
      </c>
      <c r="H1853" s="2">
        <v>1</v>
      </c>
      <c r="I1853" s="2">
        <v>1</v>
      </c>
      <c r="J1853" s="2">
        <v>1</v>
      </c>
      <c r="K1853" s="2" t="s">
        <v>61</v>
      </c>
      <c r="L1853" s="6" t="s">
        <v>113</v>
      </c>
      <c r="M1853" s="5">
        <v>500000000</v>
      </c>
      <c r="N1853" s="2">
        <v>0</v>
      </c>
      <c r="O1853" s="2">
        <v>4.6955246930000003</v>
      </c>
      <c r="P1853" s="2">
        <v>-74.044761660000006</v>
      </c>
      <c r="Q1853" s="2" t="s">
        <v>4422</v>
      </c>
      <c r="R1853" s="2">
        <v>12124151.310000001</v>
      </c>
      <c r="S1853" s="2">
        <v>0</v>
      </c>
      <c r="T1853" s="2" t="s">
        <v>55</v>
      </c>
      <c r="U1853" s="2" t="s">
        <v>56</v>
      </c>
      <c r="V1853" s="2" t="s">
        <v>28</v>
      </c>
      <c r="W1853" s="2" t="s">
        <v>55</v>
      </c>
      <c r="X1853" s="2" t="s">
        <v>57</v>
      </c>
      <c r="Y1853" s="2">
        <v>2.2927093109087799</v>
      </c>
      <c r="Z1853" s="2">
        <v>4.71035</v>
      </c>
      <c r="AA1853" s="2">
        <v>-74.030416666666696</v>
      </c>
      <c r="AB1853" s="2">
        <v>2570</v>
      </c>
      <c r="AC1853" s="2" t="s">
        <v>31</v>
      </c>
      <c r="AD1853" s="2" t="s">
        <v>58</v>
      </c>
      <c r="AE1853" s="2" t="s">
        <v>33</v>
      </c>
      <c r="AF1853" s="2" t="s">
        <v>34</v>
      </c>
      <c r="AG1853" s="2" t="s">
        <v>59</v>
      </c>
      <c r="AH1853" s="2">
        <v>1.2042850326286201</v>
      </c>
      <c r="AI1853" s="2">
        <v>2.0517949196093199</v>
      </c>
      <c r="AJ1853" s="2">
        <v>0.61578202191133702</v>
      </c>
      <c r="AK1853" s="2">
        <v>4.73646957462691E-2</v>
      </c>
      <c r="AL1853" s="2">
        <v>0.29725762486823898</v>
      </c>
      <c r="AM1853" s="2">
        <v>15.5</v>
      </c>
      <c r="AN1853" s="2">
        <v>2.4</v>
      </c>
      <c r="AO1853" s="2">
        <v>10.9</v>
      </c>
      <c r="AP1853" s="2">
        <v>564</v>
      </c>
      <c r="AQ1853" s="2">
        <v>68</v>
      </c>
      <c r="AR1853" s="2">
        <v>1.5</v>
      </c>
      <c r="AS1853" s="2">
        <v>135</v>
      </c>
      <c r="AT1853" s="2">
        <v>0</v>
      </c>
      <c r="AU1853" s="2">
        <v>162</v>
      </c>
      <c r="AV1853" s="2">
        <v>9.1</v>
      </c>
      <c r="AW1853" s="2">
        <v>9.1999999999999993</v>
      </c>
      <c r="AX1853" s="2">
        <v>18.3</v>
      </c>
      <c r="AY1853" s="2">
        <v>0.34</v>
      </c>
      <c r="AZ1853" s="2">
        <v>7.3</v>
      </c>
      <c r="BA1853" s="2">
        <v>0.9</v>
      </c>
      <c r="BB1853" s="2">
        <v>7.5</v>
      </c>
      <c r="BC1853" s="2">
        <v>2.9</v>
      </c>
      <c r="BD1853" s="2">
        <f>+AN1853*EXP(-0.0495*Y1853)</f>
        <v>2.1425134013239591</v>
      </c>
      <c r="BE1853" s="2">
        <f>+AO1853*EXP(-0.024*Y1853)</f>
        <v>10.316429956671966</v>
      </c>
    </row>
    <row r="1854" spans="1:57" x14ac:dyDescent="0.2">
      <c r="A1854" s="2" t="s">
        <v>4155</v>
      </c>
      <c r="B1854" s="2" t="s">
        <v>19</v>
      </c>
      <c r="C1854" s="2" t="s">
        <v>3245</v>
      </c>
      <c r="D1854" s="2" t="s">
        <v>21</v>
      </c>
      <c r="E1854" s="2" t="s">
        <v>130</v>
      </c>
      <c r="F1854" s="2">
        <v>6</v>
      </c>
      <c r="G1854" s="2">
        <v>41</v>
      </c>
      <c r="H1854" s="2">
        <v>1</v>
      </c>
      <c r="I1854" s="2">
        <v>1</v>
      </c>
      <c r="J1854" s="2">
        <v>1</v>
      </c>
      <c r="K1854" s="2" t="s">
        <v>61</v>
      </c>
      <c r="L1854" s="6" t="s">
        <v>62</v>
      </c>
      <c r="M1854" s="5">
        <v>620000000</v>
      </c>
      <c r="N1854" s="2">
        <v>0</v>
      </c>
      <c r="O1854" s="2">
        <v>4.68245764</v>
      </c>
      <c r="P1854" s="2">
        <v>-74.047095589999998</v>
      </c>
      <c r="Q1854" s="2" t="s">
        <v>4156</v>
      </c>
      <c r="R1854" s="2">
        <v>15121951.220000001</v>
      </c>
      <c r="S1854" s="2">
        <v>0</v>
      </c>
      <c r="T1854" s="2" t="s">
        <v>55</v>
      </c>
      <c r="U1854" s="2" t="s">
        <v>56</v>
      </c>
      <c r="V1854" s="2" t="s">
        <v>28</v>
      </c>
      <c r="W1854" s="2" t="s">
        <v>55</v>
      </c>
      <c r="X1854" s="2" t="s">
        <v>57</v>
      </c>
      <c r="Y1854" s="2">
        <v>3.6145515000831399</v>
      </c>
      <c r="Z1854" s="2">
        <v>4.71035</v>
      </c>
      <c r="AA1854" s="2">
        <v>-74.030416666666696</v>
      </c>
      <c r="AB1854" s="2">
        <v>2570</v>
      </c>
      <c r="AC1854" s="2" t="s">
        <v>31</v>
      </c>
      <c r="AD1854" s="2" t="s">
        <v>58</v>
      </c>
      <c r="AE1854" s="2" t="s">
        <v>33</v>
      </c>
      <c r="AF1854" s="2" t="s">
        <v>34</v>
      </c>
      <c r="AG1854" s="2" t="s">
        <v>81</v>
      </c>
      <c r="AH1854" s="2">
        <v>1.1886713890543199</v>
      </c>
      <c r="AI1854" s="2">
        <v>1.24948222933118</v>
      </c>
      <c r="AJ1854" s="2">
        <v>0.59320240994566897</v>
      </c>
      <c r="AK1854" s="2">
        <v>2.59207595680153E-2</v>
      </c>
      <c r="AL1854" s="2">
        <v>0.83912612430811995</v>
      </c>
      <c r="AM1854" s="2">
        <v>15.5</v>
      </c>
      <c r="AN1854" s="2">
        <v>2.4</v>
      </c>
      <c r="AO1854" s="2">
        <v>10.9</v>
      </c>
      <c r="AP1854" s="2">
        <v>564</v>
      </c>
      <c r="AQ1854" s="2">
        <v>68</v>
      </c>
      <c r="AR1854" s="2">
        <v>1.5</v>
      </c>
      <c r="AS1854" s="2">
        <v>135</v>
      </c>
      <c r="AT1854" s="2">
        <v>0</v>
      </c>
      <c r="AU1854" s="2">
        <v>162</v>
      </c>
      <c r="AV1854" s="2">
        <v>9.1</v>
      </c>
      <c r="AW1854" s="2">
        <v>9.1999999999999993</v>
      </c>
      <c r="AX1854" s="2">
        <v>18.3</v>
      </c>
      <c r="AY1854" s="2">
        <v>0.34</v>
      </c>
      <c r="AZ1854" s="2">
        <v>7.3</v>
      </c>
      <c r="BA1854" s="2">
        <v>0.9</v>
      </c>
      <c r="BB1854" s="2">
        <v>7.5</v>
      </c>
      <c r="BC1854" s="2">
        <v>2.9</v>
      </c>
      <c r="BD1854" s="2">
        <f>+AN1854*EXP(-0.0495*Y1854)</f>
        <v>2.0068140967595665</v>
      </c>
      <c r="BE1854" s="2">
        <f>+AO1854*EXP(-0.024*Y1854)</f>
        <v>9.9942862353679427</v>
      </c>
    </row>
    <row r="1855" spans="1:57" x14ac:dyDescent="0.2">
      <c r="A1855" s="2" t="s">
        <v>4111</v>
      </c>
      <c r="B1855" s="2" t="s">
        <v>19</v>
      </c>
      <c r="C1855" s="2" t="s">
        <v>3245</v>
      </c>
      <c r="D1855" s="2" t="s">
        <v>21</v>
      </c>
      <c r="E1855" s="2" t="s">
        <v>961</v>
      </c>
      <c r="F1855" s="2">
        <v>5</v>
      </c>
      <c r="G1855" s="2">
        <v>40.53</v>
      </c>
      <c r="H1855" s="2">
        <v>1</v>
      </c>
      <c r="I1855" s="2">
        <v>1</v>
      </c>
      <c r="J1855" s="2">
        <v>1</v>
      </c>
      <c r="K1855" s="2" t="s">
        <v>61</v>
      </c>
      <c r="L1855" s="6" t="s">
        <v>62</v>
      </c>
      <c r="M1855" s="5">
        <v>420000000</v>
      </c>
      <c r="N1855" s="2">
        <v>0</v>
      </c>
      <c r="O1855" s="2">
        <v>4.6923237999999996</v>
      </c>
      <c r="P1855" s="2">
        <v>-74.061659000000006</v>
      </c>
      <c r="Q1855" s="2" t="s">
        <v>4112</v>
      </c>
      <c r="R1855" s="2">
        <v>10362694.300000001</v>
      </c>
      <c r="S1855" s="2">
        <v>0</v>
      </c>
      <c r="T1855" s="2" t="s">
        <v>55</v>
      </c>
      <c r="U1855" s="2" t="s">
        <v>56</v>
      </c>
      <c r="V1855" s="2" t="s">
        <v>28</v>
      </c>
      <c r="W1855" s="2" t="s">
        <v>55</v>
      </c>
      <c r="X1855" s="2" t="s">
        <v>57</v>
      </c>
      <c r="Y1855" s="2">
        <v>4.0051357477754896</v>
      </c>
      <c r="Z1855" s="2">
        <v>4.71035</v>
      </c>
      <c r="AA1855" s="2">
        <v>-74.030416666666696</v>
      </c>
      <c r="AB1855" s="2">
        <v>2570</v>
      </c>
      <c r="AC1855" s="2" t="s">
        <v>31</v>
      </c>
      <c r="AD1855" s="2" t="s">
        <v>58</v>
      </c>
      <c r="AE1855" s="2" t="s">
        <v>33</v>
      </c>
      <c r="AF1855" s="2" t="s">
        <v>34</v>
      </c>
      <c r="AG1855" s="2" t="s">
        <v>72</v>
      </c>
      <c r="AH1855" s="2">
        <v>0.61158522735144405</v>
      </c>
      <c r="AI1855" s="2">
        <v>3.1813570063343701</v>
      </c>
      <c r="AJ1855" s="2">
        <v>1.0709385951857799</v>
      </c>
      <c r="AK1855" s="2">
        <v>0.168645829833864</v>
      </c>
      <c r="AL1855" s="2">
        <v>6.2888250397866594E-2</v>
      </c>
      <c r="AM1855" s="2">
        <v>15.5</v>
      </c>
      <c r="AN1855" s="2">
        <v>2.4</v>
      </c>
      <c r="AO1855" s="2">
        <v>10.9</v>
      </c>
      <c r="AP1855" s="2">
        <v>564</v>
      </c>
      <c r="AQ1855" s="2">
        <v>68</v>
      </c>
      <c r="AR1855" s="2">
        <v>1.5</v>
      </c>
      <c r="AS1855" s="2">
        <v>135</v>
      </c>
      <c r="AT1855" s="2">
        <v>0</v>
      </c>
      <c r="AU1855" s="2">
        <v>162</v>
      </c>
      <c r="AV1855" s="2">
        <v>9.1</v>
      </c>
      <c r="AW1855" s="2">
        <v>9.1999999999999993</v>
      </c>
      <c r="AX1855" s="2">
        <v>18.3</v>
      </c>
      <c r="AY1855" s="2">
        <v>0.34</v>
      </c>
      <c r="AZ1855" s="2">
        <v>7.3</v>
      </c>
      <c r="BA1855" s="2">
        <v>0.9</v>
      </c>
      <c r="BB1855" s="2">
        <v>7.5</v>
      </c>
      <c r="BC1855" s="2">
        <v>2.9</v>
      </c>
      <c r="BD1855" s="2">
        <f>+AN1855*EXP(-0.0495*Y1855)</f>
        <v>1.9683871814849856</v>
      </c>
      <c r="BE1855" s="2">
        <f>+AO1855*EXP(-0.024*Y1855)</f>
        <v>9.9010373184057539</v>
      </c>
    </row>
    <row r="1856" spans="1:57" x14ac:dyDescent="0.2">
      <c r="A1856" s="2" t="s">
        <v>3808</v>
      </c>
      <c r="B1856" s="2" t="s">
        <v>19</v>
      </c>
      <c r="C1856" s="2" t="s">
        <v>3245</v>
      </c>
      <c r="D1856" s="2" t="s">
        <v>21</v>
      </c>
      <c r="E1856" s="2" t="s">
        <v>53</v>
      </c>
      <c r="F1856" s="2">
        <v>6</v>
      </c>
      <c r="G1856" s="2">
        <v>40.369999999999997</v>
      </c>
      <c r="H1856" s="2">
        <v>1</v>
      </c>
      <c r="I1856" s="2">
        <v>1</v>
      </c>
      <c r="J1856" s="2">
        <v>1</v>
      </c>
      <c r="K1856" s="2" t="s">
        <v>61</v>
      </c>
      <c r="L1856" s="6" t="s">
        <v>75</v>
      </c>
      <c r="M1856" s="5">
        <v>365000000</v>
      </c>
      <c r="N1856" s="2">
        <v>0</v>
      </c>
      <c r="O1856" s="2">
        <v>4.6979946999999997</v>
      </c>
      <c r="P1856" s="2">
        <v>-74.045431500000007</v>
      </c>
      <c r="Q1856" s="2" t="s">
        <v>3809</v>
      </c>
      <c r="R1856" s="2">
        <v>9041367.352</v>
      </c>
      <c r="S1856" s="2">
        <v>0</v>
      </c>
      <c r="T1856" s="2" t="s">
        <v>55</v>
      </c>
      <c r="U1856" s="2" t="s">
        <v>56</v>
      </c>
      <c r="V1856" s="2" t="s">
        <v>28</v>
      </c>
      <c r="W1856" s="2" t="s">
        <v>55</v>
      </c>
      <c r="X1856" s="2" t="s">
        <v>57</v>
      </c>
      <c r="Y1856" s="2">
        <v>2.1602359730827798</v>
      </c>
      <c r="Z1856" s="2">
        <v>4.71035</v>
      </c>
      <c r="AA1856" s="2">
        <v>-74.030416666666696</v>
      </c>
      <c r="AB1856" s="2">
        <v>2570</v>
      </c>
      <c r="AC1856" s="2" t="s">
        <v>31</v>
      </c>
      <c r="AD1856" s="2" t="s">
        <v>58</v>
      </c>
      <c r="AE1856" s="2" t="s">
        <v>33</v>
      </c>
      <c r="AF1856" s="2" t="s">
        <v>34</v>
      </c>
      <c r="AG1856" s="2" t="s">
        <v>59</v>
      </c>
      <c r="AH1856" s="2">
        <v>1.09527107721643</v>
      </c>
      <c r="AI1856" s="2">
        <v>2.16887431210972</v>
      </c>
      <c r="AJ1856" s="2">
        <v>0.71415447037088997</v>
      </c>
      <c r="AK1856" s="2">
        <v>0.128004113229752</v>
      </c>
      <c r="AL1856" s="2">
        <v>0.30371522441558402</v>
      </c>
      <c r="AM1856" s="2">
        <v>15.5</v>
      </c>
      <c r="AN1856" s="2">
        <v>2.4</v>
      </c>
      <c r="AO1856" s="2">
        <v>10.9</v>
      </c>
      <c r="AP1856" s="2">
        <v>564</v>
      </c>
      <c r="AQ1856" s="2">
        <v>68</v>
      </c>
      <c r="AR1856" s="2">
        <v>1.5</v>
      </c>
      <c r="AS1856" s="2">
        <v>135</v>
      </c>
      <c r="AT1856" s="2">
        <v>0</v>
      </c>
      <c r="AU1856" s="2">
        <v>162</v>
      </c>
      <c r="AV1856" s="2">
        <v>9.1</v>
      </c>
      <c r="AW1856" s="2">
        <v>9.1999999999999993</v>
      </c>
      <c r="AX1856" s="2">
        <v>18.3</v>
      </c>
      <c r="AY1856" s="2">
        <v>0.34</v>
      </c>
      <c r="AZ1856" s="2">
        <v>7.3</v>
      </c>
      <c r="BA1856" s="2">
        <v>0.9</v>
      </c>
      <c r="BB1856" s="2">
        <v>7.5</v>
      </c>
      <c r="BC1856" s="2">
        <v>2.9</v>
      </c>
      <c r="BD1856" s="2">
        <f>+AN1856*EXP(-0.0495*Y1856)</f>
        <v>2.156608948227424</v>
      </c>
      <c r="BE1856" s="2">
        <f>+AO1856*EXP(-0.024*Y1856)</f>
        <v>10.349281798776394</v>
      </c>
    </row>
    <row r="1857" spans="1:57" x14ac:dyDescent="0.2">
      <c r="A1857" s="2" t="s">
        <v>3531</v>
      </c>
      <c r="B1857" s="2" t="s">
        <v>19</v>
      </c>
      <c r="C1857" s="2" t="s">
        <v>3245</v>
      </c>
      <c r="D1857" s="2" t="s">
        <v>21</v>
      </c>
      <c r="E1857" s="2" t="s">
        <v>213</v>
      </c>
      <c r="F1857" s="2">
        <v>6</v>
      </c>
      <c r="G1857" s="2">
        <v>40.270000000000003</v>
      </c>
      <c r="H1857" s="2">
        <v>1</v>
      </c>
      <c r="I1857" s="2">
        <v>2</v>
      </c>
      <c r="J1857" s="2">
        <v>1</v>
      </c>
      <c r="K1857" s="2" t="s">
        <v>61</v>
      </c>
      <c r="L1857" s="6" t="s">
        <v>62</v>
      </c>
      <c r="M1857" s="5">
        <v>440000000</v>
      </c>
      <c r="N1857" s="2">
        <v>0</v>
      </c>
      <c r="O1857" s="2">
        <v>4.7031438999999997</v>
      </c>
      <c r="P1857" s="2">
        <v>-74.028959799999996</v>
      </c>
      <c r="Q1857" s="2" t="s">
        <v>3532</v>
      </c>
      <c r="R1857" s="2">
        <v>10926247.83</v>
      </c>
      <c r="S1857" s="2">
        <v>0</v>
      </c>
      <c r="T1857" s="2" t="s">
        <v>55</v>
      </c>
      <c r="U1857" s="2" t="s">
        <v>56</v>
      </c>
      <c r="V1857" s="2" t="s">
        <v>28</v>
      </c>
      <c r="W1857" s="2" t="s">
        <v>55</v>
      </c>
      <c r="X1857" s="2" t="s">
        <v>57</v>
      </c>
      <c r="Y1857" s="2">
        <v>0.81830083759469996</v>
      </c>
      <c r="Z1857" s="2">
        <v>4.71035</v>
      </c>
      <c r="AA1857" s="2">
        <v>-74.030416666666696</v>
      </c>
      <c r="AB1857" s="2">
        <v>2570</v>
      </c>
      <c r="AC1857" s="2" t="s">
        <v>31</v>
      </c>
      <c r="AD1857" s="2" t="s">
        <v>58</v>
      </c>
      <c r="AE1857" s="2" t="s">
        <v>33</v>
      </c>
      <c r="AF1857" s="2" t="s">
        <v>34</v>
      </c>
      <c r="AG1857" s="2" t="s">
        <v>59</v>
      </c>
      <c r="AH1857" s="2">
        <v>2.8062103370808398</v>
      </c>
      <c r="AI1857" s="2">
        <v>0.38828816600995297</v>
      </c>
      <c r="AJ1857" s="2">
        <v>0.43703797665932897</v>
      </c>
      <c r="AK1857" s="2">
        <v>6.80258750844954E-3</v>
      </c>
      <c r="AL1857" s="2">
        <v>8.9810285519048794E-2</v>
      </c>
      <c r="AM1857" s="2">
        <v>15.5</v>
      </c>
      <c r="AN1857" s="2">
        <v>2.4</v>
      </c>
      <c r="AO1857" s="2">
        <v>10.9</v>
      </c>
      <c r="AP1857" s="2">
        <v>564</v>
      </c>
      <c r="AQ1857" s="2">
        <v>68</v>
      </c>
      <c r="AR1857" s="2">
        <v>1.5</v>
      </c>
      <c r="AS1857" s="2">
        <v>135</v>
      </c>
      <c r="AT1857" s="2">
        <v>0</v>
      </c>
      <c r="AU1857" s="2">
        <v>162</v>
      </c>
      <c r="AV1857" s="2">
        <v>9.1</v>
      </c>
      <c r="AW1857" s="2">
        <v>9.1999999999999993</v>
      </c>
      <c r="AX1857" s="2">
        <v>18.3</v>
      </c>
      <c r="AY1857" s="2">
        <v>0.34</v>
      </c>
      <c r="AZ1857" s="2">
        <v>7.3</v>
      </c>
      <c r="BA1857" s="2">
        <v>0.9</v>
      </c>
      <c r="BB1857" s="2">
        <v>7.5</v>
      </c>
      <c r="BC1857" s="2">
        <v>2.9</v>
      </c>
      <c r="BD1857" s="2">
        <f>+AN1857*EXP(-0.0495*Y1857)</f>
        <v>2.3047284165699553</v>
      </c>
      <c r="BE1857" s="2">
        <f>+AO1857*EXP(-0.024*Y1857)</f>
        <v>10.688020866614634</v>
      </c>
    </row>
    <row r="1858" spans="1:57" x14ac:dyDescent="0.2">
      <c r="A1858" s="2" t="s">
        <v>1727</v>
      </c>
      <c r="B1858" s="2" t="s">
        <v>19</v>
      </c>
      <c r="C1858" s="2" t="s">
        <v>20</v>
      </c>
      <c r="D1858" s="2" t="s">
        <v>21</v>
      </c>
      <c r="E1858" s="2" t="s">
        <v>1728</v>
      </c>
      <c r="F1858" s="2">
        <v>3</v>
      </c>
      <c r="G1858" s="2">
        <v>40</v>
      </c>
      <c r="H1858" s="2">
        <v>2</v>
      </c>
      <c r="I1858" s="2">
        <v>2</v>
      </c>
      <c r="J1858" s="2">
        <v>0</v>
      </c>
      <c r="K1858" s="2" t="s">
        <v>61</v>
      </c>
      <c r="L1858" s="6" t="s">
        <v>62</v>
      </c>
      <c r="M1858" s="5">
        <v>260000000</v>
      </c>
      <c r="N1858" s="2">
        <v>0</v>
      </c>
      <c r="O1858" s="2">
        <v>4.7360845999999999</v>
      </c>
      <c r="P1858" s="2">
        <v>-74.024415500000003</v>
      </c>
      <c r="Q1858" s="2" t="s">
        <v>1729</v>
      </c>
      <c r="R1858" s="2">
        <v>6500000</v>
      </c>
      <c r="S1858" s="2">
        <v>0</v>
      </c>
      <c r="T1858" s="2" t="s">
        <v>55</v>
      </c>
      <c r="U1858" s="2" t="s">
        <v>56</v>
      </c>
      <c r="V1858" s="2" t="s">
        <v>28</v>
      </c>
      <c r="W1858" s="2" t="s">
        <v>55</v>
      </c>
      <c r="X1858" s="2" t="s">
        <v>57</v>
      </c>
      <c r="Y1858" s="2">
        <v>2.9411095137519299</v>
      </c>
      <c r="Z1858" s="2">
        <v>4.71035</v>
      </c>
      <c r="AA1858" s="2">
        <v>-74.030416666666696</v>
      </c>
      <c r="AB1858" s="2">
        <v>2570</v>
      </c>
      <c r="AC1858" s="2" t="s">
        <v>31</v>
      </c>
      <c r="AD1858" s="2" t="s">
        <v>58</v>
      </c>
      <c r="AE1858" s="2" t="s">
        <v>33</v>
      </c>
      <c r="AF1858" s="2" t="s">
        <v>34</v>
      </c>
      <c r="AG1858" s="2" t="s">
        <v>59</v>
      </c>
      <c r="AH1858" s="2">
        <v>2.6930939182842599</v>
      </c>
      <c r="AI1858" s="2">
        <v>0.41489681308668602</v>
      </c>
      <c r="AJ1858" s="2">
        <v>1.27459071705653</v>
      </c>
      <c r="AK1858" s="2">
        <v>0.32557578240484197</v>
      </c>
      <c r="AL1858" s="2">
        <v>0.276638900072673</v>
      </c>
      <c r="AM1858" s="2">
        <v>15.5</v>
      </c>
      <c r="AN1858" s="2">
        <v>2.4</v>
      </c>
      <c r="AO1858" s="2">
        <v>10.9</v>
      </c>
      <c r="AP1858" s="2">
        <v>564</v>
      </c>
      <c r="AQ1858" s="2">
        <v>68</v>
      </c>
      <c r="AR1858" s="2">
        <v>1.5</v>
      </c>
      <c r="AS1858" s="2">
        <v>135</v>
      </c>
      <c r="AT1858" s="2">
        <v>0</v>
      </c>
      <c r="AU1858" s="2">
        <v>162</v>
      </c>
      <c r="AV1858" s="2">
        <v>9.1</v>
      </c>
      <c r="AW1858" s="2">
        <v>9.1999999999999993</v>
      </c>
      <c r="AX1858" s="2">
        <v>18.3</v>
      </c>
      <c r="AY1858" s="2">
        <v>0.34</v>
      </c>
      <c r="AZ1858" s="2">
        <v>7.3</v>
      </c>
      <c r="BA1858" s="2">
        <v>0.9</v>
      </c>
      <c r="BB1858" s="2">
        <v>7.5</v>
      </c>
      <c r="BC1858" s="2">
        <v>2.9</v>
      </c>
      <c r="BD1858" s="2">
        <f>+AN1858*EXP(-0.0495*Y1858)</f>
        <v>2.0748395313917554</v>
      </c>
      <c r="BE1858" s="2">
        <f>+AO1858*EXP(-0.024*Y1858)</f>
        <v>10.157132427297951</v>
      </c>
    </row>
    <row r="1859" spans="1:57" x14ac:dyDescent="0.2">
      <c r="A1859" s="2" t="s">
        <v>3751</v>
      </c>
      <c r="B1859" s="2" t="s">
        <v>19</v>
      </c>
      <c r="C1859" s="2" t="s">
        <v>3245</v>
      </c>
      <c r="D1859" s="2" t="s">
        <v>21</v>
      </c>
      <c r="E1859" s="2" t="s">
        <v>3752</v>
      </c>
      <c r="F1859" s="2">
        <v>6</v>
      </c>
      <c r="G1859" s="2">
        <v>40</v>
      </c>
      <c r="H1859" s="2">
        <v>1</v>
      </c>
      <c r="I1859" s="2">
        <v>1</v>
      </c>
      <c r="J1859" s="2">
        <v>1</v>
      </c>
      <c r="K1859" s="2" t="s">
        <v>61</v>
      </c>
      <c r="L1859" s="6" t="s">
        <v>84</v>
      </c>
      <c r="M1859" s="5">
        <v>415000000</v>
      </c>
      <c r="N1859" s="2">
        <v>0</v>
      </c>
      <c r="O1859" s="2">
        <v>4.6955885889999998</v>
      </c>
      <c r="P1859" s="2">
        <v>-74.045646669999996</v>
      </c>
      <c r="Q1859" s="2" t="s">
        <v>3753</v>
      </c>
      <c r="R1859" s="2">
        <v>10375000</v>
      </c>
      <c r="S1859" s="2">
        <v>0</v>
      </c>
      <c r="T1859" s="2" t="s">
        <v>55</v>
      </c>
      <c r="U1859" s="2" t="s">
        <v>56</v>
      </c>
      <c r="V1859" s="2" t="s">
        <v>28</v>
      </c>
      <c r="W1859" s="2" t="s">
        <v>55</v>
      </c>
      <c r="X1859" s="2" t="s">
        <v>57</v>
      </c>
      <c r="Y1859" s="2">
        <v>2.3569598191385999</v>
      </c>
      <c r="Z1859" s="2">
        <v>4.71035</v>
      </c>
      <c r="AA1859" s="2">
        <v>-74.030416666666696</v>
      </c>
      <c r="AB1859" s="2">
        <v>2570</v>
      </c>
      <c r="AC1859" s="2" t="s">
        <v>31</v>
      </c>
      <c r="AD1859" s="2" t="s">
        <v>58</v>
      </c>
      <c r="AE1859" s="2" t="s">
        <v>33</v>
      </c>
      <c r="AF1859" s="2" t="s">
        <v>34</v>
      </c>
      <c r="AG1859" s="2" t="s">
        <v>59</v>
      </c>
      <c r="AH1859" s="2">
        <v>1.10743363366633</v>
      </c>
      <c r="AI1859" s="2">
        <v>2.1405880725459401</v>
      </c>
      <c r="AJ1859" s="2">
        <v>0.530669735110881</v>
      </c>
      <c r="AK1859" s="2">
        <v>6.4497663698951102E-2</v>
      </c>
      <c r="AL1859" s="2">
        <v>0.264025757840611</v>
      </c>
      <c r="AM1859" s="2">
        <v>15.5</v>
      </c>
      <c r="AN1859" s="2">
        <v>2.4</v>
      </c>
      <c r="AO1859" s="2">
        <v>10.9</v>
      </c>
      <c r="AP1859" s="2">
        <v>564</v>
      </c>
      <c r="AQ1859" s="2">
        <v>68</v>
      </c>
      <c r="AR1859" s="2">
        <v>1.5</v>
      </c>
      <c r="AS1859" s="2">
        <v>135</v>
      </c>
      <c r="AT1859" s="2">
        <v>0</v>
      </c>
      <c r="AU1859" s="2">
        <v>162</v>
      </c>
      <c r="AV1859" s="2">
        <v>9.1</v>
      </c>
      <c r="AW1859" s="2">
        <v>9.1999999999999993</v>
      </c>
      <c r="AX1859" s="2">
        <v>18.3</v>
      </c>
      <c r="AY1859" s="2">
        <v>0.34</v>
      </c>
      <c r="AZ1859" s="2">
        <v>7.3</v>
      </c>
      <c r="BA1859" s="2">
        <v>0.9</v>
      </c>
      <c r="BB1859" s="2">
        <v>7.5</v>
      </c>
      <c r="BC1859" s="2">
        <v>2.9</v>
      </c>
      <c r="BD1859" s="2">
        <f>+AN1859*EXP(-0.0495*Y1859)</f>
        <v>2.1357101755898262</v>
      </c>
      <c r="BE1859" s="2">
        <f>+AO1859*EXP(-0.024*Y1859)</f>
        <v>10.30053415475394</v>
      </c>
    </row>
    <row r="1860" spans="1:57" x14ac:dyDescent="0.2">
      <c r="A1860" s="2" t="s">
        <v>3988</v>
      </c>
      <c r="B1860" s="2" t="s">
        <v>19</v>
      </c>
      <c r="C1860" s="2" t="s">
        <v>3245</v>
      </c>
      <c r="D1860" s="2" t="s">
        <v>21</v>
      </c>
      <c r="E1860" s="2" t="s">
        <v>983</v>
      </c>
      <c r="F1860" s="2">
        <v>5</v>
      </c>
      <c r="G1860" s="2">
        <v>40</v>
      </c>
      <c r="H1860" s="2">
        <v>1</v>
      </c>
      <c r="I1860" s="2">
        <v>1</v>
      </c>
      <c r="J1860" s="2">
        <v>2</v>
      </c>
      <c r="K1860" s="2" t="s">
        <v>61</v>
      </c>
      <c r="L1860" s="6" t="s">
        <v>75</v>
      </c>
      <c r="M1860" s="5">
        <v>300000000</v>
      </c>
      <c r="N1860" s="2">
        <v>0</v>
      </c>
      <c r="O1860" s="2">
        <v>4.71882</v>
      </c>
      <c r="P1860" s="2">
        <v>-74.045249999999996</v>
      </c>
      <c r="Q1860" s="2" t="s">
        <v>3989</v>
      </c>
      <c r="R1860" s="2">
        <v>7500000</v>
      </c>
      <c r="S1860" s="2">
        <v>0</v>
      </c>
      <c r="T1860" s="2" t="s">
        <v>55</v>
      </c>
      <c r="U1860" s="2" t="s">
        <v>56</v>
      </c>
      <c r="V1860" s="2" t="s">
        <v>28</v>
      </c>
      <c r="W1860" s="2" t="s">
        <v>55</v>
      </c>
      <c r="X1860" s="2" t="s">
        <v>57</v>
      </c>
      <c r="Y1860" s="2">
        <v>1.89662497003443</v>
      </c>
      <c r="Z1860" s="2">
        <v>4.71035</v>
      </c>
      <c r="AA1860" s="2">
        <v>-74.030416666666696</v>
      </c>
      <c r="AB1860" s="2">
        <v>2570</v>
      </c>
      <c r="AC1860" s="2" t="s">
        <v>31</v>
      </c>
      <c r="AD1860" s="2" t="s">
        <v>58</v>
      </c>
      <c r="AE1860" s="2" t="s">
        <v>33</v>
      </c>
      <c r="AF1860" s="2" t="s">
        <v>34</v>
      </c>
      <c r="AG1860" s="2" t="s">
        <v>59</v>
      </c>
      <c r="AH1860" s="2">
        <v>0.73533304394653298</v>
      </c>
      <c r="AI1860" s="2">
        <v>2.3805533762803499</v>
      </c>
      <c r="AJ1860" s="2">
        <v>1.64592869407186</v>
      </c>
      <c r="AK1860" s="2">
        <v>2.70059544796597E-2</v>
      </c>
      <c r="AL1860" s="2">
        <v>0.52719250655390104</v>
      </c>
      <c r="AM1860" s="2">
        <v>15.5</v>
      </c>
      <c r="AN1860" s="2">
        <v>2.4</v>
      </c>
      <c r="AO1860" s="2">
        <v>10.9</v>
      </c>
      <c r="AP1860" s="2">
        <v>564</v>
      </c>
      <c r="AQ1860" s="2">
        <v>68</v>
      </c>
      <c r="AR1860" s="2">
        <v>1.5</v>
      </c>
      <c r="AS1860" s="2">
        <v>135</v>
      </c>
      <c r="AT1860" s="2">
        <v>0</v>
      </c>
      <c r="AU1860" s="2">
        <v>162</v>
      </c>
      <c r="AV1860" s="2">
        <v>9.1</v>
      </c>
      <c r="AW1860" s="2">
        <v>9.1999999999999993</v>
      </c>
      <c r="AX1860" s="2">
        <v>18.3</v>
      </c>
      <c r="AY1860" s="2">
        <v>0.34</v>
      </c>
      <c r="AZ1860" s="2">
        <v>7.3</v>
      </c>
      <c r="BA1860" s="2">
        <v>0.9</v>
      </c>
      <c r="BB1860" s="2">
        <v>7.5</v>
      </c>
      <c r="BC1860" s="2">
        <v>2.9</v>
      </c>
      <c r="BD1860" s="2">
        <f>+AN1860*EXP(-0.0495*Y1860)</f>
        <v>2.1849343915303927</v>
      </c>
      <c r="BE1860" s="2">
        <f>+AO1860*EXP(-0.024*Y1860)</f>
        <v>10.414965789294707</v>
      </c>
    </row>
    <row r="1861" spans="1:57" x14ac:dyDescent="0.2">
      <c r="A1861" s="2" t="s">
        <v>4616</v>
      </c>
      <c r="B1861" s="2" t="s">
        <v>19</v>
      </c>
      <c r="C1861" s="2" t="s">
        <v>3245</v>
      </c>
      <c r="D1861" s="2" t="s">
        <v>21</v>
      </c>
      <c r="E1861" s="2" t="s">
        <v>156</v>
      </c>
      <c r="F1861" s="2">
        <v>4</v>
      </c>
      <c r="G1861" s="2">
        <v>40</v>
      </c>
      <c r="H1861" s="2">
        <v>1</v>
      </c>
      <c r="I1861" s="2">
        <v>1</v>
      </c>
      <c r="J1861" s="2">
        <v>1</v>
      </c>
      <c r="K1861" s="2" t="s">
        <v>61</v>
      </c>
      <c r="L1861" s="6" t="s">
        <v>84</v>
      </c>
      <c r="M1861" s="5">
        <v>260000000</v>
      </c>
      <c r="N1861" s="2">
        <v>0</v>
      </c>
      <c r="O1861" s="2">
        <v>4.7188711169999999</v>
      </c>
      <c r="P1861" s="2">
        <v>-74.032745360000007</v>
      </c>
      <c r="Q1861" s="2" t="s">
        <v>4617</v>
      </c>
      <c r="R1861" s="2">
        <v>6500000</v>
      </c>
      <c r="S1861" s="2">
        <v>0</v>
      </c>
      <c r="T1861" s="2" t="s">
        <v>55</v>
      </c>
      <c r="U1861" s="2" t="s">
        <v>56</v>
      </c>
      <c r="V1861" s="2" t="s">
        <v>28</v>
      </c>
      <c r="W1861" s="2" t="s">
        <v>55</v>
      </c>
      <c r="X1861" s="2" t="s">
        <v>57</v>
      </c>
      <c r="Y1861" s="2">
        <v>0.9831194744017</v>
      </c>
      <c r="Z1861" s="2">
        <v>4.71035</v>
      </c>
      <c r="AA1861" s="2">
        <v>-74.030416666666696</v>
      </c>
      <c r="AB1861" s="2">
        <v>2570</v>
      </c>
      <c r="AC1861" s="2" t="s">
        <v>31</v>
      </c>
      <c r="AD1861" s="2" t="s">
        <v>58</v>
      </c>
      <c r="AE1861" s="2" t="s">
        <v>33</v>
      </c>
      <c r="AF1861" s="2" t="s">
        <v>34</v>
      </c>
      <c r="AG1861" s="2" t="s">
        <v>59</v>
      </c>
      <c r="AH1861" s="2">
        <v>2.0902129855303802</v>
      </c>
      <c r="AI1861" s="2">
        <v>1.0217150050982</v>
      </c>
      <c r="AJ1861" s="2">
        <v>0.89840361763256005</v>
      </c>
      <c r="AK1861" s="2">
        <v>0.13540175687441899</v>
      </c>
      <c r="AL1861" s="2">
        <v>0.10780693025948899</v>
      </c>
      <c r="AM1861" s="2">
        <v>15.5</v>
      </c>
      <c r="AN1861" s="2">
        <v>2.4</v>
      </c>
      <c r="AO1861" s="2">
        <v>10.9</v>
      </c>
      <c r="AP1861" s="2">
        <v>564</v>
      </c>
      <c r="AQ1861" s="2">
        <v>68</v>
      </c>
      <c r="AR1861" s="2">
        <v>1.5</v>
      </c>
      <c r="AS1861" s="2">
        <v>135</v>
      </c>
      <c r="AT1861" s="2">
        <v>0</v>
      </c>
      <c r="AU1861" s="2">
        <v>162</v>
      </c>
      <c r="AV1861" s="2">
        <v>9.1</v>
      </c>
      <c r="AW1861" s="2">
        <v>9.1999999999999993</v>
      </c>
      <c r="AX1861" s="2">
        <v>18.3</v>
      </c>
      <c r="AY1861" s="2">
        <v>0.34</v>
      </c>
      <c r="AZ1861" s="2">
        <v>7.3</v>
      </c>
      <c r="BA1861" s="2">
        <v>0.9</v>
      </c>
      <c r="BB1861" s="2">
        <v>7.5</v>
      </c>
      <c r="BC1861" s="2">
        <v>2.9</v>
      </c>
      <c r="BD1861" s="2">
        <f>+AN1861*EXP(-0.0495*Y1861)</f>
        <v>2.286001732784992</v>
      </c>
      <c r="BE1861" s="2">
        <f>+AO1861*EXP(-0.024*Y1861)</f>
        <v>10.6458263342713</v>
      </c>
    </row>
    <row r="1862" spans="1:57" x14ac:dyDescent="0.2">
      <c r="A1862" s="2" t="s">
        <v>4331</v>
      </c>
      <c r="B1862" s="2" t="s">
        <v>19</v>
      </c>
      <c r="C1862" s="2" t="s">
        <v>3245</v>
      </c>
      <c r="D1862" s="2" t="s">
        <v>21</v>
      </c>
      <c r="E1862" s="2" t="s">
        <v>213</v>
      </c>
      <c r="F1862" s="2">
        <v>5</v>
      </c>
      <c r="G1862" s="2">
        <v>40</v>
      </c>
      <c r="H1862" s="2">
        <v>1</v>
      </c>
      <c r="I1862" s="2">
        <v>1</v>
      </c>
      <c r="J1862" s="2">
        <v>1</v>
      </c>
      <c r="K1862" s="2" t="s">
        <v>61</v>
      </c>
      <c r="L1862" s="6" t="s">
        <v>62</v>
      </c>
      <c r="M1862" s="5">
        <v>445000000</v>
      </c>
      <c r="N1862" s="2">
        <v>0</v>
      </c>
      <c r="O1862" s="2">
        <v>4.7028242020000004</v>
      </c>
      <c r="P1862" s="2">
        <v>-74.029591080000003</v>
      </c>
      <c r="Q1862" s="2" t="s">
        <v>4332</v>
      </c>
      <c r="R1862" s="2">
        <v>11125000</v>
      </c>
      <c r="S1862" s="2">
        <v>0</v>
      </c>
      <c r="T1862" s="2" t="s">
        <v>55</v>
      </c>
      <c r="U1862" s="2" t="s">
        <v>56</v>
      </c>
      <c r="V1862" s="2" t="s">
        <v>28</v>
      </c>
      <c r="W1862" s="2" t="s">
        <v>55</v>
      </c>
      <c r="X1862" s="2" t="s">
        <v>57</v>
      </c>
      <c r="Y1862" s="2">
        <v>0.842760156650602</v>
      </c>
      <c r="Z1862" s="2">
        <v>4.71035</v>
      </c>
      <c r="AA1862" s="2">
        <v>-74.030416666666696</v>
      </c>
      <c r="AB1862" s="2">
        <v>2570</v>
      </c>
      <c r="AC1862" s="2" t="s">
        <v>31</v>
      </c>
      <c r="AD1862" s="2" t="s">
        <v>58</v>
      </c>
      <c r="AE1862" s="2" t="s">
        <v>33</v>
      </c>
      <c r="AF1862" s="2" t="s">
        <v>34</v>
      </c>
      <c r="AG1862" s="2" t="s">
        <v>59</v>
      </c>
      <c r="AH1862" s="2">
        <v>2.73870297576874</v>
      </c>
      <c r="AI1862" s="2">
        <v>0.45021417857053497</v>
      </c>
      <c r="AJ1862" s="2">
        <v>0.358635813757476</v>
      </c>
      <c r="AK1862" s="2">
        <v>7.3889022905672605E-2</v>
      </c>
      <c r="AL1862" s="2">
        <v>0.166399505576456</v>
      </c>
      <c r="AM1862" s="2">
        <v>15.5</v>
      </c>
      <c r="AN1862" s="2">
        <v>2.4</v>
      </c>
      <c r="AO1862" s="2">
        <v>10.9</v>
      </c>
      <c r="AP1862" s="2">
        <v>564</v>
      </c>
      <c r="AQ1862" s="2">
        <v>68</v>
      </c>
      <c r="AR1862" s="2">
        <v>1.5</v>
      </c>
      <c r="AS1862" s="2">
        <v>135</v>
      </c>
      <c r="AT1862" s="2">
        <v>0</v>
      </c>
      <c r="AU1862" s="2">
        <v>162</v>
      </c>
      <c r="AV1862" s="2">
        <v>9.1</v>
      </c>
      <c r="AW1862" s="2">
        <v>9.1999999999999993</v>
      </c>
      <c r="AX1862" s="2">
        <v>18.3</v>
      </c>
      <c r="AY1862" s="2">
        <v>0.34</v>
      </c>
      <c r="AZ1862" s="2">
        <v>7.3</v>
      </c>
      <c r="BA1862" s="2">
        <v>0.9</v>
      </c>
      <c r="BB1862" s="2">
        <v>7.5</v>
      </c>
      <c r="BC1862" s="2">
        <v>2.9</v>
      </c>
      <c r="BD1862" s="2">
        <f>+AN1862*EXP(-0.0495*Y1862)</f>
        <v>2.3019396867787374</v>
      </c>
      <c r="BE1862" s="2">
        <f>+AO1862*EXP(-0.024*Y1862)</f>
        <v>10.68174858668424</v>
      </c>
    </row>
    <row r="1863" spans="1:57" x14ac:dyDescent="0.2">
      <c r="A1863" s="2" t="s">
        <v>4197</v>
      </c>
      <c r="B1863" s="2" t="s">
        <v>19</v>
      </c>
      <c r="C1863" s="2" t="s">
        <v>3245</v>
      </c>
      <c r="D1863" s="2" t="s">
        <v>21</v>
      </c>
      <c r="E1863" s="2" t="s">
        <v>511</v>
      </c>
      <c r="F1863" s="2">
        <v>5</v>
      </c>
      <c r="G1863" s="2">
        <v>40</v>
      </c>
      <c r="H1863" s="2">
        <v>1</v>
      </c>
      <c r="I1863" s="2">
        <v>1</v>
      </c>
      <c r="J1863" s="2">
        <v>1</v>
      </c>
      <c r="K1863" s="2" t="s">
        <v>61</v>
      </c>
      <c r="L1863" s="6" t="s">
        <v>84</v>
      </c>
      <c r="M1863" s="5">
        <v>340000000</v>
      </c>
      <c r="N1863" s="2">
        <v>0</v>
      </c>
      <c r="O1863" s="2">
        <v>4.7153177260000003</v>
      </c>
      <c r="P1863" s="2">
        <v>-74.034980770000004</v>
      </c>
      <c r="Q1863" s="2" t="s">
        <v>4198</v>
      </c>
      <c r="R1863" s="2">
        <v>8500000</v>
      </c>
      <c r="S1863" s="2">
        <v>0</v>
      </c>
      <c r="T1863" s="2" t="s">
        <v>55</v>
      </c>
      <c r="U1863" s="2" t="s">
        <v>56</v>
      </c>
      <c r="V1863" s="2" t="s">
        <v>28</v>
      </c>
      <c r="W1863" s="2" t="s">
        <v>55</v>
      </c>
      <c r="X1863" s="2" t="s">
        <v>57</v>
      </c>
      <c r="Y1863" s="2">
        <v>0.74980697046066003</v>
      </c>
      <c r="Z1863" s="2">
        <v>4.71035</v>
      </c>
      <c r="AA1863" s="2">
        <v>-74.030416666666696</v>
      </c>
      <c r="AB1863" s="2">
        <v>2570</v>
      </c>
      <c r="AC1863" s="2" t="s">
        <v>31</v>
      </c>
      <c r="AD1863" s="2" t="s">
        <v>58</v>
      </c>
      <c r="AE1863" s="2" t="s">
        <v>33</v>
      </c>
      <c r="AF1863" s="2" t="s">
        <v>34</v>
      </c>
      <c r="AG1863" s="2" t="s">
        <v>59</v>
      </c>
      <c r="AH1863" s="2">
        <v>1.9376888424294401</v>
      </c>
      <c r="AI1863" s="2">
        <v>1.1799676415679199</v>
      </c>
      <c r="AJ1863" s="2">
        <v>0.56157256425626001</v>
      </c>
      <c r="AK1863" s="2">
        <v>0.116130921576408</v>
      </c>
      <c r="AL1863" s="2">
        <v>0.24939151893898701</v>
      </c>
      <c r="AM1863" s="2">
        <v>15.5</v>
      </c>
      <c r="AN1863" s="2">
        <v>2.4</v>
      </c>
      <c r="AO1863" s="2">
        <v>10.9</v>
      </c>
      <c r="AP1863" s="2">
        <v>564</v>
      </c>
      <c r="AQ1863" s="2">
        <v>68</v>
      </c>
      <c r="AR1863" s="2">
        <v>1.5</v>
      </c>
      <c r="AS1863" s="2">
        <v>135</v>
      </c>
      <c r="AT1863" s="2">
        <v>0</v>
      </c>
      <c r="AU1863" s="2">
        <v>162</v>
      </c>
      <c r="AV1863" s="2">
        <v>9.1</v>
      </c>
      <c r="AW1863" s="2">
        <v>9.1999999999999993</v>
      </c>
      <c r="AX1863" s="2">
        <v>18.3</v>
      </c>
      <c r="AY1863" s="2">
        <v>0.34</v>
      </c>
      <c r="AZ1863" s="2">
        <v>7.3</v>
      </c>
      <c r="BA1863" s="2">
        <v>0.9</v>
      </c>
      <c r="BB1863" s="2">
        <v>7.5</v>
      </c>
      <c r="BC1863" s="2">
        <v>2.9</v>
      </c>
      <c r="BD1863" s="2">
        <f>+AN1863*EXP(-0.0495*Y1863)</f>
        <v>2.3125557363423734</v>
      </c>
      <c r="BE1863" s="2">
        <f>+AO1863*EXP(-0.024*Y1863)</f>
        <v>10.705604848541931</v>
      </c>
    </row>
    <row r="1864" spans="1:57" x14ac:dyDescent="0.2">
      <c r="A1864" s="2" t="s">
        <v>3762</v>
      </c>
      <c r="B1864" s="2" t="s">
        <v>19</v>
      </c>
      <c r="C1864" s="2" t="s">
        <v>3245</v>
      </c>
      <c r="D1864" s="2" t="s">
        <v>21</v>
      </c>
      <c r="E1864" s="2" t="s">
        <v>380</v>
      </c>
      <c r="F1864" s="2">
        <v>4</v>
      </c>
      <c r="G1864" s="2">
        <v>38.5</v>
      </c>
      <c r="H1864" s="2">
        <v>1</v>
      </c>
      <c r="I1864" s="2">
        <v>1</v>
      </c>
      <c r="J1864" s="2">
        <v>1</v>
      </c>
      <c r="K1864" s="2" t="s">
        <v>61</v>
      </c>
      <c r="L1864" s="6" t="s">
        <v>62</v>
      </c>
      <c r="M1864" s="5">
        <v>350000000</v>
      </c>
      <c r="N1864" s="2">
        <v>0</v>
      </c>
      <c r="O1864" s="2">
        <v>4.7246298790000001</v>
      </c>
      <c r="P1864" s="2">
        <v>-74.042472840000002</v>
      </c>
      <c r="Q1864" s="2" t="s">
        <v>3763</v>
      </c>
      <c r="R1864" s="2">
        <v>9090909.091</v>
      </c>
      <c r="S1864" s="2">
        <v>0</v>
      </c>
      <c r="T1864" s="2" t="s">
        <v>55</v>
      </c>
      <c r="U1864" s="2" t="s">
        <v>56</v>
      </c>
      <c r="V1864" s="2" t="s">
        <v>28</v>
      </c>
      <c r="W1864" s="2" t="s">
        <v>55</v>
      </c>
      <c r="X1864" s="2" t="s">
        <v>57</v>
      </c>
      <c r="Y1864" s="2">
        <v>2.0774827453640001</v>
      </c>
      <c r="Z1864" s="2">
        <v>4.71035</v>
      </c>
      <c r="AA1864" s="2">
        <v>-74.030416666666696</v>
      </c>
      <c r="AB1864" s="2">
        <v>2570</v>
      </c>
      <c r="AC1864" s="2" t="s">
        <v>31</v>
      </c>
      <c r="AD1864" s="2" t="s">
        <v>58</v>
      </c>
      <c r="AE1864" s="2" t="s">
        <v>33</v>
      </c>
      <c r="AF1864" s="2" t="s">
        <v>34</v>
      </c>
      <c r="AG1864" s="2" t="s">
        <v>59</v>
      </c>
      <c r="AH1864" s="2">
        <v>0.92355567379093695</v>
      </c>
      <c r="AI1864" s="2">
        <v>2.1663448209893601</v>
      </c>
      <c r="AJ1864" s="2">
        <v>0.95337936090199904</v>
      </c>
      <c r="AK1864" s="2">
        <v>0.12873456791106599</v>
      </c>
      <c r="AL1864" s="2">
        <v>9.3514600154791794E-2</v>
      </c>
      <c r="AM1864" s="2">
        <v>15.5</v>
      </c>
      <c r="AN1864" s="2">
        <v>2.4</v>
      </c>
      <c r="AO1864" s="2">
        <v>10.9</v>
      </c>
      <c r="AP1864" s="2">
        <v>564</v>
      </c>
      <c r="AQ1864" s="2">
        <v>68</v>
      </c>
      <c r="AR1864" s="2">
        <v>1.5</v>
      </c>
      <c r="AS1864" s="2">
        <v>135</v>
      </c>
      <c r="AT1864" s="2">
        <v>0</v>
      </c>
      <c r="AU1864" s="2">
        <v>162</v>
      </c>
      <c r="AV1864" s="2">
        <v>9.1</v>
      </c>
      <c r="AW1864" s="2">
        <v>9.1999999999999993</v>
      </c>
      <c r="AX1864" s="2">
        <v>18.3</v>
      </c>
      <c r="AY1864" s="2">
        <v>0.34</v>
      </c>
      <c r="AZ1864" s="2">
        <v>7.3</v>
      </c>
      <c r="BA1864" s="2">
        <v>0.9</v>
      </c>
      <c r="BB1864" s="2">
        <v>7.5</v>
      </c>
      <c r="BC1864" s="2">
        <v>2.9</v>
      </c>
      <c r="BD1864" s="2">
        <f>+AN1864*EXP(-0.0495*Y1864)</f>
        <v>2.1654611508147137</v>
      </c>
      <c r="BE1864" s="2">
        <f>+AO1864*EXP(-0.024*Y1864)</f>
        <v>10.369856699048217</v>
      </c>
    </row>
    <row r="1865" spans="1:57" x14ac:dyDescent="0.2">
      <c r="A1865" s="2" t="s">
        <v>3365</v>
      </c>
      <c r="B1865" s="2" t="s">
        <v>19</v>
      </c>
      <c r="C1865" s="2" t="s">
        <v>3245</v>
      </c>
      <c r="D1865" s="2" t="s">
        <v>21</v>
      </c>
      <c r="E1865" s="2" t="s">
        <v>976</v>
      </c>
      <c r="F1865" s="2">
        <v>3</v>
      </c>
      <c r="G1865" s="2">
        <v>38</v>
      </c>
      <c r="H1865" s="2">
        <v>2</v>
      </c>
      <c r="I1865" s="2">
        <v>1</v>
      </c>
      <c r="J1865" s="2">
        <v>0</v>
      </c>
      <c r="K1865" s="2" t="s">
        <v>61</v>
      </c>
      <c r="L1865" s="6" t="s">
        <v>62</v>
      </c>
      <c r="M1865" s="5">
        <v>250000000</v>
      </c>
      <c r="N1865" s="2">
        <v>0</v>
      </c>
      <c r="O1865" s="2">
        <v>4.7466803000000004</v>
      </c>
      <c r="P1865" s="2">
        <v>-74.023505999999998</v>
      </c>
      <c r="Q1865" s="2" t="s">
        <v>3366</v>
      </c>
      <c r="R1865" s="2">
        <v>6578947.3679999998</v>
      </c>
      <c r="S1865" s="2">
        <v>0</v>
      </c>
      <c r="T1865" s="2" t="s">
        <v>55</v>
      </c>
      <c r="U1865" s="2" t="s">
        <v>56</v>
      </c>
      <c r="V1865" s="2" t="s">
        <v>28</v>
      </c>
      <c r="W1865" s="2" t="s">
        <v>55</v>
      </c>
      <c r="X1865" s="2" t="s">
        <v>57</v>
      </c>
      <c r="Y1865" s="2">
        <v>4.1162983652963403</v>
      </c>
      <c r="Z1865" s="2">
        <v>4.71035</v>
      </c>
      <c r="AA1865" s="2">
        <v>-74.030416666666696</v>
      </c>
      <c r="AB1865" s="2">
        <v>2570</v>
      </c>
      <c r="AC1865" s="2" t="s">
        <v>31</v>
      </c>
      <c r="AD1865" s="2" t="s">
        <v>58</v>
      </c>
      <c r="AE1865" s="2" t="s">
        <v>33</v>
      </c>
      <c r="AF1865" s="2" t="s">
        <v>34</v>
      </c>
      <c r="AG1865" s="2" t="s">
        <v>59</v>
      </c>
      <c r="AH1865" s="2">
        <v>2.6335948343283699</v>
      </c>
      <c r="AI1865" s="2">
        <v>0.42468754995035202</v>
      </c>
      <c r="AJ1865" s="2">
        <v>0.41535155061818801</v>
      </c>
      <c r="AK1865" s="2">
        <v>0.50028108233113899</v>
      </c>
      <c r="AL1865" s="2">
        <v>0.39157509142854002</v>
      </c>
      <c r="AM1865" s="2">
        <v>15.5</v>
      </c>
      <c r="AN1865" s="2">
        <v>2.4</v>
      </c>
      <c r="AO1865" s="2">
        <v>10.9</v>
      </c>
      <c r="AP1865" s="2">
        <v>564</v>
      </c>
      <c r="AQ1865" s="2">
        <v>68</v>
      </c>
      <c r="AR1865" s="2">
        <v>1.5</v>
      </c>
      <c r="AS1865" s="2">
        <v>135</v>
      </c>
      <c r="AT1865" s="2">
        <v>0</v>
      </c>
      <c r="AU1865" s="2">
        <v>162</v>
      </c>
      <c r="AV1865" s="2">
        <v>9.1</v>
      </c>
      <c r="AW1865" s="2">
        <v>9.1999999999999993</v>
      </c>
      <c r="AX1865" s="2">
        <v>18.3</v>
      </c>
      <c r="AY1865" s="2">
        <v>0.34</v>
      </c>
      <c r="AZ1865" s="2">
        <v>7.3</v>
      </c>
      <c r="BA1865" s="2">
        <v>0.9</v>
      </c>
      <c r="BB1865" s="2">
        <v>7.5</v>
      </c>
      <c r="BC1865" s="2">
        <v>2.9</v>
      </c>
      <c r="BD1865" s="2">
        <f>+AN1865*EXP(-0.0495*Y1865)</f>
        <v>1.9575857783331547</v>
      </c>
      <c r="BE1865" s="2">
        <f>+AO1865*EXP(-0.024*Y1865)</f>
        <v>9.8746575180369724</v>
      </c>
    </row>
    <row r="1866" spans="1:57" x14ac:dyDescent="0.2">
      <c r="A1866" s="2" t="s">
        <v>467</v>
      </c>
      <c r="B1866" s="2" t="s">
        <v>19</v>
      </c>
      <c r="C1866" s="2" t="s">
        <v>20</v>
      </c>
      <c r="D1866" s="2" t="s">
        <v>21</v>
      </c>
      <c r="E1866" s="2" t="s">
        <v>419</v>
      </c>
      <c r="F1866" s="2">
        <v>6</v>
      </c>
      <c r="G1866" s="2">
        <v>38</v>
      </c>
      <c r="H1866" s="2">
        <v>1</v>
      </c>
      <c r="I1866" s="2">
        <v>1</v>
      </c>
      <c r="J1866" s="2">
        <v>1</v>
      </c>
      <c r="K1866" s="2" t="s">
        <v>61</v>
      </c>
      <c r="L1866" s="6" t="s">
        <v>113</v>
      </c>
      <c r="M1866" s="5">
        <v>365000000</v>
      </c>
      <c r="N1866" s="2">
        <v>0</v>
      </c>
      <c r="O1866" s="2">
        <v>4.6931185720000004</v>
      </c>
      <c r="P1866" s="2">
        <v>-74.054748540000006</v>
      </c>
      <c r="Q1866" s="2" t="s">
        <v>468</v>
      </c>
      <c r="R1866" s="2">
        <v>9605263.1579999998</v>
      </c>
      <c r="S1866" s="2">
        <v>0</v>
      </c>
      <c r="T1866" s="2" t="s">
        <v>55</v>
      </c>
      <c r="U1866" s="2" t="s">
        <v>56</v>
      </c>
      <c r="V1866" s="2" t="s">
        <v>28</v>
      </c>
      <c r="W1866" s="2" t="s">
        <v>55</v>
      </c>
      <c r="X1866" s="2" t="s">
        <v>57</v>
      </c>
      <c r="Y1866" s="2">
        <v>3.3116085978421301</v>
      </c>
      <c r="Z1866" s="2">
        <v>4.71035</v>
      </c>
      <c r="AA1866" s="2">
        <v>-74.030416666666696</v>
      </c>
      <c r="AB1866" s="2">
        <v>2570</v>
      </c>
      <c r="AC1866" s="2" t="s">
        <v>31</v>
      </c>
      <c r="AD1866" s="2" t="s">
        <v>58</v>
      </c>
      <c r="AE1866" s="2" t="s">
        <v>33</v>
      </c>
      <c r="AF1866" s="2" t="s">
        <v>34</v>
      </c>
      <c r="AG1866" s="2" t="s">
        <v>59</v>
      </c>
      <c r="AH1866" s="2">
        <v>0.15969688011045</v>
      </c>
      <c r="AI1866" s="2">
        <v>2.6030500471054601</v>
      </c>
      <c r="AJ1866" s="2">
        <v>0.54341976676463399</v>
      </c>
      <c r="AK1866" s="2">
        <v>5.9412351255469703E-2</v>
      </c>
      <c r="AL1866" s="2">
        <v>3.6207889128897303E-2</v>
      </c>
      <c r="AM1866" s="2">
        <v>15.5</v>
      </c>
      <c r="AN1866" s="2">
        <v>2.4</v>
      </c>
      <c r="AO1866" s="2">
        <v>10.9</v>
      </c>
      <c r="AP1866" s="2">
        <v>564</v>
      </c>
      <c r="AQ1866" s="2">
        <v>68</v>
      </c>
      <c r="AR1866" s="2">
        <v>1.5</v>
      </c>
      <c r="AS1866" s="2">
        <v>135</v>
      </c>
      <c r="AT1866" s="2">
        <v>0</v>
      </c>
      <c r="AU1866" s="2">
        <v>162</v>
      </c>
      <c r="AV1866" s="2">
        <v>9.1</v>
      </c>
      <c r="AW1866" s="2">
        <v>9.1999999999999993</v>
      </c>
      <c r="AX1866" s="2">
        <v>18.3</v>
      </c>
      <c r="AY1866" s="2">
        <v>0.34</v>
      </c>
      <c r="AZ1866" s="2">
        <v>7.3</v>
      </c>
      <c r="BA1866" s="2">
        <v>0.9</v>
      </c>
      <c r="BB1866" s="2">
        <v>7.5</v>
      </c>
      <c r="BC1866" s="2">
        <v>2.9</v>
      </c>
      <c r="BD1866" s="2">
        <f>+AN1866*EXP(-0.0495*Y1866)</f>
        <v>2.0371343945224432</v>
      </c>
      <c r="BE1866" s="2">
        <f>+AO1866*EXP(-0.024*Y1866)</f>
        <v>10.067215789863095</v>
      </c>
    </row>
    <row r="1867" spans="1:57" x14ac:dyDescent="0.2">
      <c r="A1867" s="2" t="s">
        <v>4006</v>
      </c>
      <c r="B1867" s="2" t="s">
        <v>19</v>
      </c>
      <c r="C1867" s="2" t="s">
        <v>3245</v>
      </c>
      <c r="D1867" s="2" t="s">
        <v>21</v>
      </c>
      <c r="E1867" s="2" t="s">
        <v>1600</v>
      </c>
      <c r="F1867" s="2">
        <v>6</v>
      </c>
      <c r="G1867" s="2">
        <v>38</v>
      </c>
      <c r="H1867" s="2">
        <v>1</v>
      </c>
      <c r="I1867" s="2">
        <v>1</v>
      </c>
      <c r="J1867" s="2">
        <v>1</v>
      </c>
      <c r="K1867" s="2" t="s">
        <v>61</v>
      </c>
      <c r="L1867" s="6" t="s">
        <v>75</v>
      </c>
      <c r="M1867" s="5">
        <v>380000000</v>
      </c>
      <c r="N1867" s="2">
        <v>0</v>
      </c>
      <c r="O1867" s="2">
        <v>4.6926589190000003</v>
      </c>
      <c r="P1867" s="2">
        <v>-74.052786380000001</v>
      </c>
      <c r="Q1867" s="2" t="s">
        <v>4007</v>
      </c>
      <c r="R1867" s="2">
        <v>10000000</v>
      </c>
      <c r="S1867" s="2">
        <v>0</v>
      </c>
      <c r="T1867" s="2" t="s">
        <v>55</v>
      </c>
      <c r="U1867" s="2" t="s">
        <v>56</v>
      </c>
      <c r="V1867" s="2" t="s">
        <v>28</v>
      </c>
      <c r="W1867" s="2" t="s">
        <v>55</v>
      </c>
      <c r="X1867" s="2" t="s">
        <v>57</v>
      </c>
      <c r="Y1867" s="2">
        <v>3.1682407113609301</v>
      </c>
      <c r="Z1867" s="2">
        <v>4.71035</v>
      </c>
      <c r="AA1867" s="2">
        <v>-74.030416666666696</v>
      </c>
      <c r="AB1867" s="2">
        <v>2570</v>
      </c>
      <c r="AC1867" s="2" t="s">
        <v>31</v>
      </c>
      <c r="AD1867" s="2" t="s">
        <v>58</v>
      </c>
      <c r="AE1867" s="2" t="s">
        <v>33</v>
      </c>
      <c r="AF1867" s="2" t="s">
        <v>34</v>
      </c>
      <c r="AG1867" s="2" t="s">
        <v>59</v>
      </c>
      <c r="AH1867" s="2">
        <v>0.37824554465320498</v>
      </c>
      <c r="AI1867" s="2">
        <v>2.4044340936015698</v>
      </c>
      <c r="AJ1867" s="2">
        <v>0.33298023862985798</v>
      </c>
      <c r="AK1867" s="2">
        <v>0.17238847729020801</v>
      </c>
      <c r="AL1867" s="2">
        <v>4.9461431319410901E-2</v>
      </c>
      <c r="AM1867" s="2">
        <v>15.5</v>
      </c>
      <c r="AN1867" s="2">
        <v>2.4</v>
      </c>
      <c r="AO1867" s="2">
        <v>10.9</v>
      </c>
      <c r="AP1867" s="2">
        <v>564</v>
      </c>
      <c r="AQ1867" s="2">
        <v>68</v>
      </c>
      <c r="AR1867" s="2">
        <v>1.5</v>
      </c>
      <c r="AS1867" s="2">
        <v>135</v>
      </c>
      <c r="AT1867" s="2">
        <v>0</v>
      </c>
      <c r="AU1867" s="2">
        <v>162</v>
      </c>
      <c r="AV1867" s="2">
        <v>9.1</v>
      </c>
      <c r="AW1867" s="2">
        <v>9.1999999999999993</v>
      </c>
      <c r="AX1867" s="2">
        <v>18.3</v>
      </c>
      <c r="AY1867" s="2">
        <v>0.34</v>
      </c>
      <c r="AZ1867" s="2">
        <v>7.3</v>
      </c>
      <c r="BA1867" s="2">
        <v>0.9</v>
      </c>
      <c r="BB1867" s="2">
        <v>7.5</v>
      </c>
      <c r="BC1867" s="2">
        <v>2.9</v>
      </c>
      <c r="BD1867" s="2">
        <f>+AN1867*EXP(-0.0495*Y1867)</f>
        <v>2.0516427672962703</v>
      </c>
      <c r="BE1867" s="2">
        <f>+AO1867*EXP(-0.024*Y1867)</f>
        <v>10.101915023511047</v>
      </c>
    </row>
    <row r="1868" spans="1:57" x14ac:dyDescent="0.2">
      <c r="A1868" s="2" t="s">
        <v>436</v>
      </c>
      <c r="B1868" s="2" t="s">
        <v>19</v>
      </c>
      <c r="C1868" s="2" t="s">
        <v>20</v>
      </c>
      <c r="D1868" s="2" t="s">
        <v>21</v>
      </c>
      <c r="E1868" s="2" t="s">
        <v>380</v>
      </c>
      <c r="F1868" s="2">
        <v>4</v>
      </c>
      <c r="G1868" s="2">
        <v>38</v>
      </c>
      <c r="H1868" s="2">
        <v>1</v>
      </c>
      <c r="I1868" s="2">
        <v>1</v>
      </c>
      <c r="J1868" s="2">
        <v>1</v>
      </c>
      <c r="K1868" s="2" t="s">
        <v>61</v>
      </c>
      <c r="L1868" s="6" t="s">
        <v>62</v>
      </c>
      <c r="M1868" s="5">
        <v>348000000</v>
      </c>
      <c r="N1868" s="2">
        <v>0</v>
      </c>
      <c r="O1868" s="2">
        <v>4.7268777000000002</v>
      </c>
      <c r="P1868" s="2">
        <v>-74.043090000000007</v>
      </c>
      <c r="Q1868" s="2" t="s">
        <v>437</v>
      </c>
      <c r="R1868" s="2">
        <v>9157894.7369999997</v>
      </c>
      <c r="S1868" s="2">
        <v>0</v>
      </c>
      <c r="T1868" s="2" t="s">
        <v>55</v>
      </c>
      <c r="U1868" s="2" t="s">
        <v>56</v>
      </c>
      <c r="V1868" s="2" t="s">
        <v>28</v>
      </c>
      <c r="W1868" s="2" t="s">
        <v>55</v>
      </c>
      <c r="X1868" s="2" t="s">
        <v>57</v>
      </c>
      <c r="Y1868" s="2">
        <v>2.31558284062793</v>
      </c>
      <c r="Z1868" s="2">
        <v>4.71035</v>
      </c>
      <c r="AA1868" s="2">
        <v>-74.030416666666696</v>
      </c>
      <c r="AB1868" s="2">
        <v>2570</v>
      </c>
      <c r="AC1868" s="2" t="s">
        <v>31</v>
      </c>
      <c r="AD1868" s="2" t="s">
        <v>58</v>
      </c>
      <c r="AE1868" s="2" t="s">
        <v>33</v>
      </c>
      <c r="AF1868" s="2" t="s">
        <v>34</v>
      </c>
      <c r="AG1868" s="2" t="s">
        <v>59</v>
      </c>
      <c r="AH1868" s="2">
        <v>0.82194509313720998</v>
      </c>
      <c r="AI1868" s="2">
        <v>2.3051599545369101</v>
      </c>
      <c r="AJ1868" s="2">
        <v>0.74837862099492902</v>
      </c>
      <c r="AK1868" s="2">
        <v>0.318883440089609</v>
      </c>
      <c r="AL1868" s="2">
        <v>3.8264715712471302E-2</v>
      </c>
      <c r="AM1868" s="2">
        <v>15.5</v>
      </c>
      <c r="AN1868" s="2">
        <v>2.4</v>
      </c>
      <c r="AO1868" s="2">
        <v>10.9</v>
      </c>
      <c r="AP1868" s="2">
        <v>564</v>
      </c>
      <c r="AQ1868" s="2">
        <v>68</v>
      </c>
      <c r="AR1868" s="2">
        <v>1.5</v>
      </c>
      <c r="AS1868" s="2">
        <v>135</v>
      </c>
      <c r="AT1868" s="2">
        <v>0</v>
      </c>
      <c r="AU1868" s="2">
        <v>162</v>
      </c>
      <c r="AV1868" s="2">
        <v>9.1</v>
      </c>
      <c r="AW1868" s="2">
        <v>9.1999999999999993</v>
      </c>
      <c r="AX1868" s="2">
        <v>18.3</v>
      </c>
      <c r="AY1868" s="2">
        <v>0.34</v>
      </c>
      <c r="AZ1868" s="2">
        <v>7.3</v>
      </c>
      <c r="BA1868" s="2">
        <v>0.9</v>
      </c>
      <c r="BB1868" s="2">
        <v>7.5</v>
      </c>
      <c r="BC1868" s="2">
        <v>2.9</v>
      </c>
      <c r="BD1868" s="2">
        <f>+AN1868*EXP(-0.0495*Y1868)</f>
        <v>2.1400889353453443</v>
      </c>
      <c r="BE1868" s="2">
        <f>+AO1868*EXP(-0.024*Y1868)</f>
        <v>10.310768154865828</v>
      </c>
    </row>
    <row r="1869" spans="1:57" x14ac:dyDescent="0.2">
      <c r="A1869" s="2" t="s">
        <v>3335</v>
      </c>
      <c r="B1869" s="2" t="s">
        <v>19</v>
      </c>
      <c r="C1869" s="2" t="s">
        <v>3245</v>
      </c>
      <c r="D1869" s="2" t="s">
        <v>21</v>
      </c>
      <c r="E1869" s="2" t="s">
        <v>3336</v>
      </c>
      <c r="F1869" s="2">
        <v>3</v>
      </c>
      <c r="G1869" s="2">
        <v>37</v>
      </c>
      <c r="H1869" s="2">
        <v>1</v>
      </c>
      <c r="I1869" s="2">
        <v>1</v>
      </c>
      <c r="J1869" s="2">
        <v>0</v>
      </c>
      <c r="K1869" s="2" t="s">
        <v>61</v>
      </c>
      <c r="L1869" s="6" t="s">
        <v>62</v>
      </c>
      <c r="M1869" s="5">
        <v>215000000</v>
      </c>
      <c r="N1869" s="2">
        <v>0</v>
      </c>
      <c r="O1869" s="2">
        <v>4.7464393999999999</v>
      </c>
      <c r="P1869" s="2">
        <v>-74.023298999999994</v>
      </c>
      <c r="Q1869" s="2" t="s">
        <v>3337</v>
      </c>
      <c r="R1869" s="2">
        <v>5810810.8109999998</v>
      </c>
      <c r="S1869" s="2">
        <v>0</v>
      </c>
      <c r="T1869" s="2" t="s">
        <v>55</v>
      </c>
      <c r="U1869" s="2" t="s">
        <v>56</v>
      </c>
      <c r="V1869" s="2" t="s">
        <v>28</v>
      </c>
      <c r="W1869" s="2" t="s">
        <v>55</v>
      </c>
      <c r="X1869" s="2" t="s">
        <v>57</v>
      </c>
      <c r="Y1869" s="2">
        <v>4.0943207647249</v>
      </c>
      <c r="Z1869" s="2">
        <v>4.71035</v>
      </c>
      <c r="AA1869" s="2">
        <v>-74.030416666666696</v>
      </c>
      <c r="AB1869" s="2">
        <v>2570</v>
      </c>
      <c r="AC1869" s="2" t="s">
        <v>31</v>
      </c>
      <c r="AD1869" s="2" t="s">
        <v>58</v>
      </c>
      <c r="AE1869" s="2" t="s">
        <v>33</v>
      </c>
      <c r="AF1869" s="2" t="s">
        <v>34</v>
      </c>
      <c r="AG1869" s="2" t="s">
        <v>59</v>
      </c>
      <c r="AH1869" s="2">
        <v>2.6561251126185801</v>
      </c>
      <c r="AI1869" s="2">
        <v>0.42363315731858903</v>
      </c>
      <c r="AJ1869" s="2">
        <v>0.44279575779613001</v>
      </c>
      <c r="AK1869" s="2">
        <v>0.47191815728541697</v>
      </c>
      <c r="AL1869" s="2">
        <v>0.35694433022235</v>
      </c>
      <c r="AM1869" s="2">
        <v>15.5</v>
      </c>
      <c r="AN1869" s="2">
        <v>2.4</v>
      </c>
      <c r="AO1869" s="2">
        <v>10.9</v>
      </c>
      <c r="AP1869" s="2">
        <v>564</v>
      </c>
      <c r="AQ1869" s="2">
        <v>68</v>
      </c>
      <c r="AR1869" s="2">
        <v>1.5</v>
      </c>
      <c r="AS1869" s="2">
        <v>135</v>
      </c>
      <c r="AT1869" s="2">
        <v>0</v>
      </c>
      <c r="AU1869" s="2">
        <v>162</v>
      </c>
      <c r="AV1869" s="2">
        <v>9.1</v>
      </c>
      <c r="AW1869" s="2">
        <v>9.1999999999999993</v>
      </c>
      <c r="AX1869" s="2">
        <v>18.3</v>
      </c>
      <c r="AY1869" s="2">
        <v>0.34</v>
      </c>
      <c r="AZ1869" s="2">
        <v>7.3</v>
      </c>
      <c r="BA1869" s="2">
        <v>0.9</v>
      </c>
      <c r="BB1869" s="2">
        <v>7.5</v>
      </c>
      <c r="BC1869" s="2">
        <v>2.9</v>
      </c>
      <c r="BD1869" s="2">
        <f>+AN1869*EXP(-0.0495*Y1869)</f>
        <v>1.9597165775587631</v>
      </c>
      <c r="BE1869" s="2">
        <f>+AO1869*EXP(-0.024*Y1869)</f>
        <v>9.8798674026143978</v>
      </c>
    </row>
    <row r="1870" spans="1:57" x14ac:dyDescent="0.2">
      <c r="A1870" s="2" t="s">
        <v>3327</v>
      </c>
      <c r="B1870" s="2" t="s">
        <v>19</v>
      </c>
      <c r="C1870" s="2" t="s">
        <v>3245</v>
      </c>
      <c r="D1870" s="2" t="s">
        <v>21</v>
      </c>
      <c r="E1870" s="2" t="s">
        <v>180</v>
      </c>
      <c r="F1870" s="2">
        <v>6</v>
      </c>
      <c r="G1870" s="2">
        <v>37</v>
      </c>
      <c r="H1870" s="2">
        <v>1</v>
      </c>
      <c r="I1870" s="2">
        <v>1</v>
      </c>
      <c r="J1870" s="2">
        <v>1</v>
      </c>
      <c r="K1870" s="2" t="s">
        <v>61</v>
      </c>
      <c r="L1870" s="6" t="s">
        <v>62</v>
      </c>
      <c r="M1870" s="5">
        <v>480000000</v>
      </c>
      <c r="N1870" s="2">
        <v>0</v>
      </c>
      <c r="O1870" s="2">
        <v>4.6836900000000004</v>
      </c>
      <c r="P1870" s="2">
        <v>-74.054659999999998</v>
      </c>
      <c r="Q1870" s="2" t="s">
        <v>3328</v>
      </c>
      <c r="R1870" s="2">
        <v>12972972.970000001</v>
      </c>
      <c r="S1870" s="2">
        <v>0</v>
      </c>
      <c r="T1870" s="2" t="s">
        <v>55</v>
      </c>
      <c r="U1870" s="2" t="s">
        <v>56</v>
      </c>
      <c r="V1870" s="2" t="s">
        <v>28</v>
      </c>
      <c r="W1870" s="2" t="s">
        <v>55</v>
      </c>
      <c r="X1870" s="2" t="s">
        <v>57</v>
      </c>
      <c r="Y1870" s="2">
        <v>4.0052650035550901</v>
      </c>
      <c r="Z1870" s="2">
        <v>4.71035</v>
      </c>
      <c r="AA1870" s="2">
        <v>-74.030416666666696</v>
      </c>
      <c r="AB1870" s="2">
        <v>2570</v>
      </c>
      <c r="AC1870" s="2" t="s">
        <v>31</v>
      </c>
      <c r="AD1870" s="2" t="s">
        <v>58</v>
      </c>
      <c r="AE1870" s="2" t="s">
        <v>33</v>
      </c>
      <c r="AF1870" s="2" t="s">
        <v>34</v>
      </c>
      <c r="AG1870" s="2" t="s">
        <v>81</v>
      </c>
      <c r="AH1870" s="2">
        <v>0.33965192382895099</v>
      </c>
      <c r="AI1870" s="2">
        <v>1.99427350631624</v>
      </c>
      <c r="AJ1870" s="2">
        <v>0.30732929674411802</v>
      </c>
      <c r="AK1870" s="2">
        <v>0.17900254058801199</v>
      </c>
      <c r="AL1870" s="2">
        <v>0.39358471460390698</v>
      </c>
      <c r="AM1870" s="2">
        <v>15.5</v>
      </c>
      <c r="AN1870" s="2">
        <v>2.4</v>
      </c>
      <c r="AO1870" s="2">
        <v>10.9</v>
      </c>
      <c r="AP1870" s="2">
        <v>564</v>
      </c>
      <c r="AQ1870" s="2">
        <v>68</v>
      </c>
      <c r="AR1870" s="2">
        <v>1.5</v>
      </c>
      <c r="AS1870" s="2">
        <v>135</v>
      </c>
      <c r="AT1870" s="2">
        <v>0</v>
      </c>
      <c r="AU1870" s="2">
        <v>162</v>
      </c>
      <c r="AV1870" s="2">
        <v>9.1</v>
      </c>
      <c r="AW1870" s="2">
        <v>9.1999999999999993</v>
      </c>
      <c r="AX1870" s="2">
        <v>18.3</v>
      </c>
      <c r="AY1870" s="2">
        <v>0.34</v>
      </c>
      <c r="AZ1870" s="2">
        <v>7.3</v>
      </c>
      <c r="BA1870" s="2">
        <v>0.9</v>
      </c>
      <c r="BB1870" s="2">
        <v>7.5</v>
      </c>
      <c r="BC1870" s="2">
        <v>2.9</v>
      </c>
      <c r="BD1870" s="2">
        <f>+AN1870*EXP(-0.0495*Y1870)</f>
        <v>1.968374587467</v>
      </c>
      <c r="BE1870" s="2">
        <f>+AO1870*EXP(-0.024*Y1870)</f>
        <v>9.9010066040622551</v>
      </c>
    </row>
    <row r="1871" spans="1:57" x14ac:dyDescent="0.2">
      <c r="A1871" s="2" t="s">
        <v>3369</v>
      </c>
      <c r="B1871" s="2" t="s">
        <v>19</v>
      </c>
      <c r="C1871" s="2" t="s">
        <v>3245</v>
      </c>
      <c r="D1871" s="2" t="s">
        <v>21</v>
      </c>
      <c r="E1871" s="2" t="s">
        <v>295</v>
      </c>
      <c r="F1871" s="2">
        <v>5</v>
      </c>
      <c r="G1871" s="2">
        <v>37</v>
      </c>
      <c r="H1871" s="2">
        <v>1</v>
      </c>
      <c r="I1871" s="2">
        <v>1</v>
      </c>
      <c r="J1871" s="2">
        <v>1</v>
      </c>
      <c r="K1871" s="2" t="s">
        <v>61</v>
      </c>
      <c r="L1871" s="6" t="s">
        <v>113</v>
      </c>
      <c r="M1871" s="5">
        <v>290000000</v>
      </c>
      <c r="N1871" s="2">
        <v>0</v>
      </c>
      <c r="O1871" s="2">
        <v>4.6991496000000001</v>
      </c>
      <c r="P1871" s="2">
        <v>-74.056113999999994</v>
      </c>
      <c r="Q1871" s="2" t="s">
        <v>3370</v>
      </c>
      <c r="R1871" s="2">
        <v>7837837.8380000005</v>
      </c>
      <c r="S1871" s="2">
        <v>0</v>
      </c>
      <c r="T1871" s="2" t="s">
        <v>55</v>
      </c>
      <c r="U1871" s="2" t="s">
        <v>56</v>
      </c>
      <c r="V1871" s="2" t="s">
        <v>28</v>
      </c>
      <c r="W1871" s="2" t="s">
        <v>55</v>
      </c>
      <c r="X1871" s="2" t="s">
        <v>57</v>
      </c>
      <c r="Y1871" s="2">
        <v>3.1116921966831201</v>
      </c>
      <c r="Z1871" s="2">
        <v>4.71035</v>
      </c>
      <c r="AA1871" s="2">
        <v>-74.030416666666696</v>
      </c>
      <c r="AB1871" s="2">
        <v>2570</v>
      </c>
      <c r="AC1871" s="2" t="s">
        <v>31</v>
      </c>
      <c r="AD1871" s="2" t="s">
        <v>58</v>
      </c>
      <c r="AE1871" s="2" t="s">
        <v>33</v>
      </c>
      <c r="AF1871" s="2" t="s">
        <v>34</v>
      </c>
      <c r="AG1871" s="2" t="s">
        <v>72</v>
      </c>
      <c r="AH1871" s="2">
        <v>0.144030031096332</v>
      </c>
      <c r="AI1871" s="2">
        <v>3.16449747588335</v>
      </c>
      <c r="AJ1871" s="2">
        <v>0.94928368512737105</v>
      </c>
      <c r="AK1871" s="2">
        <v>0.177231286554378</v>
      </c>
      <c r="AL1871" s="2">
        <v>0.381172378362581</v>
      </c>
      <c r="AM1871" s="2">
        <v>15.5</v>
      </c>
      <c r="AN1871" s="2">
        <v>2.4</v>
      </c>
      <c r="AO1871" s="2">
        <v>10.9</v>
      </c>
      <c r="AP1871" s="2">
        <v>564</v>
      </c>
      <c r="AQ1871" s="2">
        <v>68</v>
      </c>
      <c r="AR1871" s="2">
        <v>1.5</v>
      </c>
      <c r="AS1871" s="2">
        <v>135</v>
      </c>
      <c r="AT1871" s="2">
        <v>0</v>
      </c>
      <c r="AU1871" s="2">
        <v>162</v>
      </c>
      <c r="AV1871" s="2">
        <v>9.1</v>
      </c>
      <c r="AW1871" s="2">
        <v>9.1999999999999993</v>
      </c>
      <c r="AX1871" s="2">
        <v>18.3</v>
      </c>
      <c r="AY1871" s="2">
        <v>0.34</v>
      </c>
      <c r="AZ1871" s="2">
        <v>7.3</v>
      </c>
      <c r="BA1871" s="2">
        <v>0.9</v>
      </c>
      <c r="BB1871" s="2">
        <v>7.5</v>
      </c>
      <c r="BC1871" s="2">
        <v>2.9</v>
      </c>
      <c r="BD1871" s="2">
        <f>+AN1871*EXP(-0.0495*Y1871)</f>
        <v>2.0573936712483687</v>
      </c>
      <c r="BE1871" s="2">
        <f>+AO1871*EXP(-0.024*Y1871)</f>
        <v>10.115634290014521</v>
      </c>
    </row>
    <row r="1872" spans="1:57" x14ac:dyDescent="0.2">
      <c r="A1872" s="2" t="s">
        <v>3857</v>
      </c>
      <c r="B1872" s="2" t="s">
        <v>19</v>
      </c>
      <c r="C1872" s="2" t="s">
        <v>3245</v>
      </c>
      <c r="D1872" s="2" t="s">
        <v>21</v>
      </c>
      <c r="E1872" s="2" t="s">
        <v>177</v>
      </c>
      <c r="F1872" s="2">
        <v>6</v>
      </c>
      <c r="G1872" s="2">
        <v>37</v>
      </c>
      <c r="H1872" s="2">
        <v>1</v>
      </c>
      <c r="I1872" s="2">
        <v>1</v>
      </c>
      <c r="J1872" s="2">
        <v>1</v>
      </c>
      <c r="K1872" s="2" t="s">
        <v>61</v>
      </c>
      <c r="L1872" s="6" t="s">
        <v>62</v>
      </c>
      <c r="M1872" s="5">
        <v>450000000</v>
      </c>
      <c r="N1872" s="2">
        <v>0</v>
      </c>
      <c r="O1872" s="2">
        <v>4.6891183850000004</v>
      </c>
      <c r="P1872" s="2">
        <v>-74.041633610000005</v>
      </c>
      <c r="Q1872" s="2" t="s">
        <v>3858</v>
      </c>
      <c r="R1872" s="2">
        <v>12162162.16</v>
      </c>
      <c r="S1872" s="2">
        <v>0</v>
      </c>
      <c r="T1872" s="2" t="s">
        <v>55</v>
      </c>
      <c r="U1872" s="2" t="s">
        <v>56</v>
      </c>
      <c r="V1872" s="2" t="s">
        <v>28</v>
      </c>
      <c r="W1872" s="2" t="s">
        <v>55</v>
      </c>
      <c r="X1872" s="2" t="s">
        <v>57</v>
      </c>
      <c r="Y1872" s="2">
        <v>2.6711033366260701</v>
      </c>
      <c r="Z1872" s="2">
        <v>4.71035</v>
      </c>
      <c r="AA1872" s="2">
        <v>-74.030416666666696</v>
      </c>
      <c r="AB1872" s="2">
        <v>2570</v>
      </c>
      <c r="AC1872" s="2" t="s">
        <v>31</v>
      </c>
      <c r="AD1872" s="2" t="s">
        <v>58</v>
      </c>
      <c r="AE1872" s="2" t="s">
        <v>33</v>
      </c>
      <c r="AF1872" s="2" t="s">
        <v>34</v>
      </c>
      <c r="AG1872" s="2" t="s">
        <v>59</v>
      </c>
      <c r="AH1872" s="2">
        <v>1.668724370853</v>
      </c>
      <c r="AI1872" s="2">
        <v>1.2993563896132301</v>
      </c>
      <c r="AJ1872" s="2">
        <v>0.78752883837801202</v>
      </c>
      <c r="AK1872" s="2">
        <v>0.293698374886258</v>
      </c>
      <c r="AL1872" s="2">
        <v>7.9174778480508801E-2</v>
      </c>
      <c r="AM1872" s="2">
        <v>15.5</v>
      </c>
      <c r="AN1872" s="2">
        <v>2.4</v>
      </c>
      <c r="AO1872" s="2">
        <v>10.9</v>
      </c>
      <c r="AP1872" s="2">
        <v>564</v>
      </c>
      <c r="AQ1872" s="2">
        <v>68</v>
      </c>
      <c r="AR1872" s="2">
        <v>1.5</v>
      </c>
      <c r="AS1872" s="2">
        <v>135</v>
      </c>
      <c r="AT1872" s="2">
        <v>0</v>
      </c>
      <c r="AU1872" s="2">
        <v>162</v>
      </c>
      <c r="AV1872" s="2">
        <v>9.1</v>
      </c>
      <c r="AW1872" s="2">
        <v>9.1999999999999993</v>
      </c>
      <c r="AX1872" s="2">
        <v>18.3</v>
      </c>
      <c r="AY1872" s="2">
        <v>0.34</v>
      </c>
      <c r="AZ1872" s="2">
        <v>7.3</v>
      </c>
      <c r="BA1872" s="2">
        <v>0.9</v>
      </c>
      <c r="BB1872" s="2">
        <v>7.5</v>
      </c>
      <c r="BC1872" s="2">
        <v>2.9</v>
      </c>
      <c r="BD1872" s="2">
        <f>+AN1872*EXP(-0.0495*Y1872)</f>
        <v>2.1027565402576296</v>
      </c>
      <c r="BE1872" s="2">
        <f>+AO1872*EXP(-0.024*Y1872)</f>
        <v>10.223165873417637</v>
      </c>
    </row>
    <row r="1873" spans="1:57" x14ac:dyDescent="0.2">
      <c r="A1873" s="2" t="s">
        <v>4345</v>
      </c>
      <c r="B1873" s="2" t="s">
        <v>19</v>
      </c>
      <c r="C1873" s="2" t="s">
        <v>3245</v>
      </c>
      <c r="D1873" s="2" t="s">
        <v>21</v>
      </c>
      <c r="E1873" s="2" t="s">
        <v>1830</v>
      </c>
      <c r="F1873" s="2">
        <v>5</v>
      </c>
      <c r="G1873" s="2">
        <v>37</v>
      </c>
      <c r="H1873" s="2">
        <v>1</v>
      </c>
      <c r="I1873" s="2">
        <v>1</v>
      </c>
      <c r="J1873" s="2">
        <v>0</v>
      </c>
      <c r="K1873" s="2" t="s">
        <v>61</v>
      </c>
      <c r="L1873" s="6" t="s">
        <v>62</v>
      </c>
      <c r="M1873" s="5">
        <v>468000000</v>
      </c>
      <c r="N1873" s="2">
        <v>0</v>
      </c>
      <c r="O1873" s="2">
        <v>4.6871299999999998</v>
      </c>
      <c r="P1873" s="2">
        <v>-74.036339999999996</v>
      </c>
      <c r="Q1873" s="2" t="s">
        <v>4346</v>
      </c>
      <c r="R1873" s="2">
        <v>12648648.65</v>
      </c>
      <c r="S1873" s="2">
        <v>0</v>
      </c>
      <c r="T1873" s="2" t="s">
        <v>55</v>
      </c>
      <c r="U1873" s="2" t="s">
        <v>56</v>
      </c>
      <c r="V1873" s="2" t="s">
        <v>28</v>
      </c>
      <c r="W1873" s="2" t="s">
        <v>55</v>
      </c>
      <c r="X1873" s="2" t="s">
        <v>57</v>
      </c>
      <c r="Y1873" s="2">
        <v>2.6670692011410999</v>
      </c>
      <c r="Z1873" s="2">
        <v>4.71035</v>
      </c>
      <c r="AA1873" s="2">
        <v>-74.030416666666696</v>
      </c>
      <c r="AB1873" s="2">
        <v>2570</v>
      </c>
      <c r="AC1873" s="2" t="s">
        <v>31</v>
      </c>
      <c r="AD1873" s="2" t="s">
        <v>58</v>
      </c>
      <c r="AE1873" s="2" t="s">
        <v>33</v>
      </c>
      <c r="AF1873" s="2" t="s">
        <v>34</v>
      </c>
      <c r="AG1873" s="2" t="s">
        <v>59</v>
      </c>
      <c r="AH1873" s="2">
        <v>2.2932077058161799</v>
      </c>
      <c r="AI1873" s="2">
        <v>0.92368397077673203</v>
      </c>
      <c r="AJ1873" s="2">
        <v>0.61308081641665102</v>
      </c>
      <c r="AK1873" s="2">
        <v>0.32726688272913701</v>
      </c>
      <c r="AL1873" s="2">
        <v>0.15638074508047101</v>
      </c>
      <c r="AM1873" s="2">
        <v>15.5</v>
      </c>
      <c r="AN1873" s="2">
        <v>2.4</v>
      </c>
      <c r="AO1873" s="2">
        <v>10.9</v>
      </c>
      <c r="AP1873" s="2">
        <v>564</v>
      </c>
      <c r="AQ1873" s="2">
        <v>68</v>
      </c>
      <c r="AR1873" s="2">
        <v>1.5</v>
      </c>
      <c r="AS1873" s="2">
        <v>135</v>
      </c>
      <c r="AT1873" s="2">
        <v>0</v>
      </c>
      <c r="AU1873" s="2">
        <v>162</v>
      </c>
      <c r="AV1873" s="2">
        <v>9.1</v>
      </c>
      <c r="AW1873" s="2">
        <v>9.1999999999999993</v>
      </c>
      <c r="AX1873" s="2">
        <v>18.3</v>
      </c>
      <c r="AY1873" s="2">
        <v>0.34</v>
      </c>
      <c r="AZ1873" s="2">
        <v>7.3</v>
      </c>
      <c r="BA1873" s="2">
        <v>0.9</v>
      </c>
      <c r="BB1873" s="2">
        <v>7.5</v>
      </c>
      <c r="BC1873" s="2">
        <v>2.9</v>
      </c>
      <c r="BD1873" s="2">
        <f>+AN1873*EXP(-0.0495*Y1873)</f>
        <v>2.1031764810215359</v>
      </c>
      <c r="BE1873" s="2">
        <f>+AO1873*EXP(-0.024*Y1873)</f>
        <v>10.224155720604243</v>
      </c>
    </row>
    <row r="1874" spans="1:57" x14ac:dyDescent="0.2">
      <c r="A1874" s="2" t="s">
        <v>3745</v>
      </c>
      <c r="B1874" s="2" t="s">
        <v>19</v>
      </c>
      <c r="C1874" s="2" t="s">
        <v>3245</v>
      </c>
      <c r="D1874" s="2" t="s">
        <v>21</v>
      </c>
      <c r="E1874" s="2" t="s">
        <v>3746</v>
      </c>
      <c r="F1874" s="2">
        <v>6</v>
      </c>
      <c r="G1874" s="2">
        <v>37</v>
      </c>
      <c r="H1874" s="2">
        <v>1</v>
      </c>
      <c r="I1874" s="2">
        <v>1</v>
      </c>
      <c r="J1874" s="2">
        <v>1</v>
      </c>
      <c r="K1874" s="2" t="s">
        <v>61</v>
      </c>
      <c r="L1874" s="6" t="s">
        <v>62</v>
      </c>
      <c r="M1874" s="5">
        <v>400000000</v>
      </c>
      <c r="N1874" s="2">
        <v>0</v>
      </c>
      <c r="O1874" s="2">
        <v>4.6983098979999998</v>
      </c>
      <c r="P1874" s="2">
        <v>-74.043952939999997</v>
      </c>
      <c r="Q1874" s="2" t="s">
        <v>3747</v>
      </c>
      <c r="R1874" s="2">
        <v>10810810.810000001</v>
      </c>
      <c r="S1874" s="2">
        <v>0</v>
      </c>
      <c r="T1874" s="2" t="s">
        <v>55</v>
      </c>
      <c r="U1874" s="2" t="s">
        <v>56</v>
      </c>
      <c r="V1874" s="2" t="s">
        <v>28</v>
      </c>
      <c r="W1874" s="2" t="s">
        <v>55</v>
      </c>
      <c r="X1874" s="2" t="s">
        <v>57</v>
      </c>
      <c r="Y1874" s="2">
        <v>2.0128900170886301</v>
      </c>
      <c r="Z1874" s="2">
        <v>4.71035</v>
      </c>
      <c r="AA1874" s="2">
        <v>-74.030416666666696</v>
      </c>
      <c r="AB1874" s="2">
        <v>2570</v>
      </c>
      <c r="AC1874" s="2" t="s">
        <v>31</v>
      </c>
      <c r="AD1874" s="2" t="s">
        <v>58</v>
      </c>
      <c r="AE1874" s="2" t="s">
        <v>33</v>
      </c>
      <c r="AF1874" s="2" t="s">
        <v>34</v>
      </c>
      <c r="AG1874" s="2" t="s">
        <v>59</v>
      </c>
      <c r="AH1874" s="2">
        <v>1.2592750250390701</v>
      </c>
      <c r="AI1874" s="2">
        <v>2.0048526912456999</v>
      </c>
      <c r="AJ1874" s="2">
        <v>0.85729589137573703</v>
      </c>
      <c r="AK1874" s="2">
        <v>8.08494088466164E-2</v>
      </c>
      <c r="AL1874" s="2">
        <v>0.13781995352569101</v>
      </c>
      <c r="AM1874" s="2">
        <v>15.5</v>
      </c>
      <c r="AN1874" s="2">
        <v>2.4</v>
      </c>
      <c r="AO1874" s="2">
        <v>10.9</v>
      </c>
      <c r="AP1874" s="2">
        <v>564</v>
      </c>
      <c r="AQ1874" s="2">
        <v>68</v>
      </c>
      <c r="AR1874" s="2">
        <v>1.5</v>
      </c>
      <c r="AS1874" s="2">
        <v>135</v>
      </c>
      <c r="AT1874" s="2">
        <v>0</v>
      </c>
      <c r="AU1874" s="2">
        <v>162</v>
      </c>
      <c r="AV1874" s="2">
        <v>9.1</v>
      </c>
      <c r="AW1874" s="2">
        <v>9.1999999999999993</v>
      </c>
      <c r="AX1874" s="2">
        <v>18.3</v>
      </c>
      <c r="AY1874" s="2">
        <v>0.34</v>
      </c>
      <c r="AZ1874" s="2">
        <v>7.3</v>
      </c>
      <c r="BA1874" s="2">
        <v>0.9</v>
      </c>
      <c r="BB1874" s="2">
        <v>7.5</v>
      </c>
      <c r="BC1874" s="2">
        <v>2.9</v>
      </c>
      <c r="BD1874" s="2">
        <f>+AN1874*EXP(-0.0495*Y1874)</f>
        <v>2.1723959470210987</v>
      </c>
      <c r="BE1874" s="2">
        <f>+AO1874*EXP(-0.024*Y1874)</f>
        <v>10.385944781968721</v>
      </c>
    </row>
    <row r="1875" spans="1:57" x14ac:dyDescent="0.2">
      <c r="A1875" s="2" t="s">
        <v>4496</v>
      </c>
      <c r="B1875" s="2" t="s">
        <v>19</v>
      </c>
      <c r="C1875" s="2" t="s">
        <v>3245</v>
      </c>
      <c r="D1875" s="2" t="s">
        <v>21</v>
      </c>
      <c r="E1875" s="2" t="s">
        <v>177</v>
      </c>
      <c r="F1875" s="2">
        <v>6</v>
      </c>
      <c r="G1875" s="2">
        <v>36.74</v>
      </c>
      <c r="H1875" s="2">
        <v>1</v>
      </c>
      <c r="I1875" s="2">
        <v>1</v>
      </c>
      <c r="J1875" s="2">
        <v>1</v>
      </c>
      <c r="K1875" s="2" t="s">
        <v>61</v>
      </c>
      <c r="L1875" s="6" t="s">
        <v>84</v>
      </c>
      <c r="M1875" s="5">
        <v>470000000</v>
      </c>
      <c r="N1875" s="2">
        <v>0</v>
      </c>
      <c r="O1875" s="2">
        <v>4.6909761430000003</v>
      </c>
      <c r="P1875" s="2">
        <v>-74.042839049999998</v>
      </c>
      <c r="Q1875" s="2" t="s">
        <v>4497</v>
      </c>
      <c r="R1875" s="2">
        <v>12792596.619999999</v>
      </c>
      <c r="S1875" s="2">
        <v>0</v>
      </c>
      <c r="T1875" s="2" t="s">
        <v>55</v>
      </c>
      <c r="U1875" s="2" t="s">
        <v>56</v>
      </c>
      <c r="V1875" s="2" t="s">
        <v>28</v>
      </c>
      <c r="W1875" s="2" t="s">
        <v>55</v>
      </c>
      <c r="X1875" s="2" t="s">
        <v>57</v>
      </c>
      <c r="Y1875" s="2">
        <v>2.5594420526070998</v>
      </c>
      <c r="Z1875" s="2">
        <v>4.71035</v>
      </c>
      <c r="AA1875" s="2">
        <v>-74.030416666666696</v>
      </c>
      <c r="AB1875" s="2">
        <v>2570</v>
      </c>
      <c r="AC1875" s="2" t="s">
        <v>31</v>
      </c>
      <c r="AD1875" s="2" t="s">
        <v>58</v>
      </c>
      <c r="AE1875" s="2" t="s">
        <v>33</v>
      </c>
      <c r="AF1875" s="2" t="s">
        <v>34</v>
      </c>
      <c r="AG1875" s="2" t="s">
        <v>59</v>
      </c>
      <c r="AH1875" s="2">
        <v>1.4960218432835</v>
      </c>
      <c r="AI1875" s="2">
        <v>1.5436531999563501</v>
      </c>
      <c r="AJ1875" s="2">
        <v>0.81852170404864899</v>
      </c>
      <c r="AK1875" s="2">
        <v>7.4857065023814506E-2</v>
      </c>
      <c r="AL1875" s="2">
        <v>0.196034393556032</v>
      </c>
      <c r="AM1875" s="2">
        <v>15.5</v>
      </c>
      <c r="AN1875" s="2">
        <v>2.4</v>
      </c>
      <c r="AO1875" s="2">
        <v>10.9</v>
      </c>
      <c r="AP1875" s="2">
        <v>564</v>
      </c>
      <c r="AQ1875" s="2">
        <v>68</v>
      </c>
      <c r="AR1875" s="2">
        <v>1.5</v>
      </c>
      <c r="AS1875" s="2">
        <v>135</v>
      </c>
      <c r="AT1875" s="2">
        <v>0</v>
      </c>
      <c r="AU1875" s="2">
        <v>162</v>
      </c>
      <c r="AV1875" s="2">
        <v>9.1</v>
      </c>
      <c r="AW1875" s="2">
        <v>9.1999999999999993</v>
      </c>
      <c r="AX1875" s="2">
        <v>18.3</v>
      </c>
      <c r="AY1875" s="2">
        <v>0.34</v>
      </c>
      <c r="AZ1875" s="2">
        <v>7.3</v>
      </c>
      <c r="BA1875" s="2">
        <v>0.9</v>
      </c>
      <c r="BB1875" s="2">
        <v>7.5</v>
      </c>
      <c r="BC1875" s="2">
        <v>2.9</v>
      </c>
      <c r="BD1875" s="2">
        <f>+AN1875*EXP(-0.0495*Y1875)</f>
        <v>2.1144111459661437</v>
      </c>
      <c r="BE1875" s="2">
        <f>+AO1875*EXP(-0.024*Y1875)</f>
        <v>10.250599380002152</v>
      </c>
    </row>
    <row r="1876" spans="1:57" x14ac:dyDescent="0.2">
      <c r="A1876" s="2" t="s">
        <v>4104</v>
      </c>
      <c r="B1876" s="2" t="s">
        <v>19</v>
      </c>
      <c r="C1876" s="2" t="s">
        <v>3245</v>
      </c>
      <c r="D1876" s="2" t="s">
        <v>21</v>
      </c>
      <c r="E1876" s="2" t="s">
        <v>699</v>
      </c>
      <c r="F1876" s="2">
        <v>6</v>
      </c>
      <c r="G1876" s="2">
        <v>35.700000000000003</v>
      </c>
      <c r="H1876" s="2">
        <v>1</v>
      </c>
      <c r="I1876" s="2">
        <v>1</v>
      </c>
      <c r="J1876" s="2">
        <v>0</v>
      </c>
      <c r="K1876" s="2" t="s">
        <v>61</v>
      </c>
      <c r="L1876" s="6" t="s">
        <v>62</v>
      </c>
      <c r="M1876" s="5">
        <v>380000000</v>
      </c>
      <c r="N1876" s="2">
        <v>0</v>
      </c>
      <c r="O1876" s="2">
        <v>4.6943321999999998</v>
      </c>
      <c r="P1876" s="2">
        <v>-74.044184000000001</v>
      </c>
      <c r="Q1876" s="2" t="s">
        <v>4105</v>
      </c>
      <c r="R1876" s="2">
        <v>10644257.699999999</v>
      </c>
      <c r="S1876" s="2">
        <v>0</v>
      </c>
      <c r="T1876" s="2" t="s">
        <v>55</v>
      </c>
      <c r="U1876" s="2" t="s">
        <v>56</v>
      </c>
      <c r="V1876" s="2" t="s">
        <v>28</v>
      </c>
      <c r="W1876" s="2" t="s">
        <v>55</v>
      </c>
      <c r="X1876" s="2" t="s">
        <v>57</v>
      </c>
      <c r="Y1876" s="2">
        <v>2.3478533244475801</v>
      </c>
      <c r="Z1876" s="2">
        <v>4.71035</v>
      </c>
      <c r="AA1876" s="2">
        <v>-74.030416666666696</v>
      </c>
      <c r="AB1876" s="2">
        <v>2570</v>
      </c>
      <c r="AC1876" s="2" t="s">
        <v>31</v>
      </c>
      <c r="AD1876" s="2" t="s">
        <v>58</v>
      </c>
      <c r="AE1876" s="2" t="s">
        <v>33</v>
      </c>
      <c r="AF1876" s="2" t="s">
        <v>34</v>
      </c>
      <c r="AG1876" s="2" t="s">
        <v>59</v>
      </c>
      <c r="AH1876" s="2">
        <v>1.3028335670607101</v>
      </c>
      <c r="AI1876" s="2">
        <v>1.94085951715511</v>
      </c>
      <c r="AJ1876" s="2">
        <v>0.63870640100089304</v>
      </c>
      <c r="AK1876" s="2">
        <v>9.9270236497732006E-2</v>
      </c>
      <c r="AL1876" s="2">
        <v>0.202446385717198</v>
      </c>
      <c r="AM1876" s="2">
        <v>15.5</v>
      </c>
      <c r="AN1876" s="2">
        <v>2.4</v>
      </c>
      <c r="AO1876" s="2">
        <v>10.9</v>
      </c>
      <c r="AP1876" s="2">
        <v>564</v>
      </c>
      <c r="AQ1876" s="2">
        <v>68</v>
      </c>
      <c r="AR1876" s="2">
        <v>1.5</v>
      </c>
      <c r="AS1876" s="2">
        <v>135</v>
      </c>
      <c r="AT1876" s="2">
        <v>0</v>
      </c>
      <c r="AU1876" s="2">
        <v>162</v>
      </c>
      <c r="AV1876" s="2">
        <v>9.1</v>
      </c>
      <c r="AW1876" s="2">
        <v>9.1999999999999993</v>
      </c>
      <c r="AX1876" s="2">
        <v>18.3</v>
      </c>
      <c r="AY1876" s="2">
        <v>0.34</v>
      </c>
      <c r="AZ1876" s="2">
        <v>7.3</v>
      </c>
      <c r="BA1876" s="2">
        <v>0.9</v>
      </c>
      <c r="BB1876" s="2">
        <v>7.5</v>
      </c>
      <c r="BC1876" s="2">
        <v>2.9</v>
      </c>
      <c r="BD1876" s="2">
        <f>+AN1876*EXP(-0.0495*Y1876)</f>
        <v>2.1366731098572673</v>
      </c>
      <c r="BE1876" s="2">
        <f>+AO1876*EXP(-0.024*Y1876)</f>
        <v>10.302785643013246</v>
      </c>
    </row>
    <row r="1877" spans="1:57" x14ac:dyDescent="0.2">
      <c r="A1877" s="2" t="s">
        <v>4553</v>
      </c>
      <c r="B1877" s="2" t="s">
        <v>19</v>
      </c>
      <c r="C1877" s="2" t="s">
        <v>3245</v>
      </c>
      <c r="D1877" s="2" t="s">
        <v>21</v>
      </c>
      <c r="E1877" s="2" t="s">
        <v>976</v>
      </c>
      <c r="F1877" s="2">
        <v>3</v>
      </c>
      <c r="G1877" s="2">
        <v>35.200000000000003</v>
      </c>
      <c r="H1877" s="2">
        <v>1</v>
      </c>
      <c r="I1877" s="2">
        <v>2</v>
      </c>
      <c r="J1877" s="2">
        <v>1</v>
      </c>
      <c r="K1877" s="2" t="s">
        <v>61</v>
      </c>
      <c r="L1877" s="6" t="s">
        <v>62</v>
      </c>
      <c r="M1877" s="5">
        <v>253000000</v>
      </c>
      <c r="N1877" s="2">
        <v>0</v>
      </c>
      <c r="O1877" s="2">
        <v>4.7455515860000004</v>
      </c>
      <c r="P1877" s="2">
        <v>-74.023445129999999</v>
      </c>
      <c r="Q1877" s="2" t="s">
        <v>4554</v>
      </c>
      <c r="R1877" s="2">
        <v>7187500</v>
      </c>
      <c r="S1877" s="2">
        <v>0</v>
      </c>
      <c r="T1877" s="2" t="s">
        <v>55</v>
      </c>
      <c r="U1877" s="2" t="s">
        <v>56</v>
      </c>
      <c r="V1877" s="2" t="s">
        <v>28</v>
      </c>
      <c r="W1877" s="2" t="s">
        <v>55</v>
      </c>
      <c r="X1877" s="2" t="s">
        <v>57</v>
      </c>
      <c r="Y1877" s="2">
        <v>3.9942199354541499</v>
      </c>
      <c r="Z1877" s="2">
        <v>4.71035</v>
      </c>
      <c r="AA1877" s="2">
        <v>-74.030416666666696</v>
      </c>
      <c r="AB1877" s="2">
        <v>2570</v>
      </c>
      <c r="AC1877" s="2" t="s">
        <v>31</v>
      </c>
      <c r="AD1877" s="2" t="s">
        <v>58</v>
      </c>
      <c r="AE1877" s="2" t="s">
        <v>33</v>
      </c>
      <c r="AF1877" s="2" t="s">
        <v>34</v>
      </c>
      <c r="AG1877" s="2" t="s">
        <v>59</v>
      </c>
      <c r="AH1877" s="2">
        <v>2.6407045324744001</v>
      </c>
      <c r="AI1877" s="2">
        <v>0.48875716121864698</v>
      </c>
      <c r="AJ1877" s="2">
        <v>0.45826802298006403</v>
      </c>
      <c r="AK1877" s="2">
        <v>0.37554409112237502</v>
      </c>
      <c r="AL1877" s="2">
        <v>0.28707075346713701</v>
      </c>
      <c r="AM1877" s="2">
        <v>15.5</v>
      </c>
      <c r="AN1877" s="2">
        <v>2.4</v>
      </c>
      <c r="AO1877" s="2">
        <v>10.9</v>
      </c>
      <c r="AP1877" s="2">
        <v>564</v>
      </c>
      <c r="AQ1877" s="2">
        <v>68</v>
      </c>
      <c r="AR1877" s="2">
        <v>1.5</v>
      </c>
      <c r="AS1877" s="2">
        <v>135</v>
      </c>
      <c r="AT1877" s="2">
        <v>0</v>
      </c>
      <c r="AU1877" s="2">
        <v>162</v>
      </c>
      <c r="AV1877" s="2">
        <v>9.1</v>
      </c>
      <c r="AW1877" s="2">
        <v>9.1999999999999993</v>
      </c>
      <c r="AX1877" s="2">
        <v>18.3</v>
      </c>
      <c r="AY1877" s="2">
        <v>0.34</v>
      </c>
      <c r="AZ1877" s="2">
        <v>7.3</v>
      </c>
      <c r="BA1877" s="2">
        <v>0.9</v>
      </c>
      <c r="BB1877" s="2">
        <v>7.5</v>
      </c>
      <c r="BC1877" s="2">
        <v>2.9</v>
      </c>
      <c r="BD1877" s="2">
        <f>+AN1877*EXP(-0.0495*Y1877)</f>
        <v>1.9694510528612701</v>
      </c>
      <c r="BE1877" s="2">
        <f>+AO1877*EXP(-0.024*Y1877)</f>
        <v>9.9036315269693436</v>
      </c>
    </row>
    <row r="1878" spans="1:57" x14ac:dyDescent="0.2">
      <c r="A1878" s="2" t="s">
        <v>4094</v>
      </c>
      <c r="B1878" s="2" t="s">
        <v>19</v>
      </c>
      <c r="C1878" s="2" t="s">
        <v>3245</v>
      </c>
      <c r="D1878" s="2" t="s">
        <v>21</v>
      </c>
      <c r="E1878" s="2" t="s">
        <v>277</v>
      </c>
      <c r="F1878" s="2">
        <v>4</v>
      </c>
      <c r="G1878" s="2">
        <v>35.08</v>
      </c>
      <c r="H1878" s="2">
        <v>1</v>
      </c>
      <c r="I1878" s="2">
        <v>1</v>
      </c>
      <c r="J1878" s="2">
        <v>1</v>
      </c>
      <c r="K1878" s="2" t="s">
        <v>61</v>
      </c>
      <c r="L1878" s="6" t="s">
        <v>62</v>
      </c>
      <c r="M1878" s="5">
        <v>235000000</v>
      </c>
      <c r="N1878" s="2">
        <v>0</v>
      </c>
      <c r="O1878" s="2">
        <v>4.7473778720000004</v>
      </c>
      <c r="P1878" s="2">
        <v>-74.025344849999996</v>
      </c>
      <c r="Q1878" s="2" t="s">
        <v>4095</v>
      </c>
      <c r="R1878" s="2">
        <v>6698973.7740000002</v>
      </c>
      <c r="S1878" s="2">
        <v>0</v>
      </c>
      <c r="T1878" s="2" t="s">
        <v>55</v>
      </c>
      <c r="U1878" s="2" t="s">
        <v>56</v>
      </c>
      <c r="V1878" s="2" t="s">
        <v>28</v>
      </c>
      <c r="W1878" s="2" t="s">
        <v>55</v>
      </c>
      <c r="X1878" s="2" t="s">
        <v>57</v>
      </c>
      <c r="Y1878" s="2">
        <v>4.1601507162880598</v>
      </c>
      <c r="Z1878" s="2">
        <v>4.71035</v>
      </c>
      <c r="AA1878" s="2">
        <v>-74.030416666666696</v>
      </c>
      <c r="AB1878" s="2">
        <v>2570</v>
      </c>
      <c r="AC1878" s="2" t="s">
        <v>31</v>
      </c>
      <c r="AD1878" s="2" t="s">
        <v>58</v>
      </c>
      <c r="AE1878" s="2" t="s">
        <v>33</v>
      </c>
      <c r="AF1878" s="2" t="s">
        <v>34</v>
      </c>
      <c r="AG1878" s="2" t="s">
        <v>59</v>
      </c>
      <c r="AH1878" s="2">
        <v>2.4306188228005201</v>
      </c>
      <c r="AI1878" s="2">
        <v>0.57043560649590697</v>
      </c>
      <c r="AJ1878" s="2">
        <v>0.20659774556529101</v>
      </c>
      <c r="AK1878" s="2">
        <v>0.62851379511449801</v>
      </c>
      <c r="AL1878" s="2">
        <v>0.441633084097802</v>
      </c>
      <c r="AM1878" s="2">
        <v>15.5</v>
      </c>
      <c r="AN1878" s="2">
        <v>2.4</v>
      </c>
      <c r="AO1878" s="2">
        <v>10.9</v>
      </c>
      <c r="AP1878" s="2">
        <v>564</v>
      </c>
      <c r="AQ1878" s="2">
        <v>68</v>
      </c>
      <c r="AR1878" s="2">
        <v>1.5</v>
      </c>
      <c r="AS1878" s="2">
        <v>135</v>
      </c>
      <c r="AT1878" s="2">
        <v>0</v>
      </c>
      <c r="AU1878" s="2">
        <v>162</v>
      </c>
      <c r="AV1878" s="2">
        <v>9.1</v>
      </c>
      <c r="AW1878" s="2">
        <v>9.1999999999999993</v>
      </c>
      <c r="AX1878" s="2">
        <v>18.3</v>
      </c>
      <c r="AY1878" s="2">
        <v>0.34</v>
      </c>
      <c r="AZ1878" s="2">
        <v>7.3</v>
      </c>
      <c r="BA1878" s="2">
        <v>0.9</v>
      </c>
      <c r="BB1878" s="2">
        <v>7.5</v>
      </c>
      <c r="BC1878" s="2">
        <v>2.9</v>
      </c>
      <c r="BD1878" s="2">
        <f>+AN1878*EXP(-0.0495*Y1878)</f>
        <v>1.953341072410071</v>
      </c>
      <c r="BE1878" s="2">
        <f>+AO1878*EXP(-0.024*Y1878)</f>
        <v>9.8642703382850971</v>
      </c>
    </row>
    <row r="1879" spans="1:57" x14ac:dyDescent="0.2">
      <c r="A1879" s="2" t="s">
        <v>4534</v>
      </c>
      <c r="B1879" s="2" t="s">
        <v>19</v>
      </c>
      <c r="C1879" s="2" t="s">
        <v>3245</v>
      </c>
      <c r="D1879" s="2" t="s">
        <v>21</v>
      </c>
      <c r="E1879" s="2" t="s">
        <v>4535</v>
      </c>
      <c r="F1879" s="2">
        <v>3</v>
      </c>
      <c r="G1879" s="2">
        <v>35</v>
      </c>
      <c r="H1879" s="2">
        <v>1</v>
      </c>
      <c r="I1879" s="2">
        <v>1</v>
      </c>
      <c r="J1879" s="2">
        <v>0</v>
      </c>
      <c r="K1879" s="2" t="s">
        <v>61</v>
      </c>
      <c r="L1879" s="6" t="s">
        <v>62</v>
      </c>
      <c r="M1879" s="5">
        <v>225000000</v>
      </c>
      <c r="N1879" s="2">
        <v>0</v>
      </c>
      <c r="O1879" s="2">
        <v>4.7488400999999998</v>
      </c>
      <c r="P1879" s="2">
        <v>-74.027181400000003</v>
      </c>
      <c r="Q1879" s="2" t="s">
        <v>4536</v>
      </c>
      <c r="R1879" s="2">
        <v>6428571.4289999995</v>
      </c>
      <c r="S1879" s="2">
        <v>0</v>
      </c>
      <c r="T1879" s="2" t="s">
        <v>55</v>
      </c>
      <c r="U1879" s="2" t="s">
        <v>56</v>
      </c>
      <c r="V1879" s="2" t="s">
        <v>28</v>
      </c>
      <c r="W1879" s="2" t="s">
        <v>55</v>
      </c>
      <c r="X1879" s="2" t="s">
        <v>57</v>
      </c>
      <c r="Y1879" s="2">
        <v>4.2997051913261899</v>
      </c>
      <c r="Z1879" s="2">
        <v>4.71035</v>
      </c>
      <c r="AA1879" s="2">
        <v>-74.030416666666696</v>
      </c>
      <c r="AB1879" s="2">
        <v>2570</v>
      </c>
      <c r="AC1879" s="2" t="s">
        <v>31</v>
      </c>
      <c r="AD1879" s="2" t="s">
        <v>58</v>
      </c>
      <c r="AE1879" s="2" t="s">
        <v>33</v>
      </c>
      <c r="AF1879" s="2" t="s">
        <v>34</v>
      </c>
      <c r="AG1879" s="2" t="s">
        <v>59</v>
      </c>
      <c r="AH1879" s="2">
        <v>2.1868079186565499</v>
      </c>
      <c r="AI1879" s="2">
        <v>0.74301093231608595</v>
      </c>
      <c r="AJ1879" s="2">
        <v>0.17315534963458901</v>
      </c>
      <c r="AK1879" s="2">
        <v>0.812274986499817</v>
      </c>
      <c r="AL1879" s="2">
        <v>0.22128988675810901</v>
      </c>
      <c r="AM1879" s="2">
        <v>15.5</v>
      </c>
      <c r="AN1879" s="2">
        <v>2.4</v>
      </c>
      <c r="AO1879" s="2">
        <v>10.9</v>
      </c>
      <c r="AP1879" s="2">
        <v>564</v>
      </c>
      <c r="AQ1879" s="2">
        <v>68</v>
      </c>
      <c r="AR1879" s="2">
        <v>1.5</v>
      </c>
      <c r="AS1879" s="2">
        <v>135</v>
      </c>
      <c r="AT1879" s="2">
        <v>0</v>
      </c>
      <c r="AU1879" s="2">
        <v>162</v>
      </c>
      <c r="AV1879" s="2">
        <v>9.1</v>
      </c>
      <c r="AW1879" s="2">
        <v>9.1999999999999993</v>
      </c>
      <c r="AX1879" s="2">
        <v>18.3</v>
      </c>
      <c r="AY1879" s="2">
        <v>0.34</v>
      </c>
      <c r="AZ1879" s="2">
        <v>7.3</v>
      </c>
      <c r="BA1879" s="2">
        <v>0.9</v>
      </c>
      <c r="BB1879" s="2">
        <v>7.5</v>
      </c>
      <c r="BC1879" s="2">
        <v>2.9</v>
      </c>
      <c r="BD1879" s="2">
        <f>+AN1879*EXP(-0.0495*Y1879)</f>
        <v>1.9398939960737487</v>
      </c>
      <c r="BE1879" s="2">
        <f>+AO1879*EXP(-0.024*Y1879)</f>
        <v>9.8312871309201277</v>
      </c>
    </row>
    <row r="1880" spans="1:57" x14ac:dyDescent="0.2">
      <c r="A1880" s="2" t="s">
        <v>4016</v>
      </c>
      <c r="B1880" s="2" t="s">
        <v>19</v>
      </c>
      <c r="C1880" s="2" t="s">
        <v>3245</v>
      </c>
      <c r="D1880" s="2" t="s">
        <v>21</v>
      </c>
      <c r="E1880" s="2" t="s">
        <v>4017</v>
      </c>
      <c r="F1880" s="2">
        <v>4</v>
      </c>
      <c r="G1880" s="2">
        <v>35</v>
      </c>
      <c r="H1880" s="2">
        <v>1</v>
      </c>
      <c r="I1880" s="2">
        <v>1</v>
      </c>
      <c r="J1880" s="2">
        <v>0</v>
      </c>
      <c r="K1880" s="2" t="s">
        <v>61</v>
      </c>
      <c r="L1880" s="6" t="s">
        <v>62</v>
      </c>
      <c r="M1880" s="5">
        <v>220000000</v>
      </c>
      <c r="N1880" s="2">
        <v>0</v>
      </c>
      <c r="O1880" s="2">
        <v>4.7488400999999998</v>
      </c>
      <c r="P1880" s="2">
        <v>-74.027181400000003</v>
      </c>
      <c r="Q1880" s="2" t="s">
        <v>4018</v>
      </c>
      <c r="R1880" s="2">
        <v>6285714.2860000003</v>
      </c>
      <c r="S1880" s="2">
        <v>0</v>
      </c>
      <c r="T1880" s="2" t="s">
        <v>55</v>
      </c>
      <c r="U1880" s="2" t="s">
        <v>56</v>
      </c>
      <c r="V1880" s="2" t="s">
        <v>28</v>
      </c>
      <c r="W1880" s="2" t="s">
        <v>55</v>
      </c>
      <c r="X1880" s="2" t="s">
        <v>57</v>
      </c>
      <c r="Y1880" s="2">
        <v>4.2997051913261899</v>
      </c>
      <c r="Z1880" s="2">
        <v>4.71035</v>
      </c>
      <c r="AA1880" s="2">
        <v>-74.030416666666696</v>
      </c>
      <c r="AB1880" s="2">
        <v>2570</v>
      </c>
      <c r="AC1880" s="2" t="s">
        <v>31</v>
      </c>
      <c r="AD1880" s="2" t="s">
        <v>58</v>
      </c>
      <c r="AE1880" s="2" t="s">
        <v>33</v>
      </c>
      <c r="AF1880" s="2" t="s">
        <v>34</v>
      </c>
      <c r="AG1880" s="2" t="s">
        <v>59</v>
      </c>
      <c r="AH1880" s="2">
        <v>2.1868079186565499</v>
      </c>
      <c r="AI1880" s="2">
        <v>0.74301093231608595</v>
      </c>
      <c r="AJ1880" s="2">
        <v>0.17315534963458901</v>
      </c>
      <c r="AK1880" s="2">
        <v>0.812274986499817</v>
      </c>
      <c r="AL1880" s="2">
        <v>0.22128988675810901</v>
      </c>
      <c r="AM1880" s="2">
        <v>15.5</v>
      </c>
      <c r="AN1880" s="2">
        <v>2.4</v>
      </c>
      <c r="AO1880" s="2">
        <v>10.9</v>
      </c>
      <c r="AP1880" s="2">
        <v>564</v>
      </c>
      <c r="AQ1880" s="2">
        <v>68</v>
      </c>
      <c r="AR1880" s="2">
        <v>1.5</v>
      </c>
      <c r="AS1880" s="2">
        <v>135</v>
      </c>
      <c r="AT1880" s="2">
        <v>0</v>
      </c>
      <c r="AU1880" s="2">
        <v>162</v>
      </c>
      <c r="AV1880" s="2">
        <v>9.1</v>
      </c>
      <c r="AW1880" s="2">
        <v>9.1999999999999993</v>
      </c>
      <c r="AX1880" s="2">
        <v>18.3</v>
      </c>
      <c r="AY1880" s="2">
        <v>0.34</v>
      </c>
      <c r="AZ1880" s="2">
        <v>7.3</v>
      </c>
      <c r="BA1880" s="2">
        <v>0.9</v>
      </c>
      <c r="BB1880" s="2">
        <v>7.5</v>
      </c>
      <c r="BC1880" s="2">
        <v>2.9</v>
      </c>
      <c r="BD1880" s="2">
        <f>+AN1880*EXP(-0.0495*Y1880)</f>
        <v>1.9398939960737487</v>
      </c>
      <c r="BE1880" s="2">
        <f>+AO1880*EXP(-0.024*Y1880)</f>
        <v>9.8312871309201277</v>
      </c>
    </row>
    <row r="1881" spans="1:57" x14ac:dyDescent="0.2">
      <c r="A1881" s="2" t="s">
        <v>4046</v>
      </c>
      <c r="B1881" s="2" t="s">
        <v>19</v>
      </c>
      <c r="C1881" s="2" t="s">
        <v>3245</v>
      </c>
      <c r="D1881" s="2" t="s">
        <v>21</v>
      </c>
      <c r="E1881" s="2" t="s">
        <v>277</v>
      </c>
      <c r="F1881" s="2">
        <v>4</v>
      </c>
      <c r="G1881" s="2">
        <v>35</v>
      </c>
      <c r="H1881" s="2">
        <v>1</v>
      </c>
      <c r="I1881" s="2">
        <v>1</v>
      </c>
      <c r="J1881" s="2">
        <v>1</v>
      </c>
      <c r="K1881" s="2" t="s">
        <v>61</v>
      </c>
      <c r="L1881" s="6" t="s">
        <v>62</v>
      </c>
      <c r="M1881" s="5">
        <v>231000000</v>
      </c>
      <c r="N1881" s="2">
        <v>0</v>
      </c>
      <c r="O1881" s="2">
        <v>4.7480945590000001</v>
      </c>
      <c r="P1881" s="2">
        <v>-74.027259830000006</v>
      </c>
      <c r="Q1881" s="2" t="s">
        <v>4047</v>
      </c>
      <c r="R1881" s="2">
        <v>6600000</v>
      </c>
      <c r="S1881" s="2">
        <v>0</v>
      </c>
      <c r="T1881" s="2" t="s">
        <v>55</v>
      </c>
      <c r="U1881" s="2" t="s">
        <v>56</v>
      </c>
      <c r="V1881" s="2" t="s">
        <v>28</v>
      </c>
      <c r="W1881" s="2" t="s">
        <v>55</v>
      </c>
      <c r="X1881" s="2" t="s">
        <v>57</v>
      </c>
      <c r="Y1881" s="2">
        <v>4.21627565727242</v>
      </c>
      <c r="Z1881" s="2">
        <v>4.71035</v>
      </c>
      <c r="AA1881" s="2">
        <v>-74.030416666666696</v>
      </c>
      <c r="AB1881" s="2">
        <v>2570</v>
      </c>
      <c r="AC1881" s="2" t="s">
        <v>31</v>
      </c>
      <c r="AD1881" s="2" t="s">
        <v>58</v>
      </c>
      <c r="AE1881" s="2" t="s">
        <v>33</v>
      </c>
      <c r="AF1881" s="2" t="s">
        <v>34</v>
      </c>
      <c r="AG1881" s="2" t="s">
        <v>59</v>
      </c>
      <c r="AH1881" s="2">
        <v>2.2040718727106401</v>
      </c>
      <c r="AI1881" s="2">
        <v>0.75926271503128495</v>
      </c>
      <c r="AJ1881" s="2">
        <v>9.0944935654953707E-2</v>
      </c>
      <c r="AK1881" s="2">
        <v>0.73765152346276697</v>
      </c>
      <c r="AL1881" s="2">
        <v>0.21937538717999899</v>
      </c>
      <c r="AM1881" s="2">
        <v>15.5</v>
      </c>
      <c r="AN1881" s="2">
        <v>2.4</v>
      </c>
      <c r="AO1881" s="2">
        <v>10.9</v>
      </c>
      <c r="AP1881" s="2">
        <v>564</v>
      </c>
      <c r="AQ1881" s="2">
        <v>68</v>
      </c>
      <c r="AR1881" s="2">
        <v>1.5</v>
      </c>
      <c r="AS1881" s="2">
        <v>135</v>
      </c>
      <c r="AT1881" s="2">
        <v>0</v>
      </c>
      <c r="AU1881" s="2">
        <v>162</v>
      </c>
      <c r="AV1881" s="2">
        <v>9.1</v>
      </c>
      <c r="AW1881" s="2">
        <v>9.1999999999999993</v>
      </c>
      <c r="AX1881" s="2">
        <v>18.3</v>
      </c>
      <c r="AY1881" s="2">
        <v>0.34</v>
      </c>
      <c r="AZ1881" s="2">
        <v>7.3</v>
      </c>
      <c r="BA1881" s="2">
        <v>0.9</v>
      </c>
      <c r="BB1881" s="2">
        <v>7.5</v>
      </c>
      <c r="BC1881" s="2">
        <v>2.9</v>
      </c>
      <c r="BD1881" s="2">
        <f>+AN1881*EXP(-0.0495*Y1881)</f>
        <v>1.9479218616352063</v>
      </c>
      <c r="BE1881" s="2">
        <f>+AO1881*EXP(-0.024*Y1881)</f>
        <v>9.8509921249858614</v>
      </c>
    </row>
    <row r="1882" spans="1:57" x14ac:dyDescent="0.2">
      <c r="A1882" s="2" t="s">
        <v>1547</v>
      </c>
      <c r="B1882" s="2" t="s">
        <v>19</v>
      </c>
      <c r="C1882" s="2" t="s">
        <v>20</v>
      </c>
      <c r="D1882" s="2" t="s">
        <v>21</v>
      </c>
      <c r="E1882" s="2" t="s">
        <v>277</v>
      </c>
      <c r="F1882" s="2">
        <v>4</v>
      </c>
      <c r="G1882" s="2">
        <v>35</v>
      </c>
      <c r="H1882" s="2">
        <v>1</v>
      </c>
      <c r="I1882" s="2">
        <v>1</v>
      </c>
      <c r="J1882" s="2">
        <v>0</v>
      </c>
      <c r="K1882" s="2" t="s">
        <v>61</v>
      </c>
      <c r="L1882" s="6" t="s">
        <v>62</v>
      </c>
      <c r="M1882" s="5">
        <v>240000000</v>
      </c>
      <c r="N1882" s="2">
        <v>0</v>
      </c>
      <c r="O1882" s="2">
        <v>4.7475705149999996</v>
      </c>
      <c r="P1882" s="2">
        <v>-74.027061459999999</v>
      </c>
      <c r="Q1882" s="2" t="s">
        <v>1548</v>
      </c>
      <c r="R1882" s="2">
        <v>6857142.8569999998</v>
      </c>
      <c r="S1882" s="2">
        <v>0</v>
      </c>
      <c r="T1882" s="2" t="s">
        <v>55</v>
      </c>
      <c r="U1882" s="2" t="s">
        <v>56</v>
      </c>
      <c r="V1882" s="2" t="s">
        <v>28</v>
      </c>
      <c r="W1882" s="2" t="s">
        <v>55</v>
      </c>
      <c r="X1882" s="2" t="s">
        <v>57</v>
      </c>
      <c r="Y1882" s="2">
        <v>4.1600551476860304</v>
      </c>
      <c r="Z1882" s="2">
        <v>4.71035</v>
      </c>
      <c r="AA1882" s="2">
        <v>-74.030416666666696</v>
      </c>
      <c r="AB1882" s="2">
        <v>2570</v>
      </c>
      <c r="AC1882" s="2" t="s">
        <v>31</v>
      </c>
      <c r="AD1882" s="2" t="s">
        <v>58</v>
      </c>
      <c r="AE1882" s="2" t="s">
        <v>33</v>
      </c>
      <c r="AF1882" s="2" t="s">
        <v>34</v>
      </c>
      <c r="AG1882" s="2" t="s">
        <v>59</v>
      </c>
      <c r="AH1882" s="2">
        <v>2.2440630832381601</v>
      </c>
      <c r="AI1882" s="2">
        <v>0.74802179859555495</v>
      </c>
      <c r="AJ1882" s="2">
        <v>3.6503519856919901E-2</v>
      </c>
      <c r="AK1882" s="2">
        <v>0.70296385751198898</v>
      </c>
      <c r="AL1882" s="2">
        <v>0.25209549042093599</v>
      </c>
      <c r="AM1882" s="2">
        <v>15.5</v>
      </c>
      <c r="AN1882" s="2">
        <v>2.4</v>
      </c>
      <c r="AO1882" s="2">
        <v>10.9</v>
      </c>
      <c r="AP1882" s="2">
        <v>564</v>
      </c>
      <c r="AQ1882" s="2">
        <v>68</v>
      </c>
      <c r="AR1882" s="2">
        <v>1.5</v>
      </c>
      <c r="AS1882" s="2">
        <v>135</v>
      </c>
      <c r="AT1882" s="2">
        <v>0</v>
      </c>
      <c r="AU1882" s="2">
        <v>162</v>
      </c>
      <c r="AV1882" s="2">
        <v>9.1</v>
      </c>
      <c r="AW1882" s="2">
        <v>9.1999999999999993</v>
      </c>
      <c r="AX1882" s="2">
        <v>18.3</v>
      </c>
      <c r="AY1882" s="2">
        <v>0.34</v>
      </c>
      <c r="AZ1882" s="2">
        <v>7.3</v>
      </c>
      <c r="BA1882" s="2">
        <v>0.9</v>
      </c>
      <c r="BB1882" s="2">
        <v>7.5</v>
      </c>
      <c r="BC1882" s="2">
        <v>2.9</v>
      </c>
      <c r="BD1882" s="2">
        <f>+AN1882*EXP(-0.0495*Y1882)</f>
        <v>1.9533503129966692</v>
      </c>
      <c r="BE1882" s="2">
        <f>+AO1882*EXP(-0.024*Y1882)</f>
        <v>9.8642929634596737</v>
      </c>
    </row>
    <row r="1883" spans="1:57" x14ac:dyDescent="0.2">
      <c r="A1883" s="2" t="s">
        <v>3933</v>
      </c>
      <c r="B1883" s="2" t="s">
        <v>19</v>
      </c>
      <c r="C1883" s="2" t="s">
        <v>3245</v>
      </c>
      <c r="D1883" s="2" t="s">
        <v>21</v>
      </c>
      <c r="E1883" s="2" t="s">
        <v>1025</v>
      </c>
      <c r="F1883" s="2">
        <v>6</v>
      </c>
      <c r="G1883" s="2">
        <v>35</v>
      </c>
      <c r="H1883" s="2">
        <v>1</v>
      </c>
      <c r="I1883" s="2">
        <v>1</v>
      </c>
      <c r="J1883" s="2">
        <v>1</v>
      </c>
      <c r="K1883" s="2" t="s">
        <v>61</v>
      </c>
      <c r="L1883" s="6" t="s">
        <v>62</v>
      </c>
      <c r="M1883" s="5">
        <v>490000000</v>
      </c>
      <c r="N1883" s="2">
        <v>0</v>
      </c>
      <c r="O1883" s="2">
        <v>4.6832242009999998</v>
      </c>
      <c r="P1883" s="2">
        <v>-74.055984499999994</v>
      </c>
      <c r="Q1883" s="2" t="s">
        <v>3934</v>
      </c>
      <c r="R1883" s="2">
        <v>14000000</v>
      </c>
      <c r="S1883" s="2">
        <v>0</v>
      </c>
      <c r="T1883" s="2" t="s">
        <v>55</v>
      </c>
      <c r="U1883" s="2" t="s">
        <v>56</v>
      </c>
      <c r="V1883" s="2" t="s">
        <v>28</v>
      </c>
      <c r="W1883" s="2" t="s">
        <v>55</v>
      </c>
      <c r="X1883" s="2" t="s">
        <v>57</v>
      </c>
      <c r="Y1883" s="2">
        <v>4.14302979186738</v>
      </c>
      <c r="Z1883" s="2">
        <v>4.71035</v>
      </c>
      <c r="AA1883" s="2">
        <v>-74.030416666666696</v>
      </c>
      <c r="AB1883" s="2">
        <v>2570</v>
      </c>
      <c r="AC1883" s="2" t="s">
        <v>31</v>
      </c>
      <c r="AD1883" s="2" t="s">
        <v>58</v>
      </c>
      <c r="AE1883" s="2" t="s">
        <v>33</v>
      </c>
      <c r="AF1883" s="2" t="s">
        <v>34</v>
      </c>
      <c r="AG1883" s="2" t="s">
        <v>81</v>
      </c>
      <c r="AH1883" s="2">
        <v>0.207668106354437</v>
      </c>
      <c r="AI1883" s="2">
        <v>2.09329747401237</v>
      </c>
      <c r="AJ1883" s="2">
        <v>0.45002325994134401</v>
      </c>
      <c r="AK1883" s="2">
        <v>0.103851541631804</v>
      </c>
      <c r="AL1883" s="2">
        <v>0.25056051684137098</v>
      </c>
      <c r="AM1883" s="2">
        <v>15.5</v>
      </c>
      <c r="AN1883" s="2">
        <v>2.4</v>
      </c>
      <c r="AO1883" s="2">
        <v>10.9</v>
      </c>
      <c r="AP1883" s="2">
        <v>564</v>
      </c>
      <c r="AQ1883" s="2">
        <v>68</v>
      </c>
      <c r="AR1883" s="2">
        <v>1.5</v>
      </c>
      <c r="AS1883" s="2">
        <v>135</v>
      </c>
      <c r="AT1883" s="2">
        <v>0</v>
      </c>
      <c r="AU1883" s="2">
        <v>162</v>
      </c>
      <c r="AV1883" s="2">
        <v>9.1</v>
      </c>
      <c r="AW1883" s="2">
        <v>9.1999999999999993</v>
      </c>
      <c r="AX1883" s="2">
        <v>18.3</v>
      </c>
      <c r="AY1883" s="2">
        <v>0.34</v>
      </c>
      <c r="AZ1883" s="2">
        <v>7.3</v>
      </c>
      <c r="BA1883" s="2">
        <v>0.9</v>
      </c>
      <c r="BB1883" s="2">
        <v>7.5</v>
      </c>
      <c r="BC1883" s="2">
        <v>2.9</v>
      </c>
      <c r="BD1883" s="2">
        <f>+AN1883*EXP(-0.0495*Y1883)</f>
        <v>1.9549972028254108</v>
      </c>
      <c r="BE1883" s="2">
        <f>+AO1883*EXP(-0.024*Y1883)</f>
        <v>9.8683244213901062</v>
      </c>
    </row>
    <row r="1884" spans="1:57" x14ac:dyDescent="0.2">
      <c r="A1884" s="2" t="s">
        <v>3937</v>
      </c>
      <c r="B1884" s="2" t="s">
        <v>19</v>
      </c>
      <c r="C1884" s="2" t="s">
        <v>3245</v>
      </c>
      <c r="D1884" s="2" t="s">
        <v>21</v>
      </c>
      <c r="E1884" s="2" t="s">
        <v>1025</v>
      </c>
      <c r="F1884" s="2">
        <v>6</v>
      </c>
      <c r="G1884" s="2">
        <v>35</v>
      </c>
      <c r="H1884" s="2">
        <v>1</v>
      </c>
      <c r="I1884" s="2">
        <v>1</v>
      </c>
      <c r="J1884" s="2">
        <v>1</v>
      </c>
      <c r="K1884" s="2" t="s">
        <v>61</v>
      </c>
      <c r="L1884" s="6" t="s">
        <v>62</v>
      </c>
      <c r="M1884" s="5">
        <v>490000000</v>
      </c>
      <c r="N1884" s="2">
        <v>0</v>
      </c>
      <c r="O1884" s="2">
        <v>4.6832242009999998</v>
      </c>
      <c r="P1884" s="2">
        <v>-74.055984499999994</v>
      </c>
      <c r="Q1884" s="2" t="s">
        <v>3938</v>
      </c>
      <c r="R1884" s="2">
        <v>14000000</v>
      </c>
      <c r="S1884" s="2">
        <v>0</v>
      </c>
      <c r="T1884" s="2" t="s">
        <v>55</v>
      </c>
      <c r="U1884" s="2" t="s">
        <v>56</v>
      </c>
      <c r="V1884" s="2" t="s">
        <v>28</v>
      </c>
      <c r="W1884" s="2" t="s">
        <v>55</v>
      </c>
      <c r="X1884" s="2" t="s">
        <v>57</v>
      </c>
      <c r="Y1884" s="2">
        <v>4.14302979186738</v>
      </c>
      <c r="Z1884" s="2">
        <v>4.71035</v>
      </c>
      <c r="AA1884" s="2">
        <v>-74.030416666666696</v>
      </c>
      <c r="AB1884" s="2">
        <v>2570</v>
      </c>
      <c r="AC1884" s="2" t="s">
        <v>31</v>
      </c>
      <c r="AD1884" s="2" t="s">
        <v>58</v>
      </c>
      <c r="AE1884" s="2" t="s">
        <v>33</v>
      </c>
      <c r="AF1884" s="2" t="s">
        <v>34</v>
      </c>
      <c r="AG1884" s="2" t="s">
        <v>81</v>
      </c>
      <c r="AH1884" s="2">
        <v>0.207668106354437</v>
      </c>
      <c r="AI1884" s="2">
        <v>2.09329747401237</v>
      </c>
      <c r="AJ1884" s="2">
        <v>0.45002325994134401</v>
      </c>
      <c r="AK1884" s="2">
        <v>0.103851541631804</v>
      </c>
      <c r="AL1884" s="2">
        <v>0.25056051684137098</v>
      </c>
      <c r="AM1884" s="2">
        <v>15.5</v>
      </c>
      <c r="AN1884" s="2">
        <v>2.4</v>
      </c>
      <c r="AO1884" s="2">
        <v>10.9</v>
      </c>
      <c r="AP1884" s="2">
        <v>564</v>
      </c>
      <c r="AQ1884" s="2">
        <v>68</v>
      </c>
      <c r="AR1884" s="2">
        <v>1.5</v>
      </c>
      <c r="AS1884" s="2">
        <v>135</v>
      </c>
      <c r="AT1884" s="2">
        <v>0</v>
      </c>
      <c r="AU1884" s="2">
        <v>162</v>
      </c>
      <c r="AV1884" s="2">
        <v>9.1</v>
      </c>
      <c r="AW1884" s="2">
        <v>9.1999999999999993</v>
      </c>
      <c r="AX1884" s="2">
        <v>18.3</v>
      </c>
      <c r="AY1884" s="2">
        <v>0.34</v>
      </c>
      <c r="AZ1884" s="2">
        <v>7.3</v>
      </c>
      <c r="BA1884" s="2">
        <v>0.9</v>
      </c>
      <c r="BB1884" s="2">
        <v>7.5</v>
      </c>
      <c r="BC1884" s="2">
        <v>2.9</v>
      </c>
      <c r="BD1884" s="2">
        <f>+AN1884*EXP(-0.0495*Y1884)</f>
        <v>1.9549972028254108</v>
      </c>
      <c r="BE1884" s="2">
        <f>+AO1884*EXP(-0.024*Y1884)</f>
        <v>9.8683244213901062</v>
      </c>
    </row>
    <row r="1885" spans="1:57" x14ac:dyDescent="0.2">
      <c r="A1885" s="2" t="s">
        <v>3905</v>
      </c>
      <c r="B1885" s="2" t="s">
        <v>19</v>
      </c>
      <c r="C1885" s="2" t="s">
        <v>3245</v>
      </c>
      <c r="D1885" s="2" t="s">
        <v>21</v>
      </c>
      <c r="E1885" s="2" t="s">
        <v>83</v>
      </c>
      <c r="F1885" s="2">
        <v>6</v>
      </c>
      <c r="G1885" s="2">
        <v>35</v>
      </c>
      <c r="H1885" s="2">
        <v>1</v>
      </c>
      <c r="I1885" s="2">
        <v>1</v>
      </c>
      <c r="J1885" s="2">
        <v>1</v>
      </c>
      <c r="K1885" s="2" t="s">
        <v>61</v>
      </c>
      <c r="L1885" s="6" t="s">
        <v>62</v>
      </c>
      <c r="M1885" s="5">
        <v>490000000</v>
      </c>
      <c r="N1885" s="2">
        <v>0</v>
      </c>
      <c r="O1885" s="2">
        <v>4.6832241000000003</v>
      </c>
      <c r="P1885" s="2">
        <v>-74.055982799999995</v>
      </c>
      <c r="Q1885" s="2" t="s">
        <v>3906</v>
      </c>
      <c r="R1885" s="2">
        <v>14000000</v>
      </c>
      <c r="S1885" s="2">
        <v>0</v>
      </c>
      <c r="T1885" s="2" t="s">
        <v>55</v>
      </c>
      <c r="U1885" s="2" t="s">
        <v>56</v>
      </c>
      <c r="V1885" s="2" t="s">
        <v>28</v>
      </c>
      <c r="W1885" s="2" t="s">
        <v>55</v>
      </c>
      <c r="X1885" s="2" t="s">
        <v>57</v>
      </c>
      <c r="Y1885" s="2">
        <v>4.1429088536875804</v>
      </c>
      <c r="Z1885" s="2">
        <v>4.71035</v>
      </c>
      <c r="AA1885" s="2">
        <v>-74.030416666666696</v>
      </c>
      <c r="AB1885" s="2">
        <v>2570</v>
      </c>
      <c r="AC1885" s="2" t="s">
        <v>31</v>
      </c>
      <c r="AD1885" s="2" t="s">
        <v>58</v>
      </c>
      <c r="AE1885" s="2" t="s">
        <v>33</v>
      </c>
      <c r="AF1885" s="2" t="s">
        <v>34</v>
      </c>
      <c r="AG1885" s="2" t="s">
        <v>81</v>
      </c>
      <c r="AH1885" s="2">
        <v>0.20784631608352799</v>
      </c>
      <c r="AI1885" s="2">
        <v>2.09312842343143</v>
      </c>
      <c r="AJ1885" s="2">
        <v>0.44988270891597099</v>
      </c>
      <c r="AK1885" s="2">
        <v>0.104016267640442</v>
      </c>
      <c r="AL1885" s="2">
        <v>0.25074803894300801</v>
      </c>
      <c r="AM1885" s="2">
        <v>15.5</v>
      </c>
      <c r="AN1885" s="2">
        <v>2.4</v>
      </c>
      <c r="AO1885" s="2">
        <v>10.9</v>
      </c>
      <c r="AP1885" s="2">
        <v>564</v>
      </c>
      <c r="AQ1885" s="2">
        <v>68</v>
      </c>
      <c r="AR1885" s="2">
        <v>1.5</v>
      </c>
      <c r="AS1885" s="2">
        <v>135</v>
      </c>
      <c r="AT1885" s="2">
        <v>0</v>
      </c>
      <c r="AU1885" s="2">
        <v>162</v>
      </c>
      <c r="AV1885" s="2">
        <v>9.1</v>
      </c>
      <c r="AW1885" s="2">
        <v>9.1999999999999993</v>
      </c>
      <c r="AX1885" s="2">
        <v>18.3</v>
      </c>
      <c r="AY1885" s="2">
        <v>0.34</v>
      </c>
      <c r="AZ1885" s="2">
        <v>7.3</v>
      </c>
      <c r="BA1885" s="2">
        <v>0.9</v>
      </c>
      <c r="BB1885" s="2">
        <v>7.5</v>
      </c>
      <c r="BC1885" s="2">
        <v>2.9</v>
      </c>
      <c r="BD1885" s="2">
        <f>+AN1885*EXP(-0.0495*Y1885)</f>
        <v>1.9550089063337017</v>
      </c>
      <c r="BE1885" s="2">
        <f>+AO1885*EXP(-0.024*Y1885)</f>
        <v>9.868353064404312</v>
      </c>
    </row>
    <row r="1886" spans="1:57" x14ac:dyDescent="0.2">
      <c r="A1886" s="2" t="s">
        <v>4285</v>
      </c>
      <c r="B1886" s="2" t="s">
        <v>19</v>
      </c>
      <c r="C1886" s="2" t="s">
        <v>3245</v>
      </c>
      <c r="D1886" s="2" t="s">
        <v>21</v>
      </c>
      <c r="E1886" s="2" t="s">
        <v>144</v>
      </c>
      <c r="F1886" s="2">
        <v>5</v>
      </c>
      <c r="G1886" s="2">
        <v>34.9</v>
      </c>
      <c r="H1886" s="2">
        <v>1</v>
      </c>
      <c r="I1886" s="2">
        <v>1</v>
      </c>
      <c r="J1886" s="2">
        <v>0</v>
      </c>
      <c r="K1886" s="2" t="s">
        <v>61</v>
      </c>
      <c r="L1886" s="6" t="s">
        <v>62</v>
      </c>
      <c r="M1886" s="5">
        <v>360000000</v>
      </c>
      <c r="N1886" s="2">
        <v>0</v>
      </c>
      <c r="O1886" s="2">
        <v>4.6969859549999997</v>
      </c>
      <c r="P1886" s="2">
        <v>-74.032680990000003</v>
      </c>
      <c r="Q1886" s="2" t="s">
        <v>4286</v>
      </c>
      <c r="R1886" s="2">
        <v>10315186.25</v>
      </c>
      <c r="S1886" s="2">
        <v>0</v>
      </c>
      <c r="T1886" s="2" t="s">
        <v>55</v>
      </c>
      <c r="U1886" s="2" t="s">
        <v>56</v>
      </c>
      <c r="V1886" s="2" t="s">
        <v>28</v>
      </c>
      <c r="W1886" s="2" t="s">
        <v>55</v>
      </c>
      <c r="X1886" s="2" t="s">
        <v>57</v>
      </c>
      <c r="Y1886" s="2">
        <v>1.5087400523179999</v>
      </c>
      <c r="Z1886" s="2">
        <v>4.71035</v>
      </c>
      <c r="AA1886" s="2">
        <v>-74.030416666666696</v>
      </c>
      <c r="AB1886" s="2">
        <v>2570</v>
      </c>
      <c r="AC1886" s="2" t="s">
        <v>31</v>
      </c>
      <c r="AD1886" s="2" t="s">
        <v>58</v>
      </c>
      <c r="AE1886" s="2" t="s">
        <v>33</v>
      </c>
      <c r="AF1886" s="2" t="s">
        <v>34</v>
      </c>
      <c r="AG1886" s="2" t="s">
        <v>59</v>
      </c>
      <c r="AH1886" s="2">
        <v>2.5120856105127198</v>
      </c>
      <c r="AI1886" s="2">
        <v>0.75784026608077903</v>
      </c>
      <c r="AJ1886" s="2">
        <v>0.43211103286762298</v>
      </c>
      <c r="AK1886" s="2">
        <v>5.3394259741391802E-2</v>
      </c>
      <c r="AL1886" s="2">
        <v>9.8890011000324005E-2</v>
      </c>
      <c r="AM1886" s="2">
        <v>15.5</v>
      </c>
      <c r="AN1886" s="2">
        <v>2.4</v>
      </c>
      <c r="AO1886" s="2">
        <v>10.9</v>
      </c>
      <c r="AP1886" s="2">
        <v>564</v>
      </c>
      <c r="AQ1886" s="2">
        <v>68</v>
      </c>
      <c r="AR1886" s="2">
        <v>1.5</v>
      </c>
      <c r="AS1886" s="2">
        <v>135</v>
      </c>
      <c r="AT1886" s="2">
        <v>0</v>
      </c>
      <c r="AU1886" s="2">
        <v>162</v>
      </c>
      <c r="AV1886" s="2">
        <v>9.1</v>
      </c>
      <c r="AW1886" s="2">
        <v>9.1999999999999993</v>
      </c>
      <c r="AX1886" s="2">
        <v>18.3</v>
      </c>
      <c r="AY1886" s="2">
        <v>0.34</v>
      </c>
      <c r="AZ1886" s="2">
        <v>7.3</v>
      </c>
      <c r="BA1886" s="2">
        <v>0.9</v>
      </c>
      <c r="BB1886" s="2">
        <v>7.5</v>
      </c>
      <c r="BC1886" s="2">
        <v>2.9</v>
      </c>
      <c r="BD1886" s="2">
        <f>+AN1886*EXP(-0.0495*Y1886)</f>
        <v>2.2272911246478246</v>
      </c>
      <c r="BE1886" s="2">
        <f>+AO1886*EXP(-0.024*Y1886)</f>
        <v>10.512373878934261</v>
      </c>
    </row>
    <row r="1887" spans="1:57" x14ac:dyDescent="0.2">
      <c r="A1887" s="2" t="s">
        <v>4514</v>
      </c>
      <c r="B1887" s="2" t="s">
        <v>19</v>
      </c>
      <c r="C1887" s="2" t="s">
        <v>3245</v>
      </c>
      <c r="D1887" s="2" t="s">
        <v>21</v>
      </c>
      <c r="E1887" s="2" t="s">
        <v>345</v>
      </c>
      <c r="F1887" s="2">
        <v>4</v>
      </c>
      <c r="G1887" s="2">
        <v>34.1</v>
      </c>
      <c r="H1887" s="2">
        <v>1</v>
      </c>
      <c r="I1887" s="2">
        <v>1</v>
      </c>
      <c r="J1887" s="2">
        <v>1</v>
      </c>
      <c r="K1887" s="2" t="s">
        <v>61</v>
      </c>
      <c r="L1887" s="6" t="s">
        <v>113</v>
      </c>
      <c r="M1887" s="5">
        <v>305000000</v>
      </c>
      <c r="N1887" s="2">
        <v>0</v>
      </c>
      <c r="O1887" s="2">
        <v>4.7234654000000003</v>
      </c>
      <c r="P1887" s="2">
        <v>-74.034615000000002</v>
      </c>
      <c r="Q1887" s="2" t="s">
        <v>4515</v>
      </c>
      <c r="R1887" s="2">
        <v>8944281.5250000004</v>
      </c>
      <c r="S1887" s="2">
        <v>0</v>
      </c>
      <c r="T1887" s="2" t="s">
        <v>55</v>
      </c>
      <c r="U1887" s="2" t="s">
        <v>56</v>
      </c>
      <c r="V1887" s="2" t="s">
        <v>28</v>
      </c>
      <c r="W1887" s="2" t="s">
        <v>55</v>
      </c>
      <c r="X1887" s="2" t="s">
        <v>57</v>
      </c>
      <c r="Y1887" s="2">
        <v>1.5324959708308801</v>
      </c>
      <c r="Z1887" s="2">
        <v>4.71035</v>
      </c>
      <c r="AA1887" s="2">
        <v>-74.030416666666696</v>
      </c>
      <c r="AB1887" s="2">
        <v>2570</v>
      </c>
      <c r="AC1887" s="2" t="s">
        <v>31</v>
      </c>
      <c r="AD1887" s="2" t="s">
        <v>58</v>
      </c>
      <c r="AE1887" s="2" t="s">
        <v>33</v>
      </c>
      <c r="AF1887" s="2" t="s">
        <v>34</v>
      </c>
      <c r="AG1887" s="2" t="s">
        <v>59</v>
      </c>
      <c r="AH1887" s="2">
        <v>1.8008651917848999</v>
      </c>
      <c r="AI1887" s="2">
        <v>1.29390741779257</v>
      </c>
      <c r="AJ1887" s="2">
        <v>1.1984289013663101</v>
      </c>
      <c r="AK1887" s="2">
        <v>0.43323795691124201</v>
      </c>
      <c r="AL1887" s="2">
        <v>8.00606232200291E-3</v>
      </c>
      <c r="AM1887" s="2">
        <v>15.5</v>
      </c>
      <c r="AN1887" s="2">
        <v>2.4</v>
      </c>
      <c r="AO1887" s="2">
        <v>10.9</v>
      </c>
      <c r="AP1887" s="2">
        <v>564</v>
      </c>
      <c r="AQ1887" s="2">
        <v>68</v>
      </c>
      <c r="AR1887" s="2">
        <v>1.5</v>
      </c>
      <c r="AS1887" s="2">
        <v>135</v>
      </c>
      <c r="AT1887" s="2">
        <v>0</v>
      </c>
      <c r="AU1887" s="2">
        <v>162</v>
      </c>
      <c r="AV1887" s="2">
        <v>9.1</v>
      </c>
      <c r="AW1887" s="2">
        <v>9.1999999999999993</v>
      </c>
      <c r="AX1887" s="2">
        <v>18.3</v>
      </c>
      <c r="AY1887" s="2">
        <v>0.34</v>
      </c>
      <c r="AZ1887" s="2">
        <v>7.3</v>
      </c>
      <c r="BA1887" s="2">
        <v>0.9</v>
      </c>
      <c r="BB1887" s="2">
        <v>7.5</v>
      </c>
      <c r="BC1887" s="2">
        <v>2.9</v>
      </c>
      <c r="BD1887" s="2">
        <f>+AN1887*EXP(-0.0495*Y1887)</f>
        <v>2.2246735523247652</v>
      </c>
      <c r="BE1887" s="2">
        <f>+AO1887*EXP(-0.024*Y1887)</f>
        <v>10.506382040862096</v>
      </c>
    </row>
    <row r="1888" spans="1:57" x14ac:dyDescent="0.2">
      <c r="A1888" s="2" t="s">
        <v>4371</v>
      </c>
      <c r="B1888" s="2" t="s">
        <v>19</v>
      </c>
      <c r="C1888" s="2" t="s">
        <v>3245</v>
      </c>
      <c r="D1888" s="2" t="s">
        <v>21</v>
      </c>
      <c r="E1888" s="2" t="s">
        <v>961</v>
      </c>
      <c r="F1888" s="2">
        <v>5</v>
      </c>
      <c r="G1888" s="2">
        <v>34</v>
      </c>
      <c r="H1888" s="2">
        <v>2</v>
      </c>
      <c r="I1888" s="2">
        <v>1</v>
      </c>
      <c r="J1888" s="2">
        <v>1</v>
      </c>
      <c r="K1888" s="2" t="s">
        <v>61</v>
      </c>
      <c r="L1888" s="6" t="s">
        <v>113</v>
      </c>
      <c r="M1888" s="5">
        <v>330000000</v>
      </c>
      <c r="N1888" s="2">
        <v>0</v>
      </c>
      <c r="O1888" s="2">
        <v>4.6956100000000003</v>
      </c>
      <c r="P1888" s="2">
        <v>-74.062740000000005</v>
      </c>
      <c r="Q1888" s="2" t="s">
        <v>4372</v>
      </c>
      <c r="R1888" s="2">
        <v>9705882.3530000001</v>
      </c>
      <c r="S1888" s="2">
        <v>0</v>
      </c>
      <c r="T1888" s="2" t="s">
        <v>55</v>
      </c>
      <c r="U1888" s="2" t="s">
        <v>56</v>
      </c>
      <c r="V1888" s="2" t="s">
        <v>28</v>
      </c>
      <c r="W1888" s="2" t="s">
        <v>55</v>
      </c>
      <c r="X1888" s="2" t="s">
        <v>57</v>
      </c>
      <c r="Y1888" s="2">
        <v>3.94366780084186</v>
      </c>
      <c r="Z1888" s="2">
        <v>4.71035</v>
      </c>
      <c r="AA1888" s="2">
        <v>-74.030416666666696</v>
      </c>
      <c r="AB1888" s="2">
        <v>2570</v>
      </c>
      <c r="AC1888" s="2" t="s">
        <v>31</v>
      </c>
      <c r="AD1888" s="2" t="s">
        <v>58</v>
      </c>
      <c r="AE1888" s="2" t="s">
        <v>33</v>
      </c>
      <c r="AF1888" s="2" t="s">
        <v>34</v>
      </c>
      <c r="AG1888" s="2" t="s">
        <v>72</v>
      </c>
      <c r="AH1888" s="2">
        <v>0.55237414807976903</v>
      </c>
      <c r="AI1888" s="2">
        <v>3.4808350843065501</v>
      </c>
      <c r="AJ1888" s="2">
        <v>0.80016779760589396</v>
      </c>
      <c r="AK1888" s="2">
        <v>0.13032911905208</v>
      </c>
      <c r="AL1888" s="2">
        <v>2.3623444433478798E-3</v>
      </c>
      <c r="AM1888" s="2">
        <v>15.5</v>
      </c>
      <c r="AN1888" s="2">
        <v>2.4</v>
      </c>
      <c r="AO1888" s="2">
        <v>10.9</v>
      </c>
      <c r="AP1888" s="2">
        <v>564</v>
      </c>
      <c r="AQ1888" s="2">
        <v>68</v>
      </c>
      <c r="AR1888" s="2">
        <v>1.5</v>
      </c>
      <c r="AS1888" s="2">
        <v>135</v>
      </c>
      <c r="AT1888" s="2">
        <v>0</v>
      </c>
      <c r="AU1888" s="2">
        <v>162</v>
      </c>
      <c r="AV1888" s="2">
        <v>9.1</v>
      </c>
      <c r="AW1888" s="2">
        <v>9.1999999999999993</v>
      </c>
      <c r="AX1888" s="2">
        <v>18.3</v>
      </c>
      <c r="AY1888" s="2">
        <v>0.34</v>
      </c>
      <c r="AZ1888" s="2">
        <v>7.3</v>
      </c>
      <c r="BA1888" s="2">
        <v>0.9</v>
      </c>
      <c r="BB1888" s="2">
        <v>7.5</v>
      </c>
      <c r="BC1888" s="2">
        <v>2.9</v>
      </c>
      <c r="BD1888" s="2">
        <f>+AN1888*EXP(-0.0495*Y1888)</f>
        <v>1.9743854417822928</v>
      </c>
      <c r="BE1888" s="2">
        <f>+AO1888*EXP(-0.024*Y1888)</f>
        <v>9.9156544120230485</v>
      </c>
    </row>
    <row r="1889" spans="1:57" x14ac:dyDescent="0.2">
      <c r="A1889" s="2" t="s">
        <v>3800</v>
      </c>
      <c r="B1889" s="2" t="s">
        <v>19</v>
      </c>
      <c r="C1889" s="2" t="s">
        <v>3245</v>
      </c>
      <c r="D1889" s="2" t="s">
        <v>21</v>
      </c>
      <c r="E1889" s="2" t="s">
        <v>976</v>
      </c>
      <c r="F1889" s="2">
        <v>3</v>
      </c>
      <c r="G1889" s="2">
        <v>33.450000000000003</v>
      </c>
      <c r="H1889" s="2">
        <v>1</v>
      </c>
      <c r="I1889" s="2">
        <v>1</v>
      </c>
      <c r="J1889" s="2">
        <v>0</v>
      </c>
      <c r="K1889" s="2" t="s">
        <v>61</v>
      </c>
      <c r="L1889" s="6" t="s">
        <v>62</v>
      </c>
      <c r="M1889" s="5">
        <v>265000000</v>
      </c>
      <c r="N1889" s="2">
        <v>0</v>
      </c>
      <c r="O1889" s="2">
        <v>4.7466804690000002</v>
      </c>
      <c r="P1889" s="2">
        <v>-74.023503439999999</v>
      </c>
      <c r="Q1889" s="2" t="s">
        <v>3801</v>
      </c>
      <c r="R1889" s="2">
        <v>7922272.0480000004</v>
      </c>
      <c r="S1889" s="2">
        <v>0</v>
      </c>
      <c r="T1889" s="2" t="s">
        <v>55</v>
      </c>
      <c r="U1889" s="2" t="s">
        <v>56</v>
      </c>
      <c r="V1889" s="2" t="s">
        <v>28</v>
      </c>
      <c r="W1889" s="2" t="s">
        <v>55</v>
      </c>
      <c r="X1889" s="2" t="s">
        <v>57</v>
      </c>
      <c r="Y1889" s="2">
        <v>4.1163697556817702</v>
      </c>
      <c r="Z1889" s="2">
        <v>4.71035</v>
      </c>
      <c r="AA1889" s="2">
        <v>-74.030416666666696</v>
      </c>
      <c r="AB1889" s="2">
        <v>2570</v>
      </c>
      <c r="AC1889" s="2" t="s">
        <v>31</v>
      </c>
      <c r="AD1889" s="2" t="s">
        <v>58</v>
      </c>
      <c r="AE1889" s="2" t="s">
        <v>33</v>
      </c>
      <c r="AF1889" s="2" t="s">
        <v>34</v>
      </c>
      <c r="AG1889" s="2" t="s">
        <v>59</v>
      </c>
      <c r="AH1889" s="2">
        <v>2.6338789860962</v>
      </c>
      <c r="AI1889" s="2">
        <v>0.42444877782194101</v>
      </c>
      <c r="AJ1889" s="2">
        <v>0.41562887648425301</v>
      </c>
      <c r="AK1889" s="2">
        <v>0.50027122222223097</v>
      </c>
      <c r="AL1889" s="2">
        <v>0.39144339377048898</v>
      </c>
      <c r="AM1889" s="2">
        <v>15.5</v>
      </c>
      <c r="AN1889" s="2">
        <v>2.4</v>
      </c>
      <c r="AO1889" s="2">
        <v>10.9</v>
      </c>
      <c r="AP1889" s="2">
        <v>564</v>
      </c>
      <c r="AQ1889" s="2">
        <v>68</v>
      </c>
      <c r="AR1889" s="2">
        <v>1.5</v>
      </c>
      <c r="AS1889" s="2">
        <v>135</v>
      </c>
      <c r="AT1889" s="2">
        <v>0</v>
      </c>
      <c r="AU1889" s="2">
        <v>162</v>
      </c>
      <c r="AV1889" s="2">
        <v>9.1</v>
      </c>
      <c r="AW1889" s="2">
        <v>9.1999999999999993</v>
      </c>
      <c r="AX1889" s="2">
        <v>18.3</v>
      </c>
      <c r="AY1889" s="2">
        <v>0.34</v>
      </c>
      <c r="AZ1889" s="2">
        <v>7.3</v>
      </c>
      <c r="BA1889" s="2">
        <v>0.9</v>
      </c>
      <c r="BB1889" s="2">
        <v>7.5</v>
      </c>
      <c r="BC1889" s="2">
        <v>2.9</v>
      </c>
      <c r="BD1889" s="2">
        <f>+AN1889*EXP(-0.0495*Y1889)</f>
        <v>1.9575788605816178</v>
      </c>
      <c r="BE1889" s="2">
        <f>+AO1889*EXP(-0.024*Y1889)</f>
        <v>9.8746405991169173</v>
      </c>
    </row>
    <row r="1890" spans="1:57" x14ac:dyDescent="0.2">
      <c r="A1890" s="2" t="s">
        <v>4271</v>
      </c>
      <c r="B1890" s="2" t="s">
        <v>19</v>
      </c>
      <c r="C1890" s="2" t="s">
        <v>3245</v>
      </c>
      <c r="D1890" s="2" t="s">
        <v>21</v>
      </c>
      <c r="E1890" s="2" t="s">
        <v>699</v>
      </c>
      <c r="F1890" s="2">
        <v>6</v>
      </c>
      <c r="G1890" s="2">
        <v>33</v>
      </c>
      <c r="H1890" s="2">
        <v>1</v>
      </c>
      <c r="I1890" s="2">
        <v>1</v>
      </c>
      <c r="J1890" s="2">
        <v>0</v>
      </c>
      <c r="K1890" s="2" t="s">
        <v>61</v>
      </c>
      <c r="L1890" s="6" t="s">
        <v>62</v>
      </c>
      <c r="M1890" s="5">
        <v>485000000</v>
      </c>
      <c r="N1890" s="2">
        <v>0</v>
      </c>
      <c r="O1890" s="2">
        <v>4.6924999999999999</v>
      </c>
      <c r="P1890" s="2">
        <v>-74.04401</v>
      </c>
      <c r="Q1890" s="2" t="s">
        <v>4272</v>
      </c>
      <c r="R1890" s="2">
        <v>14696969.699999999</v>
      </c>
      <c r="S1890" s="2">
        <v>0</v>
      </c>
      <c r="T1890" s="2" t="s">
        <v>55</v>
      </c>
      <c r="U1890" s="2" t="s">
        <v>56</v>
      </c>
      <c r="V1890" s="2" t="s">
        <v>28</v>
      </c>
      <c r="W1890" s="2" t="s">
        <v>55</v>
      </c>
      <c r="X1890" s="2" t="s">
        <v>57</v>
      </c>
      <c r="Y1890" s="2">
        <v>2.4945499957916599</v>
      </c>
      <c r="Z1890" s="2">
        <v>4.71035</v>
      </c>
      <c r="AA1890" s="2">
        <v>-74.030416666666696</v>
      </c>
      <c r="AB1890" s="2">
        <v>2570</v>
      </c>
      <c r="AC1890" s="2" t="s">
        <v>31</v>
      </c>
      <c r="AD1890" s="2" t="s">
        <v>58</v>
      </c>
      <c r="AE1890" s="2" t="s">
        <v>33</v>
      </c>
      <c r="AF1890" s="2" t="s">
        <v>34</v>
      </c>
      <c r="AG1890" s="2" t="s">
        <v>59</v>
      </c>
      <c r="AH1890" s="2">
        <v>1.3507165133889001</v>
      </c>
      <c r="AI1890" s="2">
        <v>1.75424828386524</v>
      </c>
      <c r="AJ1890" s="2">
        <v>0.65350620488393396</v>
      </c>
      <c r="AK1890" s="2">
        <v>0.10316499666072999</v>
      </c>
      <c r="AL1890" s="2">
        <v>9.7001735012145901E-2</v>
      </c>
      <c r="AM1890" s="2">
        <v>15.5</v>
      </c>
      <c r="AN1890" s="2">
        <v>2.4</v>
      </c>
      <c r="AO1890" s="2">
        <v>10.9</v>
      </c>
      <c r="AP1890" s="2">
        <v>564</v>
      </c>
      <c r="AQ1890" s="2">
        <v>68</v>
      </c>
      <c r="AR1890" s="2">
        <v>1.5</v>
      </c>
      <c r="AS1890" s="2">
        <v>135</v>
      </c>
      <c r="AT1890" s="2">
        <v>0</v>
      </c>
      <c r="AU1890" s="2">
        <v>162</v>
      </c>
      <c r="AV1890" s="2">
        <v>9.1</v>
      </c>
      <c r="AW1890" s="2">
        <v>9.1999999999999993</v>
      </c>
      <c r="AX1890" s="2">
        <v>18.3</v>
      </c>
      <c r="AY1890" s="2">
        <v>0.34</v>
      </c>
      <c r="AZ1890" s="2">
        <v>7.3</v>
      </c>
      <c r="BA1890" s="2">
        <v>0.9</v>
      </c>
      <c r="BB1890" s="2">
        <v>7.5</v>
      </c>
      <c r="BC1890" s="2">
        <v>2.9</v>
      </c>
      <c r="BD1890" s="2">
        <f>+AN1890*EXP(-0.0495*Y1890)</f>
        <v>2.1212138860175034</v>
      </c>
      <c r="BE1890" s="2">
        <f>+AO1890*EXP(-0.024*Y1890)</f>
        <v>10.266576197451979</v>
      </c>
    </row>
    <row r="1891" spans="1:57" x14ac:dyDescent="0.2">
      <c r="A1891" s="2" t="s">
        <v>4228</v>
      </c>
      <c r="B1891" s="2" t="s">
        <v>19</v>
      </c>
      <c r="C1891" s="2" t="s">
        <v>3245</v>
      </c>
      <c r="D1891" s="2" t="s">
        <v>21</v>
      </c>
      <c r="E1891" s="2" t="s">
        <v>180</v>
      </c>
      <c r="F1891" s="2">
        <v>6</v>
      </c>
      <c r="G1891" s="2">
        <v>32.71</v>
      </c>
      <c r="H1891" s="2">
        <v>1</v>
      </c>
      <c r="I1891" s="2">
        <v>1</v>
      </c>
      <c r="J1891" s="2">
        <v>0</v>
      </c>
      <c r="K1891" s="2" t="s">
        <v>61</v>
      </c>
      <c r="L1891" s="6" t="s">
        <v>62</v>
      </c>
      <c r="M1891" s="5">
        <v>516000000</v>
      </c>
      <c r="N1891" s="2">
        <v>0</v>
      </c>
      <c r="O1891" s="2">
        <v>4.6808500000000004</v>
      </c>
      <c r="P1891" s="2">
        <v>-74.049549999999996</v>
      </c>
      <c r="Q1891" s="2" t="s">
        <v>4229</v>
      </c>
      <c r="R1891" s="2">
        <v>15774992.359999999</v>
      </c>
      <c r="S1891" s="2">
        <v>0</v>
      </c>
      <c r="T1891" s="2" t="s">
        <v>55</v>
      </c>
      <c r="U1891" s="2" t="s">
        <v>56</v>
      </c>
      <c r="V1891" s="2" t="s">
        <v>28</v>
      </c>
      <c r="W1891" s="2" t="s">
        <v>55</v>
      </c>
      <c r="X1891" s="2" t="s">
        <v>57</v>
      </c>
      <c r="Y1891" s="2">
        <v>3.9102801956763402</v>
      </c>
      <c r="Z1891" s="2">
        <v>4.71035</v>
      </c>
      <c r="AA1891" s="2">
        <v>-74.030416666666696</v>
      </c>
      <c r="AB1891" s="2">
        <v>2570</v>
      </c>
      <c r="AC1891" s="2" t="s">
        <v>31</v>
      </c>
      <c r="AD1891" s="2" t="s">
        <v>58</v>
      </c>
      <c r="AE1891" s="2" t="s">
        <v>33</v>
      </c>
      <c r="AF1891" s="2" t="s">
        <v>34</v>
      </c>
      <c r="AG1891" s="2" t="s">
        <v>81</v>
      </c>
      <c r="AH1891" s="2">
        <v>0.96768736969246005</v>
      </c>
      <c r="AI1891" s="2">
        <v>1.34757869465154</v>
      </c>
      <c r="AJ1891" s="2">
        <v>0.59656586523973498</v>
      </c>
      <c r="AK1891" s="2">
        <v>8.3875531942313494E-2</v>
      </c>
      <c r="AL1891" s="2">
        <v>1.0078348188533299</v>
      </c>
      <c r="AM1891" s="2">
        <v>15.5</v>
      </c>
      <c r="AN1891" s="2">
        <v>2.4</v>
      </c>
      <c r="AO1891" s="2">
        <v>10.9</v>
      </c>
      <c r="AP1891" s="2">
        <v>564</v>
      </c>
      <c r="AQ1891" s="2">
        <v>68</v>
      </c>
      <c r="AR1891" s="2">
        <v>1.5</v>
      </c>
      <c r="AS1891" s="2">
        <v>135</v>
      </c>
      <c r="AT1891" s="2">
        <v>0</v>
      </c>
      <c r="AU1891" s="2">
        <v>162</v>
      </c>
      <c r="AV1891" s="2">
        <v>9.1</v>
      </c>
      <c r="AW1891" s="2">
        <v>9.1999999999999993</v>
      </c>
      <c r="AX1891" s="2">
        <v>18.3</v>
      </c>
      <c r="AY1891" s="2">
        <v>0.34</v>
      </c>
      <c r="AZ1891" s="2">
        <v>7.3</v>
      </c>
      <c r="BA1891" s="2">
        <v>0.9</v>
      </c>
      <c r="BB1891" s="2">
        <v>7.5</v>
      </c>
      <c r="BC1891" s="2">
        <v>2.9</v>
      </c>
      <c r="BD1891" s="2">
        <f>+AN1891*EXP(-0.0495*Y1891)</f>
        <v>1.9776511797373584</v>
      </c>
      <c r="BE1891" s="2">
        <f>+AO1891*EXP(-0.024*Y1891)</f>
        <v>9.923603035130812</v>
      </c>
    </row>
    <row r="1892" spans="1:57" x14ac:dyDescent="0.2">
      <c r="A1892" s="2" t="s">
        <v>4610</v>
      </c>
      <c r="B1892" s="2" t="s">
        <v>19</v>
      </c>
      <c r="C1892" s="2" t="s">
        <v>3245</v>
      </c>
      <c r="D1892" s="2" t="s">
        <v>21</v>
      </c>
      <c r="E1892" s="2" t="s">
        <v>2243</v>
      </c>
      <c r="F1892" s="2">
        <v>3</v>
      </c>
      <c r="G1892" s="2">
        <v>32</v>
      </c>
      <c r="H1892" s="2">
        <v>1</v>
      </c>
      <c r="I1892" s="2">
        <v>1</v>
      </c>
      <c r="J1892" s="2">
        <v>0</v>
      </c>
      <c r="K1892" s="2" t="s">
        <v>61</v>
      </c>
      <c r="L1892" s="6" t="s">
        <v>62</v>
      </c>
      <c r="M1892" s="5">
        <v>260000000</v>
      </c>
      <c r="N1892" s="2">
        <v>0</v>
      </c>
      <c r="O1892" s="2">
        <v>4.7315500000000004</v>
      </c>
      <c r="P1892" s="2">
        <v>-74.022599999999997</v>
      </c>
      <c r="Q1892" s="2" t="s">
        <v>4611</v>
      </c>
      <c r="R1892" s="2">
        <v>8125000</v>
      </c>
      <c r="S1892" s="2">
        <v>0</v>
      </c>
      <c r="T1892" s="2" t="s">
        <v>55</v>
      </c>
      <c r="U1892" s="2" t="s">
        <v>56</v>
      </c>
      <c r="V1892" s="2" t="s">
        <v>28</v>
      </c>
      <c r="W1892" s="2" t="s">
        <v>55</v>
      </c>
      <c r="X1892" s="2" t="s">
        <v>57</v>
      </c>
      <c r="Y1892" s="2">
        <v>2.5142595591491101</v>
      </c>
      <c r="Z1892" s="2">
        <v>4.71035</v>
      </c>
      <c r="AA1892" s="2">
        <v>-74.030416666666696</v>
      </c>
      <c r="AB1892" s="2">
        <v>2570</v>
      </c>
      <c r="AC1892" s="2" t="s">
        <v>31</v>
      </c>
      <c r="AD1892" s="2" t="s">
        <v>58</v>
      </c>
      <c r="AE1892" s="2" t="s">
        <v>33</v>
      </c>
      <c r="AF1892" s="2" t="s">
        <v>34</v>
      </c>
      <c r="AG1892" s="2" t="s">
        <v>59</v>
      </c>
      <c r="AH1892" s="2">
        <v>2.9711347460175599</v>
      </c>
      <c r="AI1892" s="2">
        <v>0.117174286426988</v>
      </c>
      <c r="AJ1892" s="2">
        <v>1.8110797654255799</v>
      </c>
      <c r="AK1892" s="2">
        <v>0.23925116547598499</v>
      </c>
      <c r="AL1892" s="2">
        <v>0.17459008640104801</v>
      </c>
      <c r="AM1892" s="2">
        <v>15.5</v>
      </c>
      <c r="AN1892" s="2">
        <v>2.4</v>
      </c>
      <c r="AO1892" s="2">
        <v>10.9</v>
      </c>
      <c r="AP1892" s="2">
        <v>564</v>
      </c>
      <c r="AQ1892" s="2">
        <v>68</v>
      </c>
      <c r="AR1892" s="2">
        <v>1.5</v>
      </c>
      <c r="AS1892" s="2">
        <v>135</v>
      </c>
      <c r="AT1892" s="2">
        <v>0</v>
      </c>
      <c r="AU1892" s="2">
        <v>162</v>
      </c>
      <c r="AV1892" s="2">
        <v>9.1</v>
      </c>
      <c r="AW1892" s="2">
        <v>9.1999999999999993</v>
      </c>
      <c r="AX1892" s="2">
        <v>18.3</v>
      </c>
      <c r="AY1892" s="2">
        <v>0.34</v>
      </c>
      <c r="AZ1892" s="2">
        <v>7.3</v>
      </c>
      <c r="BA1892" s="2">
        <v>0.9</v>
      </c>
      <c r="BB1892" s="2">
        <v>7.5</v>
      </c>
      <c r="BC1892" s="2">
        <v>2.9</v>
      </c>
      <c r="BD1892" s="2">
        <f>+AN1892*EXP(-0.0495*Y1892)</f>
        <v>2.1191453893441232</v>
      </c>
      <c r="BE1892" s="2">
        <f>+AO1892*EXP(-0.024*Y1892)</f>
        <v>10.261720952262998</v>
      </c>
    </row>
    <row r="1893" spans="1:57" x14ac:dyDescent="0.2">
      <c r="A1893" s="2" t="s">
        <v>1042</v>
      </c>
      <c r="B1893" s="2" t="s">
        <v>19</v>
      </c>
      <c r="C1893" s="2" t="s">
        <v>20</v>
      </c>
      <c r="D1893" s="2" t="s">
        <v>21</v>
      </c>
      <c r="E1893" s="2" t="s">
        <v>345</v>
      </c>
      <c r="F1893" s="2">
        <v>4</v>
      </c>
      <c r="G1893" s="2">
        <v>32</v>
      </c>
      <c r="H1893" s="2">
        <v>1</v>
      </c>
      <c r="I1893" s="2">
        <v>1</v>
      </c>
      <c r="J1893" s="2">
        <v>1</v>
      </c>
      <c r="K1893" s="2" t="s">
        <v>61</v>
      </c>
      <c r="L1893" s="6" t="s">
        <v>62</v>
      </c>
      <c r="M1893" s="5">
        <v>295000000</v>
      </c>
      <c r="N1893" s="2">
        <v>0</v>
      </c>
      <c r="O1893" s="2">
        <v>4.7260059999999999</v>
      </c>
      <c r="P1893" s="2">
        <v>-74.040053999999998</v>
      </c>
      <c r="Q1893" s="2" t="s">
        <v>1043</v>
      </c>
      <c r="R1893" s="2">
        <v>9218750</v>
      </c>
      <c r="S1893" s="2">
        <v>0</v>
      </c>
      <c r="T1893" s="2" t="s">
        <v>55</v>
      </c>
      <c r="U1893" s="2" t="s">
        <v>56</v>
      </c>
      <c r="V1893" s="2" t="s">
        <v>28</v>
      </c>
      <c r="W1893" s="2" t="s">
        <v>55</v>
      </c>
      <c r="X1893" s="2" t="s">
        <v>57</v>
      </c>
      <c r="Y1893" s="2">
        <v>2.0446458205176099</v>
      </c>
      <c r="Z1893" s="2">
        <v>4.71035</v>
      </c>
      <c r="AA1893" s="2">
        <v>-74.030416666666696</v>
      </c>
      <c r="AB1893" s="2">
        <v>2570</v>
      </c>
      <c r="AC1893" s="2" t="s">
        <v>31</v>
      </c>
      <c r="AD1893" s="2" t="s">
        <v>58</v>
      </c>
      <c r="AE1893" s="2" t="s">
        <v>33</v>
      </c>
      <c r="AF1893" s="2" t="s">
        <v>34</v>
      </c>
      <c r="AG1893" s="2" t="s">
        <v>59</v>
      </c>
      <c r="AH1893" s="2">
        <v>1.1622997361799601</v>
      </c>
      <c r="AI1893" s="2">
        <v>1.9559269550678</v>
      </c>
      <c r="AJ1893" s="2">
        <v>0.76015812780472003</v>
      </c>
      <c r="AK1893" s="2">
        <v>0.436967775795851</v>
      </c>
      <c r="AL1893" s="2">
        <v>1.09310648498745E-2</v>
      </c>
      <c r="AM1893" s="2">
        <v>15.5</v>
      </c>
      <c r="AN1893" s="2">
        <v>2.4</v>
      </c>
      <c r="AO1893" s="2">
        <v>10.9</v>
      </c>
      <c r="AP1893" s="2">
        <v>564</v>
      </c>
      <c r="AQ1893" s="2">
        <v>68</v>
      </c>
      <c r="AR1893" s="2">
        <v>1.5</v>
      </c>
      <c r="AS1893" s="2">
        <v>135</v>
      </c>
      <c r="AT1893" s="2">
        <v>0</v>
      </c>
      <c r="AU1893" s="2">
        <v>162</v>
      </c>
      <c r="AV1893" s="2">
        <v>9.1</v>
      </c>
      <c r="AW1893" s="2">
        <v>9.1999999999999993</v>
      </c>
      <c r="AX1893" s="2">
        <v>18.3</v>
      </c>
      <c r="AY1893" s="2">
        <v>0.34</v>
      </c>
      <c r="AZ1893" s="2">
        <v>7.3</v>
      </c>
      <c r="BA1893" s="2">
        <v>0.9</v>
      </c>
      <c r="BB1893" s="2">
        <v>7.5</v>
      </c>
      <c r="BC1893" s="2">
        <v>2.9</v>
      </c>
      <c r="BD1893" s="2">
        <f>+AN1893*EXP(-0.0495*Y1893)</f>
        <v>2.1689838136669866</v>
      </c>
      <c r="BE1893" s="2">
        <f>+AO1893*EXP(-0.024*Y1893)</f>
        <v>10.378032261071134</v>
      </c>
    </row>
    <row r="1894" spans="1:57" x14ac:dyDescent="0.2">
      <c r="A1894" s="2" t="s">
        <v>4025</v>
      </c>
      <c r="B1894" s="2" t="s">
        <v>19</v>
      </c>
      <c r="C1894" s="2" t="s">
        <v>3245</v>
      </c>
      <c r="D1894" s="2" t="s">
        <v>21</v>
      </c>
      <c r="E1894" s="2" t="s">
        <v>144</v>
      </c>
      <c r="F1894" s="2">
        <v>6</v>
      </c>
      <c r="G1894" s="2">
        <v>32</v>
      </c>
      <c r="H1894" s="2">
        <v>1</v>
      </c>
      <c r="I1894" s="2">
        <v>1</v>
      </c>
      <c r="J1894" s="2">
        <v>0</v>
      </c>
      <c r="K1894" s="2" t="s">
        <v>61</v>
      </c>
      <c r="L1894" s="6" t="s">
        <v>62</v>
      </c>
      <c r="M1894" s="5">
        <v>390000000</v>
      </c>
      <c r="N1894" s="2">
        <v>0</v>
      </c>
      <c r="O1894" s="2">
        <v>4.6970465780000001</v>
      </c>
      <c r="P1894" s="2">
        <v>-74.032221719999995</v>
      </c>
      <c r="Q1894" s="2" t="s">
        <v>4026</v>
      </c>
      <c r="R1894" s="2">
        <v>12187500</v>
      </c>
      <c r="S1894" s="2">
        <v>0</v>
      </c>
      <c r="T1894" s="2" t="s">
        <v>55</v>
      </c>
      <c r="U1894" s="2" t="s">
        <v>56</v>
      </c>
      <c r="V1894" s="2" t="s">
        <v>28</v>
      </c>
      <c r="W1894" s="2" t="s">
        <v>55</v>
      </c>
      <c r="X1894" s="2" t="s">
        <v>57</v>
      </c>
      <c r="Y1894" s="2">
        <v>1.49440910289608</v>
      </c>
      <c r="Z1894" s="2">
        <v>4.71035</v>
      </c>
      <c r="AA1894" s="2">
        <v>-74.030416666666696</v>
      </c>
      <c r="AB1894" s="2">
        <v>2570</v>
      </c>
      <c r="AC1894" s="2" t="s">
        <v>31</v>
      </c>
      <c r="AD1894" s="2" t="s">
        <v>58</v>
      </c>
      <c r="AE1894" s="2" t="s">
        <v>33</v>
      </c>
      <c r="AF1894" s="2" t="s">
        <v>34</v>
      </c>
      <c r="AG1894" s="2" t="s">
        <v>59</v>
      </c>
      <c r="AH1894" s="2">
        <v>2.5626243482554001</v>
      </c>
      <c r="AI1894" s="2">
        <v>0.70654262396220602</v>
      </c>
      <c r="AJ1894" s="2">
        <v>0.39942484468820599</v>
      </c>
      <c r="AK1894" s="2">
        <v>3.3317300986875499E-2</v>
      </c>
      <c r="AL1894" s="2">
        <v>0.15009471552465001</v>
      </c>
      <c r="AM1894" s="2">
        <v>15.5</v>
      </c>
      <c r="AN1894" s="2">
        <v>2.4</v>
      </c>
      <c r="AO1894" s="2">
        <v>10.9</v>
      </c>
      <c r="AP1894" s="2">
        <v>564</v>
      </c>
      <c r="AQ1894" s="2">
        <v>68</v>
      </c>
      <c r="AR1894" s="2">
        <v>1.5</v>
      </c>
      <c r="AS1894" s="2">
        <v>135</v>
      </c>
      <c r="AT1894" s="2">
        <v>0</v>
      </c>
      <c r="AU1894" s="2">
        <v>162</v>
      </c>
      <c r="AV1894" s="2">
        <v>9.1</v>
      </c>
      <c r="AW1894" s="2">
        <v>9.1999999999999993</v>
      </c>
      <c r="AX1894" s="2">
        <v>18.3</v>
      </c>
      <c r="AY1894" s="2">
        <v>0.34</v>
      </c>
      <c r="AZ1894" s="2">
        <v>7.3</v>
      </c>
      <c r="BA1894" s="2">
        <v>0.9</v>
      </c>
      <c r="BB1894" s="2">
        <v>7.5</v>
      </c>
      <c r="BC1894" s="2">
        <v>2.9</v>
      </c>
      <c r="BD1894" s="2">
        <f>+AN1894*EXP(-0.0495*Y1894)</f>
        <v>2.2288716854167538</v>
      </c>
      <c r="BE1894" s="2">
        <f>+AO1894*EXP(-0.024*Y1894)</f>
        <v>10.515990155955528</v>
      </c>
    </row>
    <row r="1895" spans="1:57" x14ac:dyDescent="0.2">
      <c r="A1895" s="2" t="s">
        <v>3420</v>
      </c>
      <c r="B1895" s="2" t="s">
        <v>19</v>
      </c>
      <c r="C1895" s="2" t="s">
        <v>3245</v>
      </c>
      <c r="D1895" s="2" t="s">
        <v>21</v>
      </c>
      <c r="E1895" s="2" t="s">
        <v>170</v>
      </c>
      <c r="F1895" s="2">
        <v>4</v>
      </c>
      <c r="G1895" s="2">
        <v>31.15</v>
      </c>
      <c r="H1895" s="2">
        <v>1</v>
      </c>
      <c r="I1895" s="2">
        <v>1</v>
      </c>
      <c r="J1895" s="2">
        <v>0</v>
      </c>
      <c r="K1895" s="2" t="s">
        <v>61</v>
      </c>
      <c r="L1895" s="6" t="s">
        <v>62</v>
      </c>
      <c r="M1895" s="5">
        <v>247000000</v>
      </c>
      <c r="N1895" s="2">
        <v>0</v>
      </c>
      <c r="O1895" s="2">
        <v>4.731813431</v>
      </c>
      <c r="P1895" s="2">
        <v>-74.022468570000001</v>
      </c>
      <c r="Q1895" s="2" t="s">
        <v>3421</v>
      </c>
      <c r="R1895" s="2">
        <v>7929373.9970000004</v>
      </c>
      <c r="S1895" s="2">
        <v>0</v>
      </c>
      <c r="T1895" s="2" t="s">
        <v>55</v>
      </c>
      <c r="U1895" s="2" t="s">
        <v>56</v>
      </c>
      <c r="V1895" s="2" t="s">
        <v>28</v>
      </c>
      <c r="W1895" s="2" t="s">
        <v>55</v>
      </c>
      <c r="X1895" s="2" t="s">
        <v>57</v>
      </c>
      <c r="Y1895" s="2">
        <v>2.5468166686135301</v>
      </c>
      <c r="Z1895" s="2">
        <v>4.71035</v>
      </c>
      <c r="AA1895" s="2">
        <v>-74.030416666666696</v>
      </c>
      <c r="AB1895" s="2">
        <v>2570</v>
      </c>
      <c r="AC1895" s="2" t="s">
        <v>31</v>
      </c>
      <c r="AD1895" s="2" t="s">
        <v>58</v>
      </c>
      <c r="AE1895" s="2" t="s">
        <v>33</v>
      </c>
      <c r="AF1895" s="2" t="s">
        <v>34</v>
      </c>
      <c r="AG1895" s="2" t="s">
        <v>59</v>
      </c>
      <c r="AH1895" s="2">
        <v>2.98247911088297</v>
      </c>
      <c r="AI1895" s="2">
        <v>9.9979562617553697E-2</v>
      </c>
      <c r="AJ1895" s="2">
        <v>1.7873945447483</v>
      </c>
      <c r="AK1895" s="2">
        <v>0.232690751419248</v>
      </c>
      <c r="AL1895" s="2">
        <v>0.18961918266319999</v>
      </c>
      <c r="AM1895" s="2">
        <v>15.5</v>
      </c>
      <c r="AN1895" s="2">
        <v>2.4</v>
      </c>
      <c r="AO1895" s="2">
        <v>10.9</v>
      </c>
      <c r="AP1895" s="2">
        <v>564</v>
      </c>
      <c r="AQ1895" s="2">
        <v>68</v>
      </c>
      <c r="AR1895" s="2">
        <v>1.5</v>
      </c>
      <c r="AS1895" s="2">
        <v>135</v>
      </c>
      <c r="AT1895" s="2">
        <v>0</v>
      </c>
      <c r="AU1895" s="2">
        <v>162</v>
      </c>
      <c r="AV1895" s="2">
        <v>9.1</v>
      </c>
      <c r="AW1895" s="2">
        <v>9.1999999999999993</v>
      </c>
      <c r="AX1895" s="2">
        <v>18.3</v>
      </c>
      <c r="AY1895" s="2">
        <v>0.34</v>
      </c>
      <c r="AZ1895" s="2">
        <v>7.3</v>
      </c>
      <c r="BA1895" s="2">
        <v>0.9</v>
      </c>
      <c r="BB1895" s="2">
        <v>7.5</v>
      </c>
      <c r="BC1895" s="2">
        <v>2.9</v>
      </c>
      <c r="BD1895" s="2">
        <f>+AN1895*EXP(-0.0495*Y1895)</f>
        <v>2.1157329739712147</v>
      </c>
      <c r="BE1895" s="2">
        <f>+AO1895*EXP(-0.024*Y1895)</f>
        <v>10.253705876707031</v>
      </c>
    </row>
    <row r="1896" spans="1:57" x14ac:dyDescent="0.2">
      <c r="A1896" s="2" t="s">
        <v>4386</v>
      </c>
      <c r="B1896" s="2" t="s">
        <v>19</v>
      </c>
      <c r="C1896" s="2" t="s">
        <v>3245</v>
      </c>
      <c r="D1896" s="2" t="s">
        <v>21</v>
      </c>
      <c r="E1896" s="2" t="s">
        <v>144</v>
      </c>
      <c r="F1896" s="2">
        <v>6</v>
      </c>
      <c r="G1896" s="2">
        <v>31</v>
      </c>
      <c r="H1896" s="2">
        <v>1</v>
      </c>
      <c r="I1896" s="2">
        <v>1</v>
      </c>
      <c r="J1896" s="2">
        <v>1</v>
      </c>
      <c r="K1896" s="2" t="s">
        <v>61</v>
      </c>
      <c r="L1896" s="6" t="s">
        <v>113</v>
      </c>
      <c r="M1896" s="5">
        <v>275000000</v>
      </c>
      <c r="N1896" s="2">
        <v>0</v>
      </c>
      <c r="O1896" s="2">
        <v>4.6961305299999996</v>
      </c>
      <c r="P1896" s="2">
        <v>-74.038560390000001</v>
      </c>
      <c r="Q1896" s="2" t="s">
        <v>4387</v>
      </c>
      <c r="R1896" s="2">
        <v>8870967.7420000006</v>
      </c>
      <c r="S1896" s="2">
        <v>0</v>
      </c>
      <c r="T1896" s="2" t="s">
        <v>55</v>
      </c>
      <c r="U1896" s="2" t="s">
        <v>56</v>
      </c>
      <c r="V1896" s="2" t="s">
        <v>28</v>
      </c>
      <c r="W1896" s="2" t="s">
        <v>55</v>
      </c>
      <c r="X1896" s="2" t="s">
        <v>57</v>
      </c>
      <c r="Y1896" s="2">
        <v>1.8226086828906001</v>
      </c>
      <c r="Z1896" s="2">
        <v>4.71035</v>
      </c>
      <c r="AA1896" s="2">
        <v>-74.030416666666696</v>
      </c>
      <c r="AB1896" s="2">
        <v>2570</v>
      </c>
      <c r="AC1896" s="2" t="s">
        <v>31</v>
      </c>
      <c r="AD1896" s="2" t="s">
        <v>58</v>
      </c>
      <c r="AE1896" s="2" t="s">
        <v>33</v>
      </c>
      <c r="AF1896" s="2" t="s">
        <v>34</v>
      </c>
      <c r="AG1896" s="2" t="s">
        <v>59</v>
      </c>
      <c r="AH1896" s="2">
        <v>1.87008724982177</v>
      </c>
      <c r="AI1896" s="2">
        <v>1.41290271281609</v>
      </c>
      <c r="AJ1896" s="2">
        <v>0.88740935522117104</v>
      </c>
      <c r="AK1896" s="2">
        <v>8.60626047699867E-2</v>
      </c>
      <c r="AL1896" s="2">
        <v>0.15732796945729299</v>
      </c>
      <c r="AM1896" s="2">
        <v>15.5</v>
      </c>
      <c r="AN1896" s="2">
        <v>2.4</v>
      </c>
      <c r="AO1896" s="2">
        <v>10.9</v>
      </c>
      <c r="AP1896" s="2">
        <v>564</v>
      </c>
      <c r="AQ1896" s="2">
        <v>68</v>
      </c>
      <c r="AR1896" s="2">
        <v>1.5</v>
      </c>
      <c r="AS1896" s="2">
        <v>135</v>
      </c>
      <c r="AT1896" s="2">
        <v>0</v>
      </c>
      <c r="AU1896" s="2">
        <v>162</v>
      </c>
      <c r="AV1896" s="2">
        <v>9.1</v>
      </c>
      <c r="AW1896" s="2">
        <v>9.1999999999999993</v>
      </c>
      <c r="AX1896" s="2">
        <v>18.3</v>
      </c>
      <c r="AY1896" s="2">
        <v>0.34</v>
      </c>
      <c r="AZ1896" s="2">
        <v>7.3</v>
      </c>
      <c r="BA1896" s="2">
        <v>0.9</v>
      </c>
      <c r="BB1896" s="2">
        <v>7.5</v>
      </c>
      <c r="BC1896" s="2">
        <v>2.9</v>
      </c>
      <c r="BD1896" s="2">
        <f>+AN1896*EXP(-0.0495*Y1896)</f>
        <v>2.1929542503635489</v>
      </c>
      <c r="BE1896" s="2">
        <f>+AO1896*EXP(-0.024*Y1896)</f>
        <v>10.433483281940799</v>
      </c>
    </row>
    <row r="1897" spans="1:57" x14ac:dyDescent="0.2">
      <c r="A1897" s="2" t="s">
        <v>4571</v>
      </c>
      <c r="B1897" s="2" t="s">
        <v>19</v>
      </c>
      <c r="C1897" s="2" t="s">
        <v>3245</v>
      </c>
      <c r="D1897" s="2" t="s">
        <v>21</v>
      </c>
      <c r="E1897" s="2" t="s">
        <v>277</v>
      </c>
      <c r="F1897" s="2">
        <v>4</v>
      </c>
      <c r="G1897" s="2">
        <v>30.84</v>
      </c>
      <c r="H1897" s="2">
        <v>1</v>
      </c>
      <c r="I1897" s="2">
        <v>1</v>
      </c>
      <c r="J1897" s="2">
        <v>0</v>
      </c>
      <c r="K1897" s="2" t="s">
        <v>61</v>
      </c>
      <c r="L1897" s="6" t="s">
        <v>62</v>
      </c>
      <c r="M1897" s="5">
        <v>246000000</v>
      </c>
      <c r="N1897" s="2">
        <v>0</v>
      </c>
      <c r="O1897" s="2">
        <v>4.7478775979999996</v>
      </c>
      <c r="P1897" s="2">
        <v>-74.026672360000006</v>
      </c>
      <c r="Q1897" s="2" t="s">
        <v>4572</v>
      </c>
      <c r="R1897" s="2">
        <v>7976653.6960000005</v>
      </c>
      <c r="S1897" s="2">
        <v>0</v>
      </c>
      <c r="T1897" s="2" t="s">
        <v>55</v>
      </c>
      <c r="U1897" s="2" t="s">
        <v>56</v>
      </c>
      <c r="V1897" s="2" t="s">
        <v>28</v>
      </c>
      <c r="W1897" s="2" t="s">
        <v>55</v>
      </c>
      <c r="X1897" s="2" t="s">
        <v>57</v>
      </c>
      <c r="Y1897" s="2">
        <v>4.1981547336817799</v>
      </c>
      <c r="Z1897" s="2">
        <v>4.71035</v>
      </c>
      <c r="AA1897" s="2">
        <v>-74.030416666666696</v>
      </c>
      <c r="AB1897" s="2">
        <v>2570</v>
      </c>
      <c r="AC1897" s="2" t="s">
        <v>31</v>
      </c>
      <c r="AD1897" s="2" t="s">
        <v>58</v>
      </c>
      <c r="AE1897" s="2" t="s">
        <v>33</v>
      </c>
      <c r="AF1897" s="2" t="s">
        <v>34</v>
      </c>
      <c r="AG1897" s="2" t="s">
        <v>59</v>
      </c>
      <c r="AH1897" s="2">
        <v>2.2734646765875399</v>
      </c>
      <c r="AI1897" s="2">
        <v>0.69889194804321197</v>
      </c>
      <c r="AJ1897" s="2">
        <v>8.9163675748887894E-2</v>
      </c>
      <c r="AK1897" s="2">
        <v>0.74702321168520103</v>
      </c>
      <c r="AL1897" s="2">
        <v>0.28679128773746498</v>
      </c>
      <c r="AM1897" s="2">
        <v>15.5</v>
      </c>
      <c r="AN1897" s="2">
        <v>2.4</v>
      </c>
      <c r="AO1897" s="2">
        <v>10.9</v>
      </c>
      <c r="AP1897" s="2">
        <v>564</v>
      </c>
      <c r="AQ1897" s="2">
        <v>68</v>
      </c>
      <c r="AR1897" s="2">
        <v>1.5</v>
      </c>
      <c r="AS1897" s="2">
        <v>135</v>
      </c>
      <c r="AT1897" s="2">
        <v>0</v>
      </c>
      <c r="AU1897" s="2">
        <v>162</v>
      </c>
      <c r="AV1897" s="2">
        <v>9.1</v>
      </c>
      <c r="AW1897" s="2">
        <v>9.1999999999999993</v>
      </c>
      <c r="AX1897" s="2">
        <v>18.3</v>
      </c>
      <c r="AY1897" s="2">
        <v>0.34</v>
      </c>
      <c r="AZ1897" s="2">
        <v>7.3</v>
      </c>
      <c r="BA1897" s="2">
        <v>0.9</v>
      </c>
      <c r="BB1897" s="2">
        <v>7.5</v>
      </c>
      <c r="BC1897" s="2">
        <v>2.9</v>
      </c>
      <c r="BD1897" s="2">
        <f>+AN1897*EXP(-0.0495*Y1897)</f>
        <v>1.9496699035914911</v>
      </c>
      <c r="BE1897" s="2">
        <f>+AO1897*EXP(-0.024*Y1897)</f>
        <v>9.8552772745428658</v>
      </c>
    </row>
    <row r="1898" spans="1:57" x14ac:dyDescent="0.2">
      <c r="A1898" s="2" t="s">
        <v>3292</v>
      </c>
      <c r="B1898" s="2" t="s">
        <v>19</v>
      </c>
      <c r="C1898" s="2" t="s">
        <v>3245</v>
      </c>
      <c r="D1898" s="2" t="s">
        <v>21</v>
      </c>
      <c r="E1898" s="2" t="s">
        <v>961</v>
      </c>
      <c r="F1898" s="2">
        <v>5</v>
      </c>
      <c r="G1898" s="2">
        <v>30.51</v>
      </c>
      <c r="H1898" s="2">
        <v>1</v>
      </c>
      <c r="I1898" s="2">
        <v>1</v>
      </c>
      <c r="J1898" s="2">
        <v>0</v>
      </c>
      <c r="K1898" s="2" t="s">
        <v>61</v>
      </c>
      <c r="L1898" s="6" t="s">
        <v>62</v>
      </c>
      <c r="M1898" s="5">
        <v>365000000</v>
      </c>
      <c r="N1898" s="2">
        <v>0</v>
      </c>
      <c r="O1898" s="2">
        <v>4.6888100000000001</v>
      </c>
      <c r="P1898" s="2">
        <v>-74.060460000000006</v>
      </c>
      <c r="Q1898" s="2" t="s">
        <v>3293</v>
      </c>
      <c r="R1898" s="2">
        <v>11963290.720000001</v>
      </c>
      <c r="S1898" s="2">
        <v>0</v>
      </c>
      <c r="T1898" s="2" t="s">
        <v>55</v>
      </c>
      <c r="U1898" s="2" t="s">
        <v>56</v>
      </c>
      <c r="V1898" s="2" t="s">
        <v>28</v>
      </c>
      <c r="W1898" s="2" t="s">
        <v>55</v>
      </c>
      <c r="X1898" s="2" t="s">
        <v>57</v>
      </c>
      <c r="Y1898" s="2">
        <v>4.1060365094645501</v>
      </c>
      <c r="Z1898" s="2">
        <v>4.71035</v>
      </c>
      <c r="AA1898" s="2">
        <v>-74.030416666666696</v>
      </c>
      <c r="AB1898" s="2">
        <v>2570</v>
      </c>
      <c r="AC1898" s="2" t="s">
        <v>31</v>
      </c>
      <c r="AD1898" s="2" t="s">
        <v>58</v>
      </c>
      <c r="AE1898" s="2" t="s">
        <v>33</v>
      </c>
      <c r="AF1898" s="2" t="s">
        <v>34</v>
      </c>
      <c r="AG1898" s="2" t="s">
        <v>72</v>
      </c>
      <c r="AH1898" s="2">
        <v>0.48625971962562398</v>
      </c>
      <c r="AI1898" s="2">
        <v>2.8422555165182</v>
      </c>
      <c r="AJ1898" s="2">
        <v>0.91296222255048998</v>
      </c>
      <c r="AK1898" s="2">
        <v>2.4469659980457501E-2</v>
      </c>
      <c r="AL1898" s="2">
        <v>0.13289012363238201</v>
      </c>
      <c r="AM1898" s="2">
        <v>15.5</v>
      </c>
      <c r="AN1898" s="2">
        <v>2.4</v>
      </c>
      <c r="AO1898" s="2">
        <v>10.9</v>
      </c>
      <c r="AP1898" s="2">
        <v>564</v>
      </c>
      <c r="AQ1898" s="2">
        <v>68</v>
      </c>
      <c r="AR1898" s="2">
        <v>1.5</v>
      </c>
      <c r="AS1898" s="2">
        <v>135</v>
      </c>
      <c r="AT1898" s="2">
        <v>0</v>
      </c>
      <c r="AU1898" s="2">
        <v>162</v>
      </c>
      <c r="AV1898" s="2">
        <v>9.1</v>
      </c>
      <c r="AW1898" s="2">
        <v>9.1999999999999993</v>
      </c>
      <c r="AX1898" s="2">
        <v>18.3</v>
      </c>
      <c r="AY1898" s="2">
        <v>0.34</v>
      </c>
      <c r="AZ1898" s="2">
        <v>7.3</v>
      </c>
      <c r="BA1898" s="2">
        <v>0.9</v>
      </c>
      <c r="BB1898" s="2">
        <v>7.5</v>
      </c>
      <c r="BC1898" s="2">
        <v>2.9</v>
      </c>
      <c r="BD1898" s="2">
        <f>+AN1898*EXP(-0.0495*Y1898)</f>
        <v>1.9585804098494703</v>
      </c>
      <c r="BE1898" s="2">
        <f>+AO1898*EXP(-0.024*Y1898)</f>
        <v>9.8770897930246626</v>
      </c>
    </row>
    <row r="1899" spans="1:57" x14ac:dyDescent="0.2">
      <c r="A1899" s="2" t="s">
        <v>4608</v>
      </c>
      <c r="B1899" s="2" t="s">
        <v>19</v>
      </c>
      <c r="C1899" s="2" t="s">
        <v>3245</v>
      </c>
      <c r="D1899" s="2" t="s">
        <v>21</v>
      </c>
      <c r="E1899" s="2" t="s">
        <v>59</v>
      </c>
      <c r="F1899" s="2">
        <v>4</v>
      </c>
      <c r="G1899" s="2">
        <v>30.5</v>
      </c>
      <c r="H1899" s="2">
        <v>1</v>
      </c>
      <c r="I1899" s="2">
        <v>1</v>
      </c>
      <c r="J1899" s="2">
        <v>0</v>
      </c>
      <c r="K1899" s="2" t="s">
        <v>61</v>
      </c>
      <c r="L1899" s="6" t="s">
        <v>62</v>
      </c>
      <c r="M1899" s="5">
        <v>225000000</v>
      </c>
      <c r="N1899" s="2">
        <v>0</v>
      </c>
      <c r="O1899" s="2">
        <v>4.7318134000000001</v>
      </c>
      <c r="P1899" s="2">
        <v>-74.022466300000005</v>
      </c>
      <c r="Q1899" s="2" t="s">
        <v>4609</v>
      </c>
      <c r="R1899" s="2">
        <v>7377049.1799999997</v>
      </c>
      <c r="S1899" s="2">
        <v>0</v>
      </c>
      <c r="T1899" s="2" t="s">
        <v>55</v>
      </c>
      <c r="U1899" s="2" t="s">
        <v>56</v>
      </c>
      <c r="V1899" s="2" t="s">
        <v>28</v>
      </c>
      <c r="W1899" s="2" t="s">
        <v>55</v>
      </c>
      <c r="X1899" s="2" t="s">
        <v>57</v>
      </c>
      <c r="Y1899" s="2">
        <v>2.54690063524647</v>
      </c>
      <c r="Z1899" s="2">
        <v>4.71035</v>
      </c>
      <c r="AA1899" s="2">
        <v>-74.030416666666696</v>
      </c>
      <c r="AB1899" s="2">
        <v>2570</v>
      </c>
      <c r="AC1899" s="2" t="s">
        <v>31</v>
      </c>
      <c r="AD1899" s="2" t="s">
        <v>58</v>
      </c>
      <c r="AE1899" s="2" t="s">
        <v>33</v>
      </c>
      <c r="AF1899" s="2" t="s">
        <v>34</v>
      </c>
      <c r="AG1899" s="2" t="s">
        <v>59</v>
      </c>
      <c r="AH1899" s="2">
        <v>2.9827298070096102</v>
      </c>
      <c r="AI1899" s="2">
        <v>9.9822699924580705E-2</v>
      </c>
      <c r="AJ1899" s="2">
        <v>1.7874717820480699</v>
      </c>
      <c r="AK1899" s="2">
        <v>0.232900600376058</v>
      </c>
      <c r="AL1899" s="2">
        <v>0.18986944181578799</v>
      </c>
      <c r="AM1899" s="2">
        <v>15.5</v>
      </c>
      <c r="AN1899" s="2">
        <v>2.4</v>
      </c>
      <c r="AO1899" s="2">
        <v>10.9</v>
      </c>
      <c r="AP1899" s="2">
        <v>564</v>
      </c>
      <c r="AQ1899" s="2">
        <v>68</v>
      </c>
      <c r="AR1899" s="2">
        <v>1.5</v>
      </c>
      <c r="AS1899" s="2">
        <v>135</v>
      </c>
      <c r="AT1899" s="2">
        <v>0</v>
      </c>
      <c r="AU1899" s="2">
        <v>162</v>
      </c>
      <c r="AV1899" s="2">
        <v>9.1</v>
      </c>
      <c r="AW1899" s="2">
        <v>9.1999999999999993</v>
      </c>
      <c r="AX1899" s="2">
        <v>18.3</v>
      </c>
      <c r="AY1899" s="2">
        <v>0.34</v>
      </c>
      <c r="AZ1899" s="2">
        <v>7.3</v>
      </c>
      <c r="BA1899" s="2">
        <v>0.9</v>
      </c>
      <c r="BB1899" s="2">
        <v>7.5</v>
      </c>
      <c r="BC1899" s="2">
        <v>2.9</v>
      </c>
      <c r="BD1899" s="2">
        <f>+AN1899*EXP(-0.0495*Y1899)</f>
        <v>2.1157241802662754</v>
      </c>
      <c r="BE1899" s="2">
        <f>+AO1899*EXP(-0.024*Y1899)</f>
        <v>10.253685213468067</v>
      </c>
    </row>
    <row r="1900" spans="1:57" x14ac:dyDescent="0.2">
      <c r="A1900" s="2" t="s">
        <v>3638</v>
      </c>
      <c r="B1900" s="2" t="s">
        <v>19</v>
      </c>
      <c r="C1900" s="2" t="s">
        <v>3245</v>
      </c>
      <c r="D1900" s="2" t="s">
        <v>21</v>
      </c>
      <c r="E1900" s="2" t="s">
        <v>531</v>
      </c>
      <c r="F1900" s="2">
        <v>4</v>
      </c>
      <c r="G1900" s="2">
        <v>30.49</v>
      </c>
      <c r="H1900" s="2">
        <v>1</v>
      </c>
      <c r="I1900" s="2">
        <v>1</v>
      </c>
      <c r="J1900" s="2">
        <v>0</v>
      </c>
      <c r="K1900" s="2" t="s">
        <v>61</v>
      </c>
      <c r="L1900" s="6" t="s">
        <v>62</v>
      </c>
      <c r="M1900" s="5">
        <v>250000000</v>
      </c>
      <c r="N1900" s="2">
        <v>0</v>
      </c>
      <c r="O1900" s="2">
        <v>4.7392716410000002</v>
      </c>
      <c r="P1900" s="2">
        <v>-74.022033690000001</v>
      </c>
      <c r="Q1900" s="2" t="s">
        <v>3639</v>
      </c>
      <c r="R1900" s="2">
        <v>8199409.6430000002</v>
      </c>
      <c r="S1900" s="2">
        <v>0</v>
      </c>
      <c r="T1900" s="2" t="s">
        <v>55</v>
      </c>
      <c r="U1900" s="2" t="s">
        <v>56</v>
      </c>
      <c r="V1900" s="2" t="s">
        <v>28</v>
      </c>
      <c r="W1900" s="2" t="s">
        <v>55</v>
      </c>
      <c r="X1900" s="2" t="s">
        <v>57</v>
      </c>
      <c r="Y1900" s="2">
        <v>3.3511767408325599</v>
      </c>
      <c r="Z1900" s="2">
        <v>4.71035</v>
      </c>
      <c r="AA1900" s="2">
        <v>-74.030416666666696</v>
      </c>
      <c r="AB1900" s="2">
        <v>2570</v>
      </c>
      <c r="AC1900" s="2" t="s">
        <v>31</v>
      </c>
      <c r="AD1900" s="2" t="s">
        <v>58</v>
      </c>
      <c r="AE1900" s="2" t="s">
        <v>33</v>
      </c>
      <c r="AF1900" s="2" t="s">
        <v>34</v>
      </c>
      <c r="AG1900" s="2" t="s">
        <v>59</v>
      </c>
      <c r="AH1900" s="2">
        <v>2.8937236701939799</v>
      </c>
      <c r="AI1900" s="2">
        <v>0.31814474964195499</v>
      </c>
      <c r="AJ1900" s="2">
        <v>1.0539119085458599</v>
      </c>
      <c r="AK1900" s="2">
        <v>0.130083741570274</v>
      </c>
      <c r="AL1900" s="2">
        <v>0.15510707214339201</v>
      </c>
      <c r="AM1900" s="2">
        <v>15.5</v>
      </c>
      <c r="AN1900" s="2">
        <v>2.4</v>
      </c>
      <c r="AO1900" s="2">
        <v>10.9</v>
      </c>
      <c r="AP1900" s="2">
        <v>564</v>
      </c>
      <c r="AQ1900" s="2">
        <v>68</v>
      </c>
      <c r="AR1900" s="2">
        <v>1.5</v>
      </c>
      <c r="AS1900" s="2">
        <v>135</v>
      </c>
      <c r="AT1900" s="2">
        <v>0</v>
      </c>
      <c r="AU1900" s="2">
        <v>162</v>
      </c>
      <c r="AV1900" s="2">
        <v>9.1</v>
      </c>
      <c r="AW1900" s="2">
        <v>9.1999999999999993</v>
      </c>
      <c r="AX1900" s="2">
        <v>18.3</v>
      </c>
      <c r="AY1900" s="2">
        <v>0.34</v>
      </c>
      <c r="AZ1900" s="2">
        <v>7.3</v>
      </c>
      <c r="BA1900" s="2">
        <v>0.9</v>
      </c>
      <c r="BB1900" s="2">
        <v>7.5</v>
      </c>
      <c r="BC1900" s="2">
        <v>2.9</v>
      </c>
      <c r="BD1900" s="2">
        <f>+AN1900*EXP(-0.0495*Y1900)</f>
        <v>2.0331483209664016</v>
      </c>
      <c r="BE1900" s="2">
        <f>+AO1900*EXP(-0.024*Y1900)</f>
        <v>10.057660142958312</v>
      </c>
    </row>
    <row r="1901" spans="1:57" x14ac:dyDescent="0.2">
      <c r="A1901" s="2" t="s">
        <v>1464</v>
      </c>
      <c r="B1901" s="2" t="s">
        <v>19</v>
      </c>
      <c r="C1901" s="2" t="s">
        <v>20</v>
      </c>
      <c r="D1901" s="2" t="s">
        <v>21</v>
      </c>
      <c r="E1901" s="2" t="s">
        <v>1465</v>
      </c>
      <c r="F1901" s="2">
        <v>6</v>
      </c>
      <c r="G1901" s="2">
        <v>30.23</v>
      </c>
      <c r="H1901" s="2">
        <v>1</v>
      </c>
      <c r="I1901" s="2">
        <v>1</v>
      </c>
      <c r="J1901" s="2">
        <v>0</v>
      </c>
      <c r="K1901" s="2" t="s">
        <v>61</v>
      </c>
      <c r="L1901" s="6" t="s">
        <v>62</v>
      </c>
      <c r="M1901" s="5">
        <v>299000000</v>
      </c>
      <c r="N1901" s="2">
        <v>0</v>
      </c>
      <c r="O1901" s="2">
        <v>4.6843991279999999</v>
      </c>
      <c r="P1901" s="2">
        <v>-74.057159420000005</v>
      </c>
      <c r="Q1901" s="2" t="s">
        <v>1466</v>
      </c>
      <c r="R1901" s="2">
        <v>9890836.9169999994</v>
      </c>
      <c r="S1901" s="2">
        <v>0</v>
      </c>
      <c r="T1901" s="2" t="s">
        <v>55</v>
      </c>
      <c r="U1901" s="2" t="s">
        <v>56</v>
      </c>
      <c r="V1901" s="2" t="s">
        <v>28</v>
      </c>
      <c r="W1901" s="2" t="s">
        <v>55</v>
      </c>
      <c r="X1901" s="2" t="s">
        <v>57</v>
      </c>
      <c r="Y1901" s="2">
        <v>4.1410645974576497</v>
      </c>
      <c r="Z1901" s="2">
        <v>4.71035</v>
      </c>
      <c r="AA1901" s="2">
        <v>-74.030416666666696</v>
      </c>
      <c r="AB1901" s="2">
        <v>2570</v>
      </c>
      <c r="AC1901" s="2" t="s">
        <v>31</v>
      </c>
      <c r="AD1901" s="2" t="s">
        <v>58</v>
      </c>
      <c r="AE1901" s="2" t="s">
        <v>33</v>
      </c>
      <c r="AF1901" s="2" t="s">
        <v>34</v>
      </c>
      <c r="AG1901" s="2" t="s">
        <v>81</v>
      </c>
      <c r="AH1901" s="2">
        <v>7.8916409255592804E-2</v>
      </c>
      <c r="AI1901" s="2">
        <v>2.2713820162593801</v>
      </c>
      <c r="AJ1901" s="2">
        <v>0.505334387126538</v>
      </c>
      <c r="AK1901" s="2">
        <v>2.80841291755786E-2</v>
      </c>
      <c r="AL1901" s="2">
        <v>0.144571219649474</v>
      </c>
      <c r="AM1901" s="2">
        <v>15.5</v>
      </c>
      <c r="AN1901" s="2">
        <v>2.4</v>
      </c>
      <c r="AO1901" s="2">
        <v>10.9</v>
      </c>
      <c r="AP1901" s="2">
        <v>564</v>
      </c>
      <c r="AQ1901" s="2">
        <v>68</v>
      </c>
      <c r="AR1901" s="2">
        <v>1.5</v>
      </c>
      <c r="AS1901" s="2">
        <v>135</v>
      </c>
      <c r="AT1901" s="2">
        <v>0</v>
      </c>
      <c r="AU1901" s="2">
        <v>162</v>
      </c>
      <c r="AV1901" s="2">
        <v>9.1</v>
      </c>
      <c r="AW1901" s="2">
        <v>9.1999999999999993</v>
      </c>
      <c r="AX1901" s="2">
        <v>18.3</v>
      </c>
      <c r="AY1901" s="2">
        <v>0.34</v>
      </c>
      <c r="AZ1901" s="2">
        <v>7.3</v>
      </c>
      <c r="BA1901" s="2">
        <v>0.9</v>
      </c>
      <c r="BB1901" s="2">
        <v>7.5</v>
      </c>
      <c r="BC1901" s="2">
        <v>2.9</v>
      </c>
      <c r="BD1901" s="2">
        <f>+AN1901*EXP(-0.0495*Y1901)</f>
        <v>1.955187388579537</v>
      </c>
      <c r="BE1901" s="2">
        <f>+AO1901*EXP(-0.024*Y1901)</f>
        <v>9.8687898685900244</v>
      </c>
    </row>
    <row r="1902" spans="1:57" x14ac:dyDescent="0.2">
      <c r="A1902" s="2" t="s">
        <v>4032</v>
      </c>
      <c r="B1902" s="2" t="s">
        <v>19</v>
      </c>
      <c r="C1902" s="2" t="s">
        <v>3245</v>
      </c>
      <c r="D1902" s="2" t="s">
        <v>21</v>
      </c>
      <c r="E1902" s="2" t="s">
        <v>156</v>
      </c>
      <c r="F1902" s="2">
        <v>4</v>
      </c>
      <c r="G1902" s="2">
        <v>30.23</v>
      </c>
      <c r="H1902" s="2">
        <v>1</v>
      </c>
      <c r="I1902" s="2">
        <v>1</v>
      </c>
      <c r="J1902" s="2">
        <v>1</v>
      </c>
      <c r="K1902" s="2" t="s">
        <v>61</v>
      </c>
      <c r="L1902" s="6" t="s">
        <v>113</v>
      </c>
      <c r="M1902" s="5">
        <v>285000000</v>
      </c>
      <c r="N1902" s="2">
        <v>0</v>
      </c>
      <c r="O1902" s="2">
        <v>4.7263127000000003</v>
      </c>
      <c r="P1902" s="2">
        <v>-74.041955599999994</v>
      </c>
      <c r="Q1902" s="2" t="s">
        <v>4033</v>
      </c>
      <c r="R1902" s="2">
        <v>9427720.807</v>
      </c>
      <c r="S1902" s="2">
        <v>0</v>
      </c>
      <c r="T1902" s="2" t="s">
        <v>55</v>
      </c>
      <c r="U1902" s="2" t="s">
        <v>56</v>
      </c>
      <c r="V1902" s="2" t="s">
        <v>28</v>
      </c>
      <c r="W1902" s="2" t="s">
        <v>55</v>
      </c>
      <c r="X1902" s="2" t="s">
        <v>57</v>
      </c>
      <c r="Y1902" s="2">
        <v>2.1900645461394501</v>
      </c>
      <c r="Z1902" s="2">
        <v>4.71035</v>
      </c>
      <c r="AA1902" s="2">
        <v>-74.030416666666696</v>
      </c>
      <c r="AB1902" s="2">
        <v>2570</v>
      </c>
      <c r="AC1902" s="2" t="s">
        <v>31</v>
      </c>
      <c r="AD1902" s="2" t="s">
        <v>58</v>
      </c>
      <c r="AE1902" s="2" t="s">
        <v>33</v>
      </c>
      <c r="AF1902" s="2" t="s">
        <v>34</v>
      </c>
      <c r="AG1902" s="2" t="s">
        <v>59</v>
      </c>
      <c r="AH1902" s="2">
        <v>0.949573067124446</v>
      </c>
      <c r="AI1902" s="2">
        <v>2.1657504360411601</v>
      </c>
      <c r="AJ1902" s="2">
        <v>0.75876864599722305</v>
      </c>
      <c r="AK1902" s="2">
        <v>0.30368454974172598</v>
      </c>
      <c r="AL1902" s="2">
        <v>1.3784862024644601E-2</v>
      </c>
      <c r="AM1902" s="2">
        <v>15.5</v>
      </c>
      <c r="AN1902" s="2">
        <v>2.4</v>
      </c>
      <c r="AO1902" s="2">
        <v>10.9</v>
      </c>
      <c r="AP1902" s="2">
        <v>564</v>
      </c>
      <c r="AQ1902" s="2">
        <v>68</v>
      </c>
      <c r="AR1902" s="2">
        <v>1.5</v>
      </c>
      <c r="AS1902" s="2">
        <v>135</v>
      </c>
      <c r="AT1902" s="2">
        <v>0</v>
      </c>
      <c r="AU1902" s="2">
        <v>162</v>
      </c>
      <c r="AV1902" s="2">
        <v>9.1</v>
      </c>
      <c r="AW1902" s="2">
        <v>9.1999999999999993</v>
      </c>
      <c r="AX1902" s="2">
        <v>18.3</v>
      </c>
      <c r="AY1902" s="2">
        <v>0.34</v>
      </c>
      <c r="AZ1902" s="2">
        <v>7.3</v>
      </c>
      <c r="BA1902" s="2">
        <v>0.9</v>
      </c>
      <c r="BB1902" s="2">
        <v>7.5</v>
      </c>
      <c r="BC1902" s="2">
        <v>2.9</v>
      </c>
      <c r="BD1902" s="2">
        <f>+AN1902*EXP(-0.0495*Y1902)</f>
        <v>2.1534270337821324</v>
      </c>
      <c r="BE1902" s="2">
        <f>+AO1902*EXP(-0.024*Y1902)</f>
        <v>10.341875546710614</v>
      </c>
    </row>
    <row r="1903" spans="1:57" x14ac:dyDescent="0.2">
      <c r="A1903" s="2" t="s">
        <v>4054</v>
      </c>
      <c r="B1903" s="2" t="s">
        <v>19</v>
      </c>
      <c r="C1903" s="2" t="s">
        <v>3245</v>
      </c>
      <c r="D1903" s="2" t="s">
        <v>21</v>
      </c>
      <c r="E1903" s="2" t="s">
        <v>156</v>
      </c>
      <c r="F1903" s="2">
        <v>4</v>
      </c>
      <c r="G1903" s="2">
        <v>30.23</v>
      </c>
      <c r="H1903" s="2">
        <v>1</v>
      </c>
      <c r="I1903" s="2">
        <v>1</v>
      </c>
      <c r="J1903" s="2">
        <v>1</v>
      </c>
      <c r="K1903" s="2" t="s">
        <v>61</v>
      </c>
      <c r="L1903" s="6" t="s">
        <v>113</v>
      </c>
      <c r="M1903" s="5">
        <v>285000000</v>
      </c>
      <c r="N1903" s="2">
        <v>0</v>
      </c>
      <c r="O1903" s="2">
        <v>4.7263127000000003</v>
      </c>
      <c r="P1903" s="2">
        <v>-74.041955599999994</v>
      </c>
      <c r="Q1903" s="2" t="s">
        <v>4055</v>
      </c>
      <c r="R1903" s="2">
        <v>9427720.807</v>
      </c>
      <c r="S1903" s="2">
        <v>0</v>
      </c>
      <c r="T1903" s="2" t="s">
        <v>55</v>
      </c>
      <c r="U1903" s="2" t="s">
        <v>56</v>
      </c>
      <c r="V1903" s="2" t="s">
        <v>28</v>
      </c>
      <c r="W1903" s="2" t="s">
        <v>55</v>
      </c>
      <c r="X1903" s="2" t="s">
        <v>57</v>
      </c>
      <c r="Y1903" s="2">
        <v>2.1900645461394501</v>
      </c>
      <c r="Z1903" s="2">
        <v>4.71035</v>
      </c>
      <c r="AA1903" s="2">
        <v>-74.030416666666696</v>
      </c>
      <c r="AB1903" s="2">
        <v>2570</v>
      </c>
      <c r="AC1903" s="2" t="s">
        <v>31</v>
      </c>
      <c r="AD1903" s="2" t="s">
        <v>58</v>
      </c>
      <c r="AE1903" s="2" t="s">
        <v>33</v>
      </c>
      <c r="AF1903" s="2" t="s">
        <v>34</v>
      </c>
      <c r="AG1903" s="2" t="s">
        <v>59</v>
      </c>
      <c r="AH1903" s="2">
        <v>0.949573067124446</v>
      </c>
      <c r="AI1903" s="2">
        <v>2.1657504360411601</v>
      </c>
      <c r="AJ1903" s="2">
        <v>0.75876864599722305</v>
      </c>
      <c r="AK1903" s="2">
        <v>0.30368454974172598</v>
      </c>
      <c r="AL1903" s="2">
        <v>1.3784862024644601E-2</v>
      </c>
      <c r="AM1903" s="2">
        <v>15.5</v>
      </c>
      <c r="AN1903" s="2">
        <v>2.4</v>
      </c>
      <c r="AO1903" s="2">
        <v>10.9</v>
      </c>
      <c r="AP1903" s="2">
        <v>564</v>
      </c>
      <c r="AQ1903" s="2">
        <v>68</v>
      </c>
      <c r="AR1903" s="2">
        <v>1.5</v>
      </c>
      <c r="AS1903" s="2">
        <v>135</v>
      </c>
      <c r="AT1903" s="2">
        <v>0</v>
      </c>
      <c r="AU1903" s="2">
        <v>162</v>
      </c>
      <c r="AV1903" s="2">
        <v>9.1</v>
      </c>
      <c r="AW1903" s="2">
        <v>9.1999999999999993</v>
      </c>
      <c r="AX1903" s="2">
        <v>18.3</v>
      </c>
      <c r="AY1903" s="2">
        <v>0.34</v>
      </c>
      <c r="AZ1903" s="2">
        <v>7.3</v>
      </c>
      <c r="BA1903" s="2">
        <v>0.9</v>
      </c>
      <c r="BB1903" s="2">
        <v>7.5</v>
      </c>
      <c r="BC1903" s="2">
        <v>2.9</v>
      </c>
      <c r="BD1903" s="2">
        <f>+AN1903*EXP(-0.0495*Y1903)</f>
        <v>2.1534270337821324</v>
      </c>
      <c r="BE1903" s="2">
        <f>+AO1903*EXP(-0.024*Y1903)</f>
        <v>10.341875546710614</v>
      </c>
    </row>
    <row r="1904" spans="1:57" x14ac:dyDescent="0.2">
      <c r="A1904" s="2" t="s">
        <v>3296</v>
      </c>
      <c r="B1904" s="2" t="s">
        <v>19</v>
      </c>
      <c r="C1904" s="2" t="s">
        <v>3245</v>
      </c>
      <c r="D1904" s="2" t="s">
        <v>21</v>
      </c>
      <c r="E1904" s="2" t="s">
        <v>2243</v>
      </c>
      <c r="F1904" s="2">
        <v>4</v>
      </c>
      <c r="G1904" s="2">
        <v>30.04</v>
      </c>
      <c r="H1904" s="2">
        <v>1</v>
      </c>
      <c r="I1904" s="2">
        <v>1</v>
      </c>
      <c r="J1904" s="2">
        <v>0</v>
      </c>
      <c r="K1904" s="2" t="s">
        <v>61</v>
      </c>
      <c r="L1904" s="6" t="s">
        <v>62</v>
      </c>
      <c r="M1904" s="5">
        <v>238000000</v>
      </c>
      <c r="N1904" s="2">
        <v>0</v>
      </c>
      <c r="O1904" s="2">
        <v>4.7313000000000001</v>
      </c>
      <c r="P1904" s="2">
        <v>-74.023219999999995</v>
      </c>
      <c r="Q1904" s="2" t="s">
        <v>3297</v>
      </c>
      <c r="R1904" s="2">
        <v>7922769.6399999997</v>
      </c>
      <c r="S1904" s="2">
        <v>0</v>
      </c>
      <c r="T1904" s="2" t="s">
        <v>55</v>
      </c>
      <c r="U1904" s="2" t="s">
        <v>56</v>
      </c>
      <c r="V1904" s="2" t="s">
        <v>28</v>
      </c>
      <c r="W1904" s="2" t="s">
        <v>55</v>
      </c>
      <c r="X1904" s="2" t="s">
        <v>57</v>
      </c>
      <c r="Y1904" s="2">
        <v>2.4650260421176302</v>
      </c>
      <c r="Z1904" s="2">
        <v>4.71035</v>
      </c>
      <c r="AA1904" s="2">
        <v>-74.030416666666696</v>
      </c>
      <c r="AB1904" s="2">
        <v>2570</v>
      </c>
      <c r="AC1904" s="2" t="s">
        <v>31</v>
      </c>
      <c r="AD1904" s="2" t="s">
        <v>58</v>
      </c>
      <c r="AE1904" s="2" t="s">
        <v>33</v>
      </c>
      <c r="AF1904" s="2" t="s">
        <v>34</v>
      </c>
      <c r="AG1904" s="2" t="s">
        <v>59</v>
      </c>
      <c r="AH1904" s="2">
        <v>2.9061713715426101</v>
      </c>
      <c r="AI1904" s="2">
        <v>0.185712414394894</v>
      </c>
      <c r="AJ1904" s="2">
        <v>1.81970185697041</v>
      </c>
      <c r="AK1904" s="2">
        <v>0.217179238185951</v>
      </c>
      <c r="AL1904" s="2">
        <v>0.11246448652397301</v>
      </c>
      <c r="AM1904" s="2">
        <v>15.5</v>
      </c>
      <c r="AN1904" s="2">
        <v>2.4</v>
      </c>
      <c r="AO1904" s="2">
        <v>10.9</v>
      </c>
      <c r="AP1904" s="2">
        <v>564</v>
      </c>
      <c r="AQ1904" s="2">
        <v>68</v>
      </c>
      <c r="AR1904" s="2">
        <v>1.5</v>
      </c>
      <c r="AS1904" s="2">
        <v>135</v>
      </c>
      <c r="AT1904" s="2">
        <v>0</v>
      </c>
      <c r="AU1904" s="2">
        <v>162</v>
      </c>
      <c r="AV1904" s="2">
        <v>9.1</v>
      </c>
      <c r="AW1904" s="2">
        <v>9.1999999999999993</v>
      </c>
      <c r="AX1904" s="2">
        <v>18.3</v>
      </c>
      <c r="AY1904" s="2">
        <v>0.34</v>
      </c>
      <c r="AZ1904" s="2">
        <v>7.3</v>
      </c>
      <c r="BA1904" s="2">
        <v>0.9</v>
      </c>
      <c r="BB1904" s="2">
        <v>7.5</v>
      </c>
      <c r="BC1904" s="2">
        <v>2.9</v>
      </c>
      <c r="BD1904" s="2">
        <f>+AN1904*EXP(-0.0495*Y1904)</f>
        <v>2.1243161700746191</v>
      </c>
      <c r="BE1904" s="2">
        <f>+AO1904*EXP(-0.024*Y1904)</f>
        <v>10.273853413454827</v>
      </c>
    </row>
    <row r="1905" spans="1:57" x14ac:dyDescent="0.2">
      <c r="A1905" s="2" t="s">
        <v>3399</v>
      </c>
      <c r="B1905" s="2" t="s">
        <v>19</v>
      </c>
      <c r="C1905" s="2" t="s">
        <v>3245</v>
      </c>
      <c r="D1905" s="2" t="s">
        <v>21</v>
      </c>
      <c r="E1905" s="2" t="s">
        <v>3395</v>
      </c>
      <c r="F1905" s="2">
        <v>6</v>
      </c>
      <c r="G1905" s="2">
        <v>30</v>
      </c>
      <c r="H1905" s="2">
        <v>1</v>
      </c>
      <c r="I1905" s="2">
        <v>1</v>
      </c>
      <c r="J1905" s="2">
        <v>0</v>
      </c>
      <c r="K1905" s="2" t="s">
        <v>61</v>
      </c>
      <c r="L1905" s="6" t="s">
        <v>62</v>
      </c>
      <c r="M1905" s="5">
        <v>416000000</v>
      </c>
      <c r="N1905" s="2">
        <v>0</v>
      </c>
      <c r="O1905" s="2">
        <v>4.681571484</v>
      </c>
      <c r="P1905" s="2">
        <v>-74.047111509999993</v>
      </c>
      <c r="Q1905" s="2" t="s">
        <v>3400</v>
      </c>
      <c r="R1905" s="2">
        <v>13866666.67</v>
      </c>
      <c r="S1905" s="2">
        <v>0</v>
      </c>
      <c r="T1905" s="2" t="s">
        <v>55</v>
      </c>
      <c r="U1905" s="2" t="s">
        <v>56</v>
      </c>
      <c r="V1905" s="2" t="s">
        <v>28</v>
      </c>
      <c r="W1905" s="2" t="s">
        <v>55</v>
      </c>
      <c r="X1905" s="2" t="s">
        <v>57</v>
      </c>
      <c r="Y1905" s="2">
        <v>3.70051956049703</v>
      </c>
      <c r="Z1905" s="2">
        <v>4.71035</v>
      </c>
      <c r="AA1905" s="2">
        <v>-74.030416666666696</v>
      </c>
      <c r="AB1905" s="2">
        <v>2570</v>
      </c>
      <c r="AC1905" s="2" t="s">
        <v>31</v>
      </c>
      <c r="AD1905" s="2" t="s">
        <v>58</v>
      </c>
      <c r="AE1905" s="2" t="s">
        <v>33</v>
      </c>
      <c r="AF1905" s="2" t="s">
        <v>34</v>
      </c>
      <c r="AG1905" s="2" t="s">
        <v>81</v>
      </c>
      <c r="AH1905" s="2">
        <v>1.20443720653357</v>
      </c>
      <c r="AI1905" s="2">
        <v>1.1828957651232499</v>
      </c>
      <c r="AJ1905" s="2">
        <v>0.66107939540462701</v>
      </c>
      <c r="AK1905" s="2">
        <v>9.5329901531055902E-2</v>
      </c>
      <c r="AL1905" s="2">
        <v>0.926553221130472</v>
      </c>
      <c r="AM1905" s="2">
        <v>15.5</v>
      </c>
      <c r="AN1905" s="2">
        <v>2.4</v>
      </c>
      <c r="AO1905" s="2">
        <v>10.9</v>
      </c>
      <c r="AP1905" s="2">
        <v>564</v>
      </c>
      <c r="AQ1905" s="2">
        <v>68</v>
      </c>
      <c r="AR1905" s="2">
        <v>1.5</v>
      </c>
      <c r="AS1905" s="2">
        <v>135</v>
      </c>
      <c r="AT1905" s="2">
        <v>0</v>
      </c>
      <c r="AU1905" s="2">
        <v>162</v>
      </c>
      <c r="AV1905" s="2">
        <v>9.1</v>
      </c>
      <c r="AW1905" s="2">
        <v>9.1999999999999993</v>
      </c>
      <c r="AX1905" s="2">
        <v>18.3</v>
      </c>
      <c r="AY1905" s="2">
        <v>0.34</v>
      </c>
      <c r="AZ1905" s="2">
        <v>7.3</v>
      </c>
      <c r="BA1905" s="2">
        <v>0.9</v>
      </c>
      <c r="BB1905" s="2">
        <v>7.5</v>
      </c>
      <c r="BC1905" s="2">
        <v>2.9</v>
      </c>
      <c r="BD1905" s="2">
        <f>+AN1905*EXP(-0.0495*Y1905)</f>
        <v>1.9982924064828016</v>
      </c>
      <c r="BE1905" s="2">
        <f>+AO1905*EXP(-0.024*Y1905)</f>
        <v>9.973686947576212</v>
      </c>
    </row>
    <row r="1906" spans="1:57" x14ac:dyDescent="0.2">
      <c r="A1906" s="2" t="s">
        <v>4040</v>
      </c>
      <c r="B1906" s="2" t="s">
        <v>19</v>
      </c>
      <c r="C1906" s="2" t="s">
        <v>3245</v>
      </c>
      <c r="D1906" s="2" t="s">
        <v>21</v>
      </c>
      <c r="E1906" s="2" t="s">
        <v>180</v>
      </c>
      <c r="F1906" s="2">
        <v>6</v>
      </c>
      <c r="G1906" s="2">
        <v>30</v>
      </c>
      <c r="H1906" s="2">
        <v>1</v>
      </c>
      <c r="I1906" s="2">
        <v>1</v>
      </c>
      <c r="J1906" s="2">
        <v>0</v>
      </c>
      <c r="K1906" s="2" t="s">
        <v>61</v>
      </c>
      <c r="L1906" s="6" t="s">
        <v>62</v>
      </c>
      <c r="M1906" s="5">
        <v>410000000</v>
      </c>
      <c r="N1906" s="2">
        <v>0</v>
      </c>
      <c r="O1906" s="2">
        <v>4.6816199999999997</v>
      </c>
      <c r="P1906" s="2">
        <v>-74.047139999999999</v>
      </c>
      <c r="Q1906" s="2" t="s">
        <v>4041</v>
      </c>
      <c r="R1906" s="2">
        <v>13666666.67</v>
      </c>
      <c r="S1906" s="2">
        <v>0</v>
      </c>
      <c r="T1906" s="2" t="s">
        <v>55</v>
      </c>
      <c r="U1906" s="2" t="s">
        <v>56</v>
      </c>
      <c r="V1906" s="2" t="s">
        <v>28</v>
      </c>
      <c r="W1906" s="2" t="s">
        <v>55</v>
      </c>
      <c r="X1906" s="2" t="s">
        <v>57</v>
      </c>
      <c r="Y1906" s="2">
        <v>3.6974300751556402</v>
      </c>
      <c r="Z1906" s="2">
        <v>4.71035</v>
      </c>
      <c r="AA1906" s="2">
        <v>-74.030416666666696</v>
      </c>
      <c r="AB1906" s="2">
        <v>2570</v>
      </c>
      <c r="AC1906" s="2" t="s">
        <v>31</v>
      </c>
      <c r="AD1906" s="2" t="s">
        <v>58</v>
      </c>
      <c r="AE1906" s="2" t="s">
        <v>33</v>
      </c>
      <c r="AF1906" s="2" t="s">
        <v>34</v>
      </c>
      <c r="AG1906" s="2" t="s">
        <v>81</v>
      </c>
      <c r="AH1906" s="2">
        <v>1.20019307229707</v>
      </c>
      <c r="AI1906" s="2">
        <v>1.18883715800353</v>
      </c>
      <c r="AJ1906" s="2">
        <v>0.65498137780241705</v>
      </c>
      <c r="AK1906" s="2">
        <v>9.2125053842393195E-2</v>
      </c>
      <c r="AL1906" s="2">
        <v>0.92328563608887004</v>
      </c>
      <c r="AM1906" s="2">
        <v>15.5</v>
      </c>
      <c r="AN1906" s="2">
        <v>2.4</v>
      </c>
      <c r="AO1906" s="2">
        <v>10.9</v>
      </c>
      <c r="AP1906" s="2">
        <v>564</v>
      </c>
      <c r="AQ1906" s="2">
        <v>68</v>
      </c>
      <c r="AR1906" s="2">
        <v>1.5</v>
      </c>
      <c r="AS1906" s="2">
        <v>135</v>
      </c>
      <c r="AT1906" s="2">
        <v>0</v>
      </c>
      <c r="AU1906" s="2">
        <v>162</v>
      </c>
      <c r="AV1906" s="2">
        <v>9.1</v>
      </c>
      <c r="AW1906" s="2">
        <v>9.1999999999999993</v>
      </c>
      <c r="AX1906" s="2">
        <v>18.3</v>
      </c>
      <c r="AY1906" s="2">
        <v>0.34</v>
      </c>
      <c r="AZ1906" s="2">
        <v>7.3</v>
      </c>
      <c r="BA1906" s="2">
        <v>0.9</v>
      </c>
      <c r="BB1906" s="2">
        <v>7.5</v>
      </c>
      <c r="BC1906" s="2">
        <v>2.9</v>
      </c>
      <c r="BD1906" s="2">
        <f>+AN1906*EXP(-0.0495*Y1906)</f>
        <v>1.9985980277587974</v>
      </c>
      <c r="BE1906" s="2">
        <f>+AO1906*EXP(-0.024*Y1906)</f>
        <v>9.9744265004249044</v>
      </c>
    </row>
    <row r="1907" spans="1:57" x14ac:dyDescent="0.2">
      <c r="A1907" s="2" t="s">
        <v>777</v>
      </c>
      <c r="B1907" s="2" t="s">
        <v>19</v>
      </c>
      <c r="C1907" s="2" t="s">
        <v>20</v>
      </c>
      <c r="D1907" s="2" t="s">
        <v>21</v>
      </c>
      <c r="E1907" s="2" t="s">
        <v>177</v>
      </c>
      <c r="F1907" s="2">
        <v>6</v>
      </c>
      <c r="G1907" s="2">
        <v>30</v>
      </c>
      <c r="H1907" s="2">
        <v>1</v>
      </c>
      <c r="I1907" s="2">
        <v>1</v>
      </c>
      <c r="J1907" s="2">
        <v>1</v>
      </c>
      <c r="K1907" s="2" t="s">
        <v>61</v>
      </c>
      <c r="L1907" s="6" t="s">
        <v>62</v>
      </c>
      <c r="M1907" s="5">
        <v>420000000</v>
      </c>
      <c r="N1907" s="2">
        <v>0</v>
      </c>
      <c r="O1907" s="2">
        <v>4.6888860000000001</v>
      </c>
      <c r="P1907" s="2">
        <v>-74.041610000000006</v>
      </c>
      <c r="Q1907" s="2" t="s">
        <v>778</v>
      </c>
      <c r="R1907" s="2">
        <v>14000000</v>
      </c>
      <c r="S1907" s="2">
        <v>0</v>
      </c>
      <c r="T1907" s="2" t="s">
        <v>55</v>
      </c>
      <c r="U1907" s="2" t="s">
        <v>56</v>
      </c>
      <c r="V1907" s="2" t="s">
        <v>28</v>
      </c>
      <c r="W1907" s="2" t="s">
        <v>55</v>
      </c>
      <c r="X1907" s="2" t="s">
        <v>57</v>
      </c>
      <c r="Y1907" s="2">
        <v>2.692811235098</v>
      </c>
      <c r="Z1907" s="2">
        <v>4.71035</v>
      </c>
      <c r="AA1907" s="2">
        <v>-74.030416666666696</v>
      </c>
      <c r="AB1907" s="2">
        <v>2570</v>
      </c>
      <c r="AC1907" s="2" t="s">
        <v>31</v>
      </c>
      <c r="AD1907" s="2" t="s">
        <v>58</v>
      </c>
      <c r="AE1907" s="2" t="s">
        <v>33</v>
      </c>
      <c r="AF1907" s="2" t="s">
        <v>34</v>
      </c>
      <c r="AG1907" s="2" t="s">
        <v>59</v>
      </c>
      <c r="AH1907" s="2">
        <v>1.6780012466688401</v>
      </c>
      <c r="AI1907" s="2">
        <v>1.2755607094858099</v>
      </c>
      <c r="AJ1907" s="2">
        <v>0.76249044381227404</v>
      </c>
      <c r="AK1907" s="2">
        <v>0.27827109945364298</v>
      </c>
      <c r="AL1907" s="2">
        <v>6.5620508835930999E-2</v>
      </c>
      <c r="AM1907" s="2">
        <v>15.5</v>
      </c>
      <c r="AN1907" s="2">
        <v>2.4</v>
      </c>
      <c r="AO1907" s="2">
        <v>10.9</v>
      </c>
      <c r="AP1907" s="2">
        <v>564</v>
      </c>
      <c r="AQ1907" s="2">
        <v>68</v>
      </c>
      <c r="AR1907" s="2">
        <v>1.5</v>
      </c>
      <c r="AS1907" s="2">
        <v>135</v>
      </c>
      <c r="AT1907" s="2">
        <v>0</v>
      </c>
      <c r="AU1907" s="2">
        <v>162</v>
      </c>
      <c r="AV1907" s="2">
        <v>9.1</v>
      </c>
      <c r="AW1907" s="2">
        <v>9.1999999999999993</v>
      </c>
      <c r="AX1907" s="2">
        <v>18.3</v>
      </c>
      <c r="AY1907" s="2">
        <v>0.34</v>
      </c>
      <c r="AZ1907" s="2">
        <v>7.3</v>
      </c>
      <c r="BA1907" s="2">
        <v>0.9</v>
      </c>
      <c r="BB1907" s="2">
        <v>7.5</v>
      </c>
      <c r="BC1907" s="2">
        <v>2.9</v>
      </c>
      <c r="BD1907" s="2">
        <f>+AN1907*EXP(-0.0495*Y1907)</f>
        <v>2.1004982557229419</v>
      </c>
      <c r="BE1907" s="2">
        <f>+AO1907*EXP(-0.024*Y1907)</f>
        <v>10.217841097890112</v>
      </c>
    </row>
    <row r="1908" spans="1:57" x14ac:dyDescent="0.2">
      <c r="A1908" s="2" t="s">
        <v>3342</v>
      </c>
      <c r="B1908" s="2" t="s">
        <v>19</v>
      </c>
      <c r="C1908" s="2" t="s">
        <v>3245</v>
      </c>
      <c r="D1908" s="2" t="s">
        <v>21</v>
      </c>
      <c r="E1908" s="2" t="s">
        <v>321</v>
      </c>
      <c r="F1908" s="2">
        <v>4</v>
      </c>
      <c r="G1908" s="2">
        <v>30</v>
      </c>
      <c r="H1908" s="2">
        <v>1</v>
      </c>
      <c r="I1908" s="2">
        <v>1</v>
      </c>
      <c r="J1908" s="2">
        <v>0</v>
      </c>
      <c r="K1908" s="2" t="s">
        <v>61</v>
      </c>
      <c r="L1908" s="6" t="s">
        <v>62</v>
      </c>
      <c r="M1908" s="5">
        <v>245000000</v>
      </c>
      <c r="N1908" s="2">
        <v>0</v>
      </c>
      <c r="O1908" s="2">
        <v>4.7317323179999997</v>
      </c>
      <c r="P1908" s="2">
        <v>-74.022307710000007</v>
      </c>
      <c r="Q1908" s="2" t="s">
        <v>3343</v>
      </c>
      <c r="R1908" s="2">
        <v>8166666.6670000004</v>
      </c>
      <c r="S1908" s="2">
        <v>0</v>
      </c>
      <c r="T1908" s="2" t="s">
        <v>55</v>
      </c>
      <c r="U1908" s="2" t="s">
        <v>56</v>
      </c>
      <c r="V1908" s="2" t="s">
        <v>28</v>
      </c>
      <c r="W1908" s="2" t="s">
        <v>55</v>
      </c>
      <c r="X1908" s="2" t="s">
        <v>57</v>
      </c>
      <c r="Y1908" s="2">
        <v>2.5446020604132702</v>
      </c>
      <c r="Z1908" s="2">
        <v>4.71035</v>
      </c>
      <c r="AA1908" s="2">
        <v>-74.030416666666696</v>
      </c>
      <c r="AB1908" s="2">
        <v>2570</v>
      </c>
      <c r="AC1908" s="2" t="s">
        <v>31</v>
      </c>
      <c r="AD1908" s="2" t="s">
        <v>58</v>
      </c>
      <c r="AE1908" s="2" t="s">
        <v>33</v>
      </c>
      <c r="AF1908" s="2" t="s">
        <v>34</v>
      </c>
      <c r="AG1908" s="2" t="s">
        <v>59</v>
      </c>
      <c r="AH1908" s="2">
        <v>3.0011495978562501</v>
      </c>
      <c r="AI1908" s="2">
        <v>9.0422092883768707E-2</v>
      </c>
      <c r="AJ1908" s="2">
        <v>1.8012605592655</v>
      </c>
      <c r="AK1908" s="2">
        <v>0.25248867785946699</v>
      </c>
      <c r="AL1908" s="2">
        <v>0.20680978865952801</v>
      </c>
      <c r="AM1908" s="2">
        <v>15.5</v>
      </c>
      <c r="AN1908" s="2">
        <v>2.4</v>
      </c>
      <c r="AO1908" s="2">
        <v>10.9</v>
      </c>
      <c r="AP1908" s="2">
        <v>564</v>
      </c>
      <c r="AQ1908" s="2">
        <v>68</v>
      </c>
      <c r="AR1908" s="2">
        <v>1.5</v>
      </c>
      <c r="AS1908" s="2">
        <v>135</v>
      </c>
      <c r="AT1908" s="2">
        <v>0</v>
      </c>
      <c r="AU1908" s="2">
        <v>162</v>
      </c>
      <c r="AV1908" s="2">
        <v>9.1</v>
      </c>
      <c r="AW1908" s="2">
        <v>9.1999999999999993</v>
      </c>
      <c r="AX1908" s="2">
        <v>18.3</v>
      </c>
      <c r="AY1908" s="2">
        <v>0.34</v>
      </c>
      <c r="AZ1908" s="2">
        <v>7.3</v>
      </c>
      <c r="BA1908" s="2">
        <v>0.9</v>
      </c>
      <c r="BB1908" s="2">
        <v>7.5</v>
      </c>
      <c r="BC1908" s="2">
        <v>2.9</v>
      </c>
      <c r="BD1908" s="2">
        <f>+AN1908*EXP(-0.0495*Y1908)</f>
        <v>2.1159649199041879</v>
      </c>
      <c r="BE1908" s="2">
        <f>+AO1908*EXP(-0.024*Y1908)</f>
        <v>10.254250881777397</v>
      </c>
    </row>
    <row r="1909" spans="1:57" x14ac:dyDescent="0.2">
      <c r="A1909" s="2" t="s">
        <v>3568</v>
      </c>
      <c r="B1909" s="2" t="s">
        <v>19</v>
      </c>
      <c r="C1909" s="2" t="s">
        <v>3245</v>
      </c>
      <c r="D1909" s="2" t="s">
        <v>21</v>
      </c>
      <c r="E1909" s="2" t="s">
        <v>170</v>
      </c>
      <c r="F1909" s="2">
        <v>6</v>
      </c>
      <c r="G1909" s="2">
        <v>30</v>
      </c>
      <c r="H1909" s="2">
        <v>1</v>
      </c>
      <c r="I1909" s="2">
        <v>1</v>
      </c>
      <c r="J1909" s="2">
        <v>0</v>
      </c>
      <c r="K1909" s="2" t="s">
        <v>61</v>
      </c>
      <c r="L1909" s="6" t="s">
        <v>62</v>
      </c>
      <c r="M1909" s="5">
        <v>220000000</v>
      </c>
      <c r="N1909" s="2">
        <v>0</v>
      </c>
      <c r="O1909" s="2">
        <v>4.7317781449999998</v>
      </c>
      <c r="P1909" s="2">
        <v>-74.022499080000003</v>
      </c>
      <c r="Q1909" s="2" t="s">
        <v>3569</v>
      </c>
      <c r="R1909" s="2">
        <v>7333333.3329999996</v>
      </c>
      <c r="S1909" s="2">
        <v>0</v>
      </c>
      <c r="T1909" s="2" t="s">
        <v>55</v>
      </c>
      <c r="U1909" s="2" t="s">
        <v>56</v>
      </c>
      <c r="V1909" s="2" t="s">
        <v>28</v>
      </c>
      <c r="W1909" s="2" t="s">
        <v>55</v>
      </c>
      <c r="X1909" s="2" t="s">
        <v>57</v>
      </c>
      <c r="Y1909" s="2">
        <v>2.54196032945053</v>
      </c>
      <c r="Z1909" s="2">
        <v>4.71035</v>
      </c>
      <c r="AA1909" s="2">
        <v>-74.030416666666696</v>
      </c>
      <c r="AB1909" s="2">
        <v>2570</v>
      </c>
      <c r="AC1909" s="2" t="s">
        <v>31</v>
      </c>
      <c r="AD1909" s="2" t="s">
        <v>58</v>
      </c>
      <c r="AE1909" s="2" t="s">
        <v>33</v>
      </c>
      <c r="AF1909" s="2" t="s">
        <v>34</v>
      </c>
      <c r="AG1909" s="2" t="s">
        <v>59</v>
      </c>
      <c r="AH1909" s="2">
        <v>2.9795184107983501</v>
      </c>
      <c r="AI1909" s="2">
        <v>0.105139987549831</v>
      </c>
      <c r="AJ1909" s="2">
        <v>1.7901333957296</v>
      </c>
      <c r="AK1909" s="2">
        <v>0.232151677575855</v>
      </c>
      <c r="AL1909" s="2">
        <v>0.185921151547154</v>
      </c>
      <c r="AM1909" s="2">
        <v>15.5</v>
      </c>
      <c r="AN1909" s="2">
        <v>2.4</v>
      </c>
      <c r="AO1909" s="2">
        <v>10.9</v>
      </c>
      <c r="AP1909" s="2">
        <v>564</v>
      </c>
      <c r="AQ1909" s="2">
        <v>68</v>
      </c>
      <c r="AR1909" s="2">
        <v>1.5</v>
      </c>
      <c r="AS1909" s="2">
        <v>135</v>
      </c>
      <c r="AT1909" s="2">
        <v>0</v>
      </c>
      <c r="AU1909" s="2">
        <v>162</v>
      </c>
      <c r="AV1909" s="2">
        <v>9.1</v>
      </c>
      <c r="AW1909" s="2">
        <v>9.1999999999999993</v>
      </c>
      <c r="AX1909" s="2">
        <v>18.3</v>
      </c>
      <c r="AY1909" s="2">
        <v>0.34</v>
      </c>
      <c r="AZ1909" s="2">
        <v>7.3</v>
      </c>
      <c r="BA1909" s="2">
        <v>0.9</v>
      </c>
      <c r="BB1909" s="2">
        <v>7.5</v>
      </c>
      <c r="BC1909" s="2">
        <v>2.9</v>
      </c>
      <c r="BD1909" s="2">
        <f>+AN1909*EXP(-0.0495*Y1909)</f>
        <v>2.1162416335933476</v>
      </c>
      <c r="BE1909" s="2">
        <f>+AO1909*EXP(-0.024*Y1909)</f>
        <v>10.254901037716921</v>
      </c>
    </row>
    <row r="1910" spans="1:57" x14ac:dyDescent="0.2">
      <c r="A1910" s="2" t="s">
        <v>4221</v>
      </c>
      <c r="B1910" s="2" t="s">
        <v>19</v>
      </c>
      <c r="C1910" s="2" t="s">
        <v>3245</v>
      </c>
      <c r="D1910" s="2" t="s">
        <v>21</v>
      </c>
      <c r="E1910" s="2" t="s">
        <v>4222</v>
      </c>
      <c r="F1910" s="2">
        <v>4</v>
      </c>
      <c r="G1910" s="2">
        <v>30</v>
      </c>
      <c r="H1910" s="2">
        <v>1</v>
      </c>
      <c r="I1910" s="2">
        <v>1</v>
      </c>
      <c r="J1910" s="2">
        <v>0</v>
      </c>
      <c r="K1910" s="2" t="s">
        <v>61</v>
      </c>
      <c r="L1910" s="6" t="s">
        <v>62</v>
      </c>
      <c r="M1910" s="5">
        <v>240000000</v>
      </c>
      <c r="N1910" s="2">
        <v>0</v>
      </c>
      <c r="O1910" s="2">
        <v>4.7315499000000001</v>
      </c>
      <c r="P1910" s="2">
        <v>-74.022604799999996</v>
      </c>
      <c r="Q1910" s="2" t="s">
        <v>4223</v>
      </c>
      <c r="R1910" s="2">
        <v>8000000</v>
      </c>
      <c r="S1910" s="2">
        <v>0</v>
      </c>
      <c r="T1910" s="2" t="s">
        <v>55</v>
      </c>
      <c r="U1910" s="2" t="s">
        <v>56</v>
      </c>
      <c r="V1910" s="2" t="s">
        <v>28</v>
      </c>
      <c r="W1910" s="2" t="s">
        <v>55</v>
      </c>
      <c r="X1910" s="2" t="s">
        <v>57</v>
      </c>
      <c r="Y1910" s="2">
        <v>2.51406548710401</v>
      </c>
      <c r="Z1910" s="2">
        <v>4.71035</v>
      </c>
      <c r="AA1910" s="2">
        <v>-74.030416666666696</v>
      </c>
      <c r="AB1910" s="2">
        <v>2570</v>
      </c>
      <c r="AC1910" s="2" t="s">
        <v>31</v>
      </c>
      <c r="AD1910" s="2" t="s">
        <v>58</v>
      </c>
      <c r="AE1910" s="2" t="s">
        <v>33</v>
      </c>
      <c r="AF1910" s="2" t="s">
        <v>34</v>
      </c>
      <c r="AG1910" s="2" t="s">
        <v>59</v>
      </c>
      <c r="AH1910" s="2">
        <v>2.9706072235857599</v>
      </c>
      <c r="AI1910" s="2">
        <v>0.11770180254054299</v>
      </c>
      <c r="AJ1910" s="2">
        <v>1.81094040492997</v>
      </c>
      <c r="AK1910" s="2">
        <v>0.23886375166889701</v>
      </c>
      <c r="AL1910" s="2">
        <v>0.17405976493016201</v>
      </c>
      <c r="AM1910" s="2">
        <v>15.5</v>
      </c>
      <c r="AN1910" s="2">
        <v>2.4</v>
      </c>
      <c r="AO1910" s="2">
        <v>10.9</v>
      </c>
      <c r="AP1910" s="2">
        <v>564</v>
      </c>
      <c r="AQ1910" s="2">
        <v>68</v>
      </c>
      <c r="AR1910" s="2">
        <v>1.5</v>
      </c>
      <c r="AS1910" s="2">
        <v>135</v>
      </c>
      <c r="AT1910" s="2">
        <v>0</v>
      </c>
      <c r="AU1910" s="2">
        <v>162</v>
      </c>
      <c r="AV1910" s="2">
        <v>9.1</v>
      </c>
      <c r="AW1910" s="2">
        <v>9.1999999999999993</v>
      </c>
      <c r="AX1910" s="2">
        <v>18.3</v>
      </c>
      <c r="AY1910" s="2">
        <v>0.34</v>
      </c>
      <c r="AZ1910" s="2">
        <v>7.3</v>
      </c>
      <c r="BA1910" s="2">
        <v>0.9</v>
      </c>
      <c r="BB1910" s="2">
        <v>7.5</v>
      </c>
      <c r="BC1910" s="2">
        <v>2.9</v>
      </c>
      <c r="BD1910" s="2">
        <f>+AN1910*EXP(-0.0495*Y1910)</f>
        <v>2.1191657471524463</v>
      </c>
      <c r="BE1910" s="2">
        <f>+AO1910*EXP(-0.024*Y1910)</f>
        <v>10.261768748690423</v>
      </c>
    </row>
    <row r="1911" spans="1:57" x14ac:dyDescent="0.2">
      <c r="A1911" s="2" t="s">
        <v>4520</v>
      </c>
      <c r="B1911" s="2" t="s">
        <v>19</v>
      </c>
      <c r="C1911" s="2" t="s">
        <v>3245</v>
      </c>
      <c r="D1911" s="2" t="s">
        <v>21</v>
      </c>
      <c r="E1911" s="2" t="s">
        <v>2243</v>
      </c>
      <c r="F1911" s="2">
        <v>4</v>
      </c>
      <c r="G1911" s="2">
        <v>30</v>
      </c>
      <c r="H1911" s="2">
        <v>1</v>
      </c>
      <c r="I1911" s="2">
        <v>1</v>
      </c>
      <c r="J1911" s="2">
        <v>1</v>
      </c>
      <c r="K1911" s="2" t="s">
        <v>61</v>
      </c>
      <c r="L1911" s="6" t="s">
        <v>62</v>
      </c>
      <c r="M1911" s="5">
        <v>230000000</v>
      </c>
      <c r="N1911" s="2">
        <v>0</v>
      </c>
      <c r="O1911" s="2">
        <v>4.7313000000000001</v>
      </c>
      <c r="P1911" s="2">
        <v>-74.023219999999995</v>
      </c>
      <c r="Q1911" s="2" t="s">
        <v>4521</v>
      </c>
      <c r="R1911" s="2">
        <v>7666666.6670000004</v>
      </c>
      <c r="S1911" s="2">
        <v>0</v>
      </c>
      <c r="T1911" s="2" t="s">
        <v>55</v>
      </c>
      <c r="U1911" s="2" t="s">
        <v>56</v>
      </c>
      <c r="V1911" s="2" t="s">
        <v>28</v>
      </c>
      <c r="W1911" s="2" t="s">
        <v>55</v>
      </c>
      <c r="X1911" s="2" t="s">
        <v>57</v>
      </c>
      <c r="Y1911" s="2">
        <v>2.4650260421176302</v>
      </c>
      <c r="Z1911" s="2">
        <v>4.71035</v>
      </c>
      <c r="AA1911" s="2">
        <v>-74.030416666666696</v>
      </c>
      <c r="AB1911" s="2">
        <v>2570</v>
      </c>
      <c r="AC1911" s="2" t="s">
        <v>31</v>
      </c>
      <c r="AD1911" s="2" t="s">
        <v>58</v>
      </c>
      <c r="AE1911" s="2" t="s">
        <v>33</v>
      </c>
      <c r="AF1911" s="2" t="s">
        <v>34</v>
      </c>
      <c r="AG1911" s="2" t="s">
        <v>59</v>
      </c>
      <c r="AH1911" s="2">
        <v>2.9061713715426101</v>
      </c>
      <c r="AI1911" s="2">
        <v>0.185712414394894</v>
      </c>
      <c r="AJ1911" s="2">
        <v>1.81970185697041</v>
      </c>
      <c r="AK1911" s="2">
        <v>0.217179238185951</v>
      </c>
      <c r="AL1911" s="2">
        <v>0.11246448652397301</v>
      </c>
      <c r="AM1911" s="2">
        <v>15.5</v>
      </c>
      <c r="AN1911" s="2">
        <v>2.4</v>
      </c>
      <c r="AO1911" s="2">
        <v>10.9</v>
      </c>
      <c r="AP1911" s="2">
        <v>564</v>
      </c>
      <c r="AQ1911" s="2">
        <v>68</v>
      </c>
      <c r="AR1911" s="2">
        <v>1.5</v>
      </c>
      <c r="AS1911" s="2">
        <v>135</v>
      </c>
      <c r="AT1911" s="2">
        <v>0</v>
      </c>
      <c r="AU1911" s="2">
        <v>162</v>
      </c>
      <c r="AV1911" s="2">
        <v>9.1</v>
      </c>
      <c r="AW1911" s="2">
        <v>9.1999999999999993</v>
      </c>
      <c r="AX1911" s="2">
        <v>18.3</v>
      </c>
      <c r="AY1911" s="2">
        <v>0.34</v>
      </c>
      <c r="AZ1911" s="2">
        <v>7.3</v>
      </c>
      <c r="BA1911" s="2">
        <v>0.9</v>
      </c>
      <c r="BB1911" s="2">
        <v>7.5</v>
      </c>
      <c r="BC1911" s="2">
        <v>2.9</v>
      </c>
      <c r="BD1911" s="2">
        <f>+AN1911*EXP(-0.0495*Y1911)</f>
        <v>2.1243161700746191</v>
      </c>
      <c r="BE1911" s="2">
        <f>+AO1911*EXP(-0.024*Y1911)</f>
        <v>10.273853413454827</v>
      </c>
    </row>
    <row r="1912" spans="1:57" x14ac:dyDescent="0.2">
      <c r="A1912" s="2" t="s">
        <v>1840</v>
      </c>
      <c r="B1912" s="2" t="s">
        <v>19</v>
      </c>
      <c r="C1912" s="2" t="s">
        <v>20</v>
      </c>
      <c r="D1912" s="2" t="s">
        <v>21</v>
      </c>
      <c r="E1912" s="2" t="s">
        <v>53</v>
      </c>
      <c r="F1912" s="2">
        <v>5</v>
      </c>
      <c r="G1912" s="2">
        <v>30</v>
      </c>
      <c r="H1912" s="2">
        <v>1</v>
      </c>
      <c r="I1912" s="2">
        <v>1</v>
      </c>
      <c r="J1912" s="2">
        <v>1</v>
      </c>
      <c r="K1912" s="2" t="s">
        <v>61</v>
      </c>
      <c r="L1912" s="6" t="s">
        <v>84</v>
      </c>
      <c r="M1912" s="5">
        <v>415000000</v>
      </c>
      <c r="N1912" s="2">
        <v>0</v>
      </c>
      <c r="O1912" s="2">
        <v>4.6974999999999998</v>
      </c>
      <c r="P1912" s="2">
        <v>-74.041409999999999</v>
      </c>
      <c r="Q1912" s="2" t="s">
        <v>1841</v>
      </c>
      <c r="R1912" s="2">
        <v>13833333.33</v>
      </c>
      <c r="S1912" s="2">
        <v>0</v>
      </c>
      <c r="T1912" s="2" t="s">
        <v>55</v>
      </c>
      <c r="U1912" s="2" t="s">
        <v>56</v>
      </c>
      <c r="V1912" s="2" t="s">
        <v>28</v>
      </c>
      <c r="W1912" s="2" t="s">
        <v>55</v>
      </c>
      <c r="X1912" s="2" t="s">
        <v>57</v>
      </c>
      <c r="Y1912" s="2">
        <v>1.8798270452232499</v>
      </c>
      <c r="Z1912" s="2">
        <v>4.71035</v>
      </c>
      <c r="AA1912" s="2">
        <v>-74.030416666666696</v>
      </c>
      <c r="AB1912" s="2">
        <v>2570</v>
      </c>
      <c r="AC1912" s="2" t="s">
        <v>31</v>
      </c>
      <c r="AD1912" s="2" t="s">
        <v>58</v>
      </c>
      <c r="AE1912" s="2" t="s">
        <v>33</v>
      </c>
      <c r="AF1912" s="2" t="s">
        <v>34</v>
      </c>
      <c r="AG1912" s="2" t="s">
        <v>59</v>
      </c>
      <c r="AH1912" s="2">
        <v>1.5426248557867299</v>
      </c>
      <c r="AI1912" s="2">
        <v>1.72311195651267</v>
      </c>
      <c r="AJ1912" s="2">
        <v>1.0449798793457299</v>
      </c>
      <c r="AK1912" s="2">
        <v>0.13868346002323001</v>
      </c>
      <c r="AL1912" s="2">
        <v>0.13913018548756401</v>
      </c>
      <c r="AM1912" s="2">
        <v>15.5</v>
      </c>
      <c r="AN1912" s="2">
        <v>2.4</v>
      </c>
      <c r="AO1912" s="2">
        <v>10.9</v>
      </c>
      <c r="AP1912" s="2">
        <v>564</v>
      </c>
      <c r="AQ1912" s="2">
        <v>68</v>
      </c>
      <c r="AR1912" s="2">
        <v>1.5</v>
      </c>
      <c r="AS1912" s="2">
        <v>135</v>
      </c>
      <c r="AT1912" s="2">
        <v>0</v>
      </c>
      <c r="AU1912" s="2">
        <v>162</v>
      </c>
      <c r="AV1912" s="2">
        <v>9.1</v>
      </c>
      <c r="AW1912" s="2">
        <v>9.1999999999999993</v>
      </c>
      <c r="AX1912" s="2">
        <v>18.3</v>
      </c>
      <c r="AY1912" s="2">
        <v>0.34</v>
      </c>
      <c r="AZ1912" s="2">
        <v>7.3</v>
      </c>
      <c r="BA1912" s="2">
        <v>0.9</v>
      </c>
      <c r="BB1912" s="2">
        <v>7.5</v>
      </c>
      <c r="BC1912" s="2">
        <v>2.9</v>
      </c>
      <c r="BD1912" s="2">
        <f>+AN1912*EXP(-0.0495*Y1912)</f>
        <v>2.1867519140576936</v>
      </c>
      <c r="BE1912" s="2">
        <f>+AO1912*EXP(-0.024*Y1912)</f>
        <v>10.419165431274818</v>
      </c>
    </row>
    <row r="1913" spans="1:57" x14ac:dyDescent="0.2">
      <c r="A1913" s="2" t="s">
        <v>3962</v>
      </c>
      <c r="B1913" s="2" t="s">
        <v>19</v>
      </c>
      <c r="C1913" s="2" t="s">
        <v>3245</v>
      </c>
      <c r="D1913" s="2" t="s">
        <v>21</v>
      </c>
      <c r="E1913" s="2" t="s">
        <v>164</v>
      </c>
      <c r="F1913" s="2">
        <v>6</v>
      </c>
      <c r="G1913" s="2">
        <v>30</v>
      </c>
      <c r="H1913" s="2">
        <v>1</v>
      </c>
      <c r="I1913" s="2">
        <v>1</v>
      </c>
      <c r="J1913" s="2">
        <v>1</v>
      </c>
      <c r="K1913" s="2" t="s">
        <v>61</v>
      </c>
      <c r="L1913" s="6" t="s">
        <v>75</v>
      </c>
      <c r="M1913" s="5">
        <v>315000000</v>
      </c>
      <c r="N1913" s="2">
        <v>0</v>
      </c>
      <c r="O1913" s="2">
        <v>4.6963934900000002</v>
      </c>
      <c r="P1913" s="2">
        <v>-74.039695739999999</v>
      </c>
      <c r="Q1913" s="2" t="s">
        <v>3963</v>
      </c>
      <c r="R1913" s="2">
        <v>10500000</v>
      </c>
      <c r="S1913" s="2">
        <v>0</v>
      </c>
      <c r="T1913" s="2" t="s">
        <v>55</v>
      </c>
      <c r="U1913" s="2" t="s">
        <v>56</v>
      </c>
      <c r="V1913" s="2" t="s">
        <v>28</v>
      </c>
      <c r="W1913" s="2" t="s">
        <v>55</v>
      </c>
      <c r="X1913" s="2" t="s">
        <v>57</v>
      </c>
      <c r="Y1913" s="2">
        <v>1.8637504916774901</v>
      </c>
      <c r="Z1913" s="2">
        <v>4.71035</v>
      </c>
      <c r="AA1913" s="2">
        <v>-74.030416666666696</v>
      </c>
      <c r="AB1913" s="2">
        <v>2570</v>
      </c>
      <c r="AC1913" s="2" t="s">
        <v>31</v>
      </c>
      <c r="AD1913" s="2" t="s">
        <v>58</v>
      </c>
      <c r="AE1913" s="2" t="s">
        <v>33</v>
      </c>
      <c r="AF1913" s="2" t="s">
        <v>34</v>
      </c>
      <c r="AG1913" s="2" t="s">
        <v>59</v>
      </c>
      <c r="AH1913" s="2">
        <v>1.74170913261755</v>
      </c>
      <c r="AI1913" s="2">
        <v>1.5383692377937299</v>
      </c>
      <c r="AJ1913" s="2">
        <v>0.97002313966184694</v>
      </c>
      <c r="AK1913" s="2">
        <v>0.120095682751647</v>
      </c>
      <c r="AL1913" s="2">
        <v>3.0124725053893402E-2</v>
      </c>
      <c r="AM1913" s="2">
        <v>15.5</v>
      </c>
      <c r="AN1913" s="2">
        <v>2.4</v>
      </c>
      <c r="AO1913" s="2">
        <v>10.9</v>
      </c>
      <c r="AP1913" s="2">
        <v>564</v>
      </c>
      <c r="AQ1913" s="2">
        <v>68</v>
      </c>
      <c r="AR1913" s="2">
        <v>1.5</v>
      </c>
      <c r="AS1913" s="2">
        <v>135</v>
      </c>
      <c r="AT1913" s="2">
        <v>0</v>
      </c>
      <c r="AU1913" s="2">
        <v>162</v>
      </c>
      <c r="AV1913" s="2">
        <v>9.1</v>
      </c>
      <c r="AW1913" s="2">
        <v>9.1999999999999993</v>
      </c>
      <c r="AX1913" s="2">
        <v>18.3</v>
      </c>
      <c r="AY1913" s="2">
        <v>0.34</v>
      </c>
      <c r="AZ1913" s="2">
        <v>7.3</v>
      </c>
      <c r="BA1913" s="2">
        <v>0.9</v>
      </c>
      <c r="BB1913" s="2">
        <v>7.5</v>
      </c>
      <c r="BC1913" s="2">
        <v>2.9</v>
      </c>
      <c r="BD1913" s="2">
        <f>+AN1913*EXP(-0.0495*Y1913)</f>
        <v>2.188492800650133</v>
      </c>
      <c r="BE1913" s="2">
        <f>+AO1913*EXP(-0.024*Y1913)</f>
        <v>10.423186309430283</v>
      </c>
    </row>
    <row r="1914" spans="1:57" x14ac:dyDescent="0.2">
      <c r="A1914" s="2" t="s">
        <v>3451</v>
      </c>
      <c r="B1914" s="2" t="s">
        <v>19</v>
      </c>
      <c r="C1914" s="2" t="s">
        <v>3245</v>
      </c>
      <c r="D1914" s="2" t="s">
        <v>21</v>
      </c>
      <c r="E1914" s="2" t="s">
        <v>81</v>
      </c>
      <c r="F1914" s="2">
        <v>4</v>
      </c>
      <c r="G1914" s="2">
        <v>29.5</v>
      </c>
      <c r="H1914" s="2">
        <v>1</v>
      </c>
      <c r="I1914" s="2">
        <v>1</v>
      </c>
      <c r="J1914" s="2">
        <v>0</v>
      </c>
      <c r="K1914" s="2" t="s">
        <v>61</v>
      </c>
      <c r="L1914" s="6" t="s">
        <v>62</v>
      </c>
      <c r="M1914" s="5">
        <v>295000000</v>
      </c>
      <c r="N1914" s="2">
        <v>0</v>
      </c>
      <c r="O1914" s="2">
        <v>4.7239965000000002</v>
      </c>
      <c r="P1914" s="2">
        <v>-74.037540000000007</v>
      </c>
      <c r="Q1914" s="2" t="s">
        <v>3452</v>
      </c>
      <c r="R1914" s="2">
        <v>10000000</v>
      </c>
      <c r="S1914" s="2">
        <v>0</v>
      </c>
      <c r="T1914" s="2" t="s">
        <v>55</v>
      </c>
      <c r="U1914" s="2" t="s">
        <v>56</v>
      </c>
      <c r="V1914" s="2" t="s">
        <v>28</v>
      </c>
      <c r="W1914" s="2" t="s">
        <v>55</v>
      </c>
      <c r="X1914" s="2" t="s">
        <v>57</v>
      </c>
      <c r="Y1914" s="2">
        <v>1.71238787275652</v>
      </c>
      <c r="Z1914" s="2">
        <v>4.71035</v>
      </c>
      <c r="AA1914" s="2">
        <v>-74.030416666666696</v>
      </c>
      <c r="AB1914" s="2">
        <v>2570</v>
      </c>
      <c r="AC1914" s="2" t="s">
        <v>31</v>
      </c>
      <c r="AD1914" s="2" t="s">
        <v>58</v>
      </c>
      <c r="AE1914" s="2" t="s">
        <v>33</v>
      </c>
      <c r="AF1914" s="2" t="s">
        <v>34</v>
      </c>
      <c r="AG1914" s="2" t="s">
        <v>59</v>
      </c>
      <c r="AH1914" s="2">
        <v>1.4714764570483001</v>
      </c>
      <c r="AI1914" s="2">
        <v>1.62073392617005</v>
      </c>
      <c r="AJ1914" s="2">
        <v>1.0185295898990201</v>
      </c>
      <c r="AK1914" s="2">
        <v>0.47703354267353099</v>
      </c>
      <c r="AL1914" s="2">
        <v>7.4246388033248706E-2</v>
      </c>
      <c r="AM1914" s="2">
        <v>15.5</v>
      </c>
      <c r="AN1914" s="2">
        <v>2.4</v>
      </c>
      <c r="AO1914" s="2">
        <v>10.9</v>
      </c>
      <c r="AP1914" s="2">
        <v>564</v>
      </c>
      <c r="AQ1914" s="2">
        <v>68</v>
      </c>
      <c r="AR1914" s="2">
        <v>1.5</v>
      </c>
      <c r="AS1914" s="2">
        <v>135</v>
      </c>
      <c r="AT1914" s="2">
        <v>0</v>
      </c>
      <c r="AU1914" s="2">
        <v>162</v>
      </c>
      <c r="AV1914" s="2">
        <v>9.1</v>
      </c>
      <c r="AW1914" s="2">
        <v>9.1999999999999993</v>
      </c>
      <c r="AX1914" s="2">
        <v>18.3</v>
      </c>
      <c r="AY1914" s="2">
        <v>0.34</v>
      </c>
      <c r="AZ1914" s="2">
        <v>7.3</v>
      </c>
      <c r="BA1914" s="2">
        <v>0.9</v>
      </c>
      <c r="BB1914" s="2">
        <v>7.5</v>
      </c>
      <c r="BC1914" s="2">
        <v>2.9</v>
      </c>
      <c r="BD1914" s="2">
        <f>+AN1914*EXP(-0.0495*Y1914)</f>
        <v>2.2049515539339946</v>
      </c>
      <c r="BE1914" s="2">
        <f>+AO1914*EXP(-0.024*Y1914)</f>
        <v>10.461119506386286</v>
      </c>
    </row>
    <row r="1915" spans="1:57" x14ac:dyDescent="0.2">
      <c r="A1915" s="2" t="s">
        <v>3884</v>
      </c>
      <c r="B1915" s="2" t="s">
        <v>19</v>
      </c>
      <c r="C1915" s="2" t="s">
        <v>3245</v>
      </c>
      <c r="D1915" s="2" t="s">
        <v>21</v>
      </c>
      <c r="E1915" s="2" t="s">
        <v>213</v>
      </c>
      <c r="F1915" s="2">
        <v>5</v>
      </c>
      <c r="G1915" s="2">
        <v>29.18</v>
      </c>
      <c r="H1915" s="2">
        <v>1</v>
      </c>
      <c r="I1915" s="2">
        <v>1</v>
      </c>
      <c r="J1915" s="2">
        <v>1</v>
      </c>
      <c r="K1915" s="2" t="s">
        <v>61</v>
      </c>
      <c r="L1915" s="6" t="s">
        <v>62</v>
      </c>
      <c r="M1915" s="5">
        <v>380000000</v>
      </c>
      <c r="N1915" s="2">
        <v>0</v>
      </c>
      <c r="O1915" s="2">
        <v>4.7081626999999999</v>
      </c>
      <c r="P1915" s="2">
        <v>-74.031427899999997</v>
      </c>
      <c r="Q1915" s="2" t="s">
        <v>3885</v>
      </c>
      <c r="R1915" s="2">
        <v>13022618.23</v>
      </c>
      <c r="S1915" s="2">
        <v>0</v>
      </c>
      <c r="T1915" s="2" t="s">
        <v>55</v>
      </c>
      <c r="U1915" s="2" t="s">
        <v>56</v>
      </c>
      <c r="V1915" s="2" t="s">
        <v>28</v>
      </c>
      <c r="W1915" s="2" t="s">
        <v>55</v>
      </c>
      <c r="X1915" s="2" t="s">
        <v>57</v>
      </c>
      <c r="Y1915" s="2">
        <v>0.268092408504149</v>
      </c>
      <c r="Z1915" s="2">
        <v>4.71035</v>
      </c>
      <c r="AA1915" s="2">
        <v>-74.030416666666696</v>
      </c>
      <c r="AB1915" s="2">
        <v>2570</v>
      </c>
      <c r="AC1915" s="2" t="s">
        <v>31</v>
      </c>
      <c r="AD1915" s="2" t="s">
        <v>58</v>
      </c>
      <c r="AE1915" s="2" t="s">
        <v>33</v>
      </c>
      <c r="AF1915" s="2" t="s">
        <v>34</v>
      </c>
      <c r="AG1915" s="2" t="s">
        <v>59</v>
      </c>
      <c r="AH1915" s="2">
        <v>2.44713607405739</v>
      </c>
      <c r="AI1915" s="2">
        <v>0.71423104424506401</v>
      </c>
      <c r="AJ1915" s="2">
        <v>0.32194808016231002</v>
      </c>
      <c r="AK1915" s="2">
        <v>0.269855200129481</v>
      </c>
      <c r="AL1915" s="2">
        <v>0.20474179692008401</v>
      </c>
      <c r="AM1915" s="2">
        <v>15.5</v>
      </c>
      <c r="AN1915" s="2">
        <v>2.4</v>
      </c>
      <c r="AO1915" s="2">
        <v>10.9</v>
      </c>
      <c r="AP1915" s="2">
        <v>564</v>
      </c>
      <c r="AQ1915" s="2">
        <v>68</v>
      </c>
      <c r="AR1915" s="2">
        <v>1.5</v>
      </c>
      <c r="AS1915" s="2">
        <v>135</v>
      </c>
      <c r="AT1915" s="2">
        <v>0</v>
      </c>
      <c r="AU1915" s="2">
        <v>162</v>
      </c>
      <c r="AV1915" s="2">
        <v>9.1</v>
      </c>
      <c r="AW1915" s="2">
        <v>9.1999999999999993</v>
      </c>
      <c r="AX1915" s="2">
        <v>18.3</v>
      </c>
      <c r="AY1915" s="2">
        <v>0.34</v>
      </c>
      <c r="AZ1915" s="2">
        <v>7.3</v>
      </c>
      <c r="BA1915" s="2">
        <v>0.9</v>
      </c>
      <c r="BB1915" s="2">
        <v>7.5</v>
      </c>
      <c r="BC1915" s="2">
        <v>2.9</v>
      </c>
      <c r="BD1915" s="2">
        <f>+AN1915*EXP(-0.0495*Y1915)</f>
        <v>2.3683610199086282</v>
      </c>
      <c r="BE1915" s="2">
        <f>+AO1915*EXP(-0.024*Y1915)</f>
        <v>10.83009216822021</v>
      </c>
    </row>
    <row r="1916" spans="1:57" x14ac:dyDescent="0.2">
      <c r="A1916" s="2" t="s">
        <v>3892</v>
      </c>
      <c r="B1916" s="2" t="s">
        <v>19</v>
      </c>
      <c r="C1916" s="2" t="s">
        <v>3245</v>
      </c>
      <c r="D1916" s="2" t="s">
        <v>21</v>
      </c>
      <c r="E1916" s="2" t="s">
        <v>3893</v>
      </c>
      <c r="F1916" s="2">
        <v>5</v>
      </c>
      <c r="G1916" s="2">
        <v>29</v>
      </c>
      <c r="H1916" s="2">
        <v>1</v>
      </c>
      <c r="I1916" s="2">
        <v>1</v>
      </c>
      <c r="J1916" s="2">
        <v>0</v>
      </c>
      <c r="K1916" s="2" t="s">
        <v>61</v>
      </c>
      <c r="L1916" s="6" t="s">
        <v>75</v>
      </c>
      <c r="M1916" s="5">
        <v>250000000</v>
      </c>
      <c r="N1916" s="2">
        <v>0</v>
      </c>
      <c r="O1916" s="2">
        <v>4.6925186999999999</v>
      </c>
      <c r="P1916" s="2">
        <v>-74.062584000000001</v>
      </c>
      <c r="Q1916" s="2" t="s">
        <v>3894</v>
      </c>
      <c r="R1916" s="2">
        <v>8620689.6549999993</v>
      </c>
      <c r="S1916" s="2">
        <v>0</v>
      </c>
      <c r="T1916" s="2" t="s">
        <v>55</v>
      </c>
      <c r="U1916" s="2" t="s">
        <v>56</v>
      </c>
      <c r="V1916" s="2" t="s">
        <v>28</v>
      </c>
      <c r="W1916" s="2" t="s">
        <v>55</v>
      </c>
      <c r="X1916" s="2" t="s">
        <v>57</v>
      </c>
      <c r="Y1916" s="2">
        <v>4.0836826699688098</v>
      </c>
      <c r="Z1916" s="2">
        <v>4.71035</v>
      </c>
      <c r="AA1916" s="2">
        <v>-74.030416666666696</v>
      </c>
      <c r="AB1916" s="2">
        <v>2570</v>
      </c>
      <c r="AC1916" s="2" t="s">
        <v>31</v>
      </c>
      <c r="AD1916" s="2" t="s">
        <v>58</v>
      </c>
      <c r="AE1916" s="2" t="s">
        <v>33</v>
      </c>
      <c r="AF1916" s="2" t="s">
        <v>34</v>
      </c>
      <c r="AG1916" s="2" t="s">
        <v>72</v>
      </c>
      <c r="AH1916" s="2">
        <v>0.52197040801986505</v>
      </c>
      <c r="AI1916" s="2">
        <v>3.2750073295976998</v>
      </c>
      <c r="AJ1916" s="2">
        <v>0.97511510340173702</v>
      </c>
      <c r="AK1916" s="2">
        <v>9.65231706738328E-2</v>
      </c>
      <c r="AL1916" s="2">
        <v>8.7896968583359106E-3</v>
      </c>
      <c r="AM1916" s="2">
        <v>15.5</v>
      </c>
      <c r="AN1916" s="2">
        <v>2.4</v>
      </c>
      <c r="AO1916" s="2">
        <v>10.9</v>
      </c>
      <c r="AP1916" s="2">
        <v>564</v>
      </c>
      <c r="AQ1916" s="2">
        <v>68</v>
      </c>
      <c r="AR1916" s="2">
        <v>1.5</v>
      </c>
      <c r="AS1916" s="2">
        <v>135</v>
      </c>
      <c r="AT1916" s="2">
        <v>0</v>
      </c>
      <c r="AU1916" s="2">
        <v>162</v>
      </c>
      <c r="AV1916" s="2">
        <v>9.1</v>
      </c>
      <c r="AW1916" s="2">
        <v>9.1999999999999993</v>
      </c>
      <c r="AX1916" s="2">
        <v>18.3</v>
      </c>
      <c r="AY1916" s="2">
        <v>0.34</v>
      </c>
      <c r="AZ1916" s="2">
        <v>7.3</v>
      </c>
      <c r="BA1916" s="2">
        <v>0.9</v>
      </c>
      <c r="BB1916" s="2">
        <v>7.5</v>
      </c>
      <c r="BC1916" s="2">
        <v>2.9</v>
      </c>
      <c r="BD1916" s="2">
        <f>+AN1916*EXP(-0.0495*Y1916)</f>
        <v>1.9607488080208402</v>
      </c>
      <c r="BE1916" s="2">
        <f>+AO1916*EXP(-0.024*Y1916)</f>
        <v>9.8823901958278118</v>
      </c>
    </row>
    <row r="1917" spans="1:57" x14ac:dyDescent="0.2">
      <c r="A1917" s="2" t="s">
        <v>4171</v>
      </c>
      <c r="B1917" s="2" t="s">
        <v>19</v>
      </c>
      <c r="C1917" s="2" t="s">
        <v>3245</v>
      </c>
      <c r="D1917" s="2" t="s">
        <v>21</v>
      </c>
      <c r="E1917" s="2" t="s">
        <v>1515</v>
      </c>
      <c r="F1917" s="2">
        <v>3</v>
      </c>
      <c r="G1917" s="2">
        <v>29</v>
      </c>
      <c r="H1917" s="2">
        <v>2</v>
      </c>
      <c r="I1917" s="2">
        <v>1</v>
      </c>
      <c r="J1917" s="2">
        <v>0</v>
      </c>
      <c r="K1917" s="2" t="s">
        <v>61</v>
      </c>
      <c r="L1917" s="6" t="s">
        <v>62</v>
      </c>
      <c r="M1917" s="5">
        <v>168000000</v>
      </c>
      <c r="N1917" s="2">
        <v>0</v>
      </c>
      <c r="O1917" s="2">
        <v>4.7361125949999998</v>
      </c>
      <c r="P1917" s="2">
        <v>-74.025253300000003</v>
      </c>
      <c r="Q1917" s="2" t="s">
        <v>4172</v>
      </c>
      <c r="R1917" s="2">
        <v>5793103.4479999999</v>
      </c>
      <c r="S1917" s="2">
        <v>0</v>
      </c>
      <c r="T1917" s="2" t="s">
        <v>55</v>
      </c>
      <c r="U1917" s="2" t="s">
        <v>56</v>
      </c>
      <c r="V1917" s="2" t="s">
        <v>28</v>
      </c>
      <c r="W1917" s="2" t="s">
        <v>55</v>
      </c>
      <c r="X1917" s="2" t="s">
        <v>57</v>
      </c>
      <c r="Y1917" s="2">
        <v>2.92452826181023</v>
      </c>
      <c r="Z1917" s="2">
        <v>4.71035</v>
      </c>
      <c r="AA1917" s="2">
        <v>-74.030416666666696</v>
      </c>
      <c r="AB1917" s="2">
        <v>2570</v>
      </c>
      <c r="AC1917" s="2" t="s">
        <v>31</v>
      </c>
      <c r="AD1917" s="2" t="s">
        <v>58</v>
      </c>
      <c r="AE1917" s="2" t="s">
        <v>33</v>
      </c>
      <c r="AF1917" s="2" t="s">
        <v>34</v>
      </c>
      <c r="AG1917" s="2" t="s">
        <v>59</v>
      </c>
      <c r="AH1917" s="2">
        <v>2.6022353303511498</v>
      </c>
      <c r="AI1917" s="2">
        <v>0.49106132297135802</v>
      </c>
      <c r="AJ1917" s="2">
        <v>1.2522404888837599</v>
      </c>
      <c r="AK1917" s="2">
        <v>0.31269028977774799</v>
      </c>
      <c r="AL1917" s="2">
        <v>0.23268449132251801</v>
      </c>
      <c r="AM1917" s="2">
        <v>15.5</v>
      </c>
      <c r="AN1917" s="2">
        <v>2.4</v>
      </c>
      <c r="AO1917" s="2">
        <v>10.9</v>
      </c>
      <c r="AP1917" s="2">
        <v>564</v>
      </c>
      <c r="AQ1917" s="2">
        <v>68</v>
      </c>
      <c r="AR1917" s="2">
        <v>1.5</v>
      </c>
      <c r="AS1917" s="2">
        <v>135</v>
      </c>
      <c r="AT1917" s="2">
        <v>0</v>
      </c>
      <c r="AU1917" s="2">
        <v>162</v>
      </c>
      <c r="AV1917" s="2">
        <v>9.1</v>
      </c>
      <c r="AW1917" s="2">
        <v>9.1999999999999993</v>
      </c>
      <c r="AX1917" s="2">
        <v>18.3</v>
      </c>
      <c r="AY1917" s="2">
        <v>0.34</v>
      </c>
      <c r="AZ1917" s="2">
        <v>7.3</v>
      </c>
      <c r="BA1917" s="2">
        <v>0.9</v>
      </c>
      <c r="BB1917" s="2">
        <v>7.5</v>
      </c>
      <c r="BC1917" s="2">
        <v>2.9</v>
      </c>
      <c r="BD1917" s="2">
        <f>+AN1917*EXP(-0.0495*Y1917)</f>
        <v>2.0765432005900024</v>
      </c>
      <c r="BE1917" s="2">
        <f>+AO1917*EXP(-0.024*Y1917)</f>
        <v>10.161175262990698</v>
      </c>
    </row>
    <row r="1918" spans="1:57" x14ac:dyDescent="0.2">
      <c r="A1918" s="2" t="s">
        <v>3718</v>
      </c>
      <c r="B1918" s="2" t="s">
        <v>19</v>
      </c>
      <c r="C1918" s="2" t="s">
        <v>3245</v>
      </c>
      <c r="D1918" s="2" t="s">
        <v>21</v>
      </c>
      <c r="E1918" s="2" t="s">
        <v>1830</v>
      </c>
      <c r="F1918" s="2">
        <v>6</v>
      </c>
      <c r="G1918" s="2">
        <v>29</v>
      </c>
      <c r="H1918" s="2">
        <v>1</v>
      </c>
      <c r="I1918" s="2">
        <v>1</v>
      </c>
      <c r="J1918" s="2">
        <v>0</v>
      </c>
      <c r="K1918" s="2" t="s">
        <v>61</v>
      </c>
      <c r="L1918" s="6" t="s">
        <v>62</v>
      </c>
      <c r="M1918" s="5">
        <v>450000000</v>
      </c>
      <c r="N1918" s="2">
        <v>0</v>
      </c>
      <c r="O1918" s="2">
        <v>4.6883880250000001</v>
      </c>
      <c r="P1918" s="2">
        <v>-74.041752209999999</v>
      </c>
      <c r="Q1918" s="2" t="s">
        <v>3719</v>
      </c>
      <c r="R1918" s="2">
        <v>15517241.380000001</v>
      </c>
      <c r="S1918" s="2">
        <v>0</v>
      </c>
      <c r="T1918" s="2" t="s">
        <v>55</v>
      </c>
      <c r="U1918" s="2" t="s">
        <v>56</v>
      </c>
      <c r="V1918" s="2" t="s">
        <v>28</v>
      </c>
      <c r="W1918" s="2" t="s">
        <v>55</v>
      </c>
      <c r="X1918" s="2" t="s">
        <v>57</v>
      </c>
      <c r="Y1918" s="2">
        <v>2.74929939869594</v>
      </c>
      <c r="Z1918" s="2">
        <v>4.71035</v>
      </c>
      <c r="AA1918" s="2">
        <v>-74.030416666666696</v>
      </c>
      <c r="AB1918" s="2">
        <v>2570</v>
      </c>
      <c r="AC1918" s="2" t="s">
        <v>31</v>
      </c>
      <c r="AD1918" s="2" t="s">
        <v>58</v>
      </c>
      <c r="AE1918" s="2" t="s">
        <v>33</v>
      </c>
      <c r="AF1918" s="2" t="s">
        <v>34</v>
      </c>
      <c r="AG1918" s="2" t="s">
        <v>59</v>
      </c>
      <c r="AH1918" s="2">
        <v>1.6786424364619099</v>
      </c>
      <c r="AI1918" s="2">
        <v>1.2356291420460099</v>
      </c>
      <c r="AJ1918" s="2">
        <v>0.71704611766128701</v>
      </c>
      <c r="AK1918" s="2">
        <v>0.23275116489092099</v>
      </c>
      <c r="AL1918" s="2">
        <v>4.8328023927265103E-2</v>
      </c>
      <c r="AM1918" s="2">
        <v>15.5</v>
      </c>
      <c r="AN1918" s="2">
        <v>2.4</v>
      </c>
      <c r="AO1918" s="2">
        <v>10.9</v>
      </c>
      <c r="AP1918" s="2">
        <v>564</v>
      </c>
      <c r="AQ1918" s="2">
        <v>68</v>
      </c>
      <c r="AR1918" s="2">
        <v>1.5</v>
      </c>
      <c r="AS1918" s="2">
        <v>135</v>
      </c>
      <c r="AT1918" s="2">
        <v>0</v>
      </c>
      <c r="AU1918" s="2">
        <v>162</v>
      </c>
      <c r="AV1918" s="2">
        <v>9.1</v>
      </c>
      <c r="AW1918" s="2">
        <v>9.1999999999999993</v>
      </c>
      <c r="AX1918" s="2">
        <v>18.3</v>
      </c>
      <c r="AY1918" s="2">
        <v>0.34</v>
      </c>
      <c r="AZ1918" s="2">
        <v>7.3</v>
      </c>
      <c r="BA1918" s="2">
        <v>0.9</v>
      </c>
      <c r="BB1918" s="2">
        <v>7.5</v>
      </c>
      <c r="BC1918" s="2">
        <v>2.9</v>
      </c>
      <c r="BD1918" s="2">
        <f>+AN1918*EXP(-0.0495*Y1918)</f>
        <v>2.0946331216721989</v>
      </c>
      <c r="BE1918" s="2">
        <f>+AO1918*EXP(-0.024*Y1918)</f>
        <v>10.203997993759415</v>
      </c>
    </row>
    <row r="1919" spans="1:57" x14ac:dyDescent="0.2">
      <c r="A1919" s="2" t="s">
        <v>4337</v>
      </c>
      <c r="B1919" s="2" t="s">
        <v>19</v>
      </c>
      <c r="C1919" s="2" t="s">
        <v>3245</v>
      </c>
      <c r="D1919" s="2" t="s">
        <v>21</v>
      </c>
      <c r="E1919" s="2" t="s">
        <v>164</v>
      </c>
      <c r="F1919" s="2">
        <v>6</v>
      </c>
      <c r="G1919" s="2">
        <v>29</v>
      </c>
      <c r="H1919" s="2">
        <v>1</v>
      </c>
      <c r="I1919" s="2">
        <v>1</v>
      </c>
      <c r="J1919" s="2">
        <v>1</v>
      </c>
      <c r="K1919" s="2" t="s">
        <v>61</v>
      </c>
      <c r="L1919" s="6" t="s">
        <v>62</v>
      </c>
      <c r="M1919" s="5">
        <v>405000000</v>
      </c>
      <c r="N1919" s="2">
        <v>0</v>
      </c>
      <c r="O1919" s="2">
        <v>4.6985239979999998</v>
      </c>
      <c r="P1919" s="2">
        <v>-74.039764399999996</v>
      </c>
      <c r="Q1919" s="2" t="s">
        <v>4338</v>
      </c>
      <c r="R1919" s="2">
        <v>13965517.24</v>
      </c>
      <c r="S1919" s="2">
        <v>0</v>
      </c>
      <c r="T1919" s="2" t="s">
        <v>55</v>
      </c>
      <c r="U1919" s="2" t="s">
        <v>56</v>
      </c>
      <c r="V1919" s="2" t="s">
        <v>28</v>
      </c>
      <c r="W1919" s="2" t="s">
        <v>55</v>
      </c>
      <c r="X1919" s="2" t="s">
        <v>57</v>
      </c>
      <c r="Y1919" s="2">
        <v>1.6758914486936201</v>
      </c>
      <c r="Z1919" s="2">
        <v>4.71035</v>
      </c>
      <c r="AA1919" s="2">
        <v>-74.030416666666696</v>
      </c>
      <c r="AB1919" s="2">
        <v>2570</v>
      </c>
      <c r="AC1919" s="2" t="s">
        <v>31</v>
      </c>
      <c r="AD1919" s="2" t="s">
        <v>58</v>
      </c>
      <c r="AE1919" s="2" t="s">
        <v>33</v>
      </c>
      <c r="AF1919" s="2" t="s">
        <v>34</v>
      </c>
      <c r="AG1919" s="2" t="s">
        <v>59</v>
      </c>
      <c r="AH1919" s="2">
        <v>1.7240858589161601</v>
      </c>
      <c r="AI1919" s="2">
        <v>1.5403830424793701</v>
      </c>
      <c r="AJ1919" s="2">
        <v>0.86692975388434601</v>
      </c>
      <c r="AK1919" s="2">
        <v>1.2339469185830201E-2</v>
      </c>
      <c r="AL1919" s="2">
        <v>1.02295090272361E-2</v>
      </c>
      <c r="AM1919" s="2">
        <v>15.5</v>
      </c>
      <c r="AN1919" s="2">
        <v>2.4</v>
      </c>
      <c r="AO1919" s="2">
        <v>10.9</v>
      </c>
      <c r="AP1919" s="2">
        <v>564</v>
      </c>
      <c r="AQ1919" s="2">
        <v>68</v>
      </c>
      <c r="AR1919" s="2">
        <v>1.5</v>
      </c>
      <c r="AS1919" s="2">
        <v>135</v>
      </c>
      <c r="AT1919" s="2">
        <v>0</v>
      </c>
      <c r="AU1919" s="2">
        <v>162</v>
      </c>
      <c r="AV1919" s="2">
        <v>9.1</v>
      </c>
      <c r="AW1919" s="2">
        <v>9.1999999999999993</v>
      </c>
      <c r="AX1919" s="2">
        <v>18.3</v>
      </c>
      <c r="AY1919" s="2">
        <v>0.34</v>
      </c>
      <c r="AZ1919" s="2">
        <v>7.3</v>
      </c>
      <c r="BA1919" s="2">
        <v>0.9</v>
      </c>
      <c r="BB1919" s="2">
        <v>7.5</v>
      </c>
      <c r="BC1919" s="2">
        <v>2.9</v>
      </c>
      <c r="BD1919" s="2">
        <f>+AN1919*EXP(-0.0495*Y1919)</f>
        <v>2.2089385601825797</v>
      </c>
      <c r="BE1919" s="2">
        <f>+AO1919*EXP(-0.024*Y1919)</f>
        <v>10.470286563466082</v>
      </c>
    </row>
    <row r="1920" spans="1:57" x14ac:dyDescent="0.2">
      <c r="A1920" s="2" t="s">
        <v>4478</v>
      </c>
      <c r="B1920" s="2" t="s">
        <v>19</v>
      </c>
      <c r="C1920" s="2" t="s">
        <v>3245</v>
      </c>
      <c r="D1920" s="2" t="s">
        <v>21</v>
      </c>
      <c r="E1920" s="2" t="s">
        <v>83</v>
      </c>
      <c r="F1920" s="2">
        <v>6</v>
      </c>
      <c r="G1920" s="2">
        <v>28</v>
      </c>
      <c r="H1920" s="2">
        <v>1</v>
      </c>
      <c r="I1920" s="2">
        <v>1</v>
      </c>
      <c r="J1920" s="2">
        <v>1</v>
      </c>
      <c r="K1920" s="2" t="s">
        <v>61</v>
      </c>
      <c r="L1920" s="6" t="s">
        <v>62</v>
      </c>
      <c r="M1920" s="5">
        <v>380000000</v>
      </c>
      <c r="N1920" s="2">
        <v>0</v>
      </c>
      <c r="O1920" s="2">
        <v>4.6825685760000004</v>
      </c>
      <c r="P1920" s="2">
        <v>-74.054326040000007</v>
      </c>
      <c r="Q1920" s="2" t="s">
        <v>4479</v>
      </c>
      <c r="R1920" s="2">
        <v>13571428.57</v>
      </c>
      <c r="S1920" s="2">
        <v>0</v>
      </c>
      <c r="T1920" s="2" t="s">
        <v>55</v>
      </c>
      <c r="U1920" s="2" t="s">
        <v>56</v>
      </c>
      <c r="V1920" s="2" t="s">
        <v>28</v>
      </c>
      <c r="W1920" s="2" t="s">
        <v>55</v>
      </c>
      <c r="X1920" s="2" t="s">
        <v>57</v>
      </c>
      <c r="Y1920" s="2">
        <v>4.0744048975108003</v>
      </c>
      <c r="Z1920" s="2">
        <v>4.71035</v>
      </c>
      <c r="AA1920" s="2">
        <v>-74.030416666666696</v>
      </c>
      <c r="AB1920" s="2">
        <v>2570</v>
      </c>
      <c r="AC1920" s="2" t="s">
        <v>31</v>
      </c>
      <c r="AD1920" s="2" t="s">
        <v>58</v>
      </c>
      <c r="AE1920" s="2" t="s">
        <v>33</v>
      </c>
      <c r="AF1920" s="2" t="s">
        <v>34</v>
      </c>
      <c r="AG1920" s="2" t="s">
        <v>81</v>
      </c>
      <c r="AH1920" s="2">
        <v>0.40529576526553202</v>
      </c>
      <c r="AI1920" s="2">
        <v>1.8979490623442701</v>
      </c>
      <c r="AJ1920" s="2">
        <v>0.39071038290309501</v>
      </c>
      <c r="AK1920" s="2">
        <v>0.16924359636021</v>
      </c>
      <c r="AL1920" s="2">
        <v>0.44603499438577199</v>
      </c>
      <c r="AM1920" s="2">
        <v>15.5</v>
      </c>
      <c r="AN1920" s="2">
        <v>2.4</v>
      </c>
      <c r="AO1920" s="2">
        <v>10.9</v>
      </c>
      <c r="AP1920" s="2">
        <v>564</v>
      </c>
      <c r="AQ1920" s="2">
        <v>68</v>
      </c>
      <c r="AR1920" s="2">
        <v>1.5</v>
      </c>
      <c r="AS1920" s="2">
        <v>135</v>
      </c>
      <c r="AT1920" s="2">
        <v>0</v>
      </c>
      <c r="AU1920" s="2">
        <v>162</v>
      </c>
      <c r="AV1920" s="2">
        <v>9.1</v>
      </c>
      <c r="AW1920" s="2">
        <v>9.1999999999999993</v>
      </c>
      <c r="AX1920" s="2">
        <v>18.3</v>
      </c>
      <c r="AY1920" s="2">
        <v>0.34</v>
      </c>
      <c r="AZ1920" s="2">
        <v>7.3</v>
      </c>
      <c r="BA1920" s="2">
        <v>0.9</v>
      </c>
      <c r="BB1920" s="2">
        <v>7.5</v>
      </c>
      <c r="BC1920" s="2">
        <v>2.9</v>
      </c>
      <c r="BD1920" s="2">
        <f>+AN1920*EXP(-0.0495*Y1920)</f>
        <v>1.9616494881973392</v>
      </c>
      <c r="BE1920" s="2">
        <f>+AO1920*EXP(-0.024*Y1920)</f>
        <v>9.88459091845424</v>
      </c>
    </row>
    <row r="1921" spans="1:57" x14ac:dyDescent="0.2">
      <c r="A1921" s="2" t="s">
        <v>3554</v>
      </c>
      <c r="B1921" s="2" t="s">
        <v>19</v>
      </c>
      <c r="C1921" s="2" t="s">
        <v>3245</v>
      </c>
      <c r="D1921" s="2" t="s">
        <v>21</v>
      </c>
      <c r="E1921" s="2" t="s">
        <v>2243</v>
      </c>
      <c r="F1921" s="2">
        <v>4</v>
      </c>
      <c r="G1921" s="2">
        <v>27.91</v>
      </c>
      <c r="H1921" s="2">
        <v>1</v>
      </c>
      <c r="I1921" s="2">
        <v>1</v>
      </c>
      <c r="J1921" s="2">
        <v>0</v>
      </c>
      <c r="K1921" s="2" t="s">
        <v>61</v>
      </c>
      <c r="L1921" s="6" t="s">
        <v>62</v>
      </c>
      <c r="M1921" s="5">
        <v>260000000</v>
      </c>
      <c r="N1921" s="2">
        <v>0</v>
      </c>
      <c r="O1921" s="2">
        <v>4.7313000000000001</v>
      </c>
      <c r="P1921" s="2">
        <v>-74.023219999999995</v>
      </c>
      <c r="Q1921" s="2" t="s">
        <v>3555</v>
      </c>
      <c r="R1921" s="2">
        <v>9315657.4700000007</v>
      </c>
      <c r="S1921" s="2">
        <v>0</v>
      </c>
      <c r="T1921" s="2" t="s">
        <v>55</v>
      </c>
      <c r="U1921" s="2" t="s">
        <v>56</v>
      </c>
      <c r="V1921" s="2" t="s">
        <v>28</v>
      </c>
      <c r="W1921" s="2" t="s">
        <v>55</v>
      </c>
      <c r="X1921" s="2" t="s">
        <v>57</v>
      </c>
      <c r="Y1921" s="2">
        <v>2.4650260421176302</v>
      </c>
      <c r="Z1921" s="2">
        <v>4.71035</v>
      </c>
      <c r="AA1921" s="2">
        <v>-74.030416666666696</v>
      </c>
      <c r="AB1921" s="2">
        <v>2570</v>
      </c>
      <c r="AC1921" s="2" t="s">
        <v>31</v>
      </c>
      <c r="AD1921" s="2" t="s">
        <v>58</v>
      </c>
      <c r="AE1921" s="2" t="s">
        <v>33</v>
      </c>
      <c r="AF1921" s="2" t="s">
        <v>34</v>
      </c>
      <c r="AG1921" s="2" t="s">
        <v>59</v>
      </c>
      <c r="AH1921" s="2">
        <v>2.9061713715426101</v>
      </c>
      <c r="AI1921" s="2">
        <v>0.185712414394894</v>
      </c>
      <c r="AJ1921" s="2">
        <v>1.81970185697041</v>
      </c>
      <c r="AK1921" s="2">
        <v>0.217179238185951</v>
      </c>
      <c r="AL1921" s="2">
        <v>0.11246448652397301</v>
      </c>
      <c r="AM1921" s="2">
        <v>15.5</v>
      </c>
      <c r="AN1921" s="2">
        <v>2.4</v>
      </c>
      <c r="AO1921" s="2">
        <v>10.9</v>
      </c>
      <c r="AP1921" s="2">
        <v>564</v>
      </c>
      <c r="AQ1921" s="2">
        <v>68</v>
      </c>
      <c r="AR1921" s="2">
        <v>1.5</v>
      </c>
      <c r="AS1921" s="2">
        <v>135</v>
      </c>
      <c r="AT1921" s="2">
        <v>0</v>
      </c>
      <c r="AU1921" s="2">
        <v>162</v>
      </c>
      <c r="AV1921" s="2">
        <v>9.1</v>
      </c>
      <c r="AW1921" s="2">
        <v>9.1999999999999993</v>
      </c>
      <c r="AX1921" s="2">
        <v>18.3</v>
      </c>
      <c r="AY1921" s="2">
        <v>0.34</v>
      </c>
      <c r="AZ1921" s="2">
        <v>7.3</v>
      </c>
      <c r="BA1921" s="2">
        <v>0.9</v>
      </c>
      <c r="BB1921" s="2">
        <v>7.5</v>
      </c>
      <c r="BC1921" s="2">
        <v>2.9</v>
      </c>
      <c r="BD1921" s="2">
        <f>+AN1921*EXP(-0.0495*Y1921)</f>
        <v>2.1243161700746191</v>
      </c>
      <c r="BE1921" s="2">
        <f>+AO1921*EXP(-0.024*Y1921)</f>
        <v>10.273853413454827</v>
      </c>
    </row>
    <row r="1922" spans="1:57" x14ac:dyDescent="0.2">
      <c r="A1922" s="2" t="s">
        <v>3495</v>
      </c>
      <c r="B1922" s="2" t="s">
        <v>19</v>
      </c>
      <c r="C1922" s="2" t="s">
        <v>3245</v>
      </c>
      <c r="D1922" s="2" t="s">
        <v>21</v>
      </c>
      <c r="E1922" s="2" t="s">
        <v>3496</v>
      </c>
      <c r="F1922" s="2">
        <v>4</v>
      </c>
      <c r="G1922" s="2">
        <v>27.74</v>
      </c>
      <c r="H1922" s="2">
        <v>1</v>
      </c>
      <c r="I1922" s="2">
        <v>1</v>
      </c>
      <c r="J1922" s="2">
        <v>1</v>
      </c>
      <c r="K1922" s="2" t="s">
        <v>61</v>
      </c>
      <c r="L1922" s="6" t="s">
        <v>62</v>
      </c>
      <c r="M1922" s="5">
        <v>350000000</v>
      </c>
      <c r="N1922" s="2">
        <v>0</v>
      </c>
      <c r="O1922" s="2">
        <v>4.7217200000000004</v>
      </c>
      <c r="P1922" s="2">
        <v>-74.026439999999994</v>
      </c>
      <c r="Q1922" s="2" t="s">
        <v>3497</v>
      </c>
      <c r="R1922" s="2">
        <v>12617159.34</v>
      </c>
      <c r="S1922" s="2">
        <v>0</v>
      </c>
      <c r="T1922" s="2" t="s">
        <v>55</v>
      </c>
      <c r="U1922" s="2" t="s">
        <v>56</v>
      </c>
      <c r="V1922" s="2" t="s">
        <v>28</v>
      </c>
      <c r="W1922" s="2" t="s">
        <v>55</v>
      </c>
      <c r="X1922" s="2" t="s">
        <v>57</v>
      </c>
      <c r="Y1922" s="2">
        <v>1.34038966609233</v>
      </c>
      <c r="Z1922" s="2">
        <v>4.71035</v>
      </c>
      <c r="AA1922" s="2">
        <v>-74.030416666666696</v>
      </c>
      <c r="AB1922" s="2">
        <v>2570</v>
      </c>
      <c r="AC1922" s="2" t="s">
        <v>31</v>
      </c>
      <c r="AD1922" s="2" t="s">
        <v>58</v>
      </c>
      <c r="AE1922" s="2" t="s">
        <v>33</v>
      </c>
      <c r="AF1922" s="2" t="s">
        <v>34</v>
      </c>
      <c r="AG1922" s="2" t="s">
        <v>59</v>
      </c>
      <c r="AH1922" s="2">
        <v>2.72755055117061</v>
      </c>
      <c r="AI1922" s="2">
        <v>0.38501551056948002</v>
      </c>
      <c r="AJ1922" s="2">
        <v>1.40207384982004</v>
      </c>
      <c r="AK1922" s="2">
        <v>0.16923092221835001</v>
      </c>
      <c r="AL1922" s="2">
        <v>0.18827265624861</v>
      </c>
      <c r="AM1922" s="2">
        <v>15.5</v>
      </c>
      <c r="AN1922" s="2">
        <v>2.4</v>
      </c>
      <c r="AO1922" s="2">
        <v>10.9</v>
      </c>
      <c r="AP1922" s="2">
        <v>564</v>
      </c>
      <c r="AQ1922" s="2">
        <v>68</v>
      </c>
      <c r="AR1922" s="2">
        <v>1.5</v>
      </c>
      <c r="AS1922" s="2">
        <v>135</v>
      </c>
      <c r="AT1922" s="2">
        <v>0</v>
      </c>
      <c r="AU1922" s="2">
        <v>162</v>
      </c>
      <c r="AV1922" s="2">
        <v>9.1</v>
      </c>
      <c r="AW1922" s="2">
        <v>9.1999999999999993</v>
      </c>
      <c r="AX1922" s="2">
        <v>18.3</v>
      </c>
      <c r="AY1922" s="2">
        <v>0.34</v>
      </c>
      <c r="AZ1922" s="2">
        <v>7.3</v>
      </c>
      <c r="BA1922" s="2">
        <v>0.9</v>
      </c>
      <c r="BB1922" s="2">
        <v>7.5</v>
      </c>
      <c r="BC1922" s="2">
        <v>2.9</v>
      </c>
      <c r="BD1922" s="2">
        <f>+AN1922*EXP(-0.0495*Y1922)</f>
        <v>2.245929460011157</v>
      </c>
      <c r="BE1922" s="2">
        <f>+AO1922*EXP(-0.024*Y1922)</f>
        <v>10.554934094243213</v>
      </c>
    </row>
    <row r="1923" spans="1:57" x14ac:dyDescent="0.2">
      <c r="A1923" s="2" t="s">
        <v>52</v>
      </c>
      <c r="B1923" s="2" t="s">
        <v>19</v>
      </c>
      <c r="C1923" s="2" t="s">
        <v>20</v>
      </c>
      <c r="D1923" s="2" t="s">
        <v>21</v>
      </c>
      <c r="E1923" s="2" t="s">
        <v>53</v>
      </c>
      <c r="F1923" s="2">
        <v>6</v>
      </c>
      <c r="G1923" s="2">
        <v>27.7</v>
      </c>
      <c r="H1923" s="2">
        <v>1</v>
      </c>
      <c r="I1923" s="2">
        <v>1</v>
      </c>
      <c r="J1923" s="2">
        <v>0</v>
      </c>
      <c r="K1923" s="2" t="s">
        <v>23</v>
      </c>
      <c r="L1923" s="6" t="s">
        <v>24</v>
      </c>
      <c r="M1923" s="5">
        <v>395205000</v>
      </c>
      <c r="N1923" s="2">
        <v>0</v>
      </c>
      <c r="O1923" s="2">
        <v>4.6949915999999998</v>
      </c>
      <c r="P1923" s="2">
        <v>-74.039370000000005</v>
      </c>
      <c r="Q1923" s="2" t="s">
        <v>54</v>
      </c>
      <c r="R1923" s="2">
        <v>14267328.52</v>
      </c>
      <c r="S1923" s="2">
        <v>0</v>
      </c>
      <c r="T1923" s="2" t="s">
        <v>55</v>
      </c>
      <c r="U1923" s="2" t="s">
        <v>56</v>
      </c>
      <c r="V1923" s="2" t="s">
        <v>28</v>
      </c>
      <c r="W1923" s="2" t="s">
        <v>55</v>
      </c>
      <c r="X1923" s="2" t="s">
        <v>57</v>
      </c>
      <c r="Y1923" s="2">
        <v>1.9773043353594899</v>
      </c>
      <c r="Z1923" s="2">
        <v>4.71035</v>
      </c>
      <c r="AA1923" s="2">
        <v>-74.030416666666696</v>
      </c>
      <c r="AB1923" s="2">
        <v>2570</v>
      </c>
      <c r="AC1923" s="2" t="s">
        <v>31</v>
      </c>
      <c r="AD1923" s="2" t="s">
        <v>58</v>
      </c>
      <c r="AE1923" s="2" t="s">
        <v>33</v>
      </c>
      <c r="AF1923" s="2" t="s">
        <v>34</v>
      </c>
      <c r="AG1923" s="2" t="s">
        <v>59</v>
      </c>
      <c r="AH1923" s="2">
        <v>1.80090721070268</v>
      </c>
      <c r="AI1923" s="2">
        <v>1.45768378741854</v>
      </c>
      <c r="AJ1923" s="2">
        <v>1.03802311037081</v>
      </c>
      <c r="AK1923" s="2">
        <v>0.18999110572962999</v>
      </c>
      <c r="AL1923" s="2">
        <v>0.111946210164812</v>
      </c>
      <c r="AM1923" s="2">
        <v>15.5</v>
      </c>
      <c r="AN1923" s="2">
        <v>2.4</v>
      </c>
      <c r="AO1923" s="2">
        <v>10.9</v>
      </c>
      <c r="AP1923" s="2">
        <v>564</v>
      </c>
      <c r="AQ1923" s="2">
        <v>68</v>
      </c>
      <c r="AR1923" s="2">
        <v>1.5</v>
      </c>
      <c r="AS1923" s="2">
        <v>135</v>
      </c>
      <c r="AT1923" s="2">
        <v>0</v>
      </c>
      <c r="AU1923" s="2">
        <v>162</v>
      </c>
      <c r="AV1923" s="2">
        <v>9.1</v>
      </c>
      <c r="AW1923" s="2">
        <v>9.1999999999999993</v>
      </c>
      <c r="AX1923" s="2">
        <v>18.3</v>
      </c>
      <c r="AY1923" s="2">
        <v>0.34</v>
      </c>
      <c r="AZ1923" s="2">
        <v>7.3</v>
      </c>
      <c r="BA1923" s="2">
        <v>0.9</v>
      </c>
      <c r="BB1923" s="2">
        <v>7.5</v>
      </c>
      <c r="BC1923" s="2">
        <v>2.9</v>
      </c>
      <c r="BD1923" s="2">
        <f>+AN1923*EXP(-0.0495*Y1923)</f>
        <v>2.1762259757544449</v>
      </c>
      <c r="BE1923" s="2">
        <f>+AO1923*EXP(-0.024*Y1923)</f>
        <v>10.394818753076281</v>
      </c>
    </row>
    <row r="1924" spans="1:57" x14ac:dyDescent="0.2">
      <c r="A1924" s="2" t="s">
        <v>4299</v>
      </c>
      <c r="B1924" s="2" t="s">
        <v>19</v>
      </c>
      <c r="C1924" s="2" t="s">
        <v>3245</v>
      </c>
      <c r="D1924" s="2" t="s">
        <v>21</v>
      </c>
      <c r="E1924" s="2" t="s">
        <v>4300</v>
      </c>
      <c r="F1924" s="2">
        <v>5</v>
      </c>
      <c r="G1924" s="2">
        <v>27.63</v>
      </c>
      <c r="H1924" s="2">
        <v>1</v>
      </c>
      <c r="I1924" s="2">
        <v>1</v>
      </c>
      <c r="J1924" s="2">
        <v>0</v>
      </c>
      <c r="K1924" s="2" t="s">
        <v>61</v>
      </c>
      <c r="L1924" s="6" t="s">
        <v>62</v>
      </c>
      <c r="M1924" s="5">
        <v>480000000</v>
      </c>
      <c r="N1924" s="2">
        <v>0</v>
      </c>
      <c r="O1924" s="2">
        <v>4.6855840679999998</v>
      </c>
      <c r="P1924" s="2">
        <v>-74.047561650000006</v>
      </c>
      <c r="Q1924" s="2" t="s">
        <v>4301</v>
      </c>
      <c r="R1924" s="2">
        <v>17372421.280000001</v>
      </c>
      <c r="S1924" s="2">
        <v>0</v>
      </c>
      <c r="T1924" s="2" t="s">
        <v>55</v>
      </c>
      <c r="U1924" s="2" t="s">
        <v>56</v>
      </c>
      <c r="V1924" s="2" t="s">
        <v>28</v>
      </c>
      <c r="W1924" s="2" t="s">
        <v>55</v>
      </c>
      <c r="X1924" s="2" t="s">
        <v>57</v>
      </c>
      <c r="Y1924" s="2">
        <v>3.3494589707550402</v>
      </c>
      <c r="Z1924" s="2">
        <v>4.71035</v>
      </c>
      <c r="AA1924" s="2">
        <v>-74.030416666666696</v>
      </c>
      <c r="AB1924" s="2">
        <v>2570</v>
      </c>
      <c r="AC1924" s="2" t="s">
        <v>31</v>
      </c>
      <c r="AD1924" s="2" t="s">
        <v>58</v>
      </c>
      <c r="AE1924" s="2" t="s">
        <v>33</v>
      </c>
      <c r="AF1924" s="2" t="s">
        <v>34</v>
      </c>
      <c r="AG1924" s="2" t="s">
        <v>59</v>
      </c>
      <c r="AH1924" s="2">
        <v>1.1399088679265601</v>
      </c>
      <c r="AI1924" s="2">
        <v>1.46591020665927</v>
      </c>
      <c r="AJ1924" s="2">
        <v>0.39499934196108599</v>
      </c>
      <c r="AK1924" s="2">
        <v>0.121478599688216</v>
      </c>
      <c r="AL1924" s="2">
        <v>0.56584337963667397</v>
      </c>
      <c r="AM1924" s="2">
        <v>15.5</v>
      </c>
      <c r="AN1924" s="2">
        <v>2.4</v>
      </c>
      <c r="AO1924" s="2">
        <v>10.9</v>
      </c>
      <c r="AP1924" s="2">
        <v>564</v>
      </c>
      <c r="AQ1924" s="2">
        <v>68</v>
      </c>
      <c r="AR1924" s="2">
        <v>1.5</v>
      </c>
      <c r="AS1924" s="2">
        <v>135</v>
      </c>
      <c r="AT1924" s="2">
        <v>0</v>
      </c>
      <c r="AU1924" s="2">
        <v>162</v>
      </c>
      <c r="AV1924" s="2">
        <v>9.1</v>
      </c>
      <c r="AW1924" s="2">
        <v>9.1999999999999993</v>
      </c>
      <c r="AX1924" s="2">
        <v>18.3</v>
      </c>
      <c r="AY1924" s="2">
        <v>0.34</v>
      </c>
      <c r="AZ1924" s="2">
        <v>7.3</v>
      </c>
      <c r="BA1924" s="2">
        <v>0.9</v>
      </c>
      <c r="BB1924" s="2">
        <v>7.5</v>
      </c>
      <c r="BC1924" s="2">
        <v>2.9</v>
      </c>
      <c r="BD1924" s="2">
        <f>+AN1924*EXP(-0.0495*Y1924)</f>
        <v>2.0333212061432495</v>
      </c>
      <c r="BE1924" s="2">
        <f>+AO1924*EXP(-0.024*Y1924)</f>
        <v>10.058074793448988</v>
      </c>
    </row>
    <row r="1925" spans="1:57" x14ac:dyDescent="0.2">
      <c r="A1925" s="2" t="s">
        <v>3685</v>
      </c>
      <c r="B1925" s="2" t="s">
        <v>19</v>
      </c>
      <c r="C1925" s="2" t="s">
        <v>3245</v>
      </c>
      <c r="D1925" s="2" t="s">
        <v>21</v>
      </c>
      <c r="E1925" s="2" t="s">
        <v>321</v>
      </c>
      <c r="F1925" s="2">
        <v>4</v>
      </c>
      <c r="G1925" s="2">
        <v>27.4</v>
      </c>
      <c r="H1925" s="2">
        <v>1</v>
      </c>
      <c r="I1925" s="2">
        <v>1</v>
      </c>
      <c r="J1925" s="2">
        <v>0</v>
      </c>
      <c r="K1925" s="2" t="s">
        <v>61</v>
      </c>
      <c r="L1925" s="6" t="s">
        <v>62</v>
      </c>
      <c r="M1925" s="5">
        <v>280000000</v>
      </c>
      <c r="N1925" s="2">
        <v>0</v>
      </c>
      <c r="O1925" s="2">
        <v>4.7317324000000003</v>
      </c>
      <c r="P1925" s="2">
        <v>-74.022310000000004</v>
      </c>
      <c r="Q1925" s="2" t="s">
        <v>3686</v>
      </c>
      <c r="R1925" s="2">
        <v>10218978.1</v>
      </c>
      <c r="S1925" s="2">
        <v>0</v>
      </c>
      <c r="T1925" s="2" t="s">
        <v>55</v>
      </c>
      <c r="U1925" s="2" t="s">
        <v>56</v>
      </c>
      <c r="V1925" s="2" t="s">
        <v>28</v>
      </c>
      <c r="W1925" s="2" t="s">
        <v>55</v>
      </c>
      <c r="X1925" s="2" t="s">
        <v>57</v>
      </c>
      <c r="Y1925" s="2">
        <v>2.5445207908944298</v>
      </c>
      <c r="Z1925" s="2">
        <v>4.71035</v>
      </c>
      <c r="AA1925" s="2">
        <v>-74.030416666666696</v>
      </c>
      <c r="AB1925" s="2">
        <v>2570</v>
      </c>
      <c r="AC1925" s="2" t="s">
        <v>31</v>
      </c>
      <c r="AD1925" s="2" t="s">
        <v>58</v>
      </c>
      <c r="AE1925" s="2" t="s">
        <v>33</v>
      </c>
      <c r="AF1925" s="2" t="s">
        <v>34</v>
      </c>
      <c r="AG1925" s="2" t="s">
        <v>59</v>
      </c>
      <c r="AH1925" s="2">
        <v>3.0008961575838602</v>
      </c>
      <c r="AI1925" s="2">
        <v>9.0661379317431706E-2</v>
      </c>
      <c r="AJ1925" s="2">
        <v>1.8011753971112201</v>
      </c>
      <c r="AK1925" s="2">
        <v>0.25227248505814098</v>
      </c>
      <c r="AL1925" s="2">
        <v>0.20655650488695901</v>
      </c>
      <c r="AM1925" s="2">
        <v>15.5</v>
      </c>
      <c r="AN1925" s="2">
        <v>2.4</v>
      </c>
      <c r="AO1925" s="2">
        <v>10.9</v>
      </c>
      <c r="AP1925" s="2">
        <v>564</v>
      </c>
      <c r="AQ1925" s="2">
        <v>68</v>
      </c>
      <c r="AR1925" s="2">
        <v>1.5</v>
      </c>
      <c r="AS1925" s="2">
        <v>135</v>
      </c>
      <c r="AT1925" s="2">
        <v>0</v>
      </c>
      <c r="AU1925" s="2">
        <v>162</v>
      </c>
      <c r="AV1925" s="2">
        <v>9.1</v>
      </c>
      <c r="AW1925" s="2">
        <v>9.1999999999999993</v>
      </c>
      <c r="AX1925" s="2">
        <v>18.3</v>
      </c>
      <c r="AY1925" s="2">
        <v>0.34</v>
      </c>
      <c r="AZ1925" s="2">
        <v>7.3</v>
      </c>
      <c r="BA1925" s="2">
        <v>0.9</v>
      </c>
      <c r="BB1925" s="2">
        <v>7.5</v>
      </c>
      <c r="BC1925" s="2">
        <v>2.9</v>
      </c>
      <c r="BD1925" s="2">
        <f>+AN1925*EXP(-0.0495*Y1925)</f>
        <v>2.1159734321121304</v>
      </c>
      <c r="BE1925" s="2">
        <f>+AO1925*EXP(-0.024*Y1925)</f>
        <v>10.254270882389747</v>
      </c>
    </row>
    <row r="1926" spans="1:57" x14ac:dyDescent="0.2">
      <c r="A1926" s="2" t="s">
        <v>4021</v>
      </c>
      <c r="B1926" s="2" t="s">
        <v>19</v>
      </c>
      <c r="C1926" s="2" t="s">
        <v>3245</v>
      </c>
      <c r="D1926" s="2" t="s">
        <v>21</v>
      </c>
      <c r="E1926" s="2" t="s">
        <v>177</v>
      </c>
      <c r="F1926" s="2">
        <v>6</v>
      </c>
      <c r="G1926" s="2">
        <v>27.24</v>
      </c>
      <c r="H1926" s="2">
        <v>1</v>
      </c>
      <c r="I1926" s="2">
        <v>1</v>
      </c>
      <c r="J1926" s="2">
        <v>0</v>
      </c>
      <c r="K1926" s="2" t="s">
        <v>61</v>
      </c>
      <c r="L1926" s="6" t="s">
        <v>62</v>
      </c>
      <c r="M1926" s="5">
        <v>450000000</v>
      </c>
      <c r="N1926" s="2">
        <v>0</v>
      </c>
      <c r="O1926" s="2">
        <v>4.68912</v>
      </c>
      <c r="P1926" s="2">
        <v>-74.041640000000001</v>
      </c>
      <c r="Q1926" s="2" t="s">
        <v>4022</v>
      </c>
      <c r="R1926" s="2">
        <v>16519823.789999999</v>
      </c>
      <c r="S1926" s="2">
        <v>0</v>
      </c>
      <c r="T1926" s="2" t="s">
        <v>55</v>
      </c>
      <c r="U1926" s="2" t="s">
        <v>56</v>
      </c>
      <c r="V1926" s="2" t="s">
        <v>28</v>
      </c>
      <c r="W1926" s="2" t="s">
        <v>55</v>
      </c>
      <c r="X1926" s="2" t="s">
        <v>57</v>
      </c>
      <c r="Y1926" s="2">
        <v>2.6712746484706198</v>
      </c>
      <c r="Z1926" s="2">
        <v>4.71035</v>
      </c>
      <c r="AA1926" s="2">
        <v>-74.030416666666696</v>
      </c>
      <c r="AB1926" s="2">
        <v>2570</v>
      </c>
      <c r="AC1926" s="2" t="s">
        <v>31</v>
      </c>
      <c r="AD1926" s="2" t="s">
        <v>58</v>
      </c>
      <c r="AE1926" s="2" t="s">
        <v>33</v>
      </c>
      <c r="AF1926" s="2" t="s">
        <v>34</v>
      </c>
      <c r="AG1926" s="2" t="s">
        <v>59</v>
      </c>
      <c r="AH1926" s="2">
        <v>1.66799377388294</v>
      </c>
      <c r="AI1926" s="2">
        <v>1.2998505576694099</v>
      </c>
      <c r="AJ1926" s="2">
        <v>0.78793565775835495</v>
      </c>
      <c r="AK1926" s="2">
        <v>0.29331951466365702</v>
      </c>
      <c r="AL1926" s="2">
        <v>7.8811837028247803E-2</v>
      </c>
      <c r="AM1926" s="2">
        <v>15.5</v>
      </c>
      <c r="AN1926" s="2">
        <v>2.4</v>
      </c>
      <c r="AO1926" s="2">
        <v>10.9</v>
      </c>
      <c r="AP1926" s="2">
        <v>564</v>
      </c>
      <c r="AQ1926" s="2">
        <v>68</v>
      </c>
      <c r="AR1926" s="2">
        <v>1.5</v>
      </c>
      <c r="AS1926" s="2">
        <v>135</v>
      </c>
      <c r="AT1926" s="2">
        <v>0</v>
      </c>
      <c r="AU1926" s="2">
        <v>162</v>
      </c>
      <c r="AV1926" s="2">
        <v>9.1</v>
      </c>
      <c r="AW1926" s="2">
        <v>9.1999999999999993</v>
      </c>
      <c r="AX1926" s="2">
        <v>18.3</v>
      </c>
      <c r="AY1926" s="2">
        <v>0.34</v>
      </c>
      <c r="AZ1926" s="2">
        <v>7.3</v>
      </c>
      <c r="BA1926" s="2">
        <v>0.9</v>
      </c>
      <c r="BB1926" s="2">
        <v>7.5</v>
      </c>
      <c r="BC1926" s="2">
        <v>2.9</v>
      </c>
      <c r="BD1926" s="2">
        <f>+AN1926*EXP(-0.0495*Y1926)</f>
        <v>2.1027387090917067</v>
      </c>
      <c r="BE1926" s="2">
        <f>+AO1926*EXP(-0.024*Y1926)</f>
        <v>10.223123841118374</v>
      </c>
    </row>
    <row r="1927" spans="1:57" x14ac:dyDescent="0.2">
      <c r="A1927" s="2" t="s">
        <v>4606</v>
      </c>
      <c r="B1927" s="2" t="s">
        <v>19</v>
      </c>
      <c r="C1927" s="2" t="s">
        <v>3245</v>
      </c>
      <c r="D1927" s="2" t="s">
        <v>21</v>
      </c>
      <c r="E1927" s="2" t="s">
        <v>141</v>
      </c>
      <c r="F1927" s="2">
        <v>5</v>
      </c>
      <c r="G1927" s="2">
        <v>27.09</v>
      </c>
      <c r="H1927" s="2">
        <v>1</v>
      </c>
      <c r="I1927" s="2">
        <v>1</v>
      </c>
      <c r="J1927" s="2">
        <v>0</v>
      </c>
      <c r="K1927" s="2" t="s">
        <v>61</v>
      </c>
      <c r="L1927" s="6" t="s">
        <v>62</v>
      </c>
      <c r="M1927" s="5">
        <v>390000000</v>
      </c>
      <c r="N1927" s="2">
        <v>0</v>
      </c>
      <c r="O1927" s="2">
        <v>4.6857300000000004</v>
      </c>
      <c r="P1927" s="2">
        <v>-74.047510000000003</v>
      </c>
      <c r="Q1927" s="2" t="s">
        <v>4607</v>
      </c>
      <c r="R1927" s="2">
        <v>14396456.26</v>
      </c>
      <c r="S1927" s="2">
        <v>0</v>
      </c>
      <c r="T1927" s="2" t="s">
        <v>55</v>
      </c>
      <c r="U1927" s="2" t="s">
        <v>56</v>
      </c>
      <c r="V1927" s="2" t="s">
        <v>28</v>
      </c>
      <c r="W1927" s="2" t="s">
        <v>55</v>
      </c>
      <c r="X1927" s="2" t="s">
        <v>57</v>
      </c>
      <c r="Y1927" s="2">
        <v>3.3328363700155199</v>
      </c>
      <c r="Z1927" s="2">
        <v>4.71035</v>
      </c>
      <c r="AA1927" s="2">
        <v>-74.030416666666696</v>
      </c>
      <c r="AB1927" s="2">
        <v>2570</v>
      </c>
      <c r="AC1927" s="2" t="s">
        <v>31</v>
      </c>
      <c r="AD1927" s="2" t="s">
        <v>58</v>
      </c>
      <c r="AE1927" s="2" t="s">
        <v>33</v>
      </c>
      <c r="AF1927" s="2" t="s">
        <v>34</v>
      </c>
      <c r="AG1927" s="2" t="s">
        <v>59</v>
      </c>
      <c r="AH1927" s="2">
        <v>1.14821726105703</v>
      </c>
      <c r="AI1927" s="2">
        <v>1.4701983825251099</v>
      </c>
      <c r="AJ1927" s="2">
        <v>0.39906582034170002</v>
      </c>
      <c r="AK1927" s="2">
        <v>0.11172995637069499</v>
      </c>
      <c r="AL1927" s="2">
        <v>0.54892161099664705</v>
      </c>
      <c r="AM1927" s="2">
        <v>15.5</v>
      </c>
      <c r="AN1927" s="2">
        <v>2.4</v>
      </c>
      <c r="AO1927" s="2">
        <v>10.9</v>
      </c>
      <c r="AP1927" s="2">
        <v>564</v>
      </c>
      <c r="AQ1927" s="2">
        <v>68</v>
      </c>
      <c r="AR1927" s="2">
        <v>1.5</v>
      </c>
      <c r="AS1927" s="2">
        <v>135</v>
      </c>
      <c r="AT1927" s="2">
        <v>0</v>
      </c>
      <c r="AU1927" s="2">
        <v>162</v>
      </c>
      <c r="AV1927" s="2">
        <v>9.1</v>
      </c>
      <c r="AW1927" s="2">
        <v>9.1999999999999993</v>
      </c>
      <c r="AX1927" s="2">
        <v>18.3</v>
      </c>
      <c r="AY1927" s="2">
        <v>0.34</v>
      </c>
      <c r="AZ1927" s="2">
        <v>7.3</v>
      </c>
      <c r="BA1927" s="2">
        <v>0.9</v>
      </c>
      <c r="BB1927" s="2">
        <v>7.5</v>
      </c>
      <c r="BC1927" s="2">
        <v>2.9</v>
      </c>
      <c r="BD1927" s="2">
        <f>+AN1927*EXP(-0.0495*Y1927)</f>
        <v>2.0349949494284392</v>
      </c>
      <c r="BE1927" s="2">
        <f>+AO1927*EXP(-0.024*Y1927)</f>
        <v>10.06208818662814</v>
      </c>
    </row>
    <row r="1928" spans="1:57" x14ac:dyDescent="0.2">
      <c r="A1928" s="2" t="s">
        <v>3851</v>
      </c>
      <c r="B1928" s="2" t="s">
        <v>19</v>
      </c>
      <c r="C1928" s="2" t="s">
        <v>3245</v>
      </c>
      <c r="D1928" s="2" t="s">
        <v>21</v>
      </c>
      <c r="E1928" s="2" t="s">
        <v>1437</v>
      </c>
      <c r="F1928" s="2">
        <v>6</v>
      </c>
      <c r="G1928" s="2">
        <v>27</v>
      </c>
      <c r="H1928" s="2">
        <v>1</v>
      </c>
      <c r="I1928" s="2">
        <v>1</v>
      </c>
      <c r="J1928" s="2">
        <v>0</v>
      </c>
      <c r="K1928" s="2" t="s">
        <v>61</v>
      </c>
      <c r="L1928" s="6" t="s">
        <v>62</v>
      </c>
      <c r="M1928" s="5">
        <v>400000000</v>
      </c>
      <c r="N1928" s="2">
        <v>0</v>
      </c>
      <c r="O1928" s="2">
        <v>4.6822752090000002</v>
      </c>
      <c r="P1928" s="2">
        <v>-74.054417490000006</v>
      </c>
      <c r="Q1928" s="2" t="s">
        <v>3852</v>
      </c>
      <c r="R1928" s="2">
        <v>14814814.810000001</v>
      </c>
      <c r="S1928" s="2">
        <v>0</v>
      </c>
      <c r="T1928" s="2" t="s">
        <v>55</v>
      </c>
      <c r="U1928" s="2" t="s">
        <v>56</v>
      </c>
      <c r="V1928" s="2" t="s">
        <v>28</v>
      </c>
      <c r="W1928" s="2" t="s">
        <v>55</v>
      </c>
      <c r="X1928" s="2" t="s">
        <v>57</v>
      </c>
      <c r="Y1928" s="2">
        <v>4.1058213458538297</v>
      </c>
      <c r="Z1928" s="2">
        <v>4.71035</v>
      </c>
      <c r="AA1928" s="2">
        <v>-74.030416666666696</v>
      </c>
      <c r="AB1928" s="2">
        <v>2570</v>
      </c>
      <c r="AC1928" s="2" t="s">
        <v>31</v>
      </c>
      <c r="AD1928" s="2" t="s">
        <v>58</v>
      </c>
      <c r="AE1928" s="2" t="s">
        <v>33</v>
      </c>
      <c r="AF1928" s="2" t="s">
        <v>34</v>
      </c>
      <c r="AG1928" s="2" t="s">
        <v>81</v>
      </c>
      <c r="AH1928" s="2">
        <v>0.40951064950143001</v>
      </c>
      <c r="AI1928" s="2">
        <v>1.89040423407114</v>
      </c>
      <c r="AJ1928" s="2">
        <v>0.42436413044886501</v>
      </c>
      <c r="AK1928" s="2">
        <v>0.15017758669467901</v>
      </c>
      <c r="AL1928" s="2">
        <v>0.446010547764981</v>
      </c>
      <c r="AM1928" s="2">
        <v>15.5</v>
      </c>
      <c r="AN1928" s="2">
        <v>2.4</v>
      </c>
      <c r="AO1928" s="2">
        <v>10.9</v>
      </c>
      <c r="AP1928" s="2">
        <v>564</v>
      </c>
      <c r="AQ1928" s="2">
        <v>68</v>
      </c>
      <c r="AR1928" s="2">
        <v>1.5</v>
      </c>
      <c r="AS1928" s="2">
        <v>135</v>
      </c>
      <c r="AT1928" s="2">
        <v>0</v>
      </c>
      <c r="AU1928" s="2">
        <v>162</v>
      </c>
      <c r="AV1928" s="2">
        <v>9.1</v>
      </c>
      <c r="AW1928" s="2">
        <v>9.1999999999999993</v>
      </c>
      <c r="AX1928" s="2">
        <v>18.3</v>
      </c>
      <c r="AY1928" s="2">
        <v>0.34</v>
      </c>
      <c r="AZ1928" s="2">
        <v>7.3</v>
      </c>
      <c r="BA1928" s="2">
        <v>0.9</v>
      </c>
      <c r="BB1928" s="2">
        <v>7.5</v>
      </c>
      <c r="BC1928" s="2">
        <v>2.9</v>
      </c>
      <c r="BD1928" s="2">
        <f>+AN1928*EXP(-0.0495*Y1928)</f>
        <v>1.9586012700145836</v>
      </c>
      <c r="BE1928" s="2">
        <f>+AO1928*EXP(-0.024*Y1928)</f>
        <v>9.8771407977236336</v>
      </c>
    </row>
    <row r="1929" spans="1:57" x14ac:dyDescent="0.2">
      <c r="A1929" s="2" t="s">
        <v>4468</v>
      </c>
      <c r="B1929" s="2" t="s">
        <v>19</v>
      </c>
      <c r="C1929" s="2" t="s">
        <v>3245</v>
      </c>
      <c r="D1929" s="2" t="s">
        <v>21</v>
      </c>
      <c r="E1929" s="2" t="s">
        <v>1437</v>
      </c>
      <c r="F1929" s="2">
        <v>6</v>
      </c>
      <c r="G1929" s="2">
        <v>27</v>
      </c>
      <c r="H1929" s="2">
        <v>1</v>
      </c>
      <c r="I1929" s="2">
        <v>1</v>
      </c>
      <c r="J1929" s="2">
        <v>0</v>
      </c>
      <c r="K1929" s="2" t="s">
        <v>61</v>
      </c>
      <c r="L1929" s="6" t="s">
        <v>62</v>
      </c>
      <c r="M1929" s="5">
        <v>400000000</v>
      </c>
      <c r="N1929" s="2">
        <v>0</v>
      </c>
      <c r="O1929" s="2">
        <v>4.6822752090000002</v>
      </c>
      <c r="P1929" s="2">
        <v>-74.054417490000006</v>
      </c>
      <c r="Q1929" s="2" t="s">
        <v>4469</v>
      </c>
      <c r="R1929" s="2">
        <v>14814814.810000001</v>
      </c>
      <c r="S1929" s="2">
        <v>0</v>
      </c>
      <c r="T1929" s="2" t="s">
        <v>55</v>
      </c>
      <c r="U1929" s="2" t="s">
        <v>56</v>
      </c>
      <c r="V1929" s="2" t="s">
        <v>28</v>
      </c>
      <c r="W1929" s="2" t="s">
        <v>55</v>
      </c>
      <c r="X1929" s="2" t="s">
        <v>57</v>
      </c>
      <c r="Y1929" s="2">
        <v>4.1058213458538297</v>
      </c>
      <c r="Z1929" s="2">
        <v>4.71035</v>
      </c>
      <c r="AA1929" s="2">
        <v>-74.030416666666696</v>
      </c>
      <c r="AB1929" s="2">
        <v>2570</v>
      </c>
      <c r="AC1929" s="2" t="s">
        <v>31</v>
      </c>
      <c r="AD1929" s="2" t="s">
        <v>58</v>
      </c>
      <c r="AE1929" s="2" t="s">
        <v>33</v>
      </c>
      <c r="AF1929" s="2" t="s">
        <v>34</v>
      </c>
      <c r="AG1929" s="2" t="s">
        <v>81</v>
      </c>
      <c r="AH1929" s="2">
        <v>0.40951064950143001</v>
      </c>
      <c r="AI1929" s="2">
        <v>1.89040423407114</v>
      </c>
      <c r="AJ1929" s="2">
        <v>0.42436413044886501</v>
      </c>
      <c r="AK1929" s="2">
        <v>0.15017758669467901</v>
      </c>
      <c r="AL1929" s="2">
        <v>0.446010547764981</v>
      </c>
      <c r="AM1929" s="2">
        <v>15.5</v>
      </c>
      <c r="AN1929" s="2">
        <v>2.4</v>
      </c>
      <c r="AO1929" s="2">
        <v>10.9</v>
      </c>
      <c r="AP1929" s="2">
        <v>564</v>
      </c>
      <c r="AQ1929" s="2">
        <v>68</v>
      </c>
      <c r="AR1929" s="2">
        <v>1.5</v>
      </c>
      <c r="AS1929" s="2">
        <v>135</v>
      </c>
      <c r="AT1929" s="2">
        <v>0</v>
      </c>
      <c r="AU1929" s="2">
        <v>162</v>
      </c>
      <c r="AV1929" s="2">
        <v>9.1</v>
      </c>
      <c r="AW1929" s="2">
        <v>9.1999999999999993</v>
      </c>
      <c r="AX1929" s="2">
        <v>18.3</v>
      </c>
      <c r="AY1929" s="2">
        <v>0.34</v>
      </c>
      <c r="AZ1929" s="2">
        <v>7.3</v>
      </c>
      <c r="BA1929" s="2">
        <v>0.9</v>
      </c>
      <c r="BB1929" s="2">
        <v>7.5</v>
      </c>
      <c r="BC1929" s="2">
        <v>2.9</v>
      </c>
      <c r="BD1929" s="2">
        <f>+AN1929*EXP(-0.0495*Y1929)</f>
        <v>1.9586012700145836</v>
      </c>
      <c r="BE1929" s="2">
        <f>+AO1929*EXP(-0.024*Y1929)</f>
        <v>9.8771407977236336</v>
      </c>
    </row>
    <row r="1930" spans="1:57" x14ac:dyDescent="0.2">
      <c r="A1930" s="2" t="s">
        <v>3624</v>
      </c>
      <c r="B1930" s="2" t="s">
        <v>19</v>
      </c>
      <c r="C1930" s="2" t="s">
        <v>3245</v>
      </c>
      <c r="D1930" s="2" t="s">
        <v>21</v>
      </c>
      <c r="E1930" s="2" t="s">
        <v>170</v>
      </c>
      <c r="F1930" s="2">
        <v>4</v>
      </c>
      <c r="G1930" s="2">
        <v>27</v>
      </c>
      <c r="H1930" s="2">
        <v>1</v>
      </c>
      <c r="I1930" s="2">
        <v>1</v>
      </c>
      <c r="J1930" s="2">
        <v>1</v>
      </c>
      <c r="K1930" s="2" t="s">
        <v>61</v>
      </c>
      <c r="L1930" s="6" t="s">
        <v>62</v>
      </c>
      <c r="M1930" s="5">
        <v>230000000</v>
      </c>
      <c r="N1930" s="2">
        <v>0</v>
      </c>
      <c r="O1930" s="2">
        <v>4.731813431</v>
      </c>
      <c r="P1930" s="2">
        <v>-74.022468570000001</v>
      </c>
      <c r="Q1930" s="2" t="s">
        <v>3625</v>
      </c>
      <c r="R1930" s="2">
        <v>8518518.5189999994</v>
      </c>
      <c r="S1930" s="2">
        <v>0</v>
      </c>
      <c r="T1930" s="2" t="s">
        <v>55</v>
      </c>
      <c r="U1930" s="2" t="s">
        <v>56</v>
      </c>
      <c r="V1930" s="2" t="s">
        <v>28</v>
      </c>
      <c r="W1930" s="2" t="s">
        <v>55</v>
      </c>
      <c r="X1930" s="2" t="s">
        <v>57</v>
      </c>
      <c r="Y1930" s="2">
        <v>2.5468166686135301</v>
      </c>
      <c r="Z1930" s="2">
        <v>4.71035</v>
      </c>
      <c r="AA1930" s="2">
        <v>-74.030416666666696</v>
      </c>
      <c r="AB1930" s="2">
        <v>2570</v>
      </c>
      <c r="AC1930" s="2" t="s">
        <v>31</v>
      </c>
      <c r="AD1930" s="2" t="s">
        <v>58</v>
      </c>
      <c r="AE1930" s="2" t="s">
        <v>33</v>
      </c>
      <c r="AF1930" s="2" t="s">
        <v>34</v>
      </c>
      <c r="AG1930" s="2" t="s">
        <v>59</v>
      </c>
      <c r="AH1930" s="2">
        <v>2.98247911088297</v>
      </c>
      <c r="AI1930" s="2">
        <v>9.9979562617553697E-2</v>
      </c>
      <c r="AJ1930" s="2">
        <v>1.7873945447483</v>
      </c>
      <c r="AK1930" s="2">
        <v>0.232690751419248</v>
      </c>
      <c r="AL1930" s="2">
        <v>0.18961918266319999</v>
      </c>
      <c r="AM1930" s="2">
        <v>15.5</v>
      </c>
      <c r="AN1930" s="2">
        <v>2.4</v>
      </c>
      <c r="AO1930" s="2">
        <v>10.9</v>
      </c>
      <c r="AP1930" s="2">
        <v>564</v>
      </c>
      <c r="AQ1930" s="2">
        <v>68</v>
      </c>
      <c r="AR1930" s="2">
        <v>1.5</v>
      </c>
      <c r="AS1930" s="2">
        <v>135</v>
      </c>
      <c r="AT1930" s="2">
        <v>0</v>
      </c>
      <c r="AU1930" s="2">
        <v>162</v>
      </c>
      <c r="AV1930" s="2">
        <v>9.1</v>
      </c>
      <c r="AW1930" s="2">
        <v>9.1999999999999993</v>
      </c>
      <c r="AX1930" s="2">
        <v>18.3</v>
      </c>
      <c r="AY1930" s="2">
        <v>0.34</v>
      </c>
      <c r="AZ1930" s="2">
        <v>7.3</v>
      </c>
      <c r="BA1930" s="2">
        <v>0.9</v>
      </c>
      <c r="BB1930" s="2">
        <v>7.5</v>
      </c>
      <c r="BC1930" s="2">
        <v>2.9</v>
      </c>
      <c r="BD1930" s="2">
        <f>+AN1930*EXP(-0.0495*Y1930)</f>
        <v>2.1157329739712147</v>
      </c>
      <c r="BE1930" s="2">
        <f>+AO1930*EXP(-0.024*Y1930)</f>
        <v>10.253705876707031</v>
      </c>
    </row>
    <row r="1931" spans="1:57" x14ac:dyDescent="0.2">
      <c r="A1931" s="2" t="s">
        <v>3467</v>
      </c>
      <c r="B1931" s="2" t="s">
        <v>19</v>
      </c>
      <c r="C1931" s="2" t="s">
        <v>3245</v>
      </c>
      <c r="D1931" s="2" t="s">
        <v>21</v>
      </c>
      <c r="E1931" s="2" t="s">
        <v>983</v>
      </c>
      <c r="F1931" s="2">
        <v>4</v>
      </c>
      <c r="G1931" s="2">
        <v>27</v>
      </c>
      <c r="H1931" s="2">
        <v>1</v>
      </c>
      <c r="I1931" s="2">
        <v>1</v>
      </c>
      <c r="J1931" s="2">
        <v>0</v>
      </c>
      <c r="K1931" s="2" t="s">
        <v>61</v>
      </c>
      <c r="L1931" s="6" t="s">
        <v>62</v>
      </c>
      <c r="M1931" s="5">
        <v>300000000</v>
      </c>
      <c r="N1931" s="2">
        <v>0</v>
      </c>
      <c r="O1931" s="2">
        <v>4.7231579999999997</v>
      </c>
      <c r="P1931" s="2">
        <v>-74.042693999999997</v>
      </c>
      <c r="Q1931" s="2" t="s">
        <v>3468</v>
      </c>
      <c r="R1931" s="2">
        <v>11111111.109999999</v>
      </c>
      <c r="S1931" s="2">
        <v>0</v>
      </c>
      <c r="T1931" s="2" t="s">
        <v>55</v>
      </c>
      <c r="U1931" s="2" t="s">
        <v>56</v>
      </c>
      <c r="V1931" s="2" t="s">
        <v>28</v>
      </c>
      <c r="W1931" s="2" t="s">
        <v>55</v>
      </c>
      <c r="X1931" s="2" t="s">
        <v>57</v>
      </c>
      <c r="Y1931" s="2">
        <v>1.97182786959996</v>
      </c>
      <c r="Z1931" s="2">
        <v>4.71035</v>
      </c>
      <c r="AA1931" s="2">
        <v>-74.030416666666696</v>
      </c>
      <c r="AB1931" s="2">
        <v>2570</v>
      </c>
      <c r="AC1931" s="2" t="s">
        <v>31</v>
      </c>
      <c r="AD1931" s="2" t="s">
        <v>58</v>
      </c>
      <c r="AE1931" s="2" t="s">
        <v>33</v>
      </c>
      <c r="AF1931" s="2" t="s">
        <v>34</v>
      </c>
      <c r="AG1931" s="2" t="s">
        <v>59</v>
      </c>
      <c r="AH1931" s="2">
        <v>0.95716854937450502</v>
      </c>
      <c r="AI1931" s="2">
        <v>2.1556884728084</v>
      </c>
      <c r="AJ1931" s="2">
        <v>1.11639510867431</v>
      </c>
      <c r="AK1931" s="2">
        <v>0.12728113106510699</v>
      </c>
      <c r="AL1931" s="2">
        <v>7.0448757815429003E-2</v>
      </c>
      <c r="AM1931" s="2">
        <v>15.5</v>
      </c>
      <c r="AN1931" s="2">
        <v>2.4</v>
      </c>
      <c r="AO1931" s="2">
        <v>10.9</v>
      </c>
      <c r="AP1931" s="2">
        <v>564</v>
      </c>
      <c r="AQ1931" s="2">
        <v>68</v>
      </c>
      <c r="AR1931" s="2">
        <v>1.5</v>
      </c>
      <c r="AS1931" s="2">
        <v>135</v>
      </c>
      <c r="AT1931" s="2">
        <v>0</v>
      </c>
      <c r="AU1931" s="2">
        <v>162</v>
      </c>
      <c r="AV1931" s="2">
        <v>9.1</v>
      </c>
      <c r="AW1931" s="2">
        <v>9.1999999999999993</v>
      </c>
      <c r="AX1931" s="2">
        <v>18.3</v>
      </c>
      <c r="AY1931" s="2">
        <v>0.34</v>
      </c>
      <c r="AZ1931" s="2">
        <v>7.3</v>
      </c>
      <c r="BA1931" s="2">
        <v>0.9</v>
      </c>
      <c r="BB1931" s="2">
        <v>7.5</v>
      </c>
      <c r="BC1931" s="2">
        <v>2.9</v>
      </c>
      <c r="BD1931" s="2">
        <f>+AN1931*EXP(-0.0495*Y1931)</f>
        <v>2.1768159980624868</v>
      </c>
      <c r="BE1931" s="2">
        <f>+AO1931*EXP(-0.024*Y1931)</f>
        <v>10.396185087721999</v>
      </c>
    </row>
    <row r="1932" spans="1:57" x14ac:dyDescent="0.2">
      <c r="A1932" s="2" t="s">
        <v>3899</v>
      </c>
      <c r="B1932" s="2" t="s">
        <v>19</v>
      </c>
      <c r="C1932" s="2" t="s">
        <v>3245</v>
      </c>
      <c r="D1932" s="2" t="s">
        <v>21</v>
      </c>
      <c r="E1932" s="2" t="s">
        <v>321</v>
      </c>
      <c r="F1932" s="2">
        <v>4</v>
      </c>
      <c r="G1932" s="2">
        <v>26.98</v>
      </c>
      <c r="H1932" s="2">
        <v>1</v>
      </c>
      <c r="I1932" s="2">
        <v>1</v>
      </c>
      <c r="J1932" s="2">
        <v>0</v>
      </c>
      <c r="K1932" s="2" t="s">
        <v>61</v>
      </c>
      <c r="L1932" s="6" t="s">
        <v>62</v>
      </c>
      <c r="M1932" s="5">
        <v>235000000</v>
      </c>
      <c r="N1932" s="2">
        <v>0</v>
      </c>
      <c r="O1932" s="2">
        <v>4.7321520000000001</v>
      </c>
      <c r="P1932" s="2">
        <v>-74.023650000000004</v>
      </c>
      <c r="Q1932" s="2" t="s">
        <v>3900</v>
      </c>
      <c r="R1932" s="2">
        <v>8710155.6710000001</v>
      </c>
      <c r="S1932" s="2">
        <v>0</v>
      </c>
      <c r="T1932" s="2" t="s">
        <v>55</v>
      </c>
      <c r="U1932" s="2" t="s">
        <v>56</v>
      </c>
      <c r="V1932" s="2" t="s">
        <v>28</v>
      </c>
      <c r="W1932" s="2" t="s">
        <v>55</v>
      </c>
      <c r="X1932" s="2" t="s">
        <v>57</v>
      </c>
      <c r="Y1932" s="2">
        <v>2.5404385498304198</v>
      </c>
      <c r="Z1932" s="2">
        <v>4.71035</v>
      </c>
      <c r="AA1932" s="2">
        <v>-74.030416666666696</v>
      </c>
      <c r="AB1932" s="2">
        <v>2570</v>
      </c>
      <c r="AC1932" s="2" t="s">
        <v>31</v>
      </c>
      <c r="AD1932" s="2" t="s">
        <v>58</v>
      </c>
      <c r="AE1932" s="2" t="s">
        <v>33</v>
      </c>
      <c r="AF1932" s="2" t="s">
        <v>34</v>
      </c>
      <c r="AG1932" s="2" t="s">
        <v>59</v>
      </c>
      <c r="AH1932" s="2">
        <v>2.84843769096386</v>
      </c>
      <c r="AI1932" s="2">
        <v>0.192319295846965</v>
      </c>
      <c r="AJ1932" s="2">
        <v>1.7169474241415901</v>
      </c>
      <c r="AK1932" s="2">
        <v>0.11196841691129</v>
      </c>
      <c r="AL1932" s="2">
        <v>7.9879782069307806E-2</v>
      </c>
      <c r="AM1932" s="2">
        <v>15.5</v>
      </c>
      <c r="AN1932" s="2">
        <v>2.4</v>
      </c>
      <c r="AO1932" s="2">
        <v>10.9</v>
      </c>
      <c r="AP1932" s="2">
        <v>564</v>
      </c>
      <c r="AQ1932" s="2">
        <v>68</v>
      </c>
      <c r="AR1932" s="2">
        <v>1.5</v>
      </c>
      <c r="AS1932" s="2">
        <v>135</v>
      </c>
      <c r="AT1932" s="2">
        <v>0</v>
      </c>
      <c r="AU1932" s="2">
        <v>162</v>
      </c>
      <c r="AV1932" s="2">
        <v>9.1</v>
      </c>
      <c r="AW1932" s="2">
        <v>9.1999999999999993</v>
      </c>
      <c r="AX1932" s="2">
        <v>18.3</v>
      </c>
      <c r="AY1932" s="2">
        <v>0.34</v>
      </c>
      <c r="AZ1932" s="2">
        <v>7.3</v>
      </c>
      <c r="BA1932" s="2">
        <v>0.9</v>
      </c>
      <c r="BB1932" s="2">
        <v>7.5</v>
      </c>
      <c r="BC1932" s="2">
        <v>2.9</v>
      </c>
      <c r="BD1932" s="2">
        <f>+AN1932*EXP(-0.0495*Y1932)</f>
        <v>2.1164010520403829</v>
      </c>
      <c r="BE1932" s="2">
        <f>+AO1932*EXP(-0.024*Y1932)</f>
        <v>10.255275581342286</v>
      </c>
    </row>
    <row r="1933" spans="1:57" x14ac:dyDescent="0.2">
      <c r="A1933" s="2" t="s">
        <v>3722</v>
      </c>
      <c r="B1933" s="2" t="s">
        <v>19</v>
      </c>
      <c r="C1933" s="2" t="s">
        <v>3245</v>
      </c>
      <c r="D1933" s="2" t="s">
        <v>21</v>
      </c>
      <c r="E1933" s="2" t="s">
        <v>699</v>
      </c>
      <c r="F1933" s="2">
        <v>5</v>
      </c>
      <c r="G1933" s="2">
        <v>26.76</v>
      </c>
      <c r="H1933" s="2">
        <v>1</v>
      </c>
      <c r="I1933" s="2">
        <v>1</v>
      </c>
      <c r="J1933" s="2">
        <v>0</v>
      </c>
      <c r="K1933" s="2" t="s">
        <v>61</v>
      </c>
      <c r="L1933" s="6" t="s">
        <v>62</v>
      </c>
      <c r="M1933" s="5">
        <v>450000000</v>
      </c>
      <c r="N1933" s="2">
        <v>0</v>
      </c>
      <c r="O1933" s="2">
        <v>4.6858399999999998</v>
      </c>
      <c r="P1933" s="2">
        <v>-74.047200000000004</v>
      </c>
      <c r="Q1933" s="2" t="s">
        <v>3723</v>
      </c>
      <c r="R1933" s="2">
        <v>16816143.5</v>
      </c>
      <c r="S1933" s="2">
        <v>0</v>
      </c>
      <c r="T1933" s="2" t="s">
        <v>55</v>
      </c>
      <c r="U1933" s="2" t="s">
        <v>56</v>
      </c>
      <c r="V1933" s="2" t="s">
        <v>28</v>
      </c>
      <c r="W1933" s="2" t="s">
        <v>55</v>
      </c>
      <c r="X1933" s="2" t="s">
        <v>57</v>
      </c>
      <c r="Y1933" s="2">
        <v>3.3032653988577598</v>
      </c>
      <c r="Z1933" s="2">
        <v>4.71035</v>
      </c>
      <c r="AA1933" s="2">
        <v>-74.030416666666696</v>
      </c>
      <c r="AB1933" s="2">
        <v>2570</v>
      </c>
      <c r="AC1933" s="2" t="s">
        <v>31</v>
      </c>
      <c r="AD1933" s="2" t="s">
        <v>58</v>
      </c>
      <c r="AE1933" s="2" t="s">
        <v>33</v>
      </c>
      <c r="AF1933" s="2" t="s">
        <v>34</v>
      </c>
      <c r="AG1933" s="2" t="s">
        <v>59</v>
      </c>
      <c r="AH1933" s="2">
        <v>1.1841803108234901</v>
      </c>
      <c r="AI1933" s="2">
        <v>1.4489962134057099</v>
      </c>
      <c r="AJ1933" s="2">
        <v>0.43260666452410101</v>
      </c>
      <c r="AK1933" s="2">
        <v>9.2177635564789404E-2</v>
      </c>
      <c r="AL1933" s="2">
        <v>0.52197529245593499</v>
      </c>
      <c r="AM1933" s="2">
        <v>15.5</v>
      </c>
      <c r="AN1933" s="2">
        <v>2.4</v>
      </c>
      <c r="AO1933" s="2">
        <v>10.9</v>
      </c>
      <c r="AP1933" s="2">
        <v>564</v>
      </c>
      <c r="AQ1933" s="2">
        <v>68</v>
      </c>
      <c r="AR1933" s="2">
        <v>1.5</v>
      </c>
      <c r="AS1933" s="2">
        <v>135</v>
      </c>
      <c r="AT1933" s="2">
        <v>0</v>
      </c>
      <c r="AU1933" s="2">
        <v>162</v>
      </c>
      <c r="AV1933" s="2">
        <v>9.1</v>
      </c>
      <c r="AW1933" s="2">
        <v>9.1999999999999993</v>
      </c>
      <c r="AX1933" s="2">
        <v>18.3</v>
      </c>
      <c r="AY1933" s="2">
        <v>0.34</v>
      </c>
      <c r="AZ1933" s="2">
        <v>7.3</v>
      </c>
      <c r="BA1933" s="2">
        <v>0.9</v>
      </c>
      <c r="BB1933" s="2">
        <v>7.5</v>
      </c>
      <c r="BC1933" s="2">
        <v>2.9</v>
      </c>
      <c r="BD1933" s="2">
        <f>+AN1933*EXP(-0.0495*Y1933)</f>
        <v>2.037975881044312</v>
      </c>
      <c r="BE1933" s="2">
        <f>+AO1933*EXP(-0.024*Y1933)</f>
        <v>10.069231818527181</v>
      </c>
    </row>
    <row r="1934" spans="1:57" x14ac:dyDescent="0.2">
      <c r="A1934" s="2" t="s">
        <v>3463</v>
      </c>
      <c r="B1934" s="2" t="s">
        <v>19</v>
      </c>
      <c r="C1934" s="2" t="s">
        <v>3245</v>
      </c>
      <c r="D1934" s="2" t="s">
        <v>21</v>
      </c>
      <c r="E1934" s="2" t="s">
        <v>1609</v>
      </c>
      <c r="F1934" s="2">
        <v>6</v>
      </c>
      <c r="G1934" s="2">
        <v>26.42</v>
      </c>
      <c r="H1934" s="2">
        <v>1</v>
      </c>
      <c r="I1934" s="2">
        <v>1</v>
      </c>
      <c r="J1934" s="2">
        <v>0</v>
      </c>
      <c r="K1934" s="2" t="s">
        <v>61</v>
      </c>
      <c r="L1934" s="6" t="s">
        <v>62</v>
      </c>
      <c r="M1934" s="5">
        <v>400000000</v>
      </c>
      <c r="N1934" s="2">
        <v>0</v>
      </c>
      <c r="O1934" s="2">
        <v>4.6825299999999999</v>
      </c>
      <c r="P1934" s="2">
        <v>-74.054259999999999</v>
      </c>
      <c r="Q1934" s="2" t="s">
        <v>3464</v>
      </c>
      <c r="R1934" s="2">
        <v>15140045.42</v>
      </c>
      <c r="S1934" s="2">
        <v>0</v>
      </c>
      <c r="T1934" s="2" t="s">
        <v>55</v>
      </c>
      <c r="U1934" s="2" t="s">
        <v>56</v>
      </c>
      <c r="V1934" s="2" t="s">
        <v>28</v>
      </c>
      <c r="W1934" s="2" t="s">
        <v>55</v>
      </c>
      <c r="X1934" s="2" t="s">
        <v>57</v>
      </c>
      <c r="Y1934" s="2">
        <v>4.0729028586758798</v>
      </c>
      <c r="Z1934" s="2">
        <v>4.71035</v>
      </c>
      <c r="AA1934" s="2">
        <v>-74.030416666666696</v>
      </c>
      <c r="AB1934" s="2">
        <v>2570</v>
      </c>
      <c r="AC1934" s="2" t="s">
        <v>31</v>
      </c>
      <c r="AD1934" s="2" t="s">
        <v>58</v>
      </c>
      <c r="AE1934" s="2" t="s">
        <v>33</v>
      </c>
      <c r="AF1934" s="2" t="s">
        <v>34</v>
      </c>
      <c r="AG1934" s="2" t="s">
        <v>81</v>
      </c>
      <c r="AH1934" s="2">
        <v>0.41368629750202801</v>
      </c>
      <c r="AI1934" s="2">
        <v>1.8894761185403099</v>
      </c>
      <c r="AJ1934" s="2">
        <v>0.39149464069274198</v>
      </c>
      <c r="AK1934" s="2">
        <v>0.174600221156619</v>
      </c>
      <c r="AL1934" s="2">
        <v>0.454222310942895</v>
      </c>
      <c r="AM1934" s="2">
        <v>15.5</v>
      </c>
      <c r="AN1934" s="2">
        <v>2.4</v>
      </c>
      <c r="AO1934" s="2">
        <v>10.9</v>
      </c>
      <c r="AP1934" s="2">
        <v>564</v>
      </c>
      <c r="AQ1934" s="2">
        <v>68</v>
      </c>
      <c r="AR1934" s="2">
        <v>1.5</v>
      </c>
      <c r="AS1934" s="2">
        <v>135</v>
      </c>
      <c r="AT1934" s="2">
        <v>0</v>
      </c>
      <c r="AU1934" s="2">
        <v>162</v>
      </c>
      <c r="AV1934" s="2">
        <v>9.1</v>
      </c>
      <c r="AW1934" s="2">
        <v>9.1999999999999993</v>
      </c>
      <c r="AX1934" s="2">
        <v>18.3</v>
      </c>
      <c r="AY1934" s="2">
        <v>0.34</v>
      </c>
      <c r="AZ1934" s="2">
        <v>7.3</v>
      </c>
      <c r="BA1934" s="2">
        <v>0.9</v>
      </c>
      <c r="BB1934" s="2">
        <v>7.5</v>
      </c>
      <c r="BC1934" s="2">
        <v>2.9</v>
      </c>
      <c r="BD1934" s="2">
        <f>+AN1934*EXP(-0.0495*Y1934)</f>
        <v>1.9617953440682641</v>
      </c>
      <c r="BE1934" s="2">
        <f>+AO1934*EXP(-0.024*Y1934)</f>
        <v>9.8849472538231993</v>
      </c>
    </row>
    <row r="1935" spans="1:57" x14ac:dyDescent="0.2">
      <c r="A1935" s="2" t="s">
        <v>3614</v>
      </c>
      <c r="B1935" s="2" t="s">
        <v>19</v>
      </c>
      <c r="C1935" s="2" t="s">
        <v>3245</v>
      </c>
      <c r="D1935" s="2" t="s">
        <v>21</v>
      </c>
      <c r="E1935" s="2" t="s">
        <v>83</v>
      </c>
      <c r="F1935" s="2">
        <v>6</v>
      </c>
      <c r="G1935" s="2">
        <v>26</v>
      </c>
      <c r="H1935" s="2">
        <v>1</v>
      </c>
      <c r="I1935" s="2">
        <v>1</v>
      </c>
      <c r="J1935" s="2">
        <v>1</v>
      </c>
      <c r="K1935" s="2" t="s">
        <v>61</v>
      </c>
      <c r="L1935" s="6" t="s">
        <v>62</v>
      </c>
      <c r="M1935" s="5">
        <v>400000000</v>
      </c>
      <c r="N1935" s="2">
        <v>0</v>
      </c>
      <c r="O1935" s="2">
        <v>4.6821567530000001</v>
      </c>
      <c r="P1935" s="2">
        <v>-74.054186999999999</v>
      </c>
      <c r="Q1935" s="2" t="s">
        <v>3615</v>
      </c>
      <c r="R1935" s="2">
        <v>15384615.380000001</v>
      </c>
      <c r="S1935" s="2">
        <v>0</v>
      </c>
      <c r="T1935" s="2" t="s">
        <v>55</v>
      </c>
      <c r="U1935" s="2" t="s">
        <v>56</v>
      </c>
      <c r="V1935" s="2" t="s">
        <v>28</v>
      </c>
      <c r="W1935" s="2" t="s">
        <v>55</v>
      </c>
      <c r="X1935" s="2" t="s">
        <v>57</v>
      </c>
      <c r="Y1935" s="2">
        <v>4.0993701169922696</v>
      </c>
      <c r="Z1935" s="2">
        <v>4.71035</v>
      </c>
      <c r="AA1935" s="2">
        <v>-74.030416666666696</v>
      </c>
      <c r="AB1935" s="2">
        <v>2570</v>
      </c>
      <c r="AC1935" s="2" t="s">
        <v>31</v>
      </c>
      <c r="AD1935" s="2" t="s">
        <v>58</v>
      </c>
      <c r="AE1935" s="2" t="s">
        <v>33</v>
      </c>
      <c r="AF1935" s="2" t="s">
        <v>34</v>
      </c>
      <c r="AG1935" s="2" t="s">
        <v>81</v>
      </c>
      <c r="AH1935" s="2">
        <v>0.43822484502763398</v>
      </c>
      <c r="AI1935" s="2">
        <v>1.86171945064736</v>
      </c>
      <c r="AJ1935" s="2">
        <v>0.42646151693648299</v>
      </c>
      <c r="AK1935" s="2">
        <v>0.173521572563858</v>
      </c>
      <c r="AL1935" s="2">
        <v>0.47448713731507097</v>
      </c>
      <c r="AM1935" s="2">
        <v>15.5</v>
      </c>
      <c r="AN1935" s="2">
        <v>2.4</v>
      </c>
      <c r="AO1935" s="2">
        <v>10.9</v>
      </c>
      <c r="AP1935" s="2">
        <v>564</v>
      </c>
      <c r="AQ1935" s="2">
        <v>68</v>
      </c>
      <c r="AR1935" s="2">
        <v>1.5</v>
      </c>
      <c r="AS1935" s="2">
        <v>135</v>
      </c>
      <c r="AT1935" s="2">
        <v>0</v>
      </c>
      <c r="AU1935" s="2">
        <v>162</v>
      </c>
      <c r="AV1935" s="2">
        <v>9.1</v>
      </c>
      <c r="AW1935" s="2">
        <v>9.1999999999999993</v>
      </c>
      <c r="AX1935" s="2">
        <v>18.3</v>
      </c>
      <c r="AY1935" s="2">
        <v>0.34</v>
      </c>
      <c r="AZ1935" s="2">
        <v>7.3</v>
      </c>
      <c r="BA1935" s="2">
        <v>0.9</v>
      </c>
      <c r="BB1935" s="2">
        <v>7.5</v>
      </c>
      <c r="BC1935" s="2">
        <v>2.9</v>
      </c>
      <c r="BD1935" s="2">
        <f>+AN1935*EXP(-0.0495*Y1935)</f>
        <v>1.9592268214493103</v>
      </c>
      <c r="BE1935" s="2">
        <f>+AO1935*EXP(-0.024*Y1935)</f>
        <v>9.878670188816816</v>
      </c>
    </row>
    <row r="1936" spans="1:57" x14ac:dyDescent="0.2">
      <c r="A1936" s="2" t="s">
        <v>4474</v>
      </c>
      <c r="B1936" s="2" t="s">
        <v>19</v>
      </c>
      <c r="C1936" s="2" t="s">
        <v>3245</v>
      </c>
      <c r="D1936" s="2" t="s">
        <v>21</v>
      </c>
      <c r="E1936" s="2" t="s">
        <v>170</v>
      </c>
      <c r="F1936" s="2">
        <v>6</v>
      </c>
      <c r="G1936" s="2">
        <v>26</v>
      </c>
      <c r="H1936" s="2">
        <v>1</v>
      </c>
      <c r="I1936" s="2">
        <v>1</v>
      </c>
      <c r="J1936" s="2">
        <v>0</v>
      </c>
      <c r="K1936" s="2" t="s">
        <v>61</v>
      </c>
      <c r="L1936" s="6" t="s">
        <v>62</v>
      </c>
      <c r="M1936" s="5">
        <v>227000000</v>
      </c>
      <c r="N1936" s="2">
        <v>0</v>
      </c>
      <c r="O1936" s="2">
        <v>4.731813431</v>
      </c>
      <c r="P1936" s="2">
        <v>-74.022468570000001</v>
      </c>
      <c r="Q1936" s="2" t="s">
        <v>4475</v>
      </c>
      <c r="R1936" s="2">
        <v>8730769.2310000006</v>
      </c>
      <c r="S1936" s="2">
        <v>0</v>
      </c>
      <c r="T1936" s="2" t="s">
        <v>55</v>
      </c>
      <c r="U1936" s="2" t="s">
        <v>56</v>
      </c>
      <c r="V1936" s="2" t="s">
        <v>28</v>
      </c>
      <c r="W1936" s="2" t="s">
        <v>55</v>
      </c>
      <c r="X1936" s="2" t="s">
        <v>57</v>
      </c>
      <c r="Y1936" s="2">
        <v>2.5468166686135301</v>
      </c>
      <c r="Z1936" s="2">
        <v>4.71035</v>
      </c>
      <c r="AA1936" s="2">
        <v>-74.030416666666696</v>
      </c>
      <c r="AB1936" s="2">
        <v>2570</v>
      </c>
      <c r="AC1936" s="2" t="s">
        <v>31</v>
      </c>
      <c r="AD1936" s="2" t="s">
        <v>58</v>
      </c>
      <c r="AE1936" s="2" t="s">
        <v>33</v>
      </c>
      <c r="AF1936" s="2" t="s">
        <v>34</v>
      </c>
      <c r="AG1936" s="2" t="s">
        <v>59</v>
      </c>
      <c r="AH1936" s="2">
        <v>2.98247911088297</v>
      </c>
      <c r="AI1936" s="2">
        <v>9.9979562617553697E-2</v>
      </c>
      <c r="AJ1936" s="2">
        <v>1.7873945447483</v>
      </c>
      <c r="AK1936" s="2">
        <v>0.232690751419248</v>
      </c>
      <c r="AL1936" s="2">
        <v>0.18961918266319999</v>
      </c>
      <c r="AM1936" s="2">
        <v>15.5</v>
      </c>
      <c r="AN1936" s="2">
        <v>2.4</v>
      </c>
      <c r="AO1936" s="2">
        <v>10.9</v>
      </c>
      <c r="AP1936" s="2">
        <v>564</v>
      </c>
      <c r="AQ1936" s="2">
        <v>68</v>
      </c>
      <c r="AR1936" s="2">
        <v>1.5</v>
      </c>
      <c r="AS1936" s="2">
        <v>135</v>
      </c>
      <c r="AT1936" s="2">
        <v>0</v>
      </c>
      <c r="AU1936" s="2">
        <v>162</v>
      </c>
      <c r="AV1936" s="2">
        <v>9.1</v>
      </c>
      <c r="AW1936" s="2">
        <v>9.1999999999999993</v>
      </c>
      <c r="AX1936" s="2">
        <v>18.3</v>
      </c>
      <c r="AY1936" s="2">
        <v>0.34</v>
      </c>
      <c r="AZ1936" s="2">
        <v>7.3</v>
      </c>
      <c r="BA1936" s="2">
        <v>0.9</v>
      </c>
      <c r="BB1936" s="2">
        <v>7.5</v>
      </c>
      <c r="BC1936" s="2">
        <v>2.9</v>
      </c>
      <c r="BD1936" s="2">
        <f>+AN1936*EXP(-0.0495*Y1936)</f>
        <v>2.1157329739712147</v>
      </c>
      <c r="BE1936" s="2">
        <f>+AO1936*EXP(-0.024*Y1936)</f>
        <v>10.253705876707031</v>
      </c>
    </row>
    <row r="1937" spans="1:57" x14ac:dyDescent="0.2">
      <c r="A1937" s="2" t="s">
        <v>3911</v>
      </c>
      <c r="B1937" s="2" t="s">
        <v>19</v>
      </c>
      <c r="C1937" s="2" t="s">
        <v>3245</v>
      </c>
      <c r="D1937" s="2" t="s">
        <v>21</v>
      </c>
      <c r="E1937" s="2" t="s">
        <v>147</v>
      </c>
      <c r="F1937" s="2">
        <v>6</v>
      </c>
      <c r="G1937" s="2">
        <v>25</v>
      </c>
      <c r="H1937" s="2">
        <v>1</v>
      </c>
      <c r="I1937" s="2">
        <v>1</v>
      </c>
      <c r="J1937" s="2">
        <v>0</v>
      </c>
      <c r="K1937" s="2" t="s">
        <v>61</v>
      </c>
      <c r="L1937" s="6" t="s">
        <v>62</v>
      </c>
      <c r="M1937" s="5">
        <v>445000000</v>
      </c>
      <c r="N1937" s="2">
        <v>0</v>
      </c>
      <c r="O1937" s="2">
        <v>4.6817698480000001</v>
      </c>
      <c r="P1937" s="2">
        <v>-74.04142761</v>
      </c>
      <c r="Q1937" s="2" t="s">
        <v>3912</v>
      </c>
      <c r="R1937" s="2">
        <v>17800000</v>
      </c>
      <c r="S1937" s="2">
        <v>0</v>
      </c>
      <c r="T1937" s="2" t="s">
        <v>55</v>
      </c>
      <c r="U1937" s="2" t="s">
        <v>56</v>
      </c>
      <c r="V1937" s="2" t="s">
        <v>28</v>
      </c>
      <c r="W1937" s="2" t="s">
        <v>55</v>
      </c>
      <c r="X1937" s="2" t="s">
        <v>57</v>
      </c>
      <c r="Y1937" s="2">
        <v>3.4080009291498201</v>
      </c>
      <c r="Z1937" s="2">
        <v>4.71035</v>
      </c>
      <c r="AA1937" s="2">
        <v>-74.030416666666696</v>
      </c>
      <c r="AB1937" s="2">
        <v>2570</v>
      </c>
      <c r="AC1937" s="2" t="s">
        <v>31</v>
      </c>
      <c r="AD1937" s="2" t="s">
        <v>58</v>
      </c>
      <c r="AE1937" s="2" t="s">
        <v>33</v>
      </c>
      <c r="AF1937" s="2" t="s">
        <v>34</v>
      </c>
      <c r="AG1937" s="2" t="s">
        <v>59</v>
      </c>
      <c r="AH1937" s="2">
        <v>1.8216445456495101</v>
      </c>
      <c r="AI1937" s="2">
        <v>0.666762105683811</v>
      </c>
      <c r="AJ1937" s="2">
        <v>0.25234511898740702</v>
      </c>
      <c r="AK1937" s="2">
        <v>0.117411184703169</v>
      </c>
      <c r="AL1937" s="2">
        <v>0.61746327305670801</v>
      </c>
      <c r="AM1937" s="2">
        <v>15.5</v>
      </c>
      <c r="AN1937" s="2">
        <v>2.4</v>
      </c>
      <c r="AO1937" s="2">
        <v>10.9</v>
      </c>
      <c r="AP1937" s="2">
        <v>564</v>
      </c>
      <c r="AQ1937" s="2">
        <v>68</v>
      </c>
      <c r="AR1937" s="2">
        <v>1.5</v>
      </c>
      <c r="AS1937" s="2">
        <v>135</v>
      </c>
      <c r="AT1937" s="2">
        <v>0</v>
      </c>
      <c r="AU1937" s="2">
        <v>162</v>
      </c>
      <c r="AV1937" s="2">
        <v>9.1</v>
      </c>
      <c r="AW1937" s="2">
        <v>9.1999999999999993</v>
      </c>
      <c r="AX1937" s="2">
        <v>18.3</v>
      </c>
      <c r="AY1937" s="2">
        <v>0.34</v>
      </c>
      <c r="AZ1937" s="2">
        <v>7.3</v>
      </c>
      <c r="BA1937" s="2">
        <v>0.9</v>
      </c>
      <c r="BB1937" s="2">
        <v>7.5</v>
      </c>
      <c r="BC1937" s="2">
        <v>2.9</v>
      </c>
      <c r="BD1937" s="2">
        <f>+AN1937*EXP(-0.0495*Y1937)</f>
        <v>2.0274375222394796</v>
      </c>
      <c r="BE1937" s="2">
        <f>+AO1937*EXP(-0.024*Y1937)</f>
        <v>10.043953050839534</v>
      </c>
    </row>
    <row r="1938" spans="1:57" x14ac:dyDescent="0.2">
      <c r="A1938" s="2" t="s">
        <v>3533</v>
      </c>
      <c r="B1938" s="2" t="s">
        <v>19</v>
      </c>
      <c r="C1938" s="2" t="s">
        <v>3245</v>
      </c>
      <c r="D1938" s="2" t="s">
        <v>21</v>
      </c>
      <c r="E1938" s="2" t="s">
        <v>141</v>
      </c>
      <c r="F1938" s="2">
        <v>6</v>
      </c>
      <c r="G1938" s="2">
        <v>25</v>
      </c>
      <c r="H1938" s="2">
        <v>1</v>
      </c>
      <c r="I1938" s="2">
        <v>1</v>
      </c>
      <c r="J1938" s="2">
        <v>1</v>
      </c>
      <c r="K1938" s="2" t="s">
        <v>61</v>
      </c>
      <c r="L1938" s="6" t="s">
        <v>62</v>
      </c>
      <c r="M1938" s="5">
        <v>415000000</v>
      </c>
      <c r="N1938" s="2">
        <v>0</v>
      </c>
      <c r="O1938" s="2">
        <v>4.6858456899999998</v>
      </c>
      <c r="P1938" s="2">
        <v>-74.047077290000004</v>
      </c>
      <c r="Q1938" s="2" t="s">
        <v>3534</v>
      </c>
      <c r="R1938" s="2">
        <v>16600000</v>
      </c>
      <c r="S1938" s="2">
        <v>0</v>
      </c>
      <c r="T1938" s="2" t="s">
        <v>55</v>
      </c>
      <c r="U1938" s="2" t="s">
        <v>56</v>
      </c>
      <c r="V1938" s="2" t="s">
        <v>28</v>
      </c>
      <c r="W1938" s="2" t="s">
        <v>55</v>
      </c>
      <c r="X1938" s="2" t="s">
        <v>57</v>
      </c>
      <c r="Y1938" s="2">
        <v>3.2950859862444899</v>
      </c>
      <c r="Z1938" s="2">
        <v>4.71035</v>
      </c>
      <c r="AA1938" s="2">
        <v>-74.030416666666696</v>
      </c>
      <c r="AB1938" s="2">
        <v>2570</v>
      </c>
      <c r="AC1938" s="2" t="s">
        <v>31</v>
      </c>
      <c r="AD1938" s="2" t="s">
        <v>58</v>
      </c>
      <c r="AE1938" s="2" t="s">
        <v>33</v>
      </c>
      <c r="AF1938" s="2" t="s">
        <v>34</v>
      </c>
      <c r="AG1938" s="2" t="s">
        <v>59</v>
      </c>
      <c r="AH1938" s="2">
        <v>1.19768518957343</v>
      </c>
      <c r="AI1938" s="2">
        <v>1.4383163381904001</v>
      </c>
      <c r="AJ1938" s="2">
        <v>0.44617112384864299</v>
      </c>
      <c r="AK1938" s="2">
        <v>8.9901793918189907E-2</v>
      </c>
      <c r="AL1938" s="2">
        <v>0.51498446204519399</v>
      </c>
      <c r="AM1938" s="2">
        <v>15.5</v>
      </c>
      <c r="AN1938" s="2">
        <v>2.4</v>
      </c>
      <c r="AO1938" s="2">
        <v>10.9</v>
      </c>
      <c r="AP1938" s="2">
        <v>564</v>
      </c>
      <c r="AQ1938" s="2">
        <v>68</v>
      </c>
      <c r="AR1938" s="2">
        <v>1.5</v>
      </c>
      <c r="AS1938" s="2">
        <v>135</v>
      </c>
      <c r="AT1938" s="2">
        <v>0</v>
      </c>
      <c r="AU1938" s="2">
        <v>162</v>
      </c>
      <c r="AV1938" s="2">
        <v>9.1</v>
      </c>
      <c r="AW1938" s="2">
        <v>9.1999999999999993</v>
      </c>
      <c r="AX1938" s="2">
        <v>18.3</v>
      </c>
      <c r="AY1938" s="2">
        <v>0.34</v>
      </c>
      <c r="AZ1938" s="2">
        <v>7.3</v>
      </c>
      <c r="BA1938" s="2">
        <v>0.9</v>
      </c>
      <c r="BB1938" s="2">
        <v>7.5</v>
      </c>
      <c r="BC1938" s="2">
        <v>2.9</v>
      </c>
      <c r="BD1938" s="2">
        <f>+AN1938*EXP(-0.0495*Y1938)</f>
        <v>2.0388011856666215</v>
      </c>
      <c r="BE1938" s="2">
        <f>+AO1938*EXP(-0.024*Y1938)</f>
        <v>10.071208662195691</v>
      </c>
    </row>
    <row r="1939" spans="1:57" x14ac:dyDescent="0.2">
      <c r="A1939" s="2" t="s">
        <v>1051</v>
      </c>
      <c r="B1939" s="2" t="s">
        <v>19</v>
      </c>
      <c r="C1939" s="2" t="s">
        <v>20</v>
      </c>
      <c r="D1939" s="2" t="s">
        <v>21</v>
      </c>
      <c r="E1939" s="2" t="s">
        <v>53</v>
      </c>
      <c r="F1939" s="2">
        <v>6</v>
      </c>
      <c r="G1939" s="2">
        <v>24.88</v>
      </c>
      <c r="H1939" s="2">
        <v>1</v>
      </c>
      <c r="I1939" s="2">
        <v>1</v>
      </c>
      <c r="J1939" s="2">
        <v>0</v>
      </c>
      <c r="K1939" s="2" t="s">
        <v>23</v>
      </c>
      <c r="L1939" s="6" t="s">
        <v>24</v>
      </c>
      <c r="M1939" s="5">
        <v>311000000</v>
      </c>
      <c r="N1939" s="2">
        <v>0</v>
      </c>
      <c r="O1939" s="2">
        <v>4.6949915999999998</v>
      </c>
      <c r="P1939" s="2">
        <v>-74.039370000000005</v>
      </c>
      <c r="Q1939" s="2" t="s">
        <v>1052</v>
      </c>
      <c r="R1939" s="2">
        <v>12500000</v>
      </c>
      <c r="S1939" s="2">
        <v>0</v>
      </c>
      <c r="T1939" s="2" t="s">
        <v>55</v>
      </c>
      <c r="U1939" s="2" t="s">
        <v>56</v>
      </c>
      <c r="V1939" s="2" t="s">
        <v>28</v>
      </c>
      <c r="W1939" s="2" t="s">
        <v>55</v>
      </c>
      <c r="X1939" s="2" t="s">
        <v>57</v>
      </c>
      <c r="Y1939" s="2">
        <v>1.9773043353594899</v>
      </c>
      <c r="Z1939" s="2">
        <v>4.71035</v>
      </c>
      <c r="AA1939" s="2">
        <v>-74.030416666666696</v>
      </c>
      <c r="AB1939" s="2">
        <v>2570</v>
      </c>
      <c r="AC1939" s="2" t="s">
        <v>31</v>
      </c>
      <c r="AD1939" s="2" t="s">
        <v>58</v>
      </c>
      <c r="AE1939" s="2" t="s">
        <v>33</v>
      </c>
      <c r="AF1939" s="2" t="s">
        <v>34</v>
      </c>
      <c r="AG1939" s="2" t="s">
        <v>59</v>
      </c>
      <c r="AH1939" s="2">
        <v>1.80090721070268</v>
      </c>
      <c r="AI1939" s="2">
        <v>1.45768378741854</v>
      </c>
      <c r="AJ1939" s="2">
        <v>1.03802311037081</v>
      </c>
      <c r="AK1939" s="2">
        <v>0.18999110572962999</v>
      </c>
      <c r="AL1939" s="2">
        <v>0.111946210164812</v>
      </c>
      <c r="AM1939" s="2">
        <v>15.5</v>
      </c>
      <c r="AN1939" s="2">
        <v>2.4</v>
      </c>
      <c r="AO1939" s="2">
        <v>10.9</v>
      </c>
      <c r="AP1939" s="2">
        <v>564</v>
      </c>
      <c r="AQ1939" s="2">
        <v>68</v>
      </c>
      <c r="AR1939" s="2">
        <v>1.5</v>
      </c>
      <c r="AS1939" s="2">
        <v>135</v>
      </c>
      <c r="AT1939" s="2">
        <v>0</v>
      </c>
      <c r="AU1939" s="2">
        <v>162</v>
      </c>
      <c r="AV1939" s="2">
        <v>9.1</v>
      </c>
      <c r="AW1939" s="2">
        <v>9.1999999999999993</v>
      </c>
      <c r="AX1939" s="2">
        <v>18.3</v>
      </c>
      <c r="AY1939" s="2">
        <v>0.34</v>
      </c>
      <c r="AZ1939" s="2">
        <v>7.3</v>
      </c>
      <c r="BA1939" s="2">
        <v>0.9</v>
      </c>
      <c r="BB1939" s="2">
        <v>7.5</v>
      </c>
      <c r="BC1939" s="2">
        <v>2.9</v>
      </c>
      <c r="BD1939" s="2">
        <f>+AN1939*EXP(-0.0495*Y1939)</f>
        <v>2.1762259757544449</v>
      </c>
      <c r="BE1939" s="2">
        <f>+AO1939*EXP(-0.024*Y1939)</f>
        <v>10.394818753076281</v>
      </c>
    </row>
    <row r="1940" spans="1:57" x14ac:dyDescent="0.2">
      <c r="A1940" s="2" t="s">
        <v>3901</v>
      </c>
      <c r="B1940" s="2" t="s">
        <v>19</v>
      </c>
      <c r="C1940" s="2" t="s">
        <v>3245</v>
      </c>
      <c r="D1940" s="2" t="s">
        <v>21</v>
      </c>
      <c r="E1940" s="2" t="s">
        <v>180</v>
      </c>
      <c r="F1940" s="2">
        <v>5</v>
      </c>
      <c r="G1940" s="2">
        <v>24</v>
      </c>
      <c r="H1940" s="2">
        <v>1</v>
      </c>
      <c r="I1940" s="2">
        <v>1</v>
      </c>
      <c r="J1940" s="2">
        <v>0</v>
      </c>
      <c r="K1940" s="2" t="s">
        <v>61</v>
      </c>
      <c r="L1940" s="6" t="s">
        <v>62</v>
      </c>
      <c r="M1940" s="5">
        <v>280000000</v>
      </c>
      <c r="N1940" s="2">
        <v>0</v>
      </c>
      <c r="O1940" s="2">
        <v>4.6843700000000004</v>
      </c>
      <c r="P1940" s="2">
        <v>-74.057000000000002</v>
      </c>
      <c r="Q1940" s="2" t="s">
        <v>3902</v>
      </c>
      <c r="R1940" s="2">
        <v>11666666.67</v>
      </c>
      <c r="S1940" s="2">
        <v>0</v>
      </c>
      <c r="T1940" s="2" t="s">
        <v>55</v>
      </c>
      <c r="U1940" s="2" t="s">
        <v>56</v>
      </c>
      <c r="V1940" s="2" t="s">
        <v>28</v>
      </c>
      <c r="W1940" s="2" t="s">
        <v>55</v>
      </c>
      <c r="X1940" s="2" t="s">
        <v>57</v>
      </c>
      <c r="Y1940" s="2">
        <v>4.1306803205029103</v>
      </c>
      <c r="Z1940" s="2">
        <v>4.71035</v>
      </c>
      <c r="AA1940" s="2">
        <v>-74.030416666666696</v>
      </c>
      <c r="AB1940" s="2">
        <v>2570</v>
      </c>
      <c r="AC1940" s="2" t="s">
        <v>31</v>
      </c>
      <c r="AD1940" s="2" t="s">
        <v>58</v>
      </c>
      <c r="AE1940" s="2" t="s">
        <v>33</v>
      </c>
      <c r="AF1940" s="2" t="s">
        <v>34</v>
      </c>
      <c r="AG1940" s="2" t="s">
        <v>81</v>
      </c>
      <c r="AH1940" s="2">
        <v>9.1640248674061398E-2</v>
      </c>
      <c r="AI1940" s="2">
        <v>2.25457420570633</v>
      </c>
      <c r="AJ1940" s="2">
        <v>0.48948628962887097</v>
      </c>
      <c r="AK1940" s="2">
        <v>2.1414555690567199E-2</v>
      </c>
      <c r="AL1940" s="2">
        <v>0.157435058770825</v>
      </c>
      <c r="AM1940" s="2">
        <v>15.5</v>
      </c>
      <c r="AN1940" s="2">
        <v>2.4</v>
      </c>
      <c r="AO1940" s="2">
        <v>10.9</v>
      </c>
      <c r="AP1940" s="2">
        <v>564</v>
      </c>
      <c r="AQ1940" s="2">
        <v>68</v>
      </c>
      <c r="AR1940" s="2">
        <v>1.5</v>
      </c>
      <c r="AS1940" s="2">
        <v>135</v>
      </c>
      <c r="AT1940" s="2">
        <v>0</v>
      </c>
      <c r="AU1940" s="2">
        <v>162</v>
      </c>
      <c r="AV1940" s="2">
        <v>9.1</v>
      </c>
      <c r="AW1940" s="2">
        <v>9.1999999999999993</v>
      </c>
      <c r="AX1940" s="2">
        <v>18.3</v>
      </c>
      <c r="AY1940" s="2">
        <v>0.34</v>
      </c>
      <c r="AZ1940" s="2">
        <v>7.3</v>
      </c>
      <c r="BA1940" s="2">
        <v>0.9</v>
      </c>
      <c r="BB1940" s="2">
        <v>7.5</v>
      </c>
      <c r="BC1940" s="2">
        <v>2.9</v>
      </c>
      <c r="BD1940" s="2">
        <f>+AN1940*EXP(-0.0495*Y1940)</f>
        <v>1.9561926556853615</v>
      </c>
      <c r="BE1940" s="2">
        <f>+AO1940*EXP(-0.024*Y1940)</f>
        <v>9.8712497010331539</v>
      </c>
    </row>
    <row r="1941" spans="1:57" x14ac:dyDescent="0.2">
      <c r="A1941" s="2" t="s">
        <v>3258</v>
      </c>
      <c r="B1941" s="2" t="s">
        <v>19</v>
      </c>
      <c r="C1941" s="2" t="s">
        <v>3245</v>
      </c>
      <c r="D1941" s="2" t="s">
        <v>21</v>
      </c>
      <c r="E1941" s="2" t="s">
        <v>1437</v>
      </c>
      <c r="F1941" s="2">
        <v>6</v>
      </c>
      <c r="G1941" s="2">
        <v>24</v>
      </c>
      <c r="H1941" s="2">
        <v>1</v>
      </c>
      <c r="I1941" s="2">
        <v>1</v>
      </c>
      <c r="J1941" s="2">
        <v>1</v>
      </c>
      <c r="K1941" s="2" t="s">
        <v>61</v>
      </c>
      <c r="L1941" s="6" t="s">
        <v>62</v>
      </c>
      <c r="M1941" s="5">
        <v>400000000</v>
      </c>
      <c r="N1941" s="2">
        <v>0</v>
      </c>
      <c r="O1941" s="2">
        <v>4.682436</v>
      </c>
      <c r="P1941" s="2">
        <v>-74.054389999999998</v>
      </c>
      <c r="Q1941" s="2" t="s">
        <v>3259</v>
      </c>
      <c r="R1941" s="2">
        <v>16666666.67</v>
      </c>
      <c r="S1941" s="2">
        <v>0</v>
      </c>
      <c r="T1941" s="2" t="s">
        <v>55</v>
      </c>
      <c r="U1941" s="2" t="s">
        <v>56</v>
      </c>
      <c r="V1941" s="2" t="s">
        <v>28</v>
      </c>
      <c r="W1941" s="2" t="s">
        <v>55</v>
      </c>
      <c r="X1941" s="2" t="s">
        <v>57</v>
      </c>
      <c r="Y1941" s="2">
        <v>4.0902292059906404</v>
      </c>
      <c r="Z1941" s="2">
        <v>4.71035</v>
      </c>
      <c r="AA1941" s="2">
        <v>-74.030416666666696</v>
      </c>
      <c r="AB1941" s="2">
        <v>2570</v>
      </c>
      <c r="AC1941" s="2" t="s">
        <v>31</v>
      </c>
      <c r="AD1941" s="2" t="s">
        <v>58</v>
      </c>
      <c r="AE1941" s="2" t="s">
        <v>33</v>
      </c>
      <c r="AF1941" s="2" t="s">
        <v>34</v>
      </c>
      <c r="AG1941" s="2" t="s">
        <v>81</v>
      </c>
      <c r="AH1941" s="2">
        <v>0.40456848309661703</v>
      </c>
      <c r="AI1941" s="2">
        <v>1.89663874552134</v>
      </c>
      <c r="AJ1941" s="2">
        <v>0.40698754691197397</v>
      </c>
      <c r="AK1941" s="2">
        <v>0.15762412773135701</v>
      </c>
      <c r="AL1941" s="2">
        <v>0.44330568235064199</v>
      </c>
      <c r="AM1941" s="2">
        <v>15.5</v>
      </c>
      <c r="AN1941" s="2">
        <v>2.4</v>
      </c>
      <c r="AO1941" s="2">
        <v>10.9</v>
      </c>
      <c r="AP1941" s="2">
        <v>564</v>
      </c>
      <c r="AQ1941" s="2">
        <v>68</v>
      </c>
      <c r="AR1941" s="2">
        <v>1.5</v>
      </c>
      <c r="AS1941" s="2">
        <v>135</v>
      </c>
      <c r="AT1941" s="2">
        <v>0</v>
      </c>
      <c r="AU1941" s="2">
        <v>162</v>
      </c>
      <c r="AV1941" s="2">
        <v>9.1</v>
      </c>
      <c r="AW1941" s="2">
        <v>9.1999999999999993</v>
      </c>
      <c r="AX1941" s="2">
        <v>18.3</v>
      </c>
      <c r="AY1941" s="2">
        <v>0.34</v>
      </c>
      <c r="AZ1941" s="2">
        <v>7.3</v>
      </c>
      <c r="BA1941" s="2">
        <v>0.9</v>
      </c>
      <c r="BB1941" s="2">
        <v>7.5</v>
      </c>
      <c r="BC1941" s="2">
        <v>2.9</v>
      </c>
      <c r="BD1941" s="2">
        <f>+AN1941*EXP(-0.0495*Y1941)</f>
        <v>1.9601135233807925</v>
      </c>
      <c r="BE1941" s="2">
        <f>+AO1941*EXP(-0.024*Y1941)</f>
        <v>9.8808376276367582</v>
      </c>
    </row>
    <row r="1942" spans="1:57" x14ac:dyDescent="0.2">
      <c r="A1942" s="2" t="s">
        <v>3403</v>
      </c>
      <c r="B1942" s="2" t="s">
        <v>19</v>
      </c>
      <c r="C1942" s="2" t="s">
        <v>3245</v>
      </c>
      <c r="D1942" s="2" t="s">
        <v>21</v>
      </c>
      <c r="E1942" s="2" t="s">
        <v>180</v>
      </c>
      <c r="F1942" s="2">
        <v>6</v>
      </c>
      <c r="G1942" s="2">
        <v>24</v>
      </c>
      <c r="H1942" s="2">
        <v>1</v>
      </c>
      <c r="I1942" s="2">
        <v>1</v>
      </c>
      <c r="J1942" s="2">
        <v>0</v>
      </c>
      <c r="K1942" s="2" t="s">
        <v>61</v>
      </c>
      <c r="L1942" s="6" t="s">
        <v>62</v>
      </c>
      <c r="M1942" s="5">
        <v>400000000</v>
      </c>
      <c r="N1942" s="2">
        <v>0</v>
      </c>
      <c r="O1942" s="2">
        <v>4.682369907</v>
      </c>
      <c r="P1942" s="2">
        <v>-74.054298520000003</v>
      </c>
      <c r="Q1942" s="2" t="s">
        <v>3404</v>
      </c>
      <c r="R1942" s="2">
        <v>16666666.67</v>
      </c>
      <c r="S1942" s="2">
        <v>0</v>
      </c>
      <c r="T1942" s="2" t="s">
        <v>55</v>
      </c>
      <c r="U1942" s="2" t="s">
        <v>56</v>
      </c>
      <c r="V1942" s="2" t="s">
        <v>28</v>
      </c>
      <c r="W1942" s="2" t="s">
        <v>55</v>
      </c>
      <c r="X1942" s="2" t="s">
        <v>57</v>
      </c>
      <c r="Y1942" s="2">
        <v>4.0892381073830997</v>
      </c>
      <c r="Z1942" s="2">
        <v>4.71035</v>
      </c>
      <c r="AA1942" s="2">
        <v>-74.030416666666696</v>
      </c>
      <c r="AB1942" s="2">
        <v>2570</v>
      </c>
      <c r="AC1942" s="2" t="s">
        <v>31</v>
      </c>
      <c r="AD1942" s="2" t="s">
        <v>58</v>
      </c>
      <c r="AE1942" s="2" t="s">
        <v>33</v>
      </c>
      <c r="AF1942" s="2" t="s">
        <v>34</v>
      </c>
      <c r="AG1942" s="2" t="s">
        <v>81</v>
      </c>
      <c r="AH1942" s="2">
        <v>0.41683127879339898</v>
      </c>
      <c r="AI1942" s="2">
        <v>1.8841979738327499</v>
      </c>
      <c r="AJ1942" s="2">
        <v>0.40939218362454299</v>
      </c>
      <c r="AK1942" s="2">
        <v>0.16537454465540699</v>
      </c>
      <c r="AL1942" s="2">
        <v>0.45517346823468802</v>
      </c>
      <c r="AM1942" s="2">
        <v>15.5</v>
      </c>
      <c r="AN1942" s="2">
        <v>2.4</v>
      </c>
      <c r="AO1942" s="2">
        <v>10.9</v>
      </c>
      <c r="AP1942" s="2">
        <v>564</v>
      </c>
      <c r="AQ1942" s="2">
        <v>68</v>
      </c>
      <c r="AR1942" s="2">
        <v>1.5</v>
      </c>
      <c r="AS1942" s="2">
        <v>135</v>
      </c>
      <c r="AT1942" s="2">
        <v>0</v>
      </c>
      <c r="AU1942" s="2">
        <v>162</v>
      </c>
      <c r="AV1942" s="2">
        <v>9.1</v>
      </c>
      <c r="AW1942" s="2">
        <v>9.1999999999999993</v>
      </c>
      <c r="AX1942" s="2">
        <v>18.3</v>
      </c>
      <c r="AY1942" s="2">
        <v>0.34</v>
      </c>
      <c r="AZ1942" s="2">
        <v>7.3</v>
      </c>
      <c r="BA1942" s="2">
        <v>0.9</v>
      </c>
      <c r="BB1942" s="2">
        <v>7.5</v>
      </c>
      <c r="BC1942" s="2">
        <v>2.9</v>
      </c>
      <c r="BD1942" s="2">
        <f>+AN1942*EXP(-0.0495*Y1942)</f>
        <v>1.9602096876959445</v>
      </c>
      <c r="BE1942" s="2">
        <f>+AO1942*EXP(-0.024*Y1942)</f>
        <v>9.8810726596579634</v>
      </c>
    </row>
    <row r="1943" spans="1:57" x14ac:dyDescent="0.2">
      <c r="A1943" s="2" t="s">
        <v>3835</v>
      </c>
      <c r="B1943" s="2" t="s">
        <v>19</v>
      </c>
      <c r="C1943" s="2" t="s">
        <v>3245</v>
      </c>
      <c r="D1943" s="2" t="s">
        <v>21</v>
      </c>
      <c r="E1943" s="2" t="s">
        <v>83</v>
      </c>
      <c r="F1943" s="2">
        <v>6</v>
      </c>
      <c r="G1943" s="2">
        <v>24</v>
      </c>
      <c r="H1943" s="2">
        <v>1</v>
      </c>
      <c r="I1943" s="2">
        <v>1</v>
      </c>
      <c r="J1943" s="2">
        <v>0</v>
      </c>
      <c r="K1943" s="2" t="s">
        <v>61</v>
      </c>
      <c r="L1943" s="6" t="s">
        <v>62</v>
      </c>
      <c r="M1943" s="5">
        <v>400000000</v>
      </c>
      <c r="N1943" s="2">
        <v>0</v>
      </c>
      <c r="O1943" s="2">
        <v>4.6824865000000004</v>
      </c>
      <c r="P1943" s="2">
        <v>-74.054270299999999</v>
      </c>
      <c r="Q1943" s="2" t="s">
        <v>3836</v>
      </c>
      <c r="R1943" s="2">
        <v>16666666.67</v>
      </c>
      <c r="S1943" s="2">
        <v>0</v>
      </c>
      <c r="T1943" s="2" t="s">
        <v>55</v>
      </c>
      <c r="U1943" s="2" t="s">
        <v>56</v>
      </c>
      <c r="V1943" s="2" t="s">
        <v>28</v>
      </c>
      <c r="W1943" s="2" t="s">
        <v>55</v>
      </c>
      <c r="X1943" s="2" t="s">
        <v>57</v>
      </c>
      <c r="Y1943" s="2">
        <v>4.0773277564196704</v>
      </c>
      <c r="Z1943" s="2">
        <v>4.71035</v>
      </c>
      <c r="AA1943" s="2">
        <v>-74.030416666666696</v>
      </c>
      <c r="AB1943" s="2">
        <v>2570</v>
      </c>
      <c r="AC1943" s="2" t="s">
        <v>31</v>
      </c>
      <c r="AD1943" s="2" t="s">
        <v>58</v>
      </c>
      <c r="AE1943" s="2" t="s">
        <v>33</v>
      </c>
      <c r="AF1943" s="2" t="s">
        <v>34</v>
      </c>
      <c r="AG1943" s="2" t="s">
        <v>81</v>
      </c>
      <c r="AH1943" s="2">
        <v>0.41448113493807598</v>
      </c>
      <c r="AI1943" s="2">
        <v>1.8880141810704001</v>
      </c>
      <c r="AJ1943" s="2">
        <v>0.39634742550188101</v>
      </c>
      <c r="AK1943" s="2">
        <v>0.171969423039149</v>
      </c>
      <c r="AL1943" s="2">
        <v>0.454426578232346</v>
      </c>
      <c r="AM1943" s="2">
        <v>15.5</v>
      </c>
      <c r="AN1943" s="2">
        <v>2.4</v>
      </c>
      <c r="AO1943" s="2">
        <v>10.9</v>
      </c>
      <c r="AP1943" s="2">
        <v>564</v>
      </c>
      <c r="AQ1943" s="2">
        <v>68</v>
      </c>
      <c r="AR1943" s="2">
        <v>1.5</v>
      </c>
      <c r="AS1943" s="2">
        <v>135</v>
      </c>
      <c r="AT1943" s="2">
        <v>0</v>
      </c>
      <c r="AU1943" s="2">
        <v>162</v>
      </c>
      <c r="AV1943" s="2">
        <v>9.1</v>
      </c>
      <c r="AW1943" s="2">
        <v>9.1999999999999993</v>
      </c>
      <c r="AX1943" s="2">
        <v>18.3</v>
      </c>
      <c r="AY1943" s="2">
        <v>0.34</v>
      </c>
      <c r="AZ1943" s="2">
        <v>7.3</v>
      </c>
      <c r="BA1943" s="2">
        <v>0.9</v>
      </c>
      <c r="BB1943" s="2">
        <v>7.5</v>
      </c>
      <c r="BC1943" s="2">
        <v>2.9</v>
      </c>
      <c r="BD1943" s="2">
        <f>+AN1943*EXP(-0.0495*Y1943)</f>
        <v>1.9613656943059079</v>
      </c>
      <c r="BE1943" s="2">
        <f>+AO1943*EXP(-0.024*Y1943)</f>
        <v>9.8838975524228214</v>
      </c>
    </row>
    <row r="1944" spans="1:57" x14ac:dyDescent="0.2">
      <c r="A1944" s="2" t="s">
        <v>4213</v>
      </c>
      <c r="B1944" s="2" t="s">
        <v>19</v>
      </c>
      <c r="C1944" s="2" t="s">
        <v>3245</v>
      </c>
      <c r="D1944" s="2" t="s">
        <v>21</v>
      </c>
      <c r="E1944" s="2" t="s">
        <v>1025</v>
      </c>
      <c r="F1944" s="2">
        <v>6</v>
      </c>
      <c r="G1944" s="2">
        <v>24</v>
      </c>
      <c r="H1944" s="2">
        <v>1</v>
      </c>
      <c r="I1944" s="2">
        <v>1</v>
      </c>
      <c r="J1944" s="2">
        <v>0</v>
      </c>
      <c r="K1944" s="2" t="s">
        <v>61</v>
      </c>
      <c r="L1944" s="6" t="s">
        <v>62</v>
      </c>
      <c r="M1944" s="5">
        <v>414750000</v>
      </c>
      <c r="N1944" s="2">
        <v>0</v>
      </c>
      <c r="O1944" s="2">
        <v>4.6824865339999997</v>
      </c>
      <c r="P1944" s="2">
        <v>-74.054267879999998</v>
      </c>
      <c r="Q1944" s="2" t="s">
        <v>4214</v>
      </c>
      <c r="R1944" s="2">
        <v>17281250</v>
      </c>
      <c r="S1944" s="2">
        <v>0</v>
      </c>
      <c r="T1944" s="2" t="s">
        <v>55</v>
      </c>
      <c r="U1944" s="2" t="s">
        <v>56</v>
      </c>
      <c r="V1944" s="2" t="s">
        <v>28</v>
      </c>
      <c r="W1944" s="2" t="s">
        <v>55</v>
      </c>
      <c r="X1944" s="2" t="s">
        <v>57</v>
      </c>
      <c r="Y1944" s="2">
        <v>4.0771506149668904</v>
      </c>
      <c r="Z1944" s="2">
        <v>4.71035</v>
      </c>
      <c r="AA1944" s="2">
        <v>-74.030416666666696</v>
      </c>
      <c r="AB1944" s="2">
        <v>2570</v>
      </c>
      <c r="AC1944" s="2" t="s">
        <v>31</v>
      </c>
      <c r="AD1944" s="2" t="s">
        <v>58</v>
      </c>
      <c r="AE1944" s="2" t="s">
        <v>33</v>
      </c>
      <c r="AF1944" s="2" t="s">
        <v>34</v>
      </c>
      <c r="AG1944" s="2" t="s">
        <v>81</v>
      </c>
      <c r="AH1944" s="2">
        <v>0.414726759267175</v>
      </c>
      <c r="AI1944" s="2">
        <v>1.88778506113773</v>
      </c>
      <c r="AJ1944" s="2">
        <v>0.39623431679902399</v>
      </c>
      <c r="AK1944" s="2">
        <v>0.17222564475711499</v>
      </c>
      <c r="AL1944" s="2">
        <v>0.45468342462532801</v>
      </c>
      <c r="AM1944" s="2">
        <v>15.5</v>
      </c>
      <c r="AN1944" s="2">
        <v>2.4</v>
      </c>
      <c r="AO1944" s="2">
        <v>10.9</v>
      </c>
      <c r="AP1944" s="2">
        <v>564</v>
      </c>
      <c r="AQ1944" s="2">
        <v>68</v>
      </c>
      <c r="AR1944" s="2">
        <v>1.5</v>
      </c>
      <c r="AS1944" s="2">
        <v>135</v>
      </c>
      <c r="AT1944" s="2">
        <v>0</v>
      </c>
      <c r="AU1944" s="2">
        <v>162</v>
      </c>
      <c r="AV1944" s="2">
        <v>9.1</v>
      </c>
      <c r="AW1944" s="2">
        <v>9.1999999999999993</v>
      </c>
      <c r="AX1944" s="2">
        <v>18.3</v>
      </c>
      <c r="AY1944" s="2">
        <v>0.34</v>
      </c>
      <c r="AZ1944" s="2">
        <v>7.3</v>
      </c>
      <c r="BA1944" s="2">
        <v>0.9</v>
      </c>
      <c r="BB1944" s="2">
        <v>7.5</v>
      </c>
      <c r="BC1944" s="2">
        <v>2.9</v>
      </c>
      <c r="BD1944" s="2">
        <f>+AN1944*EXP(-0.0495*Y1944)</f>
        <v>1.9613828926201513</v>
      </c>
      <c r="BE1944" s="2">
        <f>+AO1944*EXP(-0.024*Y1944)</f>
        <v>9.8839395728634596</v>
      </c>
    </row>
    <row r="1945" spans="1:57" x14ac:dyDescent="0.2">
      <c r="A1945" s="2" t="s">
        <v>3888</v>
      </c>
      <c r="B1945" s="2" t="s">
        <v>19</v>
      </c>
      <c r="C1945" s="2" t="s">
        <v>3245</v>
      </c>
      <c r="D1945" s="2" t="s">
        <v>21</v>
      </c>
      <c r="E1945" s="2" t="s">
        <v>1025</v>
      </c>
      <c r="F1945" s="2">
        <v>6</v>
      </c>
      <c r="G1945" s="2">
        <v>24</v>
      </c>
      <c r="H1945" s="2">
        <v>1</v>
      </c>
      <c r="I1945" s="2">
        <v>1</v>
      </c>
      <c r="J1945" s="2">
        <v>0</v>
      </c>
      <c r="K1945" s="2" t="s">
        <v>61</v>
      </c>
      <c r="L1945" s="6" t="s">
        <v>62</v>
      </c>
      <c r="M1945" s="5">
        <v>400000000</v>
      </c>
      <c r="N1945" s="2">
        <v>0</v>
      </c>
      <c r="O1945" s="2">
        <v>4.6824865339999997</v>
      </c>
      <c r="P1945" s="2">
        <v>-74.054267879999998</v>
      </c>
      <c r="Q1945" s="2" t="s">
        <v>3889</v>
      </c>
      <c r="R1945" s="2">
        <v>16666666.67</v>
      </c>
      <c r="S1945" s="2">
        <v>0</v>
      </c>
      <c r="T1945" s="2" t="s">
        <v>55</v>
      </c>
      <c r="U1945" s="2" t="s">
        <v>56</v>
      </c>
      <c r="V1945" s="2" t="s">
        <v>28</v>
      </c>
      <c r="W1945" s="2" t="s">
        <v>55</v>
      </c>
      <c r="X1945" s="2" t="s">
        <v>57</v>
      </c>
      <c r="Y1945" s="2">
        <v>4.0771506149668904</v>
      </c>
      <c r="Z1945" s="2">
        <v>4.71035</v>
      </c>
      <c r="AA1945" s="2">
        <v>-74.030416666666696</v>
      </c>
      <c r="AB1945" s="2">
        <v>2570</v>
      </c>
      <c r="AC1945" s="2" t="s">
        <v>31</v>
      </c>
      <c r="AD1945" s="2" t="s">
        <v>58</v>
      </c>
      <c r="AE1945" s="2" t="s">
        <v>33</v>
      </c>
      <c r="AF1945" s="2" t="s">
        <v>34</v>
      </c>
      <c r="AG1945" s="2" t="s">
        <v>81</v>
      </c>
      <c r="AH1945" s="2">
        <v>0.414726759267175</v>
      </c>
      <c r="AI1945" s="2">
        <v>1.88778506113773</v>
      </c>
      <c r="AJ1945" s="2">
        <v>0.39623431679902399</v>
      </c>
      <c r="AK1945" s="2">
        <v>0.17222564475711499</v>
      </c>
      <c r="AL1945" s="2">
        <v>0.45468342462532801</v>
      </c>
      <c r="AM1945" s="2">
        <v>15.5</v>
      </c>
      <c r="AN1945" s="2">
        <v>2.4</v>
      </c>
      <c r="AO1945" s="2">
        <v>10.9</v>
      </c>
      <c r="AP1945" s="2">
        <v>564</v>
      </c>
      <c r="AQ1945" s="2">
        <v>68</v>
      </c>
      <c r="AR1945" s="2">
        <v>1.5</v>
      </c>
      <c r="AS1945" s="2">
        <v>135</v>
      </c>
      <c r="AT1945" s="2">
        <v>0</v>
      </c>
      <c r="AU1945" s="2">
        <v>162</v>
      </c>
      <c r="AV1945" s="2">
        <v>9.1</v>
      </c>
      <c r="AW1945" s="2">
        <v>9.1999999999999993</v>
      </c>
      <c r="AX1945" s="2">
        <v>18.3</v>
      </c>
      <c r="AY1945" s="2">
        <v>0.34</v>
      </c>
      <c r="AZ1945" s="2">
        <v>7.3</v>
      </c>
      <c r="BA1945" s="2">
        <v>0.9</v>
      </c>
      <c r="BB1945" s="2">
        <v>7.5</v>
      </c>
      <c r="BC1945" s="2">
        <v>2.9</v>
      </c>
      <c r="BD1945" s="2">
        <f>+AN1945*EXP(-0.0495*Y1945)</f>
        <v>1.9613828926201513</v>
      </c>
      <c r="BE1945" s="2">
        <f>+AO1945*EXP(-0.024*Y1945)</f>
        <v>9.8839395728634596</v>
      </c>
    </row>
    <row r="1946" spans="1:57" x14ac:dyDescent="0.2">
      <c r="A1946" s="2" t="s">
        <v>4384</v>
      </c>
      <c r="B1946" s="2" t="s">
        <v>19</v>
      </c>
      <c r="C1946" s="2" t="s">
        <v>3245</v>
      </c>
      <c r="D1946" s="2" t="s">
        <v>21</v>
      </c>
      <c r="E1946" s="2" t="s">
        <v>83</v>
      </c>
      <c r="F1946" s="2">
        <v>6</v>
      </c>
      <c r="G1946" s="2">
        <v>24</v>
      </c>
      <c r="H1946" s="2">
        <v>1</v>
      </c>
      <c r="I1946" s="2">
        <v>1</v>
      </c>
      <c r="J1946" s="2">
        <v>0</v>
      </c>
      <c r="K1946" s="2" t="s">
        <v>61</v>
      </c>
      <c r="L1946" s="6" t="s">
        <v>62</v>
      </c>
      <c r="M1946" s="5">
        <v>400000000</v>
      </c>
      <c r="N1946" s="2">
        <v>0</v>
      </c>
      <c r="O1946" s="2">
        <v>4.6825576</v>
      </c>
      <c r="P1946" s="2">
        <v>-74.047128799999996</v>
      </c>
      <c r="Q1946" s="2" t="s">
        <v>4385</v>
      </c>
      <c r="R1946" s="2">
        <v>16666666.67</v>
      </c>
      <c r="S1946" s="2">
        <v>0</v>
      </c>
      <c r="T1946" s="2" t="s">
        <v>55</v>
      </c>
      <c r="U1946" s="2" t="s">
        <v>56</v>
      </c>
      <c r="V1946" s="2" t="s">
        <v>28</v>
      </c>
      <c r="W1946" s="2" t="s">
        <v>55</v>
      </c>
      <c r="X1946" s="2" t="s">
        <v>57</v>
      </c>
      <c r="Y1946" s="2">
        <v>3.60688987236674</v>
      </c>
      <c r="Z1946" s="2">
        <v>4.71035</v>
      </c>
      <c r="AA1946" s="2">
        <v>-74.030416666666696</v>
      </c>
      <c r="AB1946" s="2">
        <v>2570</v>
      </c>
      <c r="AC1946" s="2" t="s">
        <v>31</v>
      </c>
      <c r="AD1946" s="2" t="s">
        <v>58</v>
      </c>
      <c r="AE1946" s="2" t="s">
        <v>33</v>
      </c>
      <c r="AF1946" s="2" t="s">
        <v>34</v>
      </c>
      <c r="AG1946" s="2" t="s">
        <v>81</v>
      </c>
      <c r="AH1946" s="2">
        <v>1.1835384026898199</v>
      </c>
      <c r="AI1946" s="2">
        <v>1.25995555561518</v>
      </c>
      <c r="AJ1946" s="2">
        <v>0.583145496072771</v>
      </c>
      <c r="AK1946" s="2">
        <v>1.94108840234931E-2</v>
      </c>
      <c r="AL1946" s="2">
        <v>0.83115486334749</v>
      </c>
      <c r="AM1946" s="2">
        <v>15.5</v>
      </c>
      <c r="AN1946" s="2">
        <v>2.4</v>
      </c>
      <c r="AO1946" s="2">
        <v>10.9</v>
      </c>
      <c r="AP1946" s="2">
        <v>564</v>
      </c>
      <c r="AQ1946" s="2">
        <v>68</v>
      </c>
      <c r="AR1946" s="2">
        <v>1.5</v>
      </c>
      <c r="AS1946" s="2">
        <v>135</v>
      </c>
      <c r="AT1946" s="2">
        <v>0</v>
      </c>
      <c r="AU1946" s="2">
        <v>162</v>
      </c>
      <c r="AV1946" s="2">
        <v>9.1</v>
      </c>
      <c r="AW1946" s="2">
        <v>9.1999999999999993</v>
      </c>
      <c r="AX1946" s="2">
        <v>18.3</v>
      </c>
      <c r="AY1946" s="2">
        <v>0.34</v>
      </c>
      <c r="AZ1946" s="2">
        <v>7.3</v>
      </c>
      <c r="BA1946" s="2">
        <v>0.9</v>
      </c>
      <c r="BB1946" s="2">
        <v>7.5</v>
      </c>
      <c r="BC1946" s="2">
        <v>2.9</v>
      </c>
      <c r="BD1946" s="2">
        <f>+AN1946*EXP(-0.0495*Y1946)</f>
        <v>2.0075753264928653</v>
      </c>
      <c r="BE1946" s="2">
        <f>+AO1946*EXP(-0.024*Y1946)</f>
        <v>9.9961241443494941</v>
      </c>
    </row>
    <row r="1947" spans="1:57" x14ac:dyDescent="0.2">
      <c r="A1947" s="2" t="s">
        <v>4267</v>
      </c>
      <c r="B1947" s="2" t="s">
        <v>19</v>
      </c>
      <c r="C1947" s="2" t="s">
        <v>3245</v>
      </c>
      <c r="D1947" s="2" t="s">
        <v>21</v>
      </c>
      <c r="E1947" s="2" t="s">
        <v>147</v>
      </c>
      <c r="F1947" s="2">
        <v>6</v>
      </c>
      <c r="G1947" s="2">
        <v>23.7</v>
      </c>
      <c r="H1947" s="2">
        <v>1</v>
      </c>
      <c r="I1947" s="2">
        <v>1</v>
      </c>
      <c r="J1947" s="2">
        <v>0</v>
      </c>
      <c r="K1947" s="2" t="s">
        <v>61</v>
      </c>
      <c r="L1947" s="6" t="s">
        <v>62</v>
      </c>
      <c r="M1947" s="5">
        <v>627214439</v>
      </c>
      <c r="N1947" s="2">
        <v>0</v>
      </c>
      <c r="O1947" s="2">
        <v>4.6815752980000003</v>
      </c>
      <c r="P1947" s="2">
        <v>-74.047248839999995</v>
      </c>
      <c r="Q1947" s="2" t="s">
        <v>4268</v>
      </c>
      <c r="R1947" s="2">
        <v>26464744.260000002</v>
      </c>
      <c r="S1947" s="2">
        <v>0</v>
      </c>
      <c r="T1947" s="2" t="s">
        <v>55</v>
      </c>
      <c r="U1947" s="2" t="s">
        <v>56</v>
      </c>
      <c r="V1947" s="2" t="s">
        <v>28</v>
      </c>
      <c r="W1947" s="2" t="s">
        <v>55</v>
      </c>
      <c r="X1947" s="2" t="s">
        <v>57</v>
      </c>
      <c r="Y1947" s="2">
        <v>3.7078023979466699</v>
      </c>
      <c r="Z1947" s="2">
        <v>4.71035</v>
      </c>
      <c r="AA1947" s="2">
        <v>-74.030416666666696</v>
      </c>
      <c r="AB1947" s="2">
        <v>2570</v>
      </c>
      <c r="AC1947" s="2" t="s">
        <v>31</v>
      </c>
      <c r="AD1947" s="2" t="s">
        <v>58</v>
      </c>
      <c r="AE1947" s="2" t="s">
        <v>33</v>
      </c>
      <c r="AF1947" s="2" t="s">
        <v>34</v>
      </c>
      <c r="AG1947" s="2" t="s">
        <v>81</v>
      </c>
      <c r="AH1947" s="2">
        <v>1.18948850049393</v>
      </c>
      <c r="AI1947" s="2">
        <v>1.19450958331129</v>
      </c>
      <c r="AJ1947" s="2">
        <v>0.65067961373857097</v>
      </c>
      <c r="AK1947" s="2">
        <v>8.0097628695262393E-2</v>
      </c>
      <c r="AL1947" s="2">
        <v>0.93328694668251899</v>
      </c>
      <c r="AM1947" s="2">
        <v>15.5</v>
      </c>
      <c r="AN1947" s="2">
        <v>2.4</v>
      </c>
      <c r="AO1947" s="2">
        <v>10.9</v>
      </c>
      <c r="AP1947" s="2">
        <v>564</v>
      </c>
      <c r="AQ1947" s="2">
        <v>68</v>
      </c>
      <c r="AR1947" s="2">
        <v>1.5</v>
      </c>
      <c r="AS1947" s="2">
        <v>135</v>
      </c>
      <c r="AT1947" s="2">
        <v>0</v>
      </c>
      <c r="AU1947" s="2">
        <v>162</v>
      </c>
      <c r="AV1947" s="2">
        <v>9.1</v>
      </c>
      <c r="AW1947" s="2">
        <v>9.1999999999999993</v>
      </c>
      <c r="AX1947" s="2">
        <v>18.3</v>
      </c>
      <c r="AY1947" s="2">
        <v>0.34</v>
      </c>
      <c r="AZ1947" s="2">
        <v>7.3</v>
      </c>
      <c r="BA1947" s="2">
        <v>0.9</v>
      </c>
      <c r="BB1947" s="2">
        <v>7.5</v>
      </c>
      <c r="BC1947" s="2">
        <v>2.9</v>
      </c>
      <c r="BD1947" s="2">
        <f>+AN1947*EXP(-0.0495*Y1947)</f>
        <v>1.9975721509975402</v>
      </c>
      <c r="BE1947" s="2">
        <f>+AO1947*EXP(-0.024*Y1947)</f>
        <v>9.971943818140284</v>
      </c>
    </row>
    <row r="1948" spans="1:57" x14ac:dyDescent="0.2">
      <c r="A1948" s="2" t="s">
        <v>3769</v>
      </c>
      <c r="B1948" s="2" t="s">
        <v>19</v>
      </c>
      <c r="C1948" s="2" t="s">
        <v>3245</v>
      </c>
      <c r="D1948" s="2" t="s">
        <v>21</v>
      </c>
      <c r="E1948" s="2" t="s">
        <v>3770</v>
      </c>
      <c r="F1948" s="2">
        <v>4</v>
      </c>
      <c r="G1948" s="2">
        <v>23.64</v>
      </c>
      <c r="H1948" s="2">
        <v>1</v>
      </c>
      <c r="I1948" s="2">
        <v>1</v>
      </c>
      <c r="J1948" s="2">
        <v>0</v>
      </c>
      <c r="K1948" s="2" t="s">
        <v>61</v>
      </c>
      <c r="L1948" s="6" t="s">
        <v>62</v>
      </c>
      <c r="M1948" s="5">
        <v>195000000</v>
      </c>
      <c r="N1948" s="2">
        <v>0</v>
      </c>
      <c r="O1948" s="2">
        <v>4.7313359999999998</v>
      </c>
      <c r="P1948" s="2">
        <v>-74.022632999999999</v>
      </c>
      <c r="Q1948" s="2" t="s">
        <v>3771</v>
      </c>
      <c r="R1948" s="2">
        <v>8248730.9639999997</v>
      </c>
      <c r="S1948" s="2">
        <v>0</v>
      </c>
      <c r="T1948" s="2" t="s">
        <v>55</v>
      </c>
      <c r="U1948" s="2" t="s">
        <v>56</v>
      </c>
      <c r="V1948" s="2" t="s">
        <v>28</v>
      </c>
      <c r="W1948" s="2" t="s">
        <v>55</v>
      </c>
      <c r="X1948" s="2" t="s">
        <v>57</v>
      </c>
      <c r="Y1948" s="2">
        <v>2.4906409240486198</v>
      </c>
      <c r="Z1948" s="2">
        <v>4.71035</v>
      </c>
      <c r="AA1948" s="2">
        <v>-74.030416666666696</v>
      </c>
      <c r="AB1948" s="2">
        <v>2570</v>
      </c>
      <c r="AC1948" s="2" t="s">
        <v>31</v>
      </c>
      <c r="AD1948" s="2" t="s">
        <v>58</v>
      </c>
      <c r="AE1948" s="2" t="s">
        <v>33</v>
      </c>
      <c r="AF1948" s="2" t="s">
        <v>34</v>
      </c>
      <c r="AG1948" s="2" t="s">
        <v>59</v>
      </c>
      <c r="AH1948" s="2">
        <v>2.97026897195525</v>
      </c>
      <c r="AI1948" s="2">
        <v>0.120522508038946</v>
      </c>
      <c r="AJ1948" s="2">
        <v>1.83276656632736</v>
      </c>
      <c r="AK1948" s="2">
        <v>0.25317067545621202</v>
      </c>
      <c r="AL1948" s="2">
        <v>0.174122087049701</v>
      </c>
      <c r="AM1948" s="2">
        <v>15.5</v>
      </c>
      <c r="AN1948" s="2">
        <v>2.4</v>
      </c>
      <c r="AO1948" s="2">
        <v>10.9</v>
      </c>
      <c r="AP1948" s="2">
        <v>564</v>
      </c>
      <c r="AQ1948" s="2">
        <v>68</v>
      </c>
      <c r="AR1948" s="2">
        <v>1.5</v>
      </c>
      <c r="AS1948" s="2">
        <v>135</v>
      </c>
      <c r="AT1948" s="2">
        <v>0</v>
      </c>
      <c r="AU1948" s="2">
        <v>162</v>
      </c>
      <c r="AV1948" s="2">
        <v>9.1</v>
      </c>
      <c r="AW1948" s="2">
        <v>9.1999999999999993</v>
      </c>
      <c r="AX1948" s="2">
        <v>18.3</v>
      </c>
      <c r="AY1948" s="2">
        <v>0.34</v>
      </c>
      <c r="AZ1948" s="2">
        <v>7.3</v>
      </c>
      <c r="BA1948" s="2">
        <v>0.9</v>
      </c>
      <c r="BB1948" s="2">
        <v>7.5</v>
      </c>
      <c r="BC1948" s="2">
        <v>2.9</v>
      </c>
      <c r="BD1948" s="2">
        <f>+AN1948*EXP(-0.0495*Y1948)</f>
        <v>2.1216243786056932</v>
      </c>
      <c r="BE1948" s="2">
        <f>+AO1948*EXP(-0.024*Y1948)</f>
        <v>10.267539429425256</v>
      </c>
    </row>
    <row r="1949" spans="1:57" x14ac:dyDescent="0.2">
      <c r="A1949" s="2" t="s">
        <v>4283</v>
      </c>
      <c r="B1949" s="2" t="s">
        <v>19</v>
      </c>
      <c r="C1949" s="2" t="s">
        <v>3245</v>
      </c>
      <c r="D1949" s="2" t="s">
        <v>21</v>
      </c>
      <c r="E1949" s="2" t="s">
        <v>1437</v>
      </c>
      <c r="F1949" s="2">
        <v>6</v>
      </c>
      <c r="G1949" s="2">
        <v>23</v>
      </c>
      <c r="H1949" s="2">
        <v>1</v>
      </c>
      <c r="I1949" s="2">
        <v>1</v>
      </c>
      <c r="J1949" s="2">
        <v>2</v>
      </c>
      <c r="K1949" s="2" t="s">
        <v>61</v>
      </c>
      <c r="L1949" s="6" t="s">
        <v>62</v>
      </c>
      <c r="M1949" s="5">
        <v>405000000</v>
      </c>
      <c r="N1949" s="2">
        <v>0</v>
      </c>
      <c r="O1949" s="2">
        <v>4.6824395000000001</v>
      </c>
      <c r="P1949" s="2">
        <v>-74.054392500000006</v>
      </c>
      <c r="Q1949" s="2" t="s">
        <v>4284</v>
      </c>
      <c r="R1949" s="2">
        <v>17608695.649999999</v>
      </c>
      <c r="S1949" s="2">
        <v>0</v>
      </c>
      <c r="T1949" s="2" t="s">
        <v>55</v>
      </c>
      <c r="U1949" s="2" t="s">
        <v>56</v>
      </c>
      <c r="V1949" s="2" t="s">
        <v>28</v>
      </c>
      <c r="W1949" s="2" t="s">
        <v>55</v>
      </c>
      <c r="X1949" s="2" t="s">
        <v>57</v>
      </c>
      <c r="Y1949" s="2">
        <v>4.0901135933813997</v>
      </c>
      <c r="Z1949" s="2">
        <v>4.71035</v>
      </c>
      <c r="AA1949" s="2">
        <v>-74.030416666666696</v>
      </c>
      <c r="AB1949" s="2">
        <v>2570</v>
      </c>
      <c r="AC1949" s="2" t="s">
        <v>31</v>
      </c>
      <c r="AD1949" s="2" t="s">
        <v>58</v>
      </c>
      <c r="AE1949" s="2" t="s">
        <v>33</v>
      </c>
      <c r="AF1949" s="2" t="s">
        <v>34</v>
      </c>
      <c r="AG1949" s="2" t="s">
        <v>81</v>
      </c>
      <c r="AH1949" s="2">
        <v>0.40415624444778903</v>
      </c>
      <c r="AI1949" s="2">
        <v>1.89707296692828</v>
      </c>
      <c r="AJ1949" s="2">
        <v>0.40675818672570302</v>
      </c>
      <c r="AK1949" s="2">
        <v>0.157478167882178</v>
      </c>
      <c r="AL1949" s="2">
        <v>0.442926533431305</v>
      </c>
      <c r="AM1949" s="2">
        <v>15.5</v>
      </c>
      <c r="AN1949" s="2">
        <v>2.4</v>
      </c>
      <c r="AO1949" s="2">
        <v>10.9</v>
      </c>
      <c r="AP1949" s="2">
        <v>564</v>
      </c>
      <c r="AQ1949" s="2">
        <v>68</v>
      </c>
      <c r="AR1949" s="2">
        <v>1.5</v>
      </c>
      <c r="AS1949" s="2">
        <v>135</v>
      </c>
      <c r="AT1949" s="2">
        <v>0</v>
      </c>
      <c r="AU1949" s="2">
        <v>162</v>
      </c>
      <c r="AV1949" s="2">
        <v>9.1</v>
      </c>
      <c r="AW1949" s="2">
        <v>9.1999999999999993</v>
      </c>
      <c r="AX1949" s="2">
        <v>18.3</v>
      </c>
      <c r="AY1949" s="2">
        <v>0.34</v>
      </c>
      <c r="AZ1949" s="2">
        <v>7.3</v>
      </c>
      <c r="BA1949" s="2">
        <v>0.9</v>
      </c>
      <c r="BB1949" s="2">
        <v>7.5</v>
      </c>
      <c r="BC1949" s="2">
        <v>2.9</v>
      </c>
      <c r="BD1949" s="2">
        <f>+AN1949*EXP(-0.0495*Y1949)</f>
        <v>1.960124740797913</v>
      </c>
      <c r="BE1949" s="2">
        <f>+AO1949*EXP(-0.024*Y1949)</f>
        <v>9.8808650440608652</v>
      </c>
    </row>
    <row r="1950" spans="1:57" x14ac:dyDescent="0.2">
      <c r="A1950" s="2" t="s">
        <v>3758</v>
      </c>
      <c r="B1950" s="2" t="s">
        <v>19</v>
      </c>
      <c r="C1950" s="2" t="s">
        <v>3245</v>
      </c>
      <c r="D1950" s="2" t="s">
        <v>21</v>
      </c>
      <c r="E1950" s="2" t="s">
        <v>419</v>
      </c>
      <c r="F1950" s="2">
        <v>6</v>
      </c>
      <c r="G1950" s="2">
        <v>23</v>
      </c>
      <c r="H1950" s="2">
        <v>1</v>
      </c>
      <c r="I1950" s="2">
        <v>1</v>
      </c>
      <c r="J1950" s="2">
        <v>1</v>
      </c>
      <c r="K1950" s="2" t="s">
        <v>61</v>
      </c>
      <c r="L1950" s="6" t="s">
        <v>84</v>
      </c>
      <c r="M1950" s="5">
        <v>299000000</v>
      </c>
      <c r="N1950" s="2">
        <v>0</v>
      </c>
      <c r="O1950" s="2">
        <v>4.6921710970000001</v>
      </c>
      <c r="P1950" s="2">
        <v>-74.050018309999999</v>
      </c>
      <c r="Q1950" s="2" t="s">
        <v>3759</v>
      </c>
      <c r="R1950" s="2">
        <v>13000000</v>
      </c>
      <c r="S1950" s="2">
        <v>0</v>
      </c>
      <c r="T1950" s="2" t="s">
        <v>55</v>
      </c>
      <c r="U1950" s="2" t="s">
        <v>56</v>
      </c>
      <c r="V1950" s="2" t="s">
        <v>28</v>
      </c>
      <c r="W1950" s="2" t="s">
        <v>55</v>
      </c>
      <c r="X1950" s="2" t="s">
        <v>57</v>
      </c>
      <c r="Y1950" s="2">
        <v>2.9706162498249902</v>
      </c>
      <c r="Z1950" s="2">
        <v>4.71035</v>
      </c>
      <c r="AA1950" s="2">
        <v>-74.030416666666696</v>
      </c>
      <c r="AB1950" s="2">
        <v>2570</v>
      </c>
      <c r="AC1950" s="2" t="s">
        <v>31</v>
      </c>
      <c r="AD1950" s="2" t="s">
        <v>58</v>
      </c>
      <c r="AE1950" s="2" t="s">
        <v>33</v>
      </c>
      <c r="AF1950" s="2" t="s">
        <v>34</v>
      </c>
      <c r="AG1950" s="2" t="s">
        <v>59</v>
      </c>
      <c r="AH1950" s="2">
        <v>0.68932914839718795</v>
      </c>
      <c r="AI1950" s="2">
        <v>2.14172559610124</v>
      </c>
      <c r="AJ1950" s="2">
        <v>0.12541098188090599</v>
      </c>
      <c r="AK1950" s="2">
        <v>6.6239803156073099E-2</v>
      </c>
      <c r="AL1950" s="2">
        <v>2.0868178340658301E-2</v>
      </c>
      <c r="AM1950" s="2">
        <v>15.5</v>
      </c>
      <c r="AN1950" s="2">
        <v>2.4</v>
      </c>
      <c r="AO1950" s="2">
        <v>10.9</v>
      </c>
      <c r="AP1950" s="2">
        <v>564</v>
      </c>
      <c r="AQ1950" s="2">
        <v>68</v>
      </c>
      <c r="AR1950" s="2">
        <v>1.5</v>
      </c>
      <c r="AS1950" s="2">
        <v>135</v>
      </c>
      <c r="AT1950" s="2">
        <v>0</v>
      </c>
      <c r="AU1950" s="2">
        <v>162</v>
      </c>
      <c r="AV1950" s="2">
        <v>9.1</v>
      </c>
      <c r="AW1950" s="2">
        <v>9.1999999999999993</v>
      </c>
      <c r="AX1950" s="2">
        <v>18.3</v>
      </c>
      <c r="AY1950" s="2">
        <v>0.34</v>
      </c>
      <c r="AZ1950" s="2">
        <v>7.3</v>
      </c>
      <c r="BA1950" s="2">
        <v>0.9</v>
      </c>
      <c r="BB1950" s="2">
        <v>7.5</v>
      </c>
      <c r="BC1950" s="2">
        <v>2.9</v>
      </c>
      <c r="BD1950" s="2">
        <f>+AN1950*EXP(-0.0495*Y1950)</f>
        <v>2.0718112671952551</v>
      </c>
      <c r="BE1950" s="2">
        <f>+AO1950*EXP(-0.024*Y1950)</f>
        <v>10.149942081742992</v>
      </c>
    </row>
    <row r="1951" spans="1:57" x14ac:dyDescent="0.2">
      <c r="A1951" s="2" t="s">
        <v>4620</v>
      </c>
      <c r="B1951" s="2" t="s">
        <v>19</v>
      </c>
      <c r="C1951" s="2" t="s">
        <v>3245</v>
      </c>
      <c r="D1951" s="2" t="s">
        <v>21</v>
      </c>
      <c r="E1951" s="2" t="s">
        <v>177</v>
      </c>
      <c r="F1951" s="2">
        <v>5</v>
      </c>
      <c r="G1951" s="2">
        <v>23</v>
      </c>
      <c r="H1951" s="2">
        <v>1</v>
      </c>
      <c r="I1951" s="2">
        <v>1</v>
      </c>
      <c r="J1951" s="2">
        <v>1</v>
      </c>
      <c r="K1951" s="2" t="s">
        <v>61</v>
      </c>
      <c r="L1951" s="6" t="s">
        <v>113</v>
      </c>
      <c r="M1951" s="5">
        <v>249000000</v>
      </c>
      <c r="N1951" s="2">
        <v>0</v>
      </c>
      <c r="O1951" s="2">
        <v>4.6940264999999997</v>
      </c>
      <c r="P1951" s="2">
        <v>-74.038889999999995</v>
      </c>
      <c r="Q1951" s="2" t="s">
        <v>4621</v>
      </c>
      <c r="R1951" s="2">
        <v>10826086.960000001</v>
      </c>
      <c r="S1951" s="2">
        <v>0</v>
      </c>
      <c r="T1951" s="2" t="s">
        <v>55</v>
      </c>
      <c r="U1951" s="2" t="s">
        <v>56</v>
      </c>
      <c r="V1951" s="2" t="s">
        <v>28</v>
      </c>
      <c r="W1951" s="2" t="s">
        <v>55</v>
      </c>
      <c r="X1951" s="2" t="s">
        <v>57</v>
      </c>
      <c r="Y1951" s="2">
        <v>2.0458921590972898</v>
      </c>
      <c r="Z1951" s="2">
        <v>4.71035</v>
      </c>
      <c r="AA1951" s="2">
        <v>-74.030416666666696</v>
      </c>
      <c r="AB1951" s="2">
        <v>2570</v>
      </c>
      <c r="AC1951" s="2" t="s">
        <v>31</v>
      </c>
      <c r="AD1951" s="2" t="s">
        <v>58</v>
      </c>
      <c r="AE1951" s="2" t="s">
        <v>33</v>
      </c>
      <c r="AF1951" s="2" t="s">
        <v>34</v>
      </c>
      <c r="AG1951" s="2" t="s">
        <v>59</v>
      </c>
      <c r="AH1951" s="2">
        <v>1.8760330043903499</v>
      </c>
      <c r="AI1951" s="2">
        <v>1.38036864842941</v>
      </c>
      <c r="AJ1951" s="2">
        <v>1.0190986636373001</v>
      </c>
      <c r="AK1951" s="2">
        <v>0.22695395882727901</v>
      </c>
      <c r="AL1951" s="2">
        <v>0.22921142331691199</v>
      </c>
      <c r="AM1951" s="2">
        <v>15.5</v>
      </c>
      <c r="AN1951" s="2">
        <v>2.4</v>
      </c>
      <c r="AO1951" s="2">
        <v>10.9</v>
      </c>
      <c r="AP1951" s="2">
        <v>564</v>
      </c>
      <c r="AQ1951" s="2">
        <v>68</v>
      </c>
      <c r="AR1951" s="2">
        <v>1.5</v>
      </c>
      <c r="AS1951" s="2">
        <v>135</v>
      </c>
      <c r="AT1951" s="2">
        <v>0</v>
      </c>
      <c r="AU1951" s="2">
        <v>162</v>
      </c>
      <c r="AV1951" s="2">
        <v>9.1</v>
      </c>
      <c r="AW1951" s="2">
        <v>9.1999999999999993</v>
      </c>
      <c r="AX1951" s="2">
        <v>18.3</v>
      </c>
      <c r="AY1951" s="2">
        <v>0.34</v>
      </c>
      <c r="AZ1951" s="2">
        <v>7.3</v>
      </c>
      <c r="BA1951" s="2">
        <v>0.9</v>
      </c>
      <c r="BB1951" s="2">
        <v>7.5</v>
      </c>
      <c r="BC1951" s="2">
        <v>2.9</v>
      </c>
      <c r="BD1951" s="2">
        <f>+AN1951*EXP(-0.0495*Y1951)</f>
        <v>2.168850005028427</v>
      </c>
      <c r="BE1951" s="2">
        <f>+AO1951*EXP(-0.024*Y1951)</f>
        <v>10.377721836706167</v>
      </c>
    </row>
    <row r="1952" spans="1:57" x14ac:dyDescent="0.2">
      <c r="A1952" s="2" t="s">
        <v>3535</v>
      </c>
      <c r="B1952" s="2" t="s">
        <v>19</v>
      </c>
      <c r="C1952" s="2" t="s">
        <v>3245</v>
      </c>
      <c r="D1952" s="2" t="s">
        <v>21</v>
      </c>
      <c r="E1952" s="2" t="s">
        <v>53</v>
      </c>
      <c r="F1952" s="2">
        <v>5</v>
      </c>
      <c r="G1952" s="2">
        <v>23</v>
      </c>
      <c r="H1952" s="2">
        <v>1</v>
      </c>
      <c r="I1952" s="2">
        <v>1</v>
      </c>
      <c r="J1952" s="2">
        <v>0</v>
      </c>
      <c r="K1952" s="2" t="s">
        <v>61</v>
      </c>
      <c r="L1952" s="6" t="s">
        <v>75</v>
      </c>
      <c r="M1952" s="5">
        <v>250000000</v>
      </c>
      <c r="N1952" s="2">
        <v>0</v>
      </c>
      <c r="O1952" s="2">
        <v>4.7009600000000002</v>
      </c>
      <c r="P1952" s="2">
        <v>-74.032749999999993</v>
      </c>
      <c r="Q1952" s="2" t="s">
        <v>3536</v>
      </c>
      <c r="R1952" s="2">
        <v>10869565.220000001</v>
      </c>
      <c r="S1952" s="2">
        <v>0</v>
      </c>
      <c r="T1952" s="2" t="s">
        <v>55</v>
      </c>
      <c r="U1952" s="2" t="s">
        <v>56</v>
      </c>
      <c r="V1952" s="2" t="s">
        <v>28</v>
      </c>
      <c r="W1952" s="2" t="s">
        <v>55</v>
      </c>
      <c r="X1952" s="2" t="s">
        <v>57</v>
      </c>
      <c r="Y1952" s="2">
        <v>1.0768680863173601</v>
      </c>
      <c r="Z1952" s="2">
        <v>4.71035</v>
      </c>
      <c r="AA1952" s="2">
        <v>-74.030416666666696</v>
      </c>
      <c r="AB1952" s="2">
        <v>2570</v>
      </c>
      <c r="AC1952" s="2" t="s">
        <v>31</v>
      </c>
      <c r="AD1952" s="2" t="s">
        <v>58</v>
      </c>
      <c r="AE1952" s="2" t="s">
        <v>33</v>
      </c>
      <c r="AF1952" s="2" t="s">
        <v>34</v>
      </c>
      <c r="AG1952" s="2" t="s">
        <v>59</v>
      </c>
      <c r="AH1952" s="2">
        <v>2.4155719775950799</v>
      </c>
      <c r="AI1952" s="2">
        <v>0.78362397363755298</v>
      </c>
      <c r="AJ1952" s="2">
        <v>5.2042382366397202E-2</v>
      </c>
      <c r="AK1952" s="2">
        <v>8.5710393616765301E-2</v>
      </c>
      <c r="AL1952" s="2">
        <v>0.45447065549889198</v>
      </c>
      <c r="AM1952" s="2">
        <v>15.5</v>
      </c>
      <c r="AN1952" s="2">
        <v>2.4</v>
      </c>
      <c r="AO1952" s="2">
        <v>10.9</v>
      </c>
      <c r="AP1952" s="2">
        <v>564</v>
      </c>
      <c r="AQ1952" s="2">
        <v>68</v>
      </c>
      <c r="AR1952" s="2">
        <v>1.5</v>
      </c>
      <c r="AS1952" s="2">
        <v>135</v>
      </c>
      <c r="AT1952" s="2">
        <v>0</v>
      </c>
      <c r="AU1952" s="2">
        <v>162</v>
      </c>
      <c r="AV1952" s="2">
        <v>9.1</v>
      </c>
      <c r="AW1952" s="2">
        <v>9.1999999999999993</v>
      </c>
      <c r="AX1952" s="2">
        <v>18.3</v>
      </c>
      <c r="AY1952" s="2">
        <v>0.34</v>
      </c>
      <c r="AZ1952" s="2">
        <v>7.3</v>
      </c>
      <c r="BA1952" s="2">
        <v>0.9</v>
      </c>
      <c r="BB1952" s="2">
        <v>7.5</v>
      </c>
      <c r="BC1952" s="2">
        <v>2.9</v>
      </c>
      <c r="BD1952" s="2">
        <f>+AN1952*EXP(-0.0495*Y1952)</f>
        <v>2.2754179892872877</v>
      </c>
      <c r="BE1952" s="2">
        <f>+AO1952*EXP(-0.024*Y1952)</f>
        <v>10.62190050592627</v>
      </c>
    </row>
    <row r="1953" spans="1:57" x14ac:dyDescent="0.2">
      <c r="A1953" s="2" t="s">
        <v>3253</v>
      </c>
      <c r="B1953" s="2" t="s">
        <v>19</v>
      </c>
      <c r="C1953" s="2" t="s">
        <v>3245</v>
      </c>
      <c r="D1953" s="2" t="s">
        <v>21</v>
      </c>
      <c r="E1953" s="2" t="s">
        <v>511</v>
      </c>
      <c r="F1953" s="2">
        <v>5</v>
      </c>
      <c r="G1953" s="2">
        <v>22.88</v>
      </c>
      <c r="H1953" s="2">
        <v>1</v>
      </c>
      <c r="I1953" s="2">
        <v>1</v>
      </c>
      <c r="J1953" s="2">
        <v>0</v>
      </c>
      <c r="K1953" s="2" t="s">
        <v>61</v>
      </c>
      <c r="L1953" s="6" t="s">
        <v>62</v>
      </c>
      <c r="M1953" s="5">
        <v>263000000</v>
      </c>
      <c r="N1953" s="2">
        <v>0</v>
      </c>
      <c r="O1953" s="2">
        <v>4.7144012000000002</v>
      </c>
      <c r="P1953" s="2">
        <v>-74.037220000000005</v>
      </c>
      <c r="Q1953" s="2" t="s">
        <v>3254</v>
      </c>
      <c r="R1953" s="2">
        <v>11494755.24</v>
      </c>
      <c r="S1953" s="2">
        <v>0</v>
      </c>
      <c r="T1953" s="2" t="s">
        <v>55</v>
      </c>
      <c r="U1953" s="2" t="s">
        <v>56</v>
      </c>
      <c r="V1953" s="2" t="s">
        <v>28</v>
      </c>
      <c r="W1953" s="2" t="s">
        <v>55</v>
      </c>
      <c r="X1953" s="2" t="s">
        <v>57</v>
      </c>
      <c r="Y1953" s="2">
        <v>0.87924905325134906</v>
      </c>
      <c r="Z1953" s="2">
        <v>4.71035</v>
      </c>
      <c r="AA1953" s="2">
        <v>-74.030416666666696</v>
      </c>
      <c r="AB1953" s="2">
        <v>2570</v>
      </c>
      <c r="AC1953" s="2" t="s">
        <v>31</v>
      </c>
      <c r="AD1953" s="2" t="s">
        <v>58</v>
      </c>
      <c r="AE1953" s="2" t="s">
        <v>33</v>
      </c>
      <c r="AF1953" s="2" t="s">
        <v>34</v>
      </c>
      <c r="AG1953" s="2" t="s">
        <v>59</v>
      </c>
      <c r="AH1953" s="2">
        <v>1.7007226033629199</v>
      </c>
      <c r="AI1953" s="2">
        <v>1.40400110687142</v>
      </c>
      <c r="AJ1953" s="2">
        <v>0.637235464305142</v>
      </c>
      <c r="AK1953" s="2">
        <v>0.26332023894412099</v>
      </c>
      <c r="AL1953" s="2">
        <v>0.274994817165993</v>
      </c>
      <c r="AM1953" s="2">
        <v>15.5</v>
      </c>
      <c r="AN1953" s="2">
        <v>2.4</v>
      </c>
      <c r="AO1953" s="2">
        <v>10.9</v>
      </c>
      <c r="AP1953" s="2">
        <v>564</v>
      </c>
      <c r="AQ1953" s="2">
        <v>68</v>
      </c>
      <c r="AR1953" s="2">
        <v>1.5</v>
      </c>
      <c r="AS1953" s="2">
        <v>135</v>
      </c>
      <c r="AT1953" s="2">
        <v>0</v>
      </c>
      <c r="AU1953" s="2">
        <v>162</v>
      </c>
      <c r="AV1953" s="2">
        <v>9.1</v>
      </c>
      <c r="AW1953" s="2">
        <v>9.1999999999999993</v>
      </c>
      <c r="AX1953" s="2">
        <v>18.3</v>
      </c>
      <c r="AY1953" s="2">
        <v>0.34</v>
      </c>
      <c r="AZ1953" s="2">
        <v>7.3</v>
      </c>
      <c r="BA1953" s="2">
        <v>0.9</v>
      </c>
      <c r="BB1953" s="2">
        <v>7.5</v>
      </c>
      <c r="BC1953" s="2">
        <v>2.9</v>
      </c>
      <c r="BD1953" s="2">
        <f>+AN1953*EXP(-0.0495*Y1953)</f>
        <v>2.2977856750558452</v>
      </c>
      <c r="BE1953" s="2">
        <f>+AO1953*EXP(-0.024*Y1953)</f>
        <v>10.672398316181777</v>
      </c>
    </row>
    <row r="1954" spans="1:57" x14ac:dyDescent="0.2">
      <c r="A1954" s="2" t="s">
        <v>3947</v>
      </c>
      <c r="B1954" s="2" t="s">
        <v>19</v>
      </c>
      <c r="C1954" s="2" t="s">
        <v>3245</v>
      </c>
      <c r="D1954" s="2" t="s">
        <v>21</v>
      </c>
      <c r="E1954" s="2" t="s">
        <v>141</v>
      </c>
      <c r="F1954" s="2">
        <v>5</v>
      </c>
      <c r="G1954" s="2">
        <v>22.63</v>
      </c>
      <c r="H1954" s="2">
        <v>1</v>
      </c>
      <c r="I1954" s="2">
        <v>1</v>
      </c>
      <c r="J1954" s="2">
        <v>0</v>
      </c>
      <c r="K1954" s="2" t="s">
        <v>61</v>
      </c>
      <c r="L1954" s="6" t="s">
        <v>62</v>
      </c>
      <c r="M1954" s="5">
        <v>450000000</v>
      </c>
      <c r="N1954" s="2">
        <v>0</v>
      </c>
      <c r="O1954" s="2">
        <v>4.6856913569999996</v>
      </c>
      <c r="P1954" s="2">
        <v>-74.047485350000002</v>
      </c>
      <c r="Q1954" s="2" t="s">
        <v>3948</v>
      </c>
      <c r="R1954" s="2">
        <v>19885108.260000002</v>
      </c>
      <c r="S1954" s="2">
        <v>0</v>
      </c>
      <c r="T1954" s="2" t="s">
        <v>55</v>
      </c>
      <c r="U1954" s="2" t="s">
        <v>56</v>
      </c>
      <c r="V1954" s="2" t="s">
        <v>28</v>
      </c>
      <c r="W1954" s="2" t="s">
        <v>55</v>
      </c>
      <c r="X1954" s="2" t="s">
        <v>57</v>
      </c>
      <c r="Y1954" s="2">
        <v>3.33482099183998</v>
      </c>
      <c r="Z1954" s="2">
        <v>4.71035</v>
      </c>
      <c r="AA1954" s="2">
        <v>-74.030416666666696</v>
      </c>
      <c r="AB1954" s="2">
        <v>2570</v>
      </c>
      <c r="AC1954" s="2" t="s">
        <v>31</v>
      </c>
      <c r="AD1954" s="2" t="s">
        <v>58</v>
      </c>
      <c r="AE1954" s="2" t="s">
        <v>33</v>
      </c>
      <c r="AF1954" s="2" t="s">
        <v>34</v>
      </c>
      <c r="AG1954" s="2" t="s">
        <v>59</v>
      </c>
      <c r="AH1954" s="2">
        <v>1.1501876994918301</v>
      </c>
      <c r="AI1954" s="2">
        <v>1.4655323706104999</v>
      </c>
      <c r="AJ1954" s="2">
        <v>0.40215353683917898</v>
      </c>
      <c r="AK1954" s="2">
        <v>0.11676769158313099</v>
      </c>
      <c r="AL1954" s="2">
        <v>0.55139805195748204</v>
      </c>
      <c r="AM1954" s="2">
        <v>15.5</v>
      </c>
      <c r="AN1954" s="2">
        <v>2.4</v>
      </c>
      <c r="AO1954" s="2">
        <v>10.9</v>
      </c>
      <c r="AP1954" s="2">
        <v>564</v>
      </c>
      <c r="AQ1954" s="2">
        <v>68</v>
      </c>
      <c r="AR1954" s="2">
        <v>1.5</v>
      </c>
      <c r="AS1954" s="2">
        <v>135</v>
      </c>
      <c r="AT1954" s="2">
        <v>0</v>
      </c>
      <c r="AU1954" s="2">
        <v>162</v>
      </c>
      <c r="AV1954" s="2">
        <v>9.1</v>
      </c>
      <c r="AW1954" s="2">
        <v>9.1999999999999993</v>
      </c>
      <c r="AX1954" s="2">
        <v>18.3</v>
      </c>
      <c r="AY1954" s="2">
        <v>0.34</v>
      </c>
      <c r="AZ1954" s="2">
        <v>7.3</v>
      </c>
      <c r="BA1954" s="2">
        <v>0.9</v>
      </c>
      <c r="BB1954" s="2">
        <v>7.5</v>
      </c>
      <c r="BC1954" s="2">
        <v>2.9</v>
      </c>
      <c r="BD1954" s="2">
        <f>+AN1954*EXP(-0.0495*Y1954)</f>
        <v>2.0347950438260707</v>
      </c>
      <c r="BE1954" s="2">
        <f>+AO1954*EXP(-0.024*Y1954)</f>
        <v>10.061608931486358</v>
      </c>
    </row>
    <row r="1955" spans="1:57" x14ac:dyDescent="0.2">
      <c r="A1955" s="2" t="s">
        <v>4476</v>
      </c>
      <c r="B1955" s="2" t="s">
        <v>19</v>
      </c>
      <c r="C1955" s="2" t="s">
        <v>3245</v>
      </c>
      <c r="D1955" s="2" t="s">
        <v>21</v>
      </c>
      <c r="E1955" s="2" t="s">
        <v>723</v>
      </c>
      <c r="F1955" s="2">
        <v>4</v>
      </c>
      <c r="G1955" s="2">
        <v>22.31</v>
      </c>
      <c r="H1955" s="2">
        <v>1</v>
      </c>
      <c r="I1955" s="2">
        <v>1</v>
      </c>
      <c r="J1955" s="2">
        <v>1</v>
      </c>
      <c r="K1955" s="2" t="s">
        <v>61</v>
      </c>
      <c r="L1955" s="6" t="s">
        <v>113</v>
      </c>
      <c r="M1955" s="5">
        <v>330000000</v>
      </c>
      <c r="N1955" s="2">
        <v>0</v>
      </c>
      <c r="O1955" s="2">
        <v>4.7199799999999996</v>
      </c>
      <c r="P1955" s="2">
        <v>-74.032617000000002</v>
      </c>
      <c r="Q1955" s="2" t="s">
        <v>4477</v>
      </c>
      <c r="R1955" s="2">
        <v>14791573.289999999</v>
      </c>
      <c r="S1955" s="2">
        <v>0</v>
      </c>
      <c r="T1955" s="2" t="s">
        <v>55</v>
      </c>
      <c r="U1955" s="2" t="s">
        <v>56</v>
      </c>
      <c r="V1955" s="2" t="s">
        <v>28</v>
      </c>
      <c r="W1955" s="2" t="s">
        <v>55</v>
      </c>
      <c r="X1955" s="2" t="s">
        <v>57</v>
      </c>
      <c r="Y1955" s="2">
        <v>1.0994492032053</v>
      </c>
      <c r="Z1955" s="2">
        <v>4.71035</v>
      </c>
      <c r="AA1955" s="2">
        <v>-74.030416666666696</v>
      </c>
      <c r="AB1955" s="2">
        <v>2570</v>
      </c>
      <c r="AC1955" s="2" t="s">
        <v>31</v>
      </c>
      <c r="AD1955" s="2" t="s">
        <v>58</v>
      </c>
      <c r="AE1955" s="2" t="s">
        <v>33</v>
      </c>
      <c r="AF1955" s="2" t="s">
        <v>34</v>
      </c>
      <c r="AG1955" s="2" t="s">
        <v>59</v>
      </c>
      <c r="AH1955" s="2">
        <v>2.0931591785430901</v>
      </c>
      <c r="AI1955" s="2">
        <v>1.0052193408405401</v>
      </c>
      <c r="AJ1955" s="2">
        <v>1.02109710723678</v>
      </c>
      <c r="AK1955" s="2">
        <v>0.232181135877885</v>
      </c>
      <c r="AL1955" s="2">
        <v>3.4992726349709399E-3</v>
      </c>
      <c r="AM1955" s="2">
        <v>15.5</v>
      </c>
      <c r="AN1955" s="2">
        <v>2.4</v>
      </c>
      <c r="AO1955" s="2">
        <v>10.9</v>
      </c>
      <c r="AP1955" s="2">
        <v>564</v>
      </c>
      <c r="AQ1955" s="2">
        <v>68</v>
      </c>
      <c r="AR1955" s="2">
        <v>1.5</v>
      </c>
      <c r="AS1955" s="2">
        <v>135</v>
      </c>
      <c r="AT1955" s="2">
        <v>0</v>
      </c>
      <c r="AU1955" s="2">
        <v>162</v>
      </c>
      <c r="AV1955" s="2">
        <v>9.1</v>
      </c>
      <c r="AW1955" s="2">
        <v>9.1999999999999993</v>
      </c>
      <c r="AX1955" s="2">
        <v>18.3</v>
      </c>
      <c r="AY1955" s="2">
        <v>0.34</v>
      </c>
      <c r="AZ1955" s="2">
        <v>7.3</v>
      </c>
      <c r="BA1955" s="2">
        <v>0.9</v>
      </c>
      <c r="BB1955" s="2">
        <v>7.5</v>
      </c>
      <c r="BC1955" s="2">
        <v>2.9</v>
      </c>
      <c r="BD1955" s="2">
        <f>+AN1955*EXP(-0.0495*Y1955)</f>
        <v>2.2728760269711077</v>
      </c>
      <c r="BE1955" s="2">
        <f>+AO1955*EXP(-0.024*Y1955)</f>
        <v>10.616145560458767</v>
      </c>
    </row>
    <row r="1956" spans="1:57" x14ac:dyDescent="0.2">
      <c r="A1956" s="2" t="s">
        <v>3790</v>
      </c>
      <c r="B1956" s="2" t="s">
        <v>19</v>
      </c>
      <c r="C1956" s="2" t="s">
        <v>3245</v>
      </c>
      <c r="D1956" s="2" t="s">
        <v>21</v>
      </c>
      <c r="E1956" s="2" t="s">
        <v>380</v>
      </c>
      <c r="F1956" s="2">
        <v>4</v>
      </c>
      <c r="G1956" s="2">
        <v>22.1</v>
      </c>
      <c r="H1956" s="2">
        <v>1</v>
      </c>
      <c r="I1956" s="2">
        <v>1</v>
      </c>
      <c r="J1956" s="2">
        <v>0</v>
      </c>
      <c r="K1956" s="2" t="s">
        <v>61</v>
      </c>
      <c r="L1956" s="6" t="s">
        <v>62</v>
      </c>
      <c r="M1956" s="5">
        <v>260000000</v>
      </c>
      <c r="N1956" s="2">
        <v>0</v>
      </c>
      <c r="O1956" s="2">
        <v>4.7245160000000004</v>
      </c>
      <c r="P1956" s="2">
        <v>-74.047179999999997</v>
      </c>
      <c r="Q1956" s="2" t="s">
        <v>3791</v>
      </c>
      <c r="R1956" s="2">
        <v>11764705.880000001</v>
      </c>
      <c r="S1956" s="2">
        <v>0</v>
      </c>
      <c r="T1956" s="2" t="s">
        <v>55</v>
      </c>
      <c r="U1956" s="2" t="s">
        <v>56</v>
      </c>
      <c r="V1956" s="2" t="s">
        <v>28</v>
      </c>
      <c r="W1956" s="2" t="s">
        <v>55</v>
      </c>
      <c r="X1956" s="2" t="s">
        <v>57</v>
      </c>
      <c r="Y1956" s="2">
        <v>2.4383396329796398</v>
      </c>
      <c r="Z1956" s="2">
        <v>4.71035</v>
      </c>
      <c r="AA1956" s="2">
        <v>-74.030416666666696</v>
      </c>
      <c r="AB1956" s="2">
        <v>2570</v>
      </c>
      <c r="AC1956" s="2" t="s">
        <v>31</v>
      </c>
      <c r="AD1956" s="2" t="s">
        <v>58</v>
      </c>
      <c r="AE1956" s="2" t="s">
        <v>33</v>
      </c>
      <c r="AF1956" s="2" t="s">
        <v>34</v>
      </c>
      <c r="AG1956" s="2" t="s">
        <v>59</v>
      </c>
      <c r="AH1956" s="2">
        <v>0.44978317869573903</v>
      </c>
      <c r="AI1956" s="2">
        <v>2.6723695095793998</v>
      </c>
      <c r="AJ1956" s="2">
        <v>1.2222098960446399</v>
      </c>
      <c r="AK1956" s="2">
        <v>9.3934210103837207E-2</v>
      </c>
      <c r="AL1956" s="2">
        <v>2.4022783728091301E-2</v>
      </c>
      <c r="AM1956" s="2">
        <v>15.5</v>
      </c>
      <c r="AN1956" s="2">
        <v>2.4</v>
      </c>
      <c r="AO1956" s="2">
        <v>10.9</v>
      </c>
      <c r="AP1956" s="2">
        <v>564</v>
      </c>
      <c r="AQ1956" s="2">
        <v>68</v>
      </c>
      <c r="AR1956" s="2">
        <v>1.5</v>
      </c>
      <c r="AS1956" s="2">
        <v>135</v>
      </c>
      <c r="AT1956" s="2">
        <v>0</v>
      </c>
      <c r="AU1956" s="2">
        <v>162</v>
      </c>
      <c r="AV1956" s="2">
        <v>9.1</v>
      </c>
      <c r="AW1956" s="2">
        <v>9.1999999999999993</v>
      </c>
      <c r="AX1956" s="2">
        <v>18.3</v>
      </c>
      <c r="AY1956" s="2">
        <v>0.34</v>
      </c>
      <c r="AZ1956" s="2">
        <v>7.3</v>
      </c>
      <c r="BA1956" s="2">
        <v>0.9</v>
      </c>
      <c r="BB1956" s="2">
        <v>7.5</v>
      </c>
      <c r="BC1956" s="2">
        <v>2.9</v>
      </c>
      <c r="BD1956" s="2">
        <f>+AN1956*EXP(-0.0495*Y1956)</f>
        <v>2.1271241976740076</v>
      </c>
      <c r="BE1956" s="2">
        <f>+AO1956*EXP(-0.024*Y1956)</f>
        <v>10.280435655241353</v>
      </c>
    </row>
    <row r="1957" spans="1:57" x14ac:dyDescent="0.2">
      <c r="A1957" s="2" t="s">
        <v>3373</v>
      </c>
      <c r="B1957" s="2" t="s">
        <v>19</v>
      </c>
      <c r="C1957" s="2" t="s">
        <v>3245</v>
      </c>
      <c r="D1957" s="2" t="s">
        <v>21</v>
      </c>
      <c r="E1957" s="2" t="s">
        <v>144</v>
      </c>
      <c r="F1957" s="2">
        <v>5</v>
      </c>
      <c r="G1957" s="2">
        <v>21.6</v>
      </c>
      <c r="H1957" s="2">
        <v>1</v>
      </c>
      <c r="I1957" s="2">
        <v>1</v>
      </c>
      <c r="J1957" s="2">
        <v>0</v>
      </c>
      <c r="K1957" s="2" t="s">
        <v>23</v>
      </c>
      <c r="L1957" s="6" t="s">
        <v>24</v>
      </c>
      <c r="M1957" s="5">
        <v>262900000</v>
      </c>
      <c r="N1957" s="2">
        <v>0</v>
      </c>
      <c r="O1957" s="2">
        <v>4.7005549999999996</v>
      </c>
      <c r="P1957" s="2">
        <v>-74.030410000000003</v>
      </c>
      <c r="Q1957" s="2" t="s">
        <v>3374</v>
      </c>
      <c r="R1957" s="2">
        <v>12171296.300000001</v>
      </c>
      <c r="S1957" s="2">
        <v>0</v>
      </c>
      <c r="T1957" s="2" t="s">
        <v>55</v>
      </c>
      <c r="U1957" s="2" t="s">
        <v>56</v>
      </c>
      <c r="V1957" s="2" t="s">
        <v>28</v>
      </c>
      <c r="W1957" s="2" t="s">
        <v>55</v>
      </c>
      <c r="X1957" s="2" t="s">
        <v>57</v>
      </c>
      <c r="Y1957" s="2">
        <v>1.0903746631746101</v>
      </c>
      <c r="Z1957" s="2">
        <v>4.71035</v>
      </c>
      <c r="AA1957" s="2">
        <v>-74.030416666666696</v>
      </c>
      <c r="AB1957" s="2">
        <v>2570</v>
      </c>
      <c r="AC1957" s="2" t="s">
        <v>31</v>
      </c>
      <c r="AD1957" s="2" t="s">
        <v>58</v>
      </c>
      <c r="AE1957" s="2" t="s">
        <v>33</v>
      </c>
      <c r="AF1957" s="2" t="s">
        <v>34</v>
      </c>
      <c r="AG1957" s="2" t="s">
        <v>59</v>
      </c>
      <c r="AH1957" s="2">
        <v>2.6788553816470402</v>
      </c>
      <c r="AI1957" s="2">
        <v>0.52051028747738204</v>
      </c>
      <c r="AJ1957" s="2">
        <v>0.24347648255062401</v>
      </c>
      <c r="AK1957" s="2">
        <v>6.5109021914025705E-2</v>
      </c>
      <c r="AL1957" s="2">
        <v>0.41491239207020603</v>
      </c>
      <c r="AM1957" s="2">
        <v>15.5</v>
      </c>
      <c r="AN1957" s="2">
        <v>2.4</v>
      </c>
      <c r="AO1957" s="2">
        <v>10.9</v>
      </c>
      <c r="AP1957" s="2">
        <v>564</v>
      </c>
      <c r="AQ1957" s="2">
        <v>68</v>
      </c>
      <c r="AR1957" s="2">
        <v>1.5</v>
      </c>
      <c r="AS1957" s="2">
        <v>135</v>
      </c>
      <c r="AT1957" s="2">
        <v>0</v>
      </c>
      <c r="AU1957" s="2">
        <v>162</v>
      </c>
      <c r="AV1957" s="2">
        <v>9.1</v>
      </c>
      <c r="AW1957" s="2">
        <v>9.1999999999999993</v>
      </c>
      <c r="AX1957" s="2">
        <v>18.3</v>
      </c>
      <c r="AY1957" s="2">
        <v>0.34</v>
      </c>
      <c r="AZ1957" s="2">
        <v>7.3</v>
      </c>
      <c r="BA1957" s="2">
        <v>0.9</v>
      </c>
      <c r="BB1957" s="2">
        <v>7.5</v>
      </c>
      <c r="BC1957" s="2">
        <v>2.9</v>
      </c>
      <c r="BD1957" s="2">
        <f>+AN1957*EXP(-0.0495*Y1957)</f>
        <v>2.2738972088784819</v>
      </c>
      <c r="BE1957" s="2">
        <f>+AO1957*EXP(-0.024*Y1957)</f>
        <v>10.618457891558361</v>
      </c>
    </row>
    <row r="1958" spans="1:57" x14ac:dyDescent="0.2">
      <c r="A1958" s="2" t="s">
        <v>3529</v>
      </c>
      <c r="B1958" s="2" t="s">
        <v>19</v>
      </c>
      <c r="C1958" s="2" t="s">
        <v>3245</v>
      </c>
      <c r="D1958" s="2" t="s">
        <v>21</v>
      </c>
      <c r="E1958" s="2" t="s">
        <v>180</v>
      </c>
      <c r="F1958" s="2">
        <v>6</v>
      </c>
      <c r="G1958" s="2">
        <v>21</v>
      </c>
      <c r="H1958" s="2">
        <v>1</v>
      </c>
      <c r="I1958" s="2">
        <v>1</v>
      </c>
      <c r="J1958" s="2">
        <v>0</v>
      </c>
      <c r="K1958" s="2" t="s">
        <v>61</v>
      </c>
      <c r="L1958" s="6" t="s">
        <v>62</v>
      </c>
      <c r="M1958" s="5">
        <v>320000000</v>
      </c>
      <c r="N1958" s="2">
        <v>0</v>
      </c>
      <c r="O1958" s="2">
        <v>4.6816199999999997</v>
      </c>
      <c r="P1958" s="2">
        <v>-74.047139999999999</v>
      </c>
      <c r="Q1958" s="2" t="s">
        <v>3530</v>
      </c>
      <c r="R1958" s="2">
        <v>15238095.24</v>
      </c>
      <c r="S1958" s="2">
        <v>0</v>
      </c>
      <c r="T1958" s="2" t="s">
        <v>55</v>
      </c>
      <c r="U1958" s="2" t="s">
        <v>56</v>
      </c>
      <c r="V1958" s="2" t="s">
        <v>28</v>
      </c>
      <c r="W1958" s="2" t="s">
        <v>55</v>
      </c>
      <c r="X1958" s="2" t="s">
        <v>57</v>
      </c>
      <c r="Y1958" s="2">
        <v>3.6974300751556402</v>
      </c>
      <c r="Z1958" s="2">
        <v>4.71035</v>
      </c>
      <c r="AA1958" s="2">
        <v>-74.030416666666696</v>
      </c>
      <c r="AB1958" s="2">
        <v>2570</v>
      </c>
      <c r="AC1958" s="2" t="s">
        <v>31</v>
      </c>
      <c r="AD1958" s="2" t="s">
        <v>58</v>
      </c>
      <c r="AE1958" s="2" t="s">
        <v>33</v>
      </c>
      <c r="AF1958" s="2" t="s">
        <v>34</v>
      </c>
      <c r="AG1958" s="2" t="s">
        <v>81</v>
      </c>
      <c r="AH1958" s="2">
        <v>1.20019307229707</v>
      </c>
      <c r="AI1958" s="2">
        <v>1.18883715800353</v>
      </c>
      <c r="AJ1958" s="2">
        <v>0.65498137780241705</v>
      </c>
      <c r="AK1958" s="2">
        <v>9.2125053842393195E-2</v>
      </c>
      <c r="AL1958" s="2">
        <v>0.92328563608887004</v>
      </c>
      <c r="AM1958" s="2">
        <v>15.5</v>
      </c>
      <c r="AN1958" s="2">
        <v>2.4</v>
      </c>
      <c r="AO1958" s="2">
        <v>10.9</v>
      </c>
      <c r="AP1958" s="2">
        <v>564</v>
      </c>
      <c r="AQ1958" s="2">
        <v>68</v>
      </c>
      <c r="AR1958" s="2">
        <v>1.5</v>
      </c>
      <c r="AS1958" s="2">
        <v>135</v>
      </c>
      <c r="AT1958" s="2">
        <v>0</v>
      </c>
      <c r="AU1958" s="2">
        <v>162</v>
      </c>
      <c r="AV1958" s="2">
        <v>9.1</v>
      </c>
      <c r="AW1958" s="2">
        <v>9.1999999999999993</v>
      </c>
      <c r="AX1958" s="2">
        <v>18.3</v>
      </c>
      <c r="AY1958" s="2">
        <v>0.34</v>
      </c>
      <c r="AZ1958" s="2">
        <v>7.3</v>
      </c>
      <c r="BA1958" s="2">
        <v>0.9</v>
      </c>
      <c r="BB1958" s="2">
        <v>7.5</v>
      </c>
      <c r="BC1958" s="2">
        <v>2.9</v>
      </c>
      <c r="BD1958" s="2">
        <f>+AN1958*EXP(-0.0495*Y1958)</f>
        <v>1.9985980277587974</v>
      </c>
      <c r="BE1958" s="2">
        <f>+AO1958*EXP(-0.024*Y1958)</f>
        <v>9.9744265004249044</v>
      </c>
    </row>
    <row r="1959" spans="1:57" x14ac:dyDescent="0.2">
      <c r="A1959" s="2" t="s">
        <v>3271</v>
      </c>
      <c r="B1959" s="2" t="s">
        <v>19</v>
      </c>
      <c r="C1959" s="2" t="s">
        <v>3245</v>
      </c>
      <c r="D1959" s="2" t="s">
        <v>21</v>
      </c>
      <c r="E1959" s="2" t="s">
        <v>393</v>
      </c>
      <c r="F1959" s="2">
        <v>5</v>
      </c>
      <c r="G1959" s="2">
        <v>20.53</v>
      </c>
      <c r="H1959" s="2">
        <v>1</v>
      </c>
      <c r="I1959" s="2">
        <v>1</v>
      </c>
      <c r="J1959" s="2">
        <v>1</v>
      </c>
      <c r="K1959" s="2" t="s">
        <v>61</v>
      </c>
      <c r="L1959" s="6" t="s">
        <v>62</v>
      </c>
      <c r="M1959" s="5">
        <v>260000000</v>
      </c>
      <c r="N1959" s="2">
        <v>0</v>
      </c>
      <c r="O1959" s="2">
        <v>4.7162274999999996</v>
      </c>
      <c r="P1959" s="2">
        <v>-74.042389999999997</v>
      </c>
      <c r="Q1959" s="2" t="s">
        <v>3272</v>
      </c>
      <c r="R1959" s="2">
        <v>12664393.57</v>
      </c>
      <c r="S1959" s="2">
        <v>0</v>
      </c>
      <c r="T1959" s="2" t="s">
        <v>55</v>
      </c>
      <c r="U1959" s="2" t="s">
        <v>56</v>
      </c>
      <c r="V1959" s="2" t="s">
        <v>28</v>
      </c>
      <c r="W1959" s="2" t="s">
        <v>55</v>
      </c>
      <c r="X1959" s="2" t="s">
        <v>57</v>
      </c>
      <c r="Y1959" s="2">
        <v>1.4807491154197401</v>
      </c>
      <c r="Z1959" s="2">
        <v>4.71035</v>
      </c>
      <c r="AA1959" s="2">
        <v>-74.030416666666696</v>
      </c>
      <c r="AB1959" s="2">
        <v>2570</v>
      </c>
      <c r="AC1959" s="2" t="s">
        <v>31</v>
      </c>
      <c r="AD1959" s="2" t="s">
        <v>58</v>
      </c>
      <c r="AE1959" s="2" t="s">
        <v>33</v>
      </c>
      <c r="AF1959" s="2" t="s">
        <v>34</v>
      </c>
      <c r="AG1959" s="2" t="s">
        <v>59</v>
      </c>
      <c r="AH1959" s="2">
        <v>1.14239854234889</v>
      </c>
      <c r="AI1959" s="2">
        <v>2.0034876564826898</v>
      </c>
      <c r="AJ1959" s="2">
        <v>1.2260543388942</v>
      </c>
      <c r="AK1959" s="2">
        <v>9.2071029274162802E-2</v>
      </c>
      <c r="AL1959" s="2">
        <v>0.57127088071439003</v>
      </c>
      <c r="AM1959" s="2">
        <v>15.5</v>
      </c>
      <c r="AN1959" s="2">
        <v>2.4</v>
      </c>
      <c r="AO1959" s="2">
        <v>10.9</v>
      </c>
      <c r="AP1959" s="2">
        <v>564</v>
      </c>
      <c r="AQ1959" s="2">
        <v>68</v>
      </c>
      <c r="AR1959" s="2">
        <v>1.5</v>
      </c>
      <c r="AS1959" s="2">
        <v>135</v>
      </c>
      <c r="AT1959" s="2">
        <v>0</v>
      </c>
      <c r="AU1959" s="2">
        <v>162</v>
      </c>
      <c r="AV1959" s="2">
        <v>9.1</v>
      </c>
      <c r="AW1959" s="2">
        <v>9.1999999999999993</v>
      </c>
      <c r="AX1959" s="2">
        <v>18.3</v>
      </c>
      <c r="AY1959" s="2">
        <v>0.34</v>
      </c>
      <c r="AZ1959" s="2">
        <v>7.3</v>
      </c>
      <c r="BA1959" s="2">
        <v>0.9</v>
      </c>
      <c r="BB1959" s="2">
        <v>7.5</v>
      </c>
      <c r="BC1959" s="2">
        <v>2.9</v>
      </c>
      <c r="BD1959" s="2">
        <f>+AN1959*EXP(-0.0495*Y1959)</f>
        <v>2.2303792898430923</v>
      </c>
      <c r="BE1959" s="2">
        <f>+AO1959*EXP(-0.024*Y1959)</f>
        <v>10.519438280192611</v>
      </c>
    </row>
    <row r="1960" spans="1:57" x14ac:dyDescent="0.2">
      <c r="A1960" s="2" t="s">
        <v>3845</v>
      </c>
      <c r="B1960" s="2" t="s">
        <v>19</v>
      </c>
      <c r="C1960" s="2" t="s">
        <v>3245</v>
      </c>
      <c r="D1960" s="2" t="s">
        <v>21</v>
      </c>
      <c r="E1960" s="2" t="s">
        <v>3600</v>
      </c>
      <c r="F1960" s="2">
        <v>5</v>
      </c>
      <c r="G1960" s="2">
        <v>20.190000000000001</v>
      </c>
      <c r="H1960" s="2">
        <v>1</v>
      </c>
      <c r="I1960" s="2">
        <v>1</v>
      </c>
      <c r="J1960" s="2">
        <v>1</v>
      </c>
      <c r="K1960" s="2" t="s">
        <v>61</v>
      </c>
      <c r="L1960" s="6" t="s">
        <v>62</v>
      </c>
      <c r="M1960" s="5">
        <v>400000000</v>
      </c>
      <c r="N1960" s="2">
        <v>0</v>
      </c>
      <c r="O1960" s="2">
        <v>4.6856799999999996</v>
      </c>
      <c r="P1960" s="2">
        <v>-74.047389999999993</v>
      </c>
      <c r="Q1960" s="2" t="s">
        <v>3846</v>
      </c>
      <c r="R1960" s="2">
        <v>19811788.010000002</v>
      </c>
      <c r="S1960" s="2">
        <v>0</v>
      </c>
      <c r="T1960" s="2" t="s">
        <v>55</v>
      </c>
      <c r="U1960" s="2" t="s">
        <v>56</v>
      </c>
      <c r="V1960" s="2" t="s">
        <v>28</v>
      </c>
      <c r="W1960" s="2" t="s">
        <v>55</v>
      </c>
      <c r="X1960" s="2" t="s">
        <v>57</v>
      </c>
      <c r="Y1960" s="2">
        <v>3.3298678502180001</v>
      </c>
      <c r="Z1960" s="2">
        <v>4.71035</v>
      </c>
      <c r="AA1960" s="2">
        <v>-74.030416666666696</v>
      </c>
      <c r="AB1960" s="2">
        <v>2570</v>
      </c>
      <c r="AC1960" s="2" t="s">
        <v>31</v>
      </c>
      <c r="AD1960" s="2" t="s">
        <v>58</v>
      </c>
      <c r="AE1960" s="2" t="s">
        <v>33</v>
      </c>
      <c r="AF1960" s="2" t="s">
        <v>34</v>
      </c>
      <c r="AG1960" s="2" t="s">
        <v>59</v>
      </c>
      <c r="AH1960" s="2">
        <v>1.1604048101727999</v>
      </c>
      <c r="AI1960" s="2">
        <v>1.45610021632037</v>
      </c>
      <c r="AJ1960" s="2">
        <v>0.41279617515038303</v>
      </c>
      <c r="AK1960" s="2">
        <v>0.11490821711721901</v>
      </c>
      <c r="AL1960" s="2">
        <v>0.54751802845529995</v>
      </c>
      <c r="AM1960" s="2">
        <v>15.5</v>
      </c>
      <c r="AN1960" s="2">
        <v>2.4</v>
      </c>
      <c r="AO1960" s="2">
        <v>10.9</v>
      </c>
      <c r="AP1960" s="2">
        <v>564</v>
      </c>
      <c r="AQ1960" s="2">
        <v>68</v>
      </c>
      <c r="AR1960" s="2">
        <v>1.5</v>
      </c>
      <c r="AS1960" s="2">
        <v>135</v>
      </c>
      <c r="AT1960" s="2">
        <v>0</v>
      </c>
      <c r="AU1960" s="2">
        <v>162</v>
      </c>
      <c r="AV1960" s="2">
        <v>9.1</v>
      </c>
      <c r="AW1960" s="2">
        <v>9.1999999999999993</v>
      </c>
      <c r="AX1960" s="2">
        <v>18.3</v>
      </c>
      <c r="AY1960" s="2">
        <v>0.34</v>
      </c>
      <c r="AZ1960" s="2">
        <v>7.3</v>
      </c>
      <c r="BA1960" s="2">
        <v>0.9</v>
      </c>
      <c r="BB1960" s="2">
        <v>7.5</v>
      </c>
      <c r="BC1960" s="2">
        <v>2.9</v>
      </c>
      <c r="BD1960" s="2">
        <f>+AN1960*EXP(-0.0495*Y1960)</f>
        <v>2.0352939970775545</v>
      </c>
      <c r="BE1960" s="2">
        <f>+AO1960*EXP(-0.024*Y1960)</f>
        <v>10.06280508035687</v>
      </c>
    </row>
    <row r="1961" spans="1:57" x14ac:dyDescent="0.2">
      <c r="A1961" s="2" t="s">
        <v>3847</v>
      </c>
      <c r="B1961" s="2" t="s">
        <v>19</v>
      </c>
      <c r="C1961" s="2" t="s">
        <v>3245</v>
      </c>
      <c r="D1961" s="2" t="s">
        <v>21</v>
      </c>
      <c r="E1961" s="2" t="s">
        <v>3600</v>
      </c>
      <c r="F1961" s="2">
        <v>5</v>
      </c>
      <c r="G1961" s="2">
        <v>20.190000000000001</v>
      </c>
      <c r="H1961" s="2">
        <v>1</v>
      </c>
      <c r="I1961" s="2">
        <v>1</v>
      </c>
      <c r="J1961" s="2">
        <v>1</v>
      </c>
      <c r="K1961" s="2" t="s">
        <v>61</v>
      </c>
      <c r="L1961" s="6" t="s">
        <v>62</v>
      </c>
      <c r="M1961" s="5">
        <v>400000000</v>
      </c>
      <c r="N1961" s="2">
        <v>0</v>
      </c>
      <c r="O1961" s="2">
        <v>4.6856799999999996</v>
      </c>
      <c r="P1961" s="2">
        <v>-74.047389999999993</v>
      </c>
      <c r="Q1961" s="2" t="s">
        <v>3848</v>
      </c>
      <c r="R1961" s="2">
        <v>19811788.010000002</v>
      </c>
      <c r="S1961" s="2">
        <v>0</v>
      </c>
      <c r="T1961" s="2" t="s">
        <v>55</v>
      </c>
      <c r="U1961" s="2" t="s">
        <v>56</v>
      </c>
      <c r="V1961" s="2" t="s">
        <v>28</v>
      </c>
      <c r="W1961" s="2" t="s">
        <v>55</v>
      </c>
      <c r="X1961" s="2" t="s">
        <v>57</v>
      </c>
      <c r="Y1961" s="2">
        <v>3.3298678502180001</v>
      </c>
      <c r="Z1961" s="2">
        <v>4.71035</v>
      </c>
      <c r="AA1961" s="2">
        <v>-74.030416666666696</v>
      </c>
      <c r="AB1961" s="2">
        <v>2570</v>
      </c>
      <c r="AC1961" s="2" t="s">
        <v>31</v>
      </c>
      <c r="AD1961" s="2" t="s">
        <v>58</v>
      </c>
      <c r="AE1961" s="2" t="s">
        <v>33</v>
      </c>
      <c r="AF1961" s="2" t="s">
        <v>34</v>
      </c>
      <c r="AG1961" s="2" t="s">
        <v>59</v>
      </c>
      <c r="AH1961" s="2">
        <v>1.1604048101727999</v>
      </c>
      <c r="AI1961" s="2">
        <v>1.45610021632037</v>
      </c>
      <c r="AJ1961" s="2">
        <v>0.41279617515038303</v>
      </c>
      <c r="AK1961" s="2">
        <v>0.11490821711721901</v>
      </c>
      <c r="AL1961" s="2">
        <v>0.54751802845529995</v>
      </c>
      <c r="AM1961" s="2">
        <v>15.5</v>
      </c>
      <c r="AN1961" s="2">
        <v>2.4</v>
      </c>
      <c r="AO1961" s="2">
        <v>10.9</v>
      </c>
      <c r="AP1961" s="2">
        <v>564</v>
      </c>
      <c r="AQ1961" s="2">
        <v>68</v>
      </c>
      <c r="AR1961" s="2">
        <v>1.5</v>
      </c>
      <c r="AS1961" s="2">
        <v>135</v>
      </c>
      <c r="AT1961" s="2">
        <v>0</v>
      </c>
      <c r="AU1961" s="2">
        <v>162</v>
      </c>
      <c r="AV1961" s="2">
        <v>9.1</v>
      </c>
      <c r="AW1961" s="2">
        <v>9.1999999999999993</v>
      </c>
      <c r="AX1961" s="2">
        <v>18.3</v>
      </c>
      <c r="AY1961" s="2">
        <v>0.34</v>
      </c>
      <c r="AZ1961" s="2">
        <v>7.3</v>
      </c>
      <c r="BA1961" s="2">
        <v>0.9</v>
      </c>
      <c r="BB1961" s="2">
        <v>7.5</v>
      </c>
      <c r="BC1961" s="2">
        <v>2.9</v>
      </c>
      <c r="BD1961" s="2">
        <f>+AN1961*EXP(-0.0495*Y1961)</f>
        <v>2.0352939970775545</v>
      </c>
      <c r="BE1961" s="2">
        <f>+AO1961*EXP(-0.024*Y1961)</f>
        <v>10.06280508035687</v>
      </c>
    </row>
    <row r="1962" spans="1:57" x14ac:dyDescent="0.2">
      <c r="A1962" s="2" t="s">
        <v>4269</v>
      </c>
      <c r="B1962" s="2" t="s">
        <v>19</v>
      </c>
      <c r="C1962" s="2" t="s">
        <v>3245</v>
      </c>
      <c r="D1962" s="2" t="s">
        <v>21</v>
      </c>
      <c r="E1962" s="2" t="s">
        <v>983</v>
      </c>
      <c r="F1962" s="2">
        <v>5</v>
      </c>
      <c r="G1962" s="2">
        <v>20</v>
      </c>
      <c r="H1962" s="2">
        <v>1</v>
      </c>
      <c r="I1962" s="2">
        <v>1</v>
      </c>
      <c r="J1962" s="2">
        <v>0</v>
      </c>
      <c r="K1962" s="2" t="s">
        <v>61</v>
      </c>
      <c r="L1962" s="6" t="s">
        <v>62</v>
      </c>
      <c r="M1962" s="5">
        <v>220000000</v>
      </c>
      <c r="N1962" s="2">
        <v>0</v>
      </c>
      <c r="O1962" s="2">
        <v>4.7167700000000004</v>
      </c>
      <c r="P1962" s="2">
        <v>-74.040959999999998</v>
      </c>
      <c r="Q1962" s="2" t="s">
        <v>4270</v>
      </c>
      <c r="R1962" s="2">
        <v>11000000</v>
      </c>
      <c r="S1962" s="2">
        <v>0</v>
      </c>
      <c r="T1962" s="2" t="s">
        <v>55</v>
      </c>
      <c r="U1962" s="2" t="s">
        <v>56</v>
      </c>
      <c r="V1962" s="2" t="s">
        <v>28</v>
      </c>
      <c r="W1962" s="2" t="s">
        <v>55</v>
      </c>
      <c r="X1962" s="2" t="s">
        <v>57</v>
      </c>
      <c r="Y1962" s="2">
        <v>1.37075678063315</v>
      </c>
      <c r="Z1962" s="2">
        <v>4.71035</v>
      </c>
      <c r="AA1962" s="2">
        <v>-74.030416666666696</v>
      </c>
      <c r="AB1962" s="2">
        <v>2570</v>
      </c>
      <c r="AC1962" s="2" t="s">
        <v>31</v>
      </c>
      <c r="AD1962" s="2" t="s">
        <v>58</v>
      </c>
      <c r="AE1962" s="2" t="s">
        <v>33</v>
      </c>
      <c r="AF1962" s="2" t="s">
        <v>34</v>
      </c>
      <c r="AG1962" s="2" t="s">
        <v>59</v>
      </c>
      <c r="AH1962" s="2">
        <v>1.2610611800549201</v>
      </c>
      <c r="AI1962" s="2">
        <v>1.86203591567024</v>
      </c>
      <c r="AJ1962" s="2">
        <v>1.1254791616520201</v>
      </c>
      <c r="AK1962" s="2">
        <v>0.19946706912530801</v>
      </c>
      <c r="AL1962" s="2">
        <v>0.45500948352832499</v>
      </c>
      <c r="AM1962" s="2">
        <v>15.5</v>
      </c>
      <c r="AN1962" s="2">
        <v>2.4</v>
      </c>
      <c r="AO1962" s="2">
        <v>10.9</v>
      </c>
      <c r="AP1962" s="2">
        <v>564</v>
      </c>
      <c r="AQ1962" s="2">
        <v>68</v>
      </c>
      <c r="AR1962" s="2">
        <v>1.5</v>
      </c>
      <c r="AS1962" s="2">
        <v>135</v>
      </c>
      <c r="AT1962" s="2">
        <v>0</v>
      </c>
      <c r="AU1962" s="2">
        <v>162</v>
      </c>
      <c r="AV1962" s="2">
        <v>9.1</v>
      </c>
      <c r="AW1962" s="2">
        <v>9.1999999999999993</v>
      </c>
      <c r="AX1962" s="2">
        <v>18.3</v>
      </c>
      <c r="AY1962" s="2">
        <v>0.34</v>
      </c>
      <c r="AZ1962" s="2">
        <v>7.3</v>
      </c>
      <c r="BA1962" s="2">
        <v>0.9</v>
      </c>
      <c r="BB1962" s="2">
        <v>7.5</v>
      </c>
      <c r="BC1962" s="2">
        <v>2.9</v>
      </c>
      <c r="BD1962" s="2">
        <f>+AN1962*EXP(-0.0495*Y1962)</f>
        <v>2.2425559774493578</v>
      </c>
      <c r="BE1962" s="2">
        <f>+AO1962*EXP(-0.024*Y1962)</f>
        <v>10.547244347346032</v>
      </c>
    </row>
    <row r="1963" spans="1:57" x14ac:dyDescent="0.2">
      <c r="A1963" s="2" t="s">
        <v>4184</v>
      </c>
      <c r="B1963" s="2" t="s">
        <v>19</v>
      </c>
      <c r="C1963" s="2" t="s">
        <v>3245</v>
      </c>
      <c r="D1963" s="2" t="s">
        <v>21</v>
      </c>
      <c r="E1963" s="2" t="s">
        <v>4185</v>
      </c>
      <c r="F1963" s="2">
        <v>5</v>
      </c>
      <c r="G1963" s="2">
        <v>20</v>
      </c>
      <c r="H1963" s="2">
        <v>1</v>
      </c>
      <c r="I1963" s="2">
        <v>1</v>
      </c>
      <c r="J1963" s="2">
        <v>0</v>
      </c>
      <c r="K1963" s="2" t="s">
        <v>61</v>
      </c>
      <c r="L1963" s="6" t="s">
        <v>62</v>
      </c>
      <c r="M1963" s="5">
        <v>280000000</v>
      </c>
      <c r="N1963" s="2">
        <v>0</v>
      </c>
      <c r="O1963" s="2">
        <v>4.7150993320000003</v>
      </c>
      <c r="P1963" s="2">
        <v>-74.038968089999997</v>
      </c>
      <c r="Q1963" s="2" t="s">
        <v>4186</v>
      </c>
      <c r="R1963" s="2">
        <v>14000000</v>
      </c>
      <c r="S1963" s="2">
        <v>0</v>
      </c>
      <c r="T1963" s="2" t="s">
        <v>55</v>
      </c>
      <c r="U1963" s="2" t="s">
        <v>56</v>
      </c>
      <c r="V1963" s="2" t="s">
        <v>28</v>
      </c>
      <c r="W1963" s="2" t="s">
        <v>55</v>
      </c>
      <c r="X1963" s="2" t="s">
        <v>57</v>
      </c>
      <c r="Y1963" s="2">
        <v>1.0860890649844199</v>
      </c>
      <c r="Z1963" s="2">
        <v>4.71035</v>
      </c>
      <c r="AA1963" s="2">
        <v>-74.030416666666696</v>
      </c>
      <c r="AB1963" s="2">
        <v>2570</v>
      </c>
      <c r="AC1963" s="2" t="s">
        <v>31</v>
      </c>
      <c r="AD1963" s="2" t="s">
        <v>58</v>
      </c>
      <c r="AE1963" s="2" t="s">
        <v>33</v>
      </c>
      <c r="AF1963" s="2" t="s">
        <v>34</v>
      </c>
      <c r="AG1963" s="2" t="s">
        <v>59</v>
      </c>
      <c r="AH1963" s="2">
        <v>1.5079991751333801</v>
      </c>
      <c r="AI1963" s="2">
        <v>1.6075092939282301</v>
      </c>
      <c r="AJ1963" s="2">
        <v>0.83838287739610895</v>
      </c>
      <c r="AK1963" s="2">
        <v>0.44624397073088401</v>
      </c>
      <c r="AL1963" s="2">
        <v>0.48143919059846302</v>
      </c>
      <c r="AM1963" s="2">
        <v>15.5</v>
      </c>
      <c r="AN1963" s="2">
        <v>2.4</v>
      </c>
      <c r="AO1963" s="2">
        <v>10.9</v>
      </c>
      <c r="AP1963" s="2">
        <v>564</v>
      </c>
      <c r="AQ1963" s="2">
        <v>68</v>
      </c>
      <c r="AR1963" s="2">
        <v>1.5</v>
      </c>
      <c r="AS1963" s="2">
        <v>135</v>
      </c>
      <c r="AT1963" s="2">
        <v>0</v>
      </c>
      <c r="AU1963" s="2">
        <v>162</v>
      </c>
      <c r="AV1963" s="2">
        <v>9.1</v>
      </c>
      <c r="AW1963" s="2">
        <v>9.1999999999999993</v>
      </c>
      <c r="AX1963" s="2">
        <v>18.3</v>
      </c>
      <c r="AY1963" s="2">
        <v>0.34</v>
      </c>
      <c r="AZ1963" s="2">
        <v>7.3</v>
      </c>
      <c r="BA1963" s="2">
        <v>0.9</v>
      </c>
      <c r="BB1963" s="2">
        <v>7.5</v>
      </c>
      <c r="BC1963" s="2">
        <v>2.9</v>
      </c>
      <c r="BD1963" s="2">
        <f>+AN1963*EXP(-0.0495*Y1963)</f>
        <v>2.2743796380305068</v>
      </c>
      <c r="BE1963" s="2">
        <f>+AO1963*EXP(-0.024*Y1963)</f>
        <v>10.619550102380861</v>
      </c>
    </row>
    <row r="1964" spans="1:57" x14ac:dyDescent="0.2">
      <c r="A1964" s="2" t="s">
        <v>3841</v>
      </c>
      <c r="B1964" s="2" t="s">
        <v>19</v>
      </c>
      <c r="C1964" s="2" t="s">
        <v>3245</v>
      </c>
      <c r="D1964" s="2" t="s">
        <v>21</v>
      </c>
      <c r="E1964" s="2" t="s">
        <v>3600</v>
      </c>
      <c r="F1964" s="2">
        <v>5</v>
      </c>
      <c r="G1964" s="2">
        <v>19.5</v>
      </c>
      <c r="H1964" s="2">
        <v>1</v>
      </c>
      <c r="I1964" s="2">
        <v>1</v>
      </c>
      <c r="J1964" s="2">
        <v>1</v>
      </c>
      <c r="K1964" s="2" t="s">
        <v>61</v>
      </c>
      <c r="L1964" s="6" t="s">
        <v>62</v>
      </c>
      <c r="M1964" s="5">
        <v>380000000</v>
      </c>
      <c r="N1964" s="2">
        <v>0</v>
      </c>
      <c r="O1964" s="2">
        <v>4.6856799999999996</v>
      </c>
      <c r="P1964" s="2">
        <v>-74.047389999999993</v>
      </c>
      <c r="Q1964" s="2" t="s">
        <v>3842</v>
      </c>
      <c r="R1964" s="2">
        <v>19487179.489999998</v>
      </c>
      <c r="S1964" s="2">
        <v>0</v>
      </c>
      <c r="T1964" s="2" t="s">
        <v>55</v>
      </c>
      <c r="U1964" s="2" t="s">
        <v>56</v>
      </c>
      <c r="V1964" s="2" t="s">
        <v>28</v>
      </c>
      <c r="W1964" s="2" t="s">
        <v>55</v>
      </c>
      <c r="X1964" s="2" t="s">
        <v>57</v>
      </c>
      <c r="Y1964" s="2">
        <v>3.3298678502180001</v>
      </c>
      <c r="Z1964" s="2">
        <v>4.71035</v>
      </c>
      <c r="AA1964" s="2">
        <v>-74.030416666666696</v>
      </c>
      <c r="AB1964" s="2">
        <v>2570</v>
      </c>
      <c r="AC1964" s="2" t="s">
        <v>31</v>
      </c>
      <c r="AD1964" s="2" t="s">
        <v>58</v>
      </c>
      <c r="AE1964" s="2" t="s">
        <v>33</v>
      </c>
      <c r="AF1964" s="2" t="s">
        <v>34</v>
      </c>
      <c r="AG1964" s="2" t="s">
        <v>59</v>
      </c>
      <c r="AH1964" s="2">
        <v>1.1604048101727999</v>
      </c>
      <c r="AI1964" s="2">
        <v>1.45610021632037</v>
      </c>
      <c r="AJ1964" s="2">
        <v>0.41279617515038303</v>
      </c>
      <c r="AK1964" s="2">
        <v>0.11490821711721901</v>
      </c>
      <c r="AL1964" s="2">
        <v>0.54751802845529995</v>
      </c>
      <c r="AM1964" s="2">
        <v>15.5</v>
      </c>
      <c r="AN1964" s="2">
        <v>2.4</v>
      </c>
      <c r="AO1964" s="2">
        <v>10.9</v>
      </c>
      <c r="AP1964" s="2">
        <v>564</v>
      </c>
      <c r="AQ1964" s="2">
        <v>68</v>
      </c>
      <c r="AR1964" s="2">
        <v>1.5</v>
      </c>
      <c r="AS1964" s="2">
        <v>135</v>
      </c>
      <c r="AT1964" s="2">
        <v>0</v>
      </c>
      <c r="AU1964" s="2">
        <v>162</v>
      </c>
      <c r="AV1964" s="2">
        <v>9.1</v>
      </c>
      <c r="AW1964" s="2">
        <v>9.1999999999999993</v>
      </c>
      <c r="AX1964" s="2">
        <v>18.3</v>
      </c>
      <c r="AY1964" s="2">
        <v>0.34</v>
      </c>
      <c r="AZ1964" s="2">
        <v>7.3</v>
      </c>
      <c r="BA1964" s="2">
        <v>0.9</v>
      </c>
      <c r="BB1964" s="2">
        <v>7.5</v>
      </c>
      <c r="BC1964" s="2">
        <v>2.9</v>
      </c>
      <c r="BD1964" s="2">
        <f>+AN1964*EXP(-0.0495*Y1964)</f>
        <v>2.0352939970775545</v>
      </c>
      <c r="BE1964" s="2">
        <f>+AO1964*EXP(-0.024*Y1964)</f>
        <v>10.06280508035687</v>
      </c>
    </row>
    <row r="1965" spans="1:57" x14ac:dyDescent="0.2">
      <c r="A1965" s="2" t="s">
        <v>3375</v>
      </c>
      <c r="B1965" s="2" t="s">
        <v>19</v>
      </c>
      <c r="C1965" s="2" t="s">
        <v>3245</v>
      </c>
      <c r="D1965" s="2" t="s">
        <v>21</v>
      </c>
      <c r="E1965" s="2" t="s">
        <v>144</v>
      </c>
      <c r="F1965" s="2">
        <v>5</v>
      </c>
      <c r="G1965" s="2">
        <v>19.100000000000001</v>
      </c>
      <c r="H1965" s="2">
        <v>1</v>
      </c>
      <c r="I1965" s="2">
        <v>1</v>
      </c>
      <c r="J1965" s="2">
        <v>0</v>
      </c>
      <c r="K1965" s="2" t="s">
        <v>23</v>
      </c>
      <c r="L1965" s="6" t="s">
        <v>24</v>
      </c>
      <c r="M1965" s="5">
        <v>249900000</v>
      </c>
      <c r="N1965" s="2">
        <v>0</v>
      </c>
      <c r="O1965" s="2">
        <v>4.7005549999999996</v>
      </c>
      <c r="P1965" s="2">
        <v>-74.030410000000003</v>
      </c>
      <c r="Q1965" s="2" t="s">
        <v>3376</v>
      </c>
      <c r="R1965" s="2">
        <v>13083769.630000001</v>
      </c>
      <c r="S1965" s="2">
        <v>0</v>
      </c>
      <c r="T1965" s="2" t="s">
        <v>55</v>
      </c>
      <c r="U1965" s="2" t="s">
        <v>56</v>
      </c>
      <c r="V1965" s="2" t="s">
        <v>28</v>
      </c>
      <c r="W1965" s="2" t="s">
        <v>55</v>
      </c>
      <c r="X1965" s="2" t="s">
        <v>57</v>
      </c>
      <c r="Y1965" s="2">
        <v>1.0903746631746101</v>
      </c>
      <c r="Z1965" s="2">
        <v>4.71035</v>
      </c>
      <c r="AA1965" s="2">
        <v>-74.030416666666696</v>
      </c>
      <c r="AB1965" s="2">
        <v>2570</v>
      </c>
      <c r="AC1965" s="2" t="s">
        <v>31</v>
      </c>
      <c r="AD1965" s="2" t="s">
        <v>58</v>
      </c>
      <c r="AE1965" s="2" t="s">
        <v>33</v>
      </c>
      <c r="AF1965" s="2" t="s">
        <v>34</v>
      </c>
      <c r="AG1965" s="2" t="s">
        <v>59</v>
      </c>
      <c r="AH1965" s="2">
        <v>2.6788553816470402</v>
      </c>
      <c r="AI1965" s="2">
        <v>0.52051028747738204</v>
      </c>
      <c r="AJ1965" s="2">
        <v>0.24347648255062401</v>
      </c>
      <c r="AK1965" s="2">
        <v>6.5109021914025705E-2</v>
      </c>
      <c r="AL1965" s="2">
        <v>0.41491239207020603</v>
      </c>
      <c r="AM1965" s="2">
        <v>15.5</v>
      </c>
      <c r="AN1965" s="2">
        <v>2.4</v>
      </c>
      <c r="AO1965" s="2">
        <v>10.9</v>
      </c>
      <c r="AP1965" s="2">
        <v>564</v>
      </c>
      <c r="AQ1965" s="2">
        <v>68</v>
      </c>
      <c r="AR1965" s="2">
        <v>1.5</v>
      </c>
      <c r="AS1965" s="2">
        <v>135</v>
      </c>
      <c r="AT1965" s="2">
        <v>0</v>
      </c>
      <c r="AU1965" s="2">
        <v>162</v>
      </c>
      <c r="AV1965" s="2">
        <v>9.1</v>
      </c>
      <c r="AW1965" s="2">
        <v>9.1999999999999993</v>
      </c>
      <c r="AX1965" s="2">
        <v>18.3</v>
      </c>
      <c r="AY1965" s="2">
        <v>0.34</v>
      </c>
      <c r="AZ1965" s="2">
        <v>7.3</v>
      </c>
      <c r="BA1965" s="2">
        <v>0.9</v>
      </c>
      <c r="BB1965" s="2">
        <v>7.5</v>
      </c>
      <c r="BC1965" s="2">
        <v>2.9</v>
      </c>
      <c r="BD1965" s="2">
        <f>+AN1965*EXP(-0.0495*Y1965)</f>
        <v>2.2738972088784819</v>
      </c>
      <c r="BE1965" s="2">
        <f>+AO1965*EXP(-0.024*Y1965)</f>
        <v>10.618457891558361</v>
      </c>
    </row>
    <row r="1966" spans="1:57" x14ac:dyDescent="0.2">
      <c r="A1966" s="2" t="s">
        <v>4242</v>
      </c>
      <c r="B1966" s="2" t="s">
        <v>19</v>
      </c>
      <c r="C1966" s="2" t="s">
        <v>3245</v>
      </c>
      <c r="D1966" s="2" t="s">
        <v>21</v>
      </c>
      <c r="E1966" s="2" t="s">
        <v>342</v>
      </c>
      <c r="F1966" s="2">
        <v>5</v>
      </c>
      <c r="G1966" s="2">
        <v>19</v>
      </c>
      <c r="H1966" s="2">
        <v>1</v>
      </c>
      <c r="I1966" s="2">
        <v>1</v>
      </c>
      <c r="J1966" s="2">
        <v>0</v>
      </c>
      <c r="K1966" s="2" t="s">
        <v>61</v>
      </c>
      <c r="L1966" s="6" t="s">
        <v>62</v>
      </c>
      <c r="M1966" s="5">
        <v>235000000</v>
      </c>
      <c r="N1966" s="2">
        <v>0</v>
      </c>
      <c r="O1966" s="2">
        <v>4.7200012210000004</v>
      </c>
      <c r="P1966" s="2">
        <v>-74.047691349999994</v>
      </c>
      <c r="Q1966" s="2" t="s">
        <v>4243</v>
      </c>
      <c r="R1966" s="2">
        <v>12368421.050000001</v>
      </c>
      <c r="S1966" s="2">
        <v>0</v>
      </c>
      <c r="T1966" s="2" t="s">
        <v>55</v>
      </c>
      <c r="U1966" s="2" t="s">
        <v>56</v>
      </c>
      <c r="V1966" s="2" t="s">
        <v>28</v>
      </c>
      <c r="W1966" s="2" t="s">
        <v>55</v>
      </c>
      <c r="X1966" s="2" t="s">
        <v>57</v>
      </c>
      <c r="Y1966" s="2">
        <v>2.1970990261273</v>
      </c>
      <c r="Z1966" s="2">
        <v>4.71035</v>
      </c>
      <c r="AA1966" s="2">
        <v>-74.030416666666696</v>
      </c>
      <c r="AB1966" s="2">
        <v>2570</v>
      </c>
      <c r="AC1966" s="2" t="s">
        <v>31</v>
      </c>
      <c r="AD1966" s="2" t="s">
        <v>58</v>
      </c>
      <c r="AE1966" s="2" t="s">
        <v>33</v>
      </c>
      <c r="AF1966" s="2" t="s">
        <v>34</v>
      </c>
      <c r="AG1966" s="2" t="s">
        <v>59</v>
      </c>
      <c r="AH1966" s="2">
        <v>0.43688214660331098</v>
      </c>
      <c r="AI1966" s="2">
        <v>2.6760551766006202</v>
      </c>
      <c r="AJ1966" s="2">
        <v>1.6611336692041401</v>
      </c>
      <c r="AK1966" s="2">
        <v>6.3183468796046596E-2</v>
      </c>
      <c r="AL1966" s="2">
        <v>0.47743469242734399</v>
      </c>
      <c r="AM1966" s="2">
        <v>15.5</v>
      </c>
      <c r="AN1966" s="2">
        <v>2.4</v>
      </c>
      <c r="AO1966" s="2">
        <v>10.9</v>
      </c>
      <c r="AP1966" s="2">
        <v>564</v>
      </c>
      <c r="AQ1966" s="2">
        <v>68</v>
      </c>
      <c r="AR1966" s="2">
        <v>1.5</v>
      </c>
      <c r="AS1966" s="2">
        <v>135</v>
      </c>
      <c r="AT1966" s="2">
        <v>0</v>
      </c>
      <c r="AU1966" s="2">
        <v>162</v>
      </c>
      <c r="AV1966" s="2">
        <v>9.1</v>
      </c>
      <c r="AW1966" s="2">
        <v>9.1999999999999993</v>
      </c>
      <c r="AX1966" s="2">
        <v>18.3</v>
      </c>
      <c r="AY1966" s="2">
        <v>0.34</v>
      </c>
      <c r="AZ1966" s="2">
        <v>7.3</v>
      </c>
      <c r="BA1966" s="2">
        <v>0.9</v>
      </c>
      <c r="BB1966" s="2">
        <v>7.5</v>
      </c>
      <c r="BC1966" s="2">
        <v>2.9</v>
      </c>
      <c r="BD1966" s="2">
        <f>+AN1966*EXP(-0.0495*Y1966)</f>
        <v>2.1526773264672499</v>
      </c>
      <c r="BE1966" s="2">
        <f>+AO1966*EXP(-0.024*Y1966)</f>
        <v>10.340129700890488</v>
      </c>
    </row>
    <row r="1967" spans="1:57" x14ac:dyDescent="0.2">
      <c r="A1967" s="2" t="s">
        <v>3371</v>
      </c>
      <c r="B1967" s="2" t="s">
        <v>19</v>
      </c>
      <c r="C1967" s="2" t="s">
        <v>3245</v>
      </c>
      <c r="D1967" s="2" t="s">
        <v>21</v>
      </c>
      <c r="E1967" s="2" t="s">
        <v>144</v>
      </c>
      <c r="F1967" s="2">
        <v>5</v>
      </c>
      <c r="G1967" s="2">
        <v>18.600000000000001</v>
      </c>
      <c r="H1967" s="2">
        <v>1</v>
      </c>
      <c r="I1967" s="2">
        <v>1</v>
      </c>
      <c r="J1967" s="2">
        <v>0</v>
      </c>
      <c r="K1967" s="2" t="s">
        <v>23</v>
      </c>
      <c r="L1967" s="6" t="s">
        <v>24</v>
      </c>
      <c r="M1967" s="5">
        <v>249900000</v>
      </c>
      <c r="N1967" s="2">
        <v>0</v>
      </c>
      <c r="O1967" s="2">
        <v>4.7005549999999996</v>
      </c>
      <c r="P1967" s="2">
        <v>-74.030410000000003</v>
      </c>
      <c r="Q1967" s="2" t="s">
        <v>3372</v>
      </c>
      <c r="R1967" s="2">
        <v>13435483.869999999</v>
      </c>
      <c r="S1967" s="2">
        <v>0</v>
      </c>
      <c r="T1967" s="2" t="s">
        <v>55</v>
      </c>
      <c r="U1967" s="2" t="s">
        <v>56</v>
      </c>
      <c r="V1967" s="2" t="s">
        <v>28</v>
      </c>
      <c r="W1967" s="2" t="s">
        <v>55</v>
      </c>
      <c r="X1967" s="2" t="s">
        <v>57</v>
      </c>
      <c r="Y1967" s="2">
        <v>1.0903746631746101</v>
      </c>
      <c r="Z1967" s="2">
        <v>4.71035</v>
      </c>
      <c r="AA1967" s="2">
        <v>-74.030416666666696</v>
      </c>
      <c r="AB1967" s="2">
        <v>2570</v>
      </c>
      <c r="AC1967" s="2" t="s">
        <v>31</v>
      </c>
      <c r="AD1967" s="2" t="s">
        <v>58</v>
      </c>
      <c r="AE1967" s="2" t="s">
        <v>33</v>
      </c>
      <c r="AF1967" s="2" t="s">
        <v>34</v>
      </c>
      <c r="AG1967" s="2" t="s">
        <v>59</v>
      </c>
      <c r="AH1967" s="2">
        <v>2.6788553816470402</v>
      </c>
      <c r="AI1967" s="2">
        <v>0.52051028747738204</v>
      </c>
      <c r="AJ1967" s="2">
        <v>0.24347648255062401</v>
      </c>
      <c r="AK1967" s="2">
        <v>6.5109021914025705E-2</v>
      </c>
      <c r="AL1967" s="2">
        <v>0.41491239207020603</v>
      </c>
      <c r="AM1967" s="2">
        <v>15.5</v>
      </c>
      <c r="AN1967" s="2">
        <v>2.4</v>
      </c>
      <c r="AO1967" s="2">
        <v>10.9</v>
      </c>
      <c r="AP1967" s="2">
        <v>564</v>
      </c>
      <c r="AQ1967" s="2">
        <v>68</v>
      </c>
      <c r="AR1967" s="2">
        <v>1.5</v>
      </c>
      <c r="AS1967" s="2">
        <v>135</v>
      </c>
      <c r="AT1967" s="2">
        <v>0</v>
      </c>
      <c r="AU1967" s="2">
        <v>162</v>
      </c>
      <c r="AV1967" s="2">
        <v>9.1</v>
      </c>
      <c r="AW1967" s="2">
        <v>9.1999999999999993</v>
      </c>
      <c r="AX1967" s="2">
        <v>18.3</v>
      </c>
      <c r="AY1967" s="2">
        <v>0.34</v>
      </c>
      <c r="AZ1967" s="2">
        <v>7.3</v>
      </c>
      <c r="BA1967" s="2">
        <v>0.9</v>
      </c>
      <c r="BB1967" s="2">
        <v>7.5</v>
      </c>
      <c r="BC1967" s="2">
        <v>2.9</v>
      </c>
      <c r="BD1967" s="2">
        <f>+AN1967*EXP(-0.0495*Y1967)</f>
        <v>2.2738972088784819</v>
      </c>
      <c r="BE1967" s="2">
        <f>+AO1967*EXP(-0.024*Y1967)</f>
        <v>10.618457891558361</v>
      </c>
    </row>
    <row r="1968" spans="1:57" x14ac:dyDescent="0.2">
      <c r="A1968" s="2" t="s">
        <v>3244</v>
      </c>
      <c r="B1968" s="2" t="s">
        <v>19</v>
      </c>
      <c r="C1968" s="2" t="s">
        <v>3245</v>
      </c>
      <c r="D1968" s="2" t="s">
        <v>21</v>
      </c>
      <c r="E1968" s="2" t="s">
        <v>144</v>
      </c>
      <c r="F1968" s="2">
        <v>5</v>
      </c>
      <c r="G1968" s="2">
        <v>18.100000000000001</v>
      </c>
      <c r="H1968" s="2">
        <v>1</v>
      </c>
      <c r="I1968" s="2">
        <v>1</v>
      </c>
      <c r="J1968" s="2">
        <v>0</v>
      </c>
      <c r="K1968" s="2" t="s">
        <v>23</v>
      </c>
      <c r="L1968" s="6" t="s">
        <v>24</v>
      </c>
      <c r="M1968" s="5">
        <v>249900000</v>
      </c>
      <c r="N1968" s="2">
        <v>0</v>
      </c>
      <c r="O1968" s="2">
        <v>4.7005549999999996</v>
      </c>
      <c r="P1968" s="2">
        <v>-74.030410000000003</v>
      </c>
      <c r="Q1968" s="2" t="s">
        <v>3246</v>
      </c>
      <c r="R1968" s="2">
        <v>13806629.83</v>
      </c>
      <c r="S1968" s="2">
        <v>0</v>
      </c>
      <c r="T1968" s="2" t="s">
        <v>55</v>
      </c>
      <c r="U1968" s="2" t="s">
        <v>56</v>
      </c>
      <c r="V1968" s="2" t="s">
        <v>28</v>
      </c>
      <c r="W1968" s="2" t="s">
        <v>55</v>
      </c>
      <c r="X1968" s="2" t="s">
        <v>57</v>
      </c>
      <c r="Y1968" s="2">
        <v>1.0903746631746101</v>
      </c>
      <c r="Z1968" s="2">
        <v>4.71035</v>
      </c>
      <c r="AA1968" s="2">
        <v>-74.030416666666696</v>
      </c>
      <c r="AB1968" s="2">
        <v>2570</v>
      </c>
      <c r="AC1968" s="2" t="s">
        <v>31</v>
      </c>
      <c r="AD1968" s="2" t="s">
        <v>58</v>
      </c>
      <c r="AE1968" s="2" t="s">
        <v>33</v>
      </c>
      <c r="AF1968" s="2" t="s">
        <v>34</v>
      </c>
      <c r="AG1968" s="2" t="s">
        <v>59</v>
      </c>
      <c r="AH1968" s="2">
        <v>2.6788553816470402</v>
      </c>
      <c r="AI1968" s="2">
        <v>0.52051028747738204</v>
      </c>
      <c r="AJ1968" s="2">
        <v>0.24347648255062401</v>
      </c>
      <c r="AK1968" s="2">
        <v>6.5109021914025705E-2</v>
      </c>
      <c r="AL1968" s="2">
        <v>0.41491239207020603</v>
      </c>
      <c r="AM1968" s="2">
        <v>15.5</v>
      </c>
      <c r="AN1968" s="2">
        <v>2.4</v>
      </c>
      <c r="AO1968" s="2">
        <v>10.9</v>
      </c>
      <c r="AP1968" s="2">
        <v>564</v>
      </c>
      <c r="AQ1968" s="2">
        <v>68</v>
      </c>
      <c r="AR1968" s="2">
        <v>1.5</v>
      </c>
      <c r="AS1968" s="2">
        <v>135</v>
      </c>
      <c r="AT1968" s="2">
        <v>0</v>
      </c>
      <c r="AU1968" s="2">
        <v>162</v>
      </c>
      <c r="AV1968" s="2">
        <v>9.1</v>
      </c>
      <c r="AW1968" s="2">
        <v>9.1999999999999993</v>
      </c>
      <c r="AX1968" s="2">
        <v>18.3</v>
      </c>
      <c r="AY1968" s="2">
        <v>0.34</v>
      </c>
      <c r="AZ1968" s="2">
        <v>7.3</v>
      </c>
      <c r="BA1968" s="2">
        <v>0.9</v>
      </c>
      <c r="BB1968" s="2">
        <v>7.5</v>
      </c>
      <c r="BC1968" s="2">
        <v>2.9</v>
      </c>
      <c r="BD1968" s="2">
        <f>+AN1968*EXP(-0.0495*Y1968)</f>
        <v>2.2738972088784819</v>
      </c>
      <c r="BE1968" s="2">
        <f>+AO1968*EXP(-0.024*Y1968)</f>
        <v>10.618457891558361</v>
      </c>
    </row>
    <row r="1969" spans="1:57" x14ac:dyDescent="0.2">
      <c r="A1969" s="2" t="s">
        <v>4377</v>
      </c>
      <c r="B1969" s="2" t="s">
        <v>19</v>
      </c>
      <c r="C1969" s="2" t="s">
        <v>3245</v>
      </c>
      <c r="D1969" s="2" t="s">
        <v>21</v>
      </c>
      <c r="E1969" s="2" t="s">
        <v>83</v>
      </c>
      <c r="F1969" s="2">
        <v>6</v>
      </c>
      <c r="G1969" s="2">
        <v>17</v>
      </c>
      <c r="H1969" s="2">
        <v>1</v>
      </c>
      <c r="I1969" s="2">
        <v>1</v>
      </c>
      <c r="J1969" s="2">
        <v>0</v>
      </c>
      <c r="K1969" s="2" t="s">
        <v>61</v>
      </c>
      <c r="L1969" s="6" t="s">
        <v>62</v>
      </c>
      <c r="M1969" s="5">
        <v>245000000</v>
      </c>
      <c r="N1969" s="2">
        <v>0</v>
      </c>
      <c r="O1969" s="2">
        <v>4.6805973999999999</v>
      </c>
      <c r="P1969" s="2">
        <v>-74.044084400000003</v>
      </c>
      <c r="Q1969" s="2" t="s">
        <v>4378</v>
      </c>
      <c r="R1969" s="2">
        <v>14411764.710000001</v>
      </c>
      <c r="S1969" s="2">
        <v>0</v>
      </c>
      <c r="T1969" s="2" t="s">
        <v>55</v>
      </c>
      <c r="U1969" s="2" t="s">
        <v>56</v>
      </c>
      <c r="V1969" s="2" t="s">
        <v>28</v>
      </c>
      <c r="W1969" s="2" t="s">
        <v>55</v>
      </c>
      <c r="X1969" s="2" t="s">
        <v>57</v>
      </c>
      <c r="Y1969" s="2">
        <v>3.6426696138188701</v>
      </c>
      <c r="Z1969" s="2">
        <v>4.71035</v>
      </c>
      <c r="AA1969" s="2">
        <v>-74.030416666666696</v>
      </c>
      <c r="AB1969" s="2">
        <v>2570</v>
      </c>
      <c r="AC1969" s="2" t="s">
        <v>31</v>
      </c>
      <c r="AD1969" s="2" t="s">
        <v>58</v>
      </c>
      <c r="AE1969" s="2" t="s">
        <v>33</v>
      </c>
      <c r="AF1969" s="2" t="s">
        <v>34</v>
      </c>
      <c r="AG1969" s="2" t="s">
        <v>81</v>
      </c>
      <c r="AH1969" s="2">
        <v>1.5558104462173401</v>
      </c>
      <c r="AI1969" s="2">
        <v>0.85986534089295397</v>
      </c>
      <c r="AJ1969" s="2">
        <v>0.572951802463883</v>
      </c>
      <c r="AK1969" s="2">
        <v>4.7049084019076197E-2</v>
      </c>
      <c r="AL1969" s="2">
        <v>0.86685376739257403</v>
      </c>
      <c r="AM1969" s="2">
        <v>15.5</v>
      </c>
      <c r="AN1969" s="2">
        <v>2.4</v>
      </c>
      <c r="AO1969" s="2">
        <v>10.9</v>
      </c>
      <c r="AP1969" s="2">
        <v>564</v>
      </c>
      <c r="AQ1969" s="2">
        <v>68</v>
      </c>
      <c r="AR1969" s="2">
        <v>1.5</v>
      </c>
      <c r="AS1969" s="2">
        <v>135</v>
      </c>
      <c r="AT1969" s="2">
        <v>0</v>
      </c>
      <c r="AU1969" s="2">
        <v>162</v>
      </c>
      <c r="AV1969" s="2">
        <v>9.1</v>
      </c>
      <c r="AW1969" s="2">
        <v>9.1999999999999993</v>
      </c>
      <c r="AX1969" s="2">
        <v>18.3</v>
      </c>
      <c r="AY1969" s="2">
        <v>0.34</v>
      </c>
      <c r="AZ1969" s="2">
        <v>7.3</v>
      </c>
      <c r="BA1969" s="2">
        <v>0.9</v>
      </c>
      <c r="BB1969" s="2">
        <v>7.5</v>
      </c>
      <c r="BC1969" s="2">
        <v>2.9</v>
      </c>
      <c r="BD1969" s="2">
        <f>+AN1969*EXP(-0.0495*Y1969)</f>
        <v>2.0040228622578926</v>
      </c>
      <c r="BE1969" s="2">
        <f>+AO1969*EXP(-0.024*Y1969)</f>
        <v>9.9875440191148872</v>
      </c>
    </row>
    <row r="1970" spans="1:57" x14ac:dyDescent="0.2">
      <c r="A1970" s="2" t="s">
        <v>3397</v>
      </c>
      <c r="B1970" s="2" t="s">
        <v>19</v>
      </c>
      <c r="C1970" s="2" t="s">
        <v>3245</v>
      </c>
      <c r="D1970" s="2" t="s">
        <v>21</v>
      </c>
      <c r="E1970" s="2" t="s">
        <v>83</v>
      </c>
      <c r="F1970" s="2">
        <v>6</v>
      </c>
      <c r="G1970" s="2">
        <v>17</v>
      </c>
      <c r="H1970" s="2">
        <v>1</v>
      </c>
      <c r="I1970" s="2">
        <v>1</v>
      </c>
      <c r="J1970" s="2">
        <v>0</v>
      </c>
      <c r="K1970" s="2" t="s">
        <v>61</v>
      </c>
      <c r="L1970" s="6" t="s">
        <v>62</v>
      </c>
      <c r="M1970" s="5">
        <v>262500000</v>
      </c>
      <c r="N1970" s="2">
        <v>0</v>
      </c>
      <c r="O1970" s="2">
        <v>4.6806718250000001</v>
      </c>
      <c r="P1970" s="2">
        <v>-74.043995749999993</v>
      </c>
      <c r="Q1970" s="2" t="s">
        <v>3398</v>
      </c>
      <c r="R1970" s="2">
        <v>15441176.470000001</v>
      </c>
      <c r="S1970" s="2">
        <v>0</v>
      </c>
      <c r="T1970" s="2" t="s">
        <v>55</v>
      </c>
      <c r="U1970" s="2" t="s">
        <v>56</v>
      </c>
      <c r="V1970" s="2" t="s">
        <v>28</v>
      </c>
      <c r="W1970" s="2" t="s">
        <v>55</v>
      </c>
      <c r="X1970" s="2" t="s">
        <v>57</v>
      </c>
      <c r="Y1970" s="2">
        <v>3.6310464806684899</v>
      </c>
      <c r="Z1970" s="2">
        <v>4.71035</v>
      </c>
      <c r="AA1970" s="2">
        <v>-74.030416666666696</v>
      </c>
      <c r="AB1970" s="2">
        <v>2570</v>
      </c>
      <c r="AC1970" s="2" t="s">
        <v>31</v>
      </c>
      <c r="AD1970" s="2" t="s">
        <v>58</v>
      </c>
      <c r="AE1970" s="2" t="s">
        <v>33</v>
      </c>
      <c r="AF1970" s="2" t="s">
        <v>34</v>
      </c>
      <c r="AG1970" s="2" t="s">
        <v>81</v>
      </c>
      <c r="AH1970" s="2">
        <v>1.5634329729204901</v>
      </c>
      <c r="AI1970" s="2">
        <v>0.85520002500051295</v>
      </c>
      <c r="AJ1970" s="2">
        <v>0.56088494920154797</v>
      </c>
      <c r="AK1970" s="2">
        <v>4.0593434695745903E-2</v>
      </c>
      <c r="AL1970" s="2">
        <v>0.85482249719254799</v>
      </c>
      <c r="AM1970" s="2">
        <v>15.5</v>
      </c>
      <c r="AN1970" s="2">
        <v>2.4</v>
      </c>
      <c r="AO1970" s="2">
        <v>10.9</v>
      </c>
      <c r="AP1970" s="2">
        <v>564</v>
      </c>
      <c r="AQ1970" s="2">
        <v>68</v>
      </c>
      <c r="AR1970" s="2">
        <v>1.5</v>
      </c>
      <c r="AS1970" s="2">
        <v>135</v>
      </c>
      <c r="AT1970" s="2">
        <v>0</v>
      </c>
      <c r="AU1970" s="2">
        <v>162</v>
      </c>
      <c r="AV1970" s="2">
        <v>9.1</v>
      </c>
      <c r="AW1970" s="2">
        <v>9.1999999999999993</v>
      </c>
      <c r="AX1970" s="2">
        <v>18.3</v>
      </c>
      <c r="AY1970" s="2">
        <v>0.34</v>
      </c>
      <c r="AZ1970" s="2">
        <v>7.3</v>
      </c>
      <c r="BA1970" s="2">
        <v>0.9</v>
      </c>
      <c r="BB1970" s="2">
        <v>7.5</v>
      </c>
      <c r="BC1970" s="2">
        <v>2.9</v>
      </c>
      <c r="BD1970" s="2">
        <f>+AN1970*EXP(-0.0495*Y1970)</f>
        <v>2.0051761987252545</v>
      </c>
      <c r="BE1970" s="2">
        <f>+AO1970*EXP(-0.024*Y1970)</f>
        <v>9.9903304850419001</v>
      </c>
    </row>
    <row r="1971" spans="1:57" x14ac:dyDescent="0.2">
      <c r="A1971" s="2" t="s">
        <v>530</v>
      </c>
      <c r="B1971" s="2" t="s">
        <v>19</v>
      </c>
      <c r="C1971" s="2" t="s">
        <v>20</v>
      </c>
      <c r="D1971" s="2" t="s">
        <v>21</v>
      </c>
      <c r="E1971" s="2" t="s">
        <v>531</v>
      </c>
      <c r="F1971" s="2">
        <v>3</v>
      </c>
      <c r="G1971" s="2">
        <v>15</v>
      </c>
      <c r="H1971" s="2">
        <v>1</v>
      </c>
      <c r="I1971" s="2">
        <v>1</v>
      </c>
      <c r="J1971" s="2">
        <v>1</v>
      </c>
      <c r="K1971" s="2" t="s">
        <v>61</v>
      </c>
      <c r="L1971" s="6" t="s">
        <v>62</v>
      </c>
      <c r="M1971" s="5">
        <v>235000000</v>
      </c>
      <c r="N1971" s="2">
        <v>0</v>
      </c>
      <c r="O1971" s="2">
        <v>4.7375999999999996</v>
      </c>
      <c r="P1971" s="2">
        <v>-74.021609999999995</v>
      </c>
      <c r="Q1971" s="2" t="s">
        <v>532</v>
      </c>
      <c r="R1971" s="2">
        <v>15666666.67</v>
      </c>
      <c r="S1971" s="2">
        <v>0</v>
      </c>
      <c r="T1971" s="2" t="s">
        <v>55</v>
      </c>
      <c r="U1971" s="2" t="s">
        <v>56</v>
      </c>
      <c r="V1971" s="2" t="s">
        <v>28</v>
      </c>
      <c r="W1971" s="2" t="s">
        <v>55</v>
      </c>
      <c r="X1971" s="2" t="s">
        <v>57</v>
      </c>
      <c r="Y1971" s="2">
        <v>3.1869155563540601</v>
      </c>
      <c r="Z1971" s="2">
        <v>4.71035</v>
      </c>
      <c r="AA1971" s="2">
        <v>-74.030416666666696</v>
      </c>
      <c r="AB1971" s="2">
        <v>2570</v>
      </c>
      <c r="AC1971" s="2" t="s">
        <v>31</v>
      </c>
      <c r="AD1971" s="2" t="s">
        <v>58</v>
      </c>
      <c r="AE1971" s="2" t="s">
        <v>33</v>
      </c>
      <c r="AF1971" s="2" t="s">
        <v>34</v>
      </c>
      <c r="AG1971" s="2" t="s">
        <v>59</v>
      </c>
      <c r="AH1971" s="2">
        <v>2.9645247748294201</v>
      </c>
      <c r="AI1971" s="2">
        <v>0.32620520362295602</v>
      </c>
      <c r="AJ1971" s="2">
        <v>1.2359814144922301</v>
      </c>
      <c r="AK1971" s="2">
        <v>5.5358539600655801E-2</v>
      </c>
      <c r="AL1971" s="2">
        <v>0.18041827205701599</v>
      </c>
      <c r="AM1971" s="2">
        <v>15.5</v>
      </c>
      <c r="AN1971" s="2">
        <v>2.4</v>
      </c>
      <c r="AO1971" s="2">
        <v>10.9</v>
      </c>
      <c r="AP1971" s="2">
        <v>564</v>
      </c>
      <c r="AQ1971" s="2">
        <v>68</v>
      </c>
      <c r="AR1971" s="2">
        <v>1.5</v>
      </c>
      <c r="AS1971" s="2">
        <v>135</v>
      </c>
      <c r="AT1971" s="2">
        <v>0</v>
      </c>
      <c r="AU1971" s="2">
        <v>162</v>
      </c>
      <c r="AV1971" s="2">
        <v>9.1</v>
      </c>
      <c r="AW1971" s="2">
        <v>9.1999999999999993</v>
      </c>
      <c r="AX1971" s="2">
        <v>18.3</v>
      </c>
      <c r="AY1971" s="2">
        <v>0.34</v>
      </c>
      <c r="AZ1971" s="2">
        <v>7.3</v>
      </c>
      <c r="BA1971" s="2">
        <v>0.9</v>
      </c>
      <c r="BB1971" s="2">
        <v>7.5</v>
      </c>
      <c r="BC1971" s="2">
        <v>2.9</v>
      </c>
      <c r="BD1971" s="2">
        <f>+AN1971*EXP(-0.0495*Y1971)</f>
        <v>2.0497470951378123</v>
      </c>
      <c r="BE1971" s="2">
        <f>+AO1971*EXP(-0.024*Y1971)</f>
        <v>10.097388397262597</v>
      </c>
    </row>
    <row r="1972" spans="1:57" x14ac:dyDescent="0.2">
      <c r="A1972" s="2" t="s">
        <v>4524</v>
      </c>
      <c r="B1972" s="2" t="s">
        <v>19</v>
      </c>
      <c r="C1972" s="2" t="s">
        <v>3245</v>
      </c>
      <c r="D1972" s="2" t="s">
        <v>21</v>
      </c>
      <c r="E1972" s="2" t="s">
        <v>213</v>
      </c>
      <c r="F1972" s="2">
        <v>5</v>
      </c>
      <c r="G1972" s="2">
        <v>10</v>
      </c>
      <c r="H1972" s="2">
        <v>1</v>
      </c>
      <c r="I1972" s="2">
        <v>2</v>
      </c>
      <c r="J1972" s="2">
        <v>1</v>
      </c>
      <c r="K1972" s="2" t="s">
        <v>61</v>
      </c>
      <c r="L1972" s="6" t="s">
        <v>84</v>
      </c>
      <c r="M1972" s="5">
        <v>455000000</v>
      </c>
      <c r="N1972" s="2">
        <v>0</v>
      </c>
      <c r="O1972" s="2">
        <v>4.7073149680000004</v>
      </c>
      <c r="P1972" s="2">
        <v>-74.032142640000004</v>
      </c>
      <c r="Q1972" s="2" t="s">
        <v>4525</v>
      </c>
      <c r="R1972" s="2">
        <v>45500000</v>
      </c>
      <c r="S1972" s="2">
        <v>0</v>
      </c>
      <c r="T1972" s="2" t="s">
        <v>55</v>
      </c>
      <c r="U1972" s="2" t="s">
        <v>56</v>
      </c>
      <c r="V1972" s="2" t="s">
        <v>28</v>
      </c>
      <c r="W1972" s="2" t="s">
        <v>55</v>
      </c>
      <c r="X1972" s="2" t="s">
        <v>57</v>
      </c>
      <c r="Y1972" s="2">
        <v>0.38834913563830697</v>
      </c>
      <c r="Z1972" s="2">
        <v>4.71035</v>
      </c>
      <c r="AA1972" s="2">
        <v>-74.030416666666696</v>
      </c>
      <c r="AB1972" s="2">
        <v>2570</v>
      </c>
      <c r="AC1972" s="2" t="s">
        <v>31</v>
      </c>
      <c r="AD1972" s="2" t="s">
        <v>58</v>
      </c>
      <c r="AE1972" s="2" t="s">
        <v>33</v>
      </c>
      <c r="AF1972" s="2" t="s">
        <v>34</v>
      </c>
      <c r="AG1972" s="2" t="s">
        <v>59</v>
      </c>
      <c r="AH1972" s="2">
        <v>2.4009674648544901</v>
      </c>
      <c r="AI1972" s="2">
        <v>0.81166831789236304</v>
      </c>
      <c r="AJ1972" s="2">
        <v>0.38519425229802401</v>
      </c>
      <c r="AK1972" s="2">
        <v>0.20424337977620899</v>
      </c>
      <c r="AL1972" s="2">
        <v>9.3518602702829898E-2</v>
      </c>
      <c r="AM1972" s="2">
        <v>15.5</v>
      </c>
      <c r="AN1972" s="2">
        <v>2.4</v>
      </c>
      <c r="AO1972" s="2">
        <v>10.9</v>
      </c>
      <c r="AP1972" s="2">
        <v>564</v>
      </c>
      <c r="AQ1972" s="2">
        <v>68</v>
      </c>
      <c r="AR1972" s="2">
        <v>1.5</v>
      </c>
      <c r="AS1972" s="2">
        <v>135</v>
      </c>
      <c r="AT1972" s="2">
        <v>0</v>
      </c>
      <c r="AU1972" s="2">
        <v>162</v>
      </c>
      <c r="AV1972" s="2">
        <v>9.1</v>
      </c>
      <c r="AW1972" s="2">
        <v>9.1999999999999993</v>
      </c>
      <c r="AX1972" s="2">
        <v>18.3</v>
      </c>
      <c r="AY1972" s="2">
        <v>0.34</v>
      </c>
      <c r="AZ1972" s="2">
        <v>7.3</v>
      </c>
      <c r="BA1972" s="2">
        <v>0.9</v>
      </c>
      <c r="BB1972" s="2">
        <v>7.5</v>
      </c>
      <c r="BC1972" s="2">
        <v>2.9</v>
      </c>
      <c r="BD1972" s="2">
        <f>+AN1972*EXP(-0.0495*Y1972)</f>
        <v>2.3543047363173151</v>
      </c>
      <c r="BE1972" s="2">
        <f>+AO1972*EXP(-0.024*Y1972)</f>
        <v>10.798879837270698</v>
      </c>
    </row>
    <row r="1973" spans="1:57" x14ac:dyDescent="0.2">
      <c r="A1973" s="2" t="s">
        <v>568</v>
      </c>
      <c r="B1973" s="2" t="s">
        <v>19</v>
      </c>
      <c r="C1973" s="2" t="s">
        <v>20</v>
      </c>
      <c r="D1973" s="2" t="s">
        <v>21</v>
      </c>
      <c r="E1973" s="2" t="s">
        <v>161</v>
      </c>
      <c r="F1973" s="2">
        <v>6</v>
      </c>
      <c r="G1973" s="2">
        <v>7</v>
      </c>
      <c r="H1973" s="2">
        <v>3</v>
      </c>
      <c r="I1973" s="2">
        <v>4</v>
      </c>
      <c r="J1973" s="2">
        <v>3</v>
      </c>
      <c r="K1973" s="2" t="s">
        <v>61</v>
      </c>
      <c r="L1973" s="6" t="s">
        <v>62</v>
      </c>
      <c r="M1973" s="5">
        <v>1940000000</v>
      </c>
      <c r="N1973" s="2">
        <v>0</v>
      </c>
      <c r="O1973" s="2">
        <v>4.6962375639999996</v>
      </c>
      <c r="P1973" s="2">
        <v>-74.047035219999998</v>
      </c>
      <c r="Q1973" s="2" t="s">
        <v>569</v>
      </c>
      <c r="R1973" s="2">
        <v>277142857.10000002</v>
      </c>
      <c r="S1973" s="2">
        <v>0</v>
      </c>
      <c r="T1973" s="2" t="s">
        <v>55</v>
      </c>
      <c r="U1973" s="2" t="s">
        <v>56</v>
      </c>
      <c r="V1973" s="2" t="s">
        <v>28</v>
      </c>
      <c r="W1973" s="2" t="s">
        <v>55</v>
      </c>
      <c r="X1973" s="2" t="s">
        <v>57</v>
      </c>
      <c r="Y1973" s="2">
        <v>2.4222679799778399</v>
      </c>
      <c r="Z1973" s="2">
        <v>4.71035</v>
      </c>
      <c r="AA1973" s="2">
        <v>-74.030416666666696</v>
      </c>
      <c r="AB1973" s="2">
        <v>2570</v>
      </c>
      <c r="AC1973" s="2" t="s">
        <v>31</v>
      </c>
      <c r="AD1973" s="2" t="s">
        <v>58</v>
      </c>
      <c r="AE1973" s="2" t="s">
        <v>33</v>
      </c>
      <c r="AF1973" s="2" t="s">
        <v>34</v>
      </c>
      <c r="AG1973" s="2" t="s">
        <v>59</v>
      </c>
      <c r="AH1973" s="2">
        <v>0.940818909887573</v>
      </c>
      <c r="AI1973" s="2">
        <v>2.28140787440968</v>
      </c>
      <c r="AJ1973" s="2">
        <v>0.45090051458856201</v>
      </c>
      <c r="AK1973" s="2">
        <v>0.142572799518799</v>
      </c>
      <c r="AL1973" s="2">
        <v>0.26704505388022098</v>
      </c>
      <c r="AM1973" s="2">
        <v>15.5</v>
      </c>
      <c r="AN1973" s="2">
        <v>2.4</v>
      </c>
      <c r="AO1973" s="2">
        <v>10.9</v>
      </c>
      <c r="AP1973" s="2">
        <v>564</v>
      </c>
      <c r="AQ1973" s="2">
        <v>68</v>
      </c>
      <c r="AR1973" s="2">
        <v>1.5</v>
      </c>
      <c r="AS1973" s="2">
        <v>135</v>
      </c>
      <c r="AT1973" s="2">
        <v>0</v>
      </c>
      <c r="AU1973" s="2">
        <v>162</v>
      </c>
      <c r="AV1973" s="2">
        <v>9.1</v>
      </c>
      <c r="AW1973" s="2">
        <v>9.1999999999999993</v>
      </c>
      <c r="AX1973" s="2">
        <v>18.3</v>
      </c>
      <c r="AY1973" s="2">
        <v>0.34</v>
      </c>
      <c r="AZ1973" s="2">
        <v>7.3</v>
      </c>
      <c r="BA1973" s="2">
        <v>0.9</v>
      </c>
      <c r="BB1973" s="2">
        <v>7.5</v>
      </c>
      <c r="BC1973" s="2">
        <v>2.9</v>
      </c>
      <c r="BD1973" s="2">
        <f>+AN1973*EXP(-0.0495*Y1973)</f>
        <v>2.1288170978742498</v>
      </c>
      <c r="BE1973" s="2">
        <f>+AO1973*EXP(-0.024*Y1973)</f>
        <v>10.284401786368978</v>
      </c>
    </row>
  </sheetData>
  <autoFilter ref="A1:BE1973" xr:uid="{14B329BF-2F32-B14D-98D4-576379FB1069}">
    <sortState xmlns:xlrd2="http://schemas.microsoft.com/office/spreadsheetml/2017/richdata2" ref="A2:BE1973">
      <sortCondition descending="1" ref="AO1:AO1973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Familia Alape</dc:creator>
  <cp:lastModifiedBy>Jorge Viafara</cp:lastModifiedBy>
  <dcterms:created xsi:type="dcterms:W3CDTF">2026-05-18T18:12:48Z</dcterms:created>
  <dcterms:modified xsi:type="dcterms:W3CDTF">2026-06-10T02:27:08Z</dcterms:modified>
</cp:coreProperties>
</file>